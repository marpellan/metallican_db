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FE7F0868-0D41-4823-B502-9E7C5DAE6A84}" xr6:coauthVersionLast="47" xr6:coauthVersionMax="47" xr10:uidLastSave="{00000000-0000-0000-0000-000000000000}"/>
  <bookViews>
    <workbookView xWindow="38280" yWindow="-270" windowWidth="38640" windowHeight="21120" xr2:uid="{E22C4398-04F5-43D0-9CCF-E3BB77FF9C42}"/>
  </bookViews>
  <sheets>
    <sheet name="Cover page" sheetId="1" r:id="rId1"/>
    <sheet name="GRI" sheetId="2" r:id="rId2"/>
    <sheet name="GRI - Climate" sheetId="3" r:id="rId3"/>
    <sheet name="Water" sheetId="4" r:id="rId4"/>
    <sheet name="Health and safety" sheetId="5" r:id="rId5"/>
    <sheet name="Our people" sheetId="6" r:id="rId6"/>
    <sheet name="ICMM SERF" sheetId="7" r:id="rId7"/>
    <sheet name="ICMM PE - Cover note" sheetId="8" r:id="rId8"/>
    <sheet name="ICMM PE - Corporate assessment" sheetId="9" r:id="rId9"/>
    <sheet name="ICMM PE - Asset assessments" sheetId="10" r:id="rId10"/>
  </sheets>
  <definedNames>
    <definedName name="_xlnm._FilterDatabase" localSheetId="1" hidden="1">GRI!$A$7:$O$7</definedName>
    <definedName name="_xlnm.Print_Area" localSheetId="0">'Cover page'!$A$1:$A$19</definedName>
    <definedName name="_xlnm.Print_Area" localSheetId="1">GRI!$B$1:$O$398</definedName>
    <definedName name="_xlnm.Print_Area" localSheetId="2">'GRI - Climate'!$A$1:$H$171</definedName>
    <definedName name="_xlnm.Print_Area" localSheetId="4">'Health and safety'!$A$1:$H$69</definedName>
    <definedName name="_xlnm.Print_Area" localSheetId="9">'ICMM PE - Asset assessments'!$A$1:$AX$41</definedName>
    <definedName name="_xlnm.Print_Area" localSheetId="8">'ICMM PE - Corporate assessment'!$A$1:$D$43</definedName>
    <definedName name="_xlnm.Print_Area" localSheetId="7">'ICMM PE - Cover note'!$A$1:$A$4</definedName>
    <definedName name="_xlnm.Print_Area" localSheetId="5">'Our people'!$A$1:$H$84</definedName>
    <definedName name="_xlnm.Print_Area" localSheetId="3">Water!$A$1:$K$69</definedName>
    <definedName name="_xlnm.Print_Titles" localSheetId="1">GRI!$1:$7</definedName>
    <definedName name="_xlnm.Print_Titles" localSheetId="2">'GRI - Climate'!$1:$3</definedName>
    <definedName name="_xlnm.Print_Titles" localSheetId="4">'Health and safety'!$1:$3</definedName>
    <definedName name="_xlnm.Print_Titles" localSheetId="9">'ICMM PE - Asset assessments'!$A:$C,'ICMM PE - Asset assessments'!$1:$4</definedName>
    <definedName name="_xlnm.Print_Titles" localSheetId="8">'ICMM PE - Corporate assessment'!$1:$4</definedName>
    <definedName name="_xlnm.Print_Titles" localSheetId="6">'ICMM SERF'!$1:$3</definedName>
    <definedName name="_xlnm.Print_Titles" localSheetId="5">'Our people'!$1:$3</definedName>
    <definedName name="_xlnm.Print_Titles" localSheetId="3">Water!$1:$3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34" i="10" l="1"/>
  <c r="AQ34" i="10"/>
  <c r="AN34" i="10"/>
  <c r="AG34" i="10"/>
  <c r="AD34" i="10"/>
  <c r="AC34" i="10"/>
  <c r="AV33" i="10"/>
  <c r="AU33" i="10"/>
  <c r="AQ33" i="10"/>
  <c r="AN33" i="10"/>
  <c r="AM33" i="10"/>
  <c r="AL33" i="10"/>
  <c r="AI33" i="10"/>
  <c r="AC33" i="10"/>
  <c r="Z33" i="10"/>
  <c r="Y33" i="10"/>
  <c r="AV32" i="10"/>
  <c r="AU32" i="10"/>
  <c r="AQ32" i="10"/>
  <c r="AN32" i="10"/>
  <c r="AM32" i="10"/>
  <c r="AI32" i="10"/>
  <c r="AC32" i="10"/>
  <c r="Z32" i="10"/>
  <c r="Y32" i="10"/>
  <c r="AV30" i="10"/>
  <c r="AS29" i="10"/>
  <c r="AQ29" i="10"/>
  <c r="AU26" i="10"/>
  <c r="AL26" i="10"/>
  <c r="AH26" i="10"/>
  <c r="AW25" i="10"/>
  <c r="AV25" i="10"/>
  <c r="AU25" i="10"/>
  <c r="AS25" i="10"/>
  <c r="AQ25" i="10"/>
  <c r="AP25" i="10"/>
  <c r="AO25" i="10"/>
  <c r="AN25" i="10"/>
  <c r="AM25" i="10"/>
  <c r="AL25" i="10"/>
  <c r="AK25" i="10"/>
  <c r="AJ25" i="10"/>
  <c r="AH25" i="10"/>
  <c r="AG25" i="10"/>
  <c r="AF25" i="10"/>
  <c r="AE25" i="10"/>
  <c r="AC25" i="10"/>
  <c r="AA25" i="10"/>
  <c r="Y25" i="10"/>
  <c r="W25" i="10"/>
  <c r="V25" i="10"/>
  <c r="U25" i="10"/>
  <c r="T25" i="10"/>
  <c r="S25" i="10"/>
  <c r="R25" i="10"/>
  <c r="Q25" i="10"/>
  <c r="P25" i="10"/>
  <c r="O25" i="10"/>
  <c r="N25" i="10"/>
  <c r="M25" i="10"/>
  <c r="K25" i="10"/>
  <c r="J25" i="10"/>
  <c r="I25" i="10"/>
  <c r="H25" i="10"/>
  <c r="G25" i="10"/>
  <c r="F25" i="10"/>
  <c r="E25" i="10"/>
  <c r="D25" i="10"/>
  <c r="AU24" i="10"/>
  <c r="AM24" i="10"/>
  <c r="AT23" i="10"/>
  <c r="AN23" i="10"/>
  <c r="AL23" i="10"/>
  <c r="AC23" i="10"/>
  <c r="Z23" i="10"/>
  <c r="U23" i="10"/>
  <c r="AE22" i="10"/>
  <c r="AD22" i="10"/>
  <c r="Z22" i="10"/>
  <c r="AD21" i="10"/>
  <c r="Z21" i="10"/>
  <c r="AE20" i="10"/>
  <c r="AC20" i="10"/>
  <c r="AV19" i="10"/>
  <c r="AU19" i="10"/>
  <c r="AO19" i="10"/>
  <c r="AM19" i="10"/>
  <c r="AC19" i="10"/>
  <c r="AV17" i="10"/>
  <c r="AU17" i="10"/>
  <c r="Z17" i="10"/>
  <c r="AB16" i="10"/>
  <c r="W16" i="10"/>
  <c r="V16" i="10"/>
  <c r="Z14" i="10"/>
  <c r="AV11" i="10"/>
  <c r="AO11" i="10"/>
  <c r="AL11" i="10"/>
  <c r="AH11" i="10"/>
  <c r="AC11" i="10"/>
  <c r="AB11" i="10"/>
  <c r="Y11" i="10"/>
  <c r="AV9" i="10"/>
  <c r="Z9" i="10"/>
  <c r="Y9" i="10"/>
  <c r="X9" i="10"/>
  <c r="C27" i="9"/>
</calcChain>
</file>

<file path=xl/sharedStrings.xml><?xml version="1.0" encoding="utf-8"?>
<sst xmlns="http://schemas.openxmlformats.org/spreadsheetml/2006/main" count="3906" uniqueCount="1247">
  <si>
    <t>Glencore Environmental, Social and Governance (ESG) Data Book and Global Reporting Initiative (GRI) Index 2023</t>
  </si>
  <si>
    <t>This ESG Data Book and GRI Index has been prepared with reference to the Global Reporting Initiative (GRI) Sustainability Reporting Standards (GRI Standards) using GRI 1: Foundation 2021, effective 1 January 2023. It is not intended to conform to each of the requirements set out in the GRI Standards.</t>
  </si>
  <si>
    <t>Key used in Glencore ESG Data Book and GRI Index</t>
  </si>
  <si>
    <r>
      <t xml:space="preserve">° General note regarding restatements: We have identified whether headline yearly data has been restated in the 'GRI' and 'GRI - Climate' tabs of this ESG Data Book and GRI Index 2023 by the ° symbol, where it is reasonable to do so.  Restated data is not specifically identified in the 'Water' and 'Health and Safety' tabs, as the data provided in these tabs sets out more information on the headline numbers which are provided under the relevant sections in the 'GRI' tab. We have not restated people data other than the hours worked. 
Where we have restated data, we have done so mainly to reflect improved data collection, analysis, and/or validation systems at certain industrial sites. We have identified key drivers of restatements where they resulted in a deviation of +/-5% compared to previously reported data or where they resulted from a relevant methodological change in the 'comments' sections of the 'GRI' tab in respect of the specific data point. 
</t>
    </r>
    <r>
      <rPr>
        <sz val="11"/>
        <color rgb="FFFF0000"/>
        <rFont val="Calibri"/>
        <family val="2"/>
        <scheme val="minor"/>
      </rPr>
      <t xml:space="preserve">
</t>
    </r>
    <r>
      <rPr>
        <sz val="11"/>
        <rFont val="Calibri"/>
        <family val="2"/>
        <scheme val="minor"/>
      </rPr>
      <t xml:space="preserve">Furthermore, for our 2022 reporting, we mistakenly excluded Middelkraal, an industrial site under our operational control at which production had ceased prior to 2019, from the organisational boundary of operational control as an independently managed joint venture. We have now re-added data reported by Middelkraal for its ongoing residual activity, which resulted in minor changes to the data previously reported. </t>
    </r>
  </si>
  <si>
    <t>Glencore AR = Glencore Annual Report 2023</t>
  </si>
  <si>
    <t>Glencore SR = Glencore Sustainability Report 2023</t>
  </si>
  <si>
    <t>Glencore CATP = 2024-2026 Glencore Climate Action Transition Plan</t>
  </si>
  <si>
    <t>Glencore E&amp;CR = Glencore Ethics &amp; Compliance Report 2023</t>
  </si>
  <si>
    <t>ESG A-Z = Topic specific information presented on our website at: www.glencore.com/sustainability/esg-a-z</t>
  </si>
  <si>
    <t>Glencore BOR = Glencore Basis of Reporting 2023</t>
  </si>
  <si>
    <t>Important notice</t>
  </si>
  <si>
    <t>Glencore ESG Data Book and GRI Index 2023</t>
  </si>
  <si>
    <t>GRI content index</t>
  </si>
  <si>
    <t>Statement of use</t>
  </si>
  <si>
    <t>Glencore plc has reported the information cited in this GRI content index for the period 1 January to 31 December 2023 with reference to the GRI Standards.</t>
  </si>
  <si>
    <t>GRI 1 used</t>
  </si>
  <si>
    <t>GRI 1: Foundation 2021</t>
  </si>
  <si>
    <t>We further continue to include information with reference to the GRI ‘Mining and Metals Sector Disclosures’ 2013 document (reference MM) which previously was to be used by organisations in the mining and metals sector in combination with GRI G4 Guidelines, which has now been replaced.</t>
  </si>
  <si>
    <t>GRI Standard</t>
  </si>
  <si>
    <t>Disclosure #</t>
  </si>
  <si>
    <t>Disclosure</t>
  </si>
  <si>
    <t>Response / cross reference / unit of measurement / reason for omission</t>
  </si>
  <si>
    <t>UNGC
principles</t>
  </si>
  <si>
    <t>ICMM
principles</t>
  </si>
  <si>
    <t>SASB</t>
  </si>
  <si>
    <t>Comments</t>
  </si>
  <si>
    <t>GENERAL DISCLOSURES</t>
  </si>
  <si>
    <t>GRI 2: General Disclosures 2021</t>
  </si>
  <si>
    <t>2-1</t>
  </si>
  <si>
    <t>Organisational details</t>
  </si>
  <si>
    <r>
      <t xml:space="preserve">Glencore plc, registered in Jersey, headquartered in Switzerland and its Group has operations around the world.
Glencore plc has a primary listing on the London Stock Exchange (LSE) and a secondary listing on the Johannesburg Stock Exchange (JSE).
Baarermattstrasse 3
6340 Baar
Switzerland 
</t>
    </r>
    <r>
      <rPr>
        <i/>
        <sz val="11"/>
        <rFont val="Calibri"/>
        <family val="2"/>
        <scheme val="minor"/>
      </rPr>
      <t>Glencore SR:</t>
    </r>
    <r>
      <rPr>
        <sz val="11"/>
        <rFont val="Calibri"/>
        <family val="2"/>
        <scheme val="minor"/>
      </rPr>
      <t xml:space="preserve">
Our business at a glance (pp. 3-4)
</t>
    </r>
    <r>
      <rPr>
        <i/>
        <sz val="11"/>
        <rFont val="Calibri"/>
        <family val="2"/>
        <scheme val="minor"/>
      </rPr>
      <t>Glencore AR:</t>
    </r>
    <r>
      <rPr>
        <sz val="11"/>
        <rFont val="Calibri"/>
        <family val="2"/>
        <scheme val="minor"/>
      </rPr>
      <t xml:space="preserve"> 
Our business at a glance (pp. 2-3),
Principal operating, finance and industrial subsidiaries and investments (pp. 279-281),
Shareholder information (p. 298)
</t>
    </r>
    <r>
      <rPr>
        <i/>
        <sz val="11"/>
        <rFont val="Calibri"/>
        <family val="2"/>
        <scheme val="minor"/>
      </rPr>
      <t xml:space="preserve">Glencore website: </t>
    </r>
    <r>
      <rPr>
        <sz val="11"/>
        <rFont val="Calibri"/>
        <family val="2"/>
        <scheme val="minor"/>
      </rPr>
      <t xml:space="preserve">
World map</t>
    </r>
  </si>
  <si>
    <t>2-2</t>
  </si>
  <si>
    <t>Entities included in the organisation’s sustainability reporting</t>
  </si>
  <si>
    <t>Glencore SR:
About this report (pp. 72-73)
Glencore AR:
About our emissions calculations and reporting section on (pp. 53-61),
Principal operating, finance and industrial subsidiaries and investments (pp. 279-281)
Other disclosures:
Glencore BOR</t>
  </si>
  <si>
    <t>2-3</t>
  </si>
  <si>
    <t>Reporting period, frequency and contact point</t>
  </si>
  <si>
    <t>2-4</t>
  </si>
  <si>
    <t>Restatements of information</t>
  </si>
  <si>
    <t>Glencore SR:
About this report (pp. 72-73)
Glencore AR:
About our emissions calculations and reporting section on (pp. 53-61)
Other disclosures:
Glencore BOR</t>
  </si>
  <si>
    <t>Please see the 'Cover page' tab for further information on restatements in relation to this ESG Data Book and GRI Index.</t>
  </si>
  <si>
    <t>2-5</t>
  </si>
  <si>
    <t>External assurance</t>
  </si>
  <si>
    <t>2-6</t>
  </si>
  <si>
    <t>Activities, value chain and other business relationships</t>
  </si>
  <si>
    <t>Glencore website:
Who we are / At a glance
Glencore SR: 
Our business at a glance (pp. 3-4)
About this report (pp. 72-73),
Responsible sourcing (pp. 68-70)
Glencore AR: 
Our business at a glance (pp. 2-3),
Our business model (p. 12),
Our value chain (p. 13)
Other:
2023 Modern Slavery Statement (to be published)</t>
  </si>
  <si>
    <t>EM-MM-000.A
Production of (1) metal ores and (2) finished metal products</t>
  </si>
  <si>
    <t>Glencore reports production data in its 2023 Glencore full year production report - see www.glencore.com/publications.</t>
  </si>
  <si>
    <t>2-7</t>
  </si>
  <si>
    <t>Employees</t>
  </si>
  <si>
    <t>Glencore SR:
About this report (pp. 72-73),
Glencore AR:
Our people (pp. 75-77)
Other:
2023 Extended ESG Data (see sheet 'Our people')</t>
  </si>
  <si>
    <t>EM-MM-000.B
Total number of employees, percentage contractors</t>
  </si>
  <si>
    <t>We base workforce numbers on their end of year status. As a result, we do not include workforce data from entities that were disposed of during the year.
Minor fluctuations regarding our workforce resulted from the divestments of CSA Cobar and Chemoil Energy but the main year-on-year change resulted as a consequence of methodological changes compared to the previous years. Our contractor data, which was historically based on a full time equivalent (FTE) approach, like the employee data has now been collected based on a headcount approach.
The contractors we include in our workforce numbers are generally engaged to work in an office or industrial asset under Glencore’s direct supervision and are, in essence, replacement persons. Examples include trade (or craft) personnel such as mechanics, welders and electricians, office based maternity covers or temporary staff due to seasonal workloads for a pre-defined period or on a casual basis. 
Refer to tab 'Our people' in this ESG Data Book and GRI Index.</t>
  </si>
  <si>
    <t>2-8</t>
  </si>
  <si>
    <t>Workers who are not employees</t>
  </si>
  <si>
    <t>2-9</t>
  </si>
  <si>
    <t>Governance structure and composition</t>
  </si>
  <si>
    <t xml:space="preserve">ESG A-Z:
Governance
Glencore SR:
Sustainability governance (pp. 9-11)
Glencore AR:
Corporate governance (pp. 119-164)
Glencore CATP:
Governance (pp. 19-21) </t>
  </si>
  <si>
    <t>2-10</t>
  </si>
  <si>
    <t>Nomination and selection of the highest governance body</t>
  </si>
  <si>
    <r>
      <rPr>
        <i/>
        <sz val="11"/>
        <rFont val="Calibri"/>
        <family val="2"/>
        <scheme val="minor"/>
      </rPr>
      <t>Glencore AR:</t>
    </r>
    <r>
      <rPr>
        <sz val="11"/>
        <rFont val="Calibri"/>
        <family val="2"/>
        <scheme val="minor"/>
      </rPr>
      <t xml:space="preserve">
Corporate governance (pp. 119-164)</t>
    </r>
  </si>
  <si>
    <t>2-11</t>
  </si>
  <si>
    <t>Chair of the highest governance body</t>
  </si>
  <si>
    <t>2-12</t>
  </si>
  <si>
    <t>Role of the highest governance body in overseeing the management of impacts</t>
  </si>
  <si>
    <t xml:space="preserve">ESG A-Z:
Governance
Glencore SR:
Sustainability governance (pp. 9-11)
Glencore AR:
TCFD Governance of climate-related risks and opportunities (pp. 31-35),
Corporate governance (pp. 119-164),
Section 172 Statement and stakeholder engagement (pp. 23-28),
Risk management (pp. 105-118)
Glencore CATP:
Governance (pp. 19-21) </t>
  </si>
  <si>
    <t>2-13</t>
  </si>
  <si>
    <t>Delegation of responsibility for managing impacts</t>
  </si>
  <si>
    <t xml:space="preserve">ESG A-Z:
Governance,
Board Oversight
Glencore SR:
Sustainability governance (pp. 9-11)
Glencore AR:
TCFD Governance of climate-related risks and opportunities (pp. 31-35),
Corporate governance (pp. 119-164),
Glencore CATP:
Governance (pp. 19-21) </t>
  </si>
  <si>
    <t>2-14</t>
  </si>
  <si>
    <t>Role of the highest governance body in sustainability reporting</t>
  </si>
  <si>
    <t>ESG A-Z:
Governance,
Board Oversight
Glencore SR:
Sustainability governance (pp. 9-11)
Glencore AR:
TCFD Governance of climate-related risks and opportunities (pp. 31-35),
Corporate governance (pp. 119-164),
Health, Safety, Environment &amp; Communities (HSEC) Committee report (p. 132)</t>
  </si>
  <si>
    <t>2-15</t>
  </si>
  <si>
    <t>Conflicts of interest</t>
  </si>
  <si>
    <t>ESG A-Z:
Governance
Glencore SR:
Sustainability governance (pp. 9-11)
Glencore AR:
Corporate Governance Report / Management of conflicts of interest (pp. 127)</t>
  </si>
  <si>
    <t>2-16</t>
  </si>
  <si>
    <t>Communication of critical concerns</t>
  </si>
  <si>
    <r>
      <rPr>
        <i/>
        <sz val="11"/>
        <rFont val="Calibri"/>
        <family val="2"/>
        <scheme val="minor"/>
      </rPr>
      <t>ESG A-Z:</t>
    </r>
    <r>
      <rPr>
        <sz val="11"/>
        <rFont val="Calibri"/>
        <family val="2"/>
        <scheme val="minor"/>
      </rPr>
      <t xml:space="preserve">
Governance
</t>
    </r>
    <r>
      <rPr>
        <i/>
        <sz val="11"/>
        <rFont val="Calibri"/>
        <family val="2"/>
        <scheme val="minor"/>
      </rPr>
      <t>Glencore SR:</t>
    </r>
    <r>
      <rPr>
        <sz val="11"/>
        <rFont val="Calibri"/>
        <family val="2"/>
        <scheme val="minor"/>
      </rPr>
      <t xml:space="preserve">
Sustainability governance (pp. 9-11)
</t>
    </r>
    <r>
      <rPr>
        <i/>
        <sz val="11"/>
        <rFont val="Calibri"/>
        <family val="2"/>
        <scheme val="minor"/>
      </rPr>
      <t>Glencore AR:</t>
    </r>
    <r>
      <rPr>
        <sz val="11"/>
        <rFont val="Calibri"/>
        <family val="2"/>
        <scheme val="minor"/>
      </rPr>
      <t xml:space="preserve">
Corporate governance (pp. 119-164),
Section 172 Statement and stakeholder engagement (pp. 23-28),
</t>
    </r>
    <r>
      <rPr>
        <i/>
        <sz val="11"/>
        <rFont val="Calibri"/>
        <family val="2"/>
        <scheme val="minor"/>
      </rPr>
      <t>Glencore E&amp;CR:</t>
    </r>
    <r>
      <rPr>
        <sz val="11"/>
        <rFont val="Calibri"/>
        <family val="2"/>
        <scheme val="minor"/>
      </rPr>
      <t xml:space="preserve">
Speaking openly and raising concerns (pp. 62-65)
</t>
    </r>
    <r>
      <rPr>
        <i/>
        <sz val="11"/>
        <rFont val="Calibri"/>
        <family val="2"/>
        <scheme val="minor"/>
      </rPr>
      <t xml:space="preserve">Glencore website: </t>
    </r>
    <r>
      <rPr>
        <sz val="11"/>
        <rFont val="Calibri"/>
        <family val="2"/>
        <scheme val="minor"/>
      </rPr>
      <t xml:space="preserve">
Whistleblowing Policy</t>
    </r>
  </si>
  <si>
    <t>Glencore reports under GRI 2-16 on the total number and nature of concerns which are reported quarterly to the Raising Concerns Programme, which in turn reports quarterly to the Board.</t>
  </si>
  <si>
    <t>2-17</t>
  </si>
  <si>
    <t>Collective knowledge of the highest governance body</t>
  </si>
  <si>
    <r>
      <rPr>
        <i/>
        <sz val="11"/>
        <rFont val="Calibri"/>
        <family val="2"/>
        <scheme val="minor"/>
      </rPr>
      <t>Glencore AR:</t>
    </r>
    <r>
      <rPr>
        <sz val="11"/>
        <rFont val="Calibri"/>
        <family val="2"/>
        <scheme val="minor"/>
      </rPr>
      <t xml:space="preserve">
Corporate Governance Report (pp. 119-164)
</t>
    </r>
    <r>
      <rPr>
        <i/>
        <sz val="11"/>
        <rFont val="Calibri"/>
        <family val="2"/>
        <scheme val="minor"/>
      </rPr>
      <t xml:space="preserve">Glencore CATP:
</t>
    </r>
    <r>
      <rPr>
        <sz val="11"/>
        <rFont val="Calibri"/>
        <family val="2"/>
        <scheme val="minor"/>
      </rPr>
      <t xml:space="preserve">Governance (pp. 19-21) </t>
    </r>
  </si>
  <si>
    <t>2-18</t>
  </si>
  <si>
    <t>Evaluation of the performance of the highest governance body</t>
  </si>
  <si>
    <r>
      <rPr>
        <i/>
        <sz val="11"/>
        <rFont val="Calibri"/>
        <family val="2"/>
        <scheme val="minor"/>
      </rPr>
      <t>Glencore AR:</t>
    </r>
    <r>
      <rPr>
        <sz val="11"/>
        <rFont val="Calibri"/>
        <family val="2"/>
        <scheme val="minor"/>
      </rPr>
      <t xml:space="preserve">
Corporate Governance Report (pp. 119-164)</t>
    </r>
  </si>
  <si>
    <t>2-19</t>
  </si>
  <si>
    <t>Remuneration policies</t>
  </si>
  <si>
    <r>
      <rPr>
        <i/>
        <sz val="11"/>
        <rFont val="Calibri"/>
        <family val="2"/>
        <scheme val="minor"/>
      </rPr>
      <t>Glencore AR:</t>
    </r>
    <r>
      <rPr>
        <sz val="11"/>
        <rFont val="Calibri"/>
        <family val="2"/>
        <scheme val="minor"/>
      </rPr>
      <t xml:space="preserve">
Directors’ Remuneration Report (pp. 134-160)</t>
    </r>
  </si>
  <si>
    <t>2-20</t>
  </si>
  <si>
    <t>Process to determine remuneration</t>
  </si>
  <si>
    <t>2-21</t>
  </si>
  <si>
    <t>Annual total compensation ratio</t>
  </si>
  <si>
    <t>Glencore reports on the ratio of the annual total compensation for the Chief Executive Officer to the median annual total compensation for all employees (excluding the Chief Executive Officer) together with contextual information.</t>
  </si>
  <si>
    <t>2-22</t>
  </si>
  <si>
    <t>Statement on sustainable development strategy</t>
  </si>
  <si>
    <t>Glencore SR:
Chief Executive Officer’s review (pp. 8)</t>
  </si>
  <si>
    <t>2-23</t>
  </si>
  <si>
    <t>Policy commitments</t>
  </si>
  <si>
    <r>
      <rPr>
        <i/>
        <sz val="11"/>
        <color theme="1"/>
        <rFont val="Calibri"/>
        <family val="2"/>
        <scheme val="minor"/>
      </rPr>
      <t xml:space="preserve">Glencore website: </t>
    </r>
    <r>
      <rPr>
        <sz val="11"/>
        <color theme="1"/>
        <rFont val="Calibri"/>
        <family val="2"/>
        <scheme val="minor"/>
      </rPr>
      <t xml:space="preserve">
Who we are / Our Policies
</t>
    </r>
    <r>
      <rPr>
        <i/>
        <sz val="11"/>
        <color theme="1"/>
        <rFont val="Calibri"/>
        <family val="2"/>
        <scheme val="minor"/>
      </rPr>
      <t>Glencore SR:</t>
    </r>
    <r>
      <rPr>
        <sz val="11"/>
        <color theme="1"/>
        <rFont val="Calibri"/>
        <family val="2"/>
        <scheme val="minor"/>
      </rPr>
      <t xml:space="preserve">
Sustainability governance (pp. 9-11),
Human rights (pp. 51-56)
</t>
    </r>
    <r>
      <rPr>
        <i/>
        <sz val="11"/>
        <color theme="1"/>
        <rFont val="Calibri"/>
        <family val="2"/>
        <scheme val="minor"/>
      </rPr>
      <t>Glencore AR:</t>
    </r>
    <r>
      <rPr>
        <sz val="11"/>
        <color theme="1"/>
        <rFont val="Calibri"/>
        <family val="2"/>
        <scheme val="minor"/>
      </rPr>
      <t xml:space="preserve">
Ethics and compliance (pp. 71-74),
</t>
    </r>
    <r>
      <rPr>
        <i/>
        <sz val="11"/>
        <color theme="1"/>
        <rFont val="Calibri"/>
        <family val="2"/>
        <scheme val="minor"/>
      </rPr>
      <t>Glencore E&amp;CR:</t>
    </r>
    <r>
      <rPr>
        <sz val="11"/>
        <color theme="1"/>
        <rFont val="Calibri"/>
        <family val="2"/>
        <scheme val="minor"/>
      </rPr>
      <t xml:space="preserve">
Governance and structure (pp. 21-36)</t>
    </r>
  </si>
  <si>
    <t>EM-MM-510a.1
Description of the management system for prevention of corruption and bribery throughout the value chain</t>
  </si>
  <si>
    <t>2-24</t>
  </si>
  <si>
    <t>Embedding policy commitments</t>
  </si>
  <si>
    <r>
      <rPr>
        <i/>
        <sz val="11"/>
        <color theme="1"/>
        <rFont val="Calibri"/>
        <family val="2"/>
        <scheme val="minor"/>
      </rPr>
      <t xml:space="preserve">Glencore website: </t>
    </r>
    <r>
      <rPr>
        <sz val="11"/>
        <color theme="1"/>
        <rFont val="Calibri"/>
        <family val="2"/>
        <scheme val="minor"/>
      </rPr>
      <t xml:space="preserve">
Who we are / Our Policies
</t>
    </r>
    <r>
      <rPr>
        <i/>
        <sz val="11"/>
        <color theme="1"/>
        <rFont val="Calibri"/>
        <family val="2"/>
        <scheme val="minor"/>
      </rPr>
      <t>Glencore SR:</t>
    </r>
    <r>
      <rPr>
        <sz val="11"/>
        <color theme="1"/>
        <rFont val="Calibri"/>
        <family val="2"/>
        <scheme val="minor"/>
      </rPr>
      <t xml:space="preserve">
Sustainability governance (pp. 9-11)
</t>
    </r>
    <r>
      <rPr>
        <i/>
        <sz val="11"/>
        <color theme="1"/>
        <rFont val="Calibri"/>
        <family val="2"/>
        <scheme val="minor"/>
      </rPr>
      <t>Glencore AR:</t>
    </r>
    <r>
      <rPr>
        <sz val="11"/>
        <color theme="1"/>
        <rFont val="Calibri"/>
        <family val="2"/>
        <scheme val="minor"/>
      </rPr>
      <t xml:space="preserve">
Ethics and compliance (pp. 71-74),
Corporate Governance (pp. 119-164)
</t>
    </r>
    <r>
      <rPr>
        <i/>
        <sz val="11"/>
        <color theme="1"/>
        <rFont val="Calibri"/>
        <family val="2"/>
        <scheme val="minor"/>
      </rPr>
      <t>Glencore E&amp;CR</t>
    </r>
    <r>
      <rPr>
        <sz val="11"/>
        <color theme="1"/>
        <rFont val="Calibri"/>
        <family val="2"/>
        <scheme val="minor"/>
      </rPr>
      <t xml:space="preserve">
Our Programme (pp. 37-69)</t>
    </r>
  </si>
  <si>
    <t>2-25</t>
  </si>
  <si>
    <t>Processes to remediate negative impacts</t>
  </si>
  <si>
    <r>
      <rPr>
        <i/>
        <sz val="11"/>
        <rFont val="Calibri"/>
        <family val="2"/>
        <scheme val="minor"/>
      </rPr>
      <t xml:space="preserve">Glencore website: </t>
    </r>
    <r>
      <rPr>
        <sz val="11"/>
        <rFont val="Calibri"/>
        <family val="2"/>
        <scheme val="minor"/>
      </rPr>
      <t xml:space="preserve">
Who we are / Our Policies / Human Rights Policy
</t>
    </r>
    <r>
      <rPr>
        <i/>
        <sz val="11"/>
        <rFont val="Calibri"/>
        <family val="2"/>
        <scheme val="minor"/>
      </rPr>
      <t>Glencore SR:</t>
    </r>
    <r>
      <rPr>
        <sz val="11"/>
        <rFont val="Calibri"/>
        <family val="2"/>
        <scheme val="minor"/>
      </rPr>
      <t xml:space="preserve">
Stakeholder engagement (pp. 18-19),
Refer to each material topic chapter (pp. 22-71),
Human rights (pp. 51-56),
Social performance (pp. 63-67)
</t>
    </r>
    <r>
      <rPr>
        <i/>
        <sz val="11"/>
        <rFont val="Calibri"/>
        <family val="2"/>
        <scheme val="minor"/>
      </rPr>
      <t>Glencore AR:</t>
    </r>
    <r>
      <rPr>
        <sz val="11"/>
        <rFont val="Calibri"/>
        <family val="2"/>
        <scheme val="minor"/>
      </rPr>
      <t xml:space="preserve">
Sustainability / Enabling complaints and grievance processes (p. 68)
</t>
    </r>
    <r>
      <rPr>
        <i/>
        <sz val="11"/>
        <rFont val="Calibri"/>
        <family val="2"/>
        <scheme val="minor"/>
      </rPr>
      <t>Glencore E&amp;CR:</t>
    </r>
    <r>
      <rPr>
        <sz val="11"/>
        <rFont val="Calibri"/>
        <family val="2"/>
        <scheme val="minor"/>
      </rPr>
      <t xml:space="preserve">
The Glencore Ethics and Compliance Programme (p. 38)</t>
    </r>
  </si>
  <si>
    <t>We are looking to improve on our disclosures in this area in the coming years.</t>
  </si>
  <si>
    <t>2-26</t>
  </si>
  <si>
    <t>Mechanisms for seeking advice and raising concerns</t>
  </si>
  <si>
    <r>
      <rPr>
        <i/>
        <sz val="11"/>
        <rFont val="Calibri"/>
        <family val="2"/>
        <scheme val="minor"/>
      </rPr>
      <t xml:space="preserve">Glencore website: </t>
    </r>
    <r>
      <rPr>
        <sz val="11"/>
        <rFont val="Calibri"/>
        <family val="2"/>
        <scheme val="minor"/>
      </rPr>
      <t xml:space="preserve">
Our Policies
</t>
    </r>
    <r>
      <rPr>
        <i/>
        <sz val="11"/>
        <rFont val="Calibri"/>
        <family val="2"/>
        <scheme val="minor"/>
      </rPr>
      <t>Glencore SR:</t>
    </r>
    <r>
      <rPr>
        <sz val="11"/>
        <rFont val="Calibri"/>
        <family val="2"/>
        <scheme val="minor"/>
      </rPr>
      <t xml:space="preserve">
Meeting our targets (p. 6),
Sustainability governance (pp. 9-11)
</t>
    </r>
    <r>
      <rPr>
        <i/>
        <sz val="11"/>
        <rFont val="Calibri"/>
        <family val="2"/>
        <scheme val="minor"/>
      </rPr>
      <t xml:space="preserve">Glencore AR:
</t>
    </r>
    <r>
      <rPr>
        <sz val="11"/>
        <rFont val="Calibri"/>
        <family val="2"/>
        <scheme val="minor"/>
      </rPr>
      <t xml:space="preserve">Ethics and compliance (pp. 71-74)
</t>
    </r>
    <r>
      <rPr>
        <i/>
        <sz val="11"/>
        <rFont val="Calibri"/>
        <family val="2"/>
        <scheme val="minor"/>
      </rPr>
      <t>Glencore E&amp;CR:</t>
    </r>
    <r>
      <rPr>
        <sz val="11"/>
        <rFont val="Calibri"/>
        <family val="2"/>
        <scheme val="minor"/>
      </rPr>
      <t xml:space="preserve">
Advice (p. 59),
Speaking openly and raising concerns (pp. 62-65)</t>
    </r>
  </si>
  <si>
    <t>2-27</t>
  </si>
  <si>
    <t>Compliance with laws and regulations</t>
  </si>
  <si>
    <r>
      <rPr>
        <i/>
        <sz val="11"/>
        <rFont val="Calibri"/>
        <family val="2"/>
        <scheme val="minor"/>
      </rPr>
      <t>Glencore AR:</t>
    </r>
    <r>
      <rPr>
        <sz val="11"/>
        <rFont val="Calibri"/>
        <family val="2"/>
        <scheme val="minor"/>
      </rPr>
      <t xml:space="preserve">
Financial and operational review, Significant items (p. 80)
</t>
    </r>
    <r>
      <rPr>
        <i/>
        <sz val="11"/>
        <rFont val="Calibri"/>
        <family val="2"/>
        <scheme val="minor"/>
      </rPr>
      <t>Glencore SR:</t>
    </r>
    <r>
      <rPr>
        <sz val="11"/>
        <rFont val="Calibri"/>
        <family val="2"/>
        <scheme val="minor"/>
      </rPr>
      <t xml:space="preserve"> 
Water - 2023 performance (p. 36)
Nature - 2023 performance (p. 49)
</t>
    </r>
    <r>
      <rPr>
        <i/>
        <sz val="11"/>
        <rFont val="Calibri"/>
        <family val="2"/>
        <scheme val="minor"/>
      </rPr>
      <t>Glencore website:</t>
    </r>
    <r>
      <rPr>
        <sz val="11"/>
        <rFont val="Calibri"/>
        <family val="2"/>
        <scheme val="minor"/>
      </rPr>
      <t xml:space="preserve">
glencore.com/investigations
</t>
    </r>
    <r>
      <rPr>
        <i/>
        <sz val="11"/>
        <rFont val="Calibri"/>
        <family val="2"/>
        <scheme val="minor"/>
      </rPr>
      <t>ESG A-Z:</t>
    </r>
    <r>
      <rPr>
        <sz val="11"/>
        <rFont val="Calibri"/>
        <family val="2"/>
        <scheme val="minor"/>
      </rPr>
      <t xml:space="preserve">
Environment,
Environmental incidents 
</t>
    </r>
    <r>
      <rPr>
        <i/>
        <sz val="11"/>
        <rFont val="Calibri"/>
        <family val="2"/>
        <scheme val="minor"/>
      </rPr>
      <t xml:space="preserve">Glencore SR: </t>
    </r>
    <r>
      <rPr>
        <sz val="11"/>
        <rFont val="Calibri"/>
        <family val="2"/>
        <scheme val="minor"/>
      </rPr>
      <t xml:space="preserve">
Sustainability governance (pp. 9-11),
Water (pp. 33-38)
</t>
    </r>
    <r>
      <rPr>
        <i/>
        <sz val="11"/>
        <rFont val="Calibri"/>
        <family val="2"/>
        <scheme val="minor"/>
      </rPr>
      <t>Glencore E&amp;CR:</t>
    </r>
    <r>
      <rPr>
        <sz val="11"/>
        <rFont val="Calibri"/>
        <family val="2"/>
        <scheme val="minor"/>
      </rPr>
      <t xml:space="preserve">
Investigations and resolutions (p. 11)
</t>
    </r>
  </si>
  <si>
    <t>We currently seek to identify and disclose all fines paid and non-monetary sanctions incurred by our industrial assets for non-compliance with environmental laws and/or environmental regulations.</t>
  </si>
  <si>
    <t>Instances of environmental fines</t>
  </si>
  <si>
    <t>EM-MM-140a.2
Number of incidents of non-compliance associated with water quality permits, standards, and regulations</t>
  </si>
  <si>
    <t xml:space="preserve">The fines related to various incidents of non-compliances, such as breaches of general environmental conditions, exceedances of air emission limits, discharges to water sources etc. Many of these are related to legacy issues.
SASB EM-MM-140a.2:
This includes 28 fines regarding water related incidents totalling approximately US$2.2m (refer also to the Water section of the Glencore SR for further information).
</t>
  </si>
  <si>
    <t>Monetary value for environmental fines ($)</t>
  </si>
  <si>
    <t xml:space="preserve">Number of non-monetary sanctions for non-compliance with environmental laws and environmental regulations </t>
  </si>
  <si>
    <t xml:space="preserve">This indicator presents the number of non-monetary sanctions for non-compliance with environmental laws and regulations including general environmental conditions, exceedances of air emission limits, discharges to water sources etc. Many of these are related to legacy issues.
° Previous years' numbers have been corrected to exclude environmental fines.
</t>
  </si>
  <si>
    <t>2-28</t>
  </si>
  <si>
    <t>Membership associations</t>
  </si>
  <si>
    <r>
      <rPr>
        <i/>
        <sz val="11"/>
        <rFont val="Calibri"/>
        <family val="2"/>
        <scheme val="minor"/>
      </rPr>
      <t xml:space="preserve">ESG A-Z:
</t>
    </r>
    <r>
      <rPr>
        <sz val="11"/>
        <rFont val="Calibri"/>
        <family val="2"/>
        <scheme val="minor"/>
      </rPr>
      <t xml:space="preserve">Member organisations
Lobbying
</t>
    </r>
    <r>
      <rPr>
        <i/>
        <sz val="11"/>
        <rFont val="Calibri"/>
        <family val="2"/>
        <scheme val="minor"/>
      </rPr>
      <t>Glencore AR:</t>
    </r>
    <r>
      <rPr>
        <sz val="11"/>
        <rFont val="Calibri"/>
        <family val="2"/>
        <scheme val="minor"/>
      </rPr>
      <t xml:space="preserve">
TCFD (p. 52)
</t>
    </r>
    <r>
      <rPr>
        <i/>
        <sz val="11"/>
        <rFont val="Calibri"/>
        <family val="2"/>
        <scheme val="minor"/>
      </rPr>
      <t xml:space="preserve">Glencore CATP: </t>
    </r>
    <r>
      <rPr>
        <sz val="11"/>
        <rFont val="Calibri"/>
        <family val="2"/>
        <scheme val="minor"/>
      </rPr>
      <t xml:space="preserve">
Governance (p. 19),
External engagement (p. 30)
</t>
    </r>
    <r>
      <rPr>
        <i/>
        <sz val="11"/>
        <rFont val="Calibri"/>
        <family val="2"/>
        <scheme val="minor"/>
      </rPr>
      <t>Other:</t>
    </r>
    <r>
      <rPr>
        <sz val="11"/>
        <rFont val="Calibri"/>
        <family val="2"/>
        <scheme val="minor"/>
      </rPr>
      <t xml:space="preserve">
2023 Review of our Direct and Indirect Advocacy</t>
    </r>
  </si>
  <si>
    <t>2-29</t>
  </si>
  <si>
    <t>Approach to stakeholder engagement</t>
  </si>
  <si>
    <r>
      <rPr>
        <i/>
        <sz val="11"/>
        <rFont val="Calibri"/>
        <family val="2"/>
        <scheme val="minor"/>
      </rPr>
      <t>ESG A-Z:</t>
    </r>
    <r>
      <rPr>
        <sz val="11"/>
        <rFont val="Calibri"/>
        <family val="2"/>
        <scheme val="minor"/>
      </rPr>
      <t xml:space="preserve">
Stakeholder engagement
</t>
    </r>
    <r>
      <rPr>
        <i/>
        <sz val="11"/>
        <rFont val="Calibri"/>
        <family val="2"/>
        <scheme val="minor"/>
      </rPr>
      <t>Glencore SR:</t>
    </r>
    <r>
      <rPr>
        <sz val="11"/>
        <rFont val="Calibri"/>
        <family val="2"/>
        <scheme val="minor"/>
      </rPr>
      <t xml:space="preserve">
Stakeholder engagement (pp. 18-19)
</t>
    </r>
    <r>
      <rPr>
        <i/>
        <sz val="11"/>
        <rFont val="Calibri"/>
        <family val="2"/>
        <scheme val="minor"/>
      </rPr>
      <t>Glencore AR:</t>
    </r>
    <r>
      <rPr>
        <sz val="11"/>
        <rFont val="Calibri"/>
        <family val="2"/>
        <scheme val="minor"/>
      </rPr>
      <t xml:space="preserve">
Section 172 statement and stakeholder engagement (pp. 23-28)</t>
    </r>
  </si>
  <si>
    <t>2-30</t>
  </si>
  <si>
    <t>Collective bargaining agreements</t>
  </si>
  <si>
    <r>
      <rPr>
        <i/>
        <sz val="11"/>
        <rFont val="Calibri"/>
        <family val="2"/>
        <scheme val="minor"/>
      </rPr>
      <t>Glencore AR:</t>
    </r>
    <r>
      <rPr>
        <sz val="11"/>
        <rFont val="Calibri"/>
        <family val="2"/>
        <scheme val="minor"/>
      </rPr>
      <t xml:space="preserve">
Our people (pp. 75-77)</t>
    </r>
  </si>
  <si>
    <t>Glencore reports the percentage of total employees covered by collective bargaining agreements under GRI2-30. We are looking to improve on our disclosures in this area in the coming years.</t>
  </si>
  <si>
    <t>Report the percentage of total employees covered by collective bargaining agreements</t>
  </si>
  <si>
    <t>Percentage of employees covered by collective bargaining agreement</t>
  </si>
  <si>
    <t>EM-MM-310a.1
Percentage of active workforce covered under collective bargaining agreements</t>
  </si>
  <si>
    <t>Material topics</t>
  </si>
  <si>
    <t xml:space="preserve">GRI 3: Material Topics 2021
</t>
  </si>
  <si>
    <t>3-1</t>
  </si>
  <si>
    <t>Process to determine material topics</t>
  </si>
  <si>
    <r>
      <rPr>
        <i/>
        <sz val="11"/>
        <rFont val="Calibri"/>
        <family val="2"/>
        <scheme val="minor"/>
      </rPr>
      <t>Glencore SR:</t>
    </r>
    <r>
      <rPr>
        <sz val="11"/>
        <rFont val="Calibri"/>
        <family val="2"/>
        <scheme val="minor"/>
      </rPr>
      <t xml:space="preserve">
Materiality assessment and material topics for 2023 reporting period (pp. 11-17)
</t>
    </r>
    <r>
      <rPr>
        <i/>
        <sz val="11"/>
        <rFont val="Calibri"/>
        <family val="2"/>
        <scheme val="minor"/>
      </rPr>
      <t>Glencore AR:</t>
    </r>
    <r>
      <rPr>
        <sz val="11"/>
        <rFont val="Calibri"/>
        <family val="2"/>
        <scheme val="minor"/>
      </rPr>
      <t xml:space="preserve">
Materiality assessment (p. 64)
</t>
    </r>
  </si>
  <si>
    <t>3-2</t>
  </si>
  <si>
    <t>List of material topics</t>
  </si>
  <si>
    <t>3-3</t>
  </si>
  <si>
    <t>3-3 Management of material topics</t>
  </si>
  <si>
    <t>See introduction to each material topic in the Glencore SR (pp. 21-68)</t>
  </si>
  <si>
    <t>ECONOMIC</t>
  </si>
  <si>
    <t>GRI 201 Economic performance 2016</t>
  </si>
  <si>
    <t>GRI 3: Material Topics 2021</t>
  </si>
  <si>
    <t>Management of material topics</t>
  </si>
  <si>
    <t>ESG A-Z:
Communities
Glencore SR:
Indigenous peoples (pp. 57-62)
Social performance (pp. 63-67)</t>
  </si>
  <si>
    <t>GRI 201</t>
  </si>
  <si>
    <t>201-1</t>
  </si>
  <si>
    <t>Direct economic value generated and distributed, including revenues, operating costs, employee compensation, donations and other community investments, retained earnings and payments to capital providers and to governments</t>
  </si>
  <si>
    <t>ESG A-Z:
Communities
Glencore SR:
Social performance (pp. 63-67)
Glencore AR: 
Payments to Governments (p. 12),
Social performance (p. 69-70),
Consolidated Financial Statements (pp. 180-281)
Other: 
2023 Payments to Governments Report
(to be published)</t>
  </si>
  <si>
    <t>Community investments</t>
  </si>
  <si>
    <t>Discretionary social investments (US$ million)</t>
  </si>
  <si>
    <t>N/A</t>
  </si>
  <si>
    <t xml:space="preserve">In 2023, Glencore reviewed our approach to reporting direct social contributions to address the requirements of the ICMM’s Socio-Economic Reporting Framework (SERF). This has resulted in a methodological change of our reporting which is why no comparable data is available for the previous years (refer to pages 69 and 70 of the Glencore AR for further information).
Our 2023 direct social contribution (social investment) comprised around US$62 million discretionary and US$50 million non-discretionary investments. </t>
  </si>
  <si>
    <t>Non-discretionary social investments (US$ million)</t>
  </si>
  <si>
    <t>201-2</t>
  </si>
  <si>
    <t>Financial implications, other risks and opportunities for the organisation’s activities due to climate change</t>
  </si>
  <si>
    <t>Glencore AR:
Our market drivers (pp. 15-16),
TCFD-Strategy (pp. 36-46),
Risk management (p. 113)
Glencore CATP:
Risks and opportunities (pp. 22-24)
Capital allocation in the context of Climate (p.25)</t>
  </si>
  <si>
    <t>4, 9</t>
  </si>
  <si>
    <t>EM-MM-110a.1
Gross global Scope 1 emissions, percentage covered under emissions-limiting regulation; 
EM-MM-110a.2
Discussion of long-term and short-term strategy or plan to manage Scope 1 emissions, emissions reduction targets, and an analysis of performance against those targets</t>
  </si>
  <si>
    <t>Climate change-related financial implications and other risks and opportunities that may affect our business are disclosed in the TCFD section of the Glencore AR and in our Glencore CATP at glencore.com/publications.
For percentage of Scope 1 emissions covered under emissions-limiting regulations refer to GRI 305, 3-3.</t>
  </si>
  <si>
    <t>201-3</t>
  </si>
  <si>
    <t>Coverage of the organisation’s defined benefit plan obligations</t>
  </si>
  <si>
    <r>
      <t xml:space="preserve">Glencore AR: 
</t>
    </r>
    <r>
      <rPr>
        <sz val="11"/>
        <rFont val="Calibri"/>
        <family val="2"/>
        <scheme val="minor"/>
      </rPr>
      <t xml:space="preserve">Defined benefit pension plans (pp. 250-254) </t>
    </r>
  </si>
  <si>
    <t>GRI 202 Market presence 2016</t>
  </si>
  <si>
    <t>ESG A-Z:
Communities,
Our people
Glencore AR:
Our people (pp. 75-77),
Section 172 Statement and stakeholder engagement (pp. 23-28)
Sustainability – Engaging with our stakeholders (p. 63)
Glencore SR:
Stakeholder engagement (pp. 18-19)</t>
  </si>
  <si>
    <t>GRI 202</t>
  </si>
  <si>
    <t>202-2</t>
  </si>
  <si>
    <t>Proportion of senior management and workforce hired from the local community at significant locations of operation</t>
  </si>
  <si>
    <t xml:space="preserve">Glencore SR: 
Indigenous peoples (pp. 57-62)
Social performance (pp. 63-67)
Other:
Social Performance Policy (p. 3)
</t>
  </si>
  <si>
    <t>In 2023, 94% of our employees were local to the countries in which we operate, as were 87% of our managers. No additional senior manager information is available.
Local refers to residents which have the local nationality.
Managers include the following categories:
Middle management: Team-leads reporting into senior management members.
Senior management: Office heads, regional heads and mine site VP’s as well as functions and team-leads reporting into an executive/business head.
Executive management: Heads of businesses/division.</t>
  </si>
  <si>
    <t>GRI 203 Indirect economic impacts 2016</t>
  </si>
  <si>
    <t>ESG A-Z:
Communities
Glencore SR:
Material topics (pp. 22-71),
Social performance (pp. 63-67),
Stakeholder engagement (pp. 18-19)
Glencore AR: 
Section 172 Statement and stakeholder engagement (pp. 23-28)
Sustainability – Engaging with our stakeholders (p. 63)</t>
  </si>
  <si>
    <t>GRI 203</t>
  </si>
  <si>
    <t>203-1</t>
  </si>
  <si>
    <t>Development and impact of infrastructure investments and services provided primarily for public benefit through commercial, in-kind or pro-bono engagement</t>
  </si>
  <si>
    <t>Glencore SR: 
Indigenous peoples (pp. 57-62)
Social performance (pp. 63-67)</t>
  </si>
  <si>
    <t xml:space="preserve">Our socio-economic contribution scorecard focuses on understanding the tangible results of our investments. </t>
  </si>
  <si>
    <t>203-2</t>
  </si>
  <si>
    <t>Significant indirect economic impacts, including the extent of the impacts</t>
  </si>
  <si>
    <t>GRI 204 Procurement practices 2016</t>
  </si>
  <si>
    <t xml:space="preserve">ESG A-Z:
Communities
Glencore SR:
Social performance (pp. 63-67),
Responsible sourcing (pp. 68-70),
Stakeholder engagement (pp. 18-19)
Glencore AR: 
Section 172 Statement and stakeholder engagement (pp. 23-28)
Sustainability – Engaging with our stakeholders (p. 63)
 </t>
  </si>
  <si>
    <t>GRI 204</t>
  </si>
  <si>
    <t>204-1</t>
  </si>
  <si>
    <t>Proportion of spending on local suppliers at significant locations of operation</t>
  </si>
  <si>
    <t>Percentage of total spend with local suppliers (%)</t>
  </si>
  <si>
    <t>n/a</t>
  </si>
  <si>
    <t>This indicator only covers procurement at our industrial assets. In the past, our geographical definition of “local” was the country in which the procuring industrial asset operates. This has been changed in 2023 to refer to the area of influence of our industrial assets. Where no area of influence has been defined our default definition is a range of 300 km around the reporting industrial asset. This change in definition means that it is not possible to provide comparative data for 2021-2022.</t>
  </si>
  <si>
    <t>Amount spent with local businesses that are owned or operated by women (US$ million)</t>
  </si>
  <si>
    <t>Percentage of spend with local businesses that are owned or operated by women compared to all local suppliers</t>
  </si>
  <si>
    <t>GRI 205 Anti-corruption 2016</t>
  </si>
  <si>
    <r>
      <rPr>
        <i/>
        <sz val="11"/>
        <rFont val="Calibri"/>
        <family val="2"/>
        <scheme val="minor"/>
      </rPr>
      <t>ESG A-Z:</t>
    </r>
    <r>
      <rPr>
        <sz val="11"/>
        <rFont val="Calibri"/>
        <family val="2"/>
        <scheme val="minor"/>
      </rPr>
      <t xml:space="preserve">
Ethics
</t>
    </r>
    <r>
      <rPr>
        <i/>
        <sz val="11"/>
        <rFont val="Calibri"/>
        <family val="2"/>
        <scheme val="minor"/>
      </rPr>
      <t xml:space="preserve">Glencore SR: </t>
    </r>
    <r>
      <rPr>
        <sz val="11"/>
        <rFont val="Calibri"/>
        <family val="2"/>
        <scheme val="minor"/>
      </rPr>
      <t xml:space="preserve">
Stakeholder engagement (pp. 18-19)
</t>
    </r>
    <r>
      <rPr>
        <i/>
        <sz val="11"/>
        <rFont val="Calibri"/>
        <family val="2"/>
        <scheme val="minor"/>
      </rPr>
      <t xml:space="preserve">Glencore AR: </t>
    </r>
    <r>
      <rPr>
        <sz val="11"/>
        <rFont val="Calibri"/>
        <family val="2"/>
        <scheme val="minor"/>
      </rPr>
      <t xml:space="preserve">
Section 172 Statement and stakeholder engagement (pp. 23-28)
Ethics and compliance (pp. 71-74)
</t>
    </r>
    <r>
      <rPr>
        <i/>
        <sz val="11"/>
        <rFont val="Calibri"/>
        <family val="2"/>
        <scheme val="minor"/>
      </rPr>
      <t>Other:</t>
    </r>
    <r>
      <rPr>
        <sz val="11"/>
        <rFont val="Calibri"/>
        <family val="2"/>
        <scheme val="minor"/>
      </rPr>
      <t xml:space="preserve">
Global Anti-Corruption Policy,
</t>
    </r>
    <r>
      <rPr>
        <i/>
        <sz val="11"/>
        <rFont val="Calibri"/>
        <family val="2"/>
        <scheme val="minor"/>
      </rPr>
      <t>Glencore E&amp;CR:</t>
    </r>
    <r>
      <rPr>
        <sz val="11"/>
        <rFont val="Calibri"/>
        <family val="2"/>
        <scheme val="minor"/>
      </rPr>
      <t xml:space="preserve">
Governance and structure (pp. 21-36),
Our programme (pp. 37-69),
Key risks (pp. 70-89),
Our business partners (pp. 90-105)</t>
    </r>
  </si>
  <si>
    <t>EM-MM-510a.1
Description of the management system for prevention of corruption and bribery throughout the value chain;
EM-MM-510a.2.
Production in countries that have the 20 lowest rankings in Transparency International’s Corruption Perception Index</t>
  </si>
  <si>
    <t>GRI 205</t>
  </si>
  <si>
    <t>205-1</t>
  </si>
  <si>
    <t>Total number and percentage of operations assessed for risks related to corruption and the significant risks identified</t>
  </si>
  <si>
    <r>
      <rPr>
        <i/>
        <sz val="11"/>
        <rFont val="Calibri"/>
        <family val="2"/>
        <scheme val="minor"/>
      </rPr>
      <t>ESG A-Z:</t>
    </r>
    <r>
      <rPr>
        <sz val="11"/>
        <rFont val="Calibri"/>
        <family val="2"/>
        <scheme val="minor"/>
      </rPr>
      <t xml:space="preserve">
Ethics
</t>
    </r>
    <r>
      <rPr>
        <i/>
        <sz val="11"/>
        <rFont val="Calibri"/>
        <family val="2"/>
        <scheme val="minor"/>
      </rPr>
      <t>Glencore AR:</t>
    </r>
    <r>
      <rPr>
        <sz val="11"/>
        <rFont val="Calibri"/>
        <family val="2"/>
        <scheme val="minor"/>
      </rPr>
      <t xml:space="preserve">
Ethics and compliance (pp. 71-74)
</t>
    </r>
    <r>
      <rPr>
        <i/>
        <sz val="11"/>
        <rFont val="Calibri"/>
        <family val="2"/>
        <scheme val="minor"/>
      </rPr>
      <t>Other:</t>
    </r>
    <r>
      <rPr>
        <sz val="11"/>
        <rFont val="Calibri"/>
        <family val="2"/>
        <scheme val="minor"/>
      </rPr>
      <t xml:space="preserve">
Global Anti-Corruption Policy,
</t>
    </r>
    <r>
      <rPr>
        <i/>
        <sz val="11"/>
        <rFont val="Calibri"/>
        <family val="2"/>
        <scheme val="minor"/>
      </rPr>
      <t>Glencore E&amp;CR:</t>
    </r>
    <r>
      <rPr>
        <sz val="11"/>
        <rFont val="Calibri"/>
        <family val="2"/>
        <scheme val="minor"/>
      </rPr>
      <t xml:space="preserve">
Risk Assessments (pp. 39-40)</t>
    </r>
  </si>
  <si>
    <t xml:space="preserve">The Corporate Compliance Risk Assessment team conducts an annual Group Compliance risk assessment which reviews current compliance risks in a number of risk areas, but focuses in particular on anti-corruption and bribery, given the nature of our business and the geographies in which we operate. 
Compliance risk assessments are conducted at both Group and local level in each industrial asset and office where we implement our Compliance Programme to evaluate the inherent risks that exist, assess the overall design effectiveness of the controls in place to mitigate those risks, evaluate residual risks, and implement planned controls in case existing controls require improvements. For further information refer to the Ethics and Compliance Report 2023 at glencore.com/publications.  
</t>
  </si>
  <si>
    <t>EM-MM-510a.2: Five of our industrial metals assets that are under our operational control are located in countries that are amongst the 20 lowest rankings in the Transparency International’s Corruption Perception Index. Since multiple countries share many ranks, the 20 lowest rankings in 2023 comprised 66 countries. Relevant countries for Glencore were the Democratic Republic of the Congo (Kamoto Copper Company S.A. and Mutanda Mining Sàrl), Peru (Antapaccay and Volcan) and the Philippines (PASAR). In the DRC we produced 241.5 kt of copper metal and 38.8 kt of cobalt, in Peru 177.3 kt of copper in concentrates, 242.1 kt of zinc in concentrates, 60.8 kt of lead in concentrates, 97 koz of gold in concentrates, 13,769 koz of silver in concentrates and 2,726 koz of silver metal and in the Philippines 208.8 kt of copper metal and 9.5 kt of copper anode in 2023.</t>
  </si>
  <si>
    <t>205-2</t>
  </si>
  <si>
    <t>Communication and training on anti-corruption policies and procedures</t>
  </si>
  <si>
    <t>ESG A-Z:
Ethics
Glencore AR:
Ethics and compliance (pp. 71-74)
Other:
Global Anti-Corruption Policy,
Glencore E&amp;CR:
Training, awareness and events (pp. 45-58),
Our business partners (pp. 90-105)</t>
  </si>
  <si>
    <t>For training statistics please refer to the separately issued Glencore Ethics and Compliance Report 2023 at glencore.com/publications.
We are looking to improve on our disclosures in this area in the coming years.</t>
  </si>
  <si>
    <t>205-3</t>
  </si>
  <si>
    <t>Confirmed incidents of corruption and actions taken</t>
  </si>
  <si>
    <r>
      <rPr>
        <i/>
        <sz val="11"/>
        <rFont val="Calibri"/>
        <family val="2"/>
        <scheme val="minor"/>
      </rPr>
      <t>ESG A-Z:</t>
    </r>
    <r>
      <rPr>
        <sz val="11"/>
        <rFont val="Calibri"/>
        <family val="2"/>
        <scheme val="minor"/>
      </rPr>
      <t xml:space="preserve">
Ethics
Investigations
</t>
    </r>
    <r>
      <rPr>
        <i/>
        <sz val="11"/>
        <rFont val="Calibri"/>
        <family val="2"/>
        <scheme val="minor"/>
      </rPr>
      <t>Glencore AR:</t>
    </r>
    <r>
      <rPr>
        <sz val="11"/>
        <rFont val="Calibri"/>
        <family val="2"/>
        <scheme val="minor"/>
      </rPr>
      <t xml:space="preserve">
Ethics and compliance (pp. 71-74)
</t>
    </r>
    <r>
      <rPr>
        <i/>
        <sz val="11"/>
        <rFont val="Calibri"/>
        <family val="2"/>
        <scheme val="minor"/>
      </rPr>
      <t>Glencore E&amp;CR:</t>
    </r>
    <r>
      <rPr>
        <sz val="11"/>
        <rFont val="Calibri"/>
        <family val="2"/>
        <scheme val="minor"/>
      </rPr>
      <t xml:space="preserve">
Investigations and resolutions (p. 11)
</t>
    </r>
    <r>
      <rPr>
        <i/>
        <sz val="11"/>
        <rFont val="Calibri"/>
        <family val="2"/>
        <scheme val="minor"/>
      </rPr>
      <t>Other:</t>
    </r>
    <r>
      <rPr>
        <sz val="11"/>
        <rFont val="Calibri"/>
        <family val="2"/>
        <scheme val="minor"/>
      </rPr>
      <t xml:space="preserve">
Glencore Anti-Corruption Policy</t>
    </r>
  </si>
  <si>
    <t>Refer to sections 'Chief Executive Officer's review' and 'Risk management – 11. Law and Enforcement' of the Glencore Annual Report 2023 as well as our Ethics and Compliance Report 2023 at glencore.com/publications.</t>
  </si>
  <si>
    <t>GRI 207 Tax 2019</t>
  </si>
  <si>
    <r>
      <rPr>
        <i/>
        <sz val="11"/>
        <rFont val="Calibri"/>
        <family val="2"/>
        <scheme val="minor"/>
      </rPr>
      <t xml:space="preserve">Glencore SR: </t>
    </r>
    <r>
      <rPr>
        <sz val="11"/>
        <rFont val="Calibri"/>
        <family val="2"/>
        <scheme val="minor"/>
      </rPr>
      <t xml:space="preserve">
Stakeholder engagement (pp. 18-19)
</t>
    </r>
    <r>
      <rPr>
        <i/>
        <sz val="11"/>
        <rFont val="Calibri"/>
        <family val="2"/>
        <scheme val="minor"/>
      </rPr>
      <t xml:space="preserve">Glencore AR: </t>
    </r>
    <r>
      <rPr>
        <sz val="11"/>
        <rFont val="Calibri"/>
        <family val="2"/>
        <scheme val="minor"/>
      </rPr>
      <t xml:space="preserve">
Stakeholder Engagement (pp. 23-28)
Glencore's Group Tax Policy: glencore.com/group-tax-policy;
</t>
    </r>
    <r>
      <rPr>
        <i/>
        <sz val="11"/>
        <rFont val="Calibri"/>
        <family val="2"/>
        <scheme val="minor"/>
      </rPr>
      <t>Other:</t>
    </r>
    <r>
      <rPr>
        <sz val="11"/>
        <rFont val="Calibri"/>
        <family val="2"/>
        <scheme val="minor"/>
      </rPr>
      <t xml:space="preserve">
2023 Payments to Governments report (to be published) 
</t>
    </r>
    <r>
      <rPr>
        <i/>
        <sz val="11"/>
        <rFont val="Calibri"/>
        <family val="2"/>
        <scheme val="minor"/>
      </rPr>
      <t xml:space="preserve">Glencore E&amp;CR: </t>
    </r>
    <r>
      <rPr>
        <sz val="11"/>
        <rFont val="Calibri"/>
        <family val="2"/>
        <scheme val="minor"/>
      </rPr>
      <t xml:space="preserve">
Anti-money laundering and anti-tax evasion (pp. 82-83)</t>
    </r>
  </si>
  <si>
    <t>207-1</t>
  </si>
  <si>
    <t>Approach to tax</t>
  </si>
  <si>
    <r>
      <t xml:space="preserve">Glencore's Group Tax Policy: glencore.com/group-tax-policy
</t>
    </r>
    <r>
      <rPr>
        <i/>
        <sz val="11"/>
        <rFont val="Calibri"/>
        <family val="2"/>
        <scheme val="minor"/>
      </rPr>
      <t>Other:</t>
    </r>
    <r>
      <rPr>
        <sz val="11"/>
        <rFont val="Calibri"/>
        <family val="2"/>
        <scheme val="minor"/>
      </rPr>
      <t xml:space="preserve">
2023 Payments to Governments report (to be published) </t>
    </r>
  </si>
  <si>
    <t>207-2</t>
  </si>
  <si>
    <t>Tax governance, control, and risk management</t>
  </si>
  <si>
    <r>
      <t xml:space="preserve">Glencore's Group Tax Policy: glencore.com/group-tax-policy
</t>
    </r>
    <r>
      <rPr>
        <i/>
        <sz val="11"/>
        <rFont val="Calibri"/>
        <family val="2"/>
        <scheme val="minor"/>
      </rPr>
      <t>Glencore AR:</t>
    </r>
    <r>
      <rPr>
        <sz val="11"/>
        <rFont val="Calibri"/>
        <family val="2"/>
        <scheme val="minor"/>
      </rPr>
      <t xml:space="preserve">
Ethics and compliance (pp. 23-28)
</t>
    </r>
    <r>
      <rPr>
        <i/>
        <sz val="11"/>
        <rFont val="Calibri"/>
        <family val="2"/>
        <scheme val="minor"/>
      </rPr>
      <t>Glencore E&amp;CR:</t>
    </r>
    <r>
      <rPr>
        <sz val="11"/>
        <rFont val="Calibri"/>
        <family val="2"/>
        <scheme val="minor"/>
      </rPr>
      <t xml:space="preserve">
Anti-money Laundering and Anti-Tax Evasion (pp. 82-83)
</t>
    </r>
    <r>
      <rPr>
        <i/>
        <sz val="11"/>
        <rFont val="Calibri"/>
        <family val="2"/>
        <scheme val="minor"/>
      </rPr>
      <t>2023 Payments to Governments report</t>
    </r>
    <r>
      <rPr>
        <sz val="11"/>
        <rFont val="Calibri"/>
        <family val="2"/>
        <scheme val="minor"/>
      </rPr>
      <t xml:space="preserve"> (to be published)</t>
    </r>
  </si>
  <si>
    <t>207-3</t>
  </si>
  <si>
    <t>Stakeholder engagement and management of concerns related to tax</t>
  </si>
  <si>
    <r>
      <t xml:space="preserve">Glencore's Group Tax Policy: glencore.com/group-tax-policy;
</t>
    </r>
    <r>
      <rPr>
        <i/>
        <sz val="11"/>
        <rFont val="Calibri"/>
        <family val="2"/>
        <scheme val="minor"/>
      </rPr>
      <t>Other:</t>
    </r>
    <r>
      <rPr>
        <sz val="11"/>
        <rFont val="Calibri"/>
        <family val="2"/>
        <scheme val="minor"/>
      </rPr>
      <t xml:space="preserve">
2023 Payments to Governments report (to be published)</t>
    </r>
  </si>
  <si>
    <t>207-4</t>
  </si>
  <si>
    <t>Country-by-country reporting</t>
  </si>
  <si>
    <t>2023 Payments to Governments report (to be published)</t>
  </si>
  <si>
    <t>Glencore prepares a country-by-country report that aggregates tax information per country relating to the global allocation of income, taxes paid and other indicators. Data is reported by project and by region as shown. Glencore also lodges an OECD BEPS Action 13 report with the Swiss Tax Authorities.</t>
  </si>
  <si>
    <t>ENVIRONMENTAL</t>
  </si>
  <si>
    <t>GRI 301 Materials 2016</t>
  </si>
  <si>
    <r>
      <rPr>
        <i/>
        <sz val="11"/>
        <rFont val="Calibri"/>
        <family val="2"/>
        <scheme val="minor"/>
      </rPr>
      <t xml:space="preserve">ESG A-Z:
</t>
    </r>
    <r>
      <rPr>
        <sz val="11"/>
        <rFont val="Calibri"/>
        <family val="2"/>
        <scheme val="minor"/>
      </rPr>
      <t xml:space="preserve">Environment
</t>
    </r>
  </si>
  <si>
    <t>7, 8</t>
  </si>
  <si>
    <t>GRI 301</t>
  </si>
  <si>
    <t>301-1</t>
  </si>
  <si>
    <t>Materials used by weight or volume</t>
  </si>
  <si>
    <t>Materials used by weight (million tonnes)</t>
  </si>
  <si>
    <t>6, 8</t>
  </si>
  <si>
    <t xml:space="preserve">Data reflects the total quantity of input, raw and process materials. </t>
  </si>
  <si>
    <t>301-2</t>
  </si>
  <si>
    <t>Percentage of materials used that are recycled input materials</t>
  </si>
  <si>
    <t>Secondary materials and recyclable wastes, i.e. scrap (%)</t>
  </si>
  <si>
    <t>8, 9</t>
  </si>
  <si>
    <t>GRI 302 Energy 2016</t>
  </si>
  <si>
    <r>
      <rPr>
        <i/>
        <sz val="11"/>
        <rFont val="Calibri"/>
        <family val="2"/>
        <scheme val="minor"/>
      </rPr>
      <t>ESG A-Z:</t>
    </r>
    <r>
      <rPr>
        <sz val="11"/>
        <rFont val="Calibri"/>
        <family val="2"/>
        <scheme val="minor"/>
      </rPr>
      <t xml:space="preserve">
Climate Change
</t>
    </r>
    <r>
      <rPr>
        <i/>
        <sz val="11"/>
        <rFont val="Calibri"/>
        <family val="2"/>
        <scheme val="minor"/>
      </rPr>
      <t>Glencore SR:</t>
    </r>
    <r>
      <rPr>
        <sz val="11"/>
        <rFont val="Calibri"/>
        <family val="2"/>
        <scheme val="minor"/>
      </rPr>
      <t xml:space="preserve">
Stakeholder engagement (pp. 18-19),
</t>
    </r>
    <r>
      <rPr>
        <i/>
        <sz val="11"/>
        <rFont val="Calibri"/>
        <family val="2"/>
        <scheme val="minor"/>
      </rPr>
      <t xml:space="preserve">Glencore AR: </t>
    </r>
    <r>
      <rPr>
        <sz val="11"/>
        <rFont val="Calibri"/>
        <family val="2"/>
        <scheme val="minor"/>
      </rPr>
      <t xml:space="preserve">
Our strategy for a sustainable future (pp. 17-20), 
Stakeholder Engagement (pp. 23-28),
TCFD (pp. 29-61)
</t>
    </r>
    <r>
      <rPr>
        <i/>
        <sz val="11"/>
        <rFont val="Calibri"/>
        <family val="2"/>
        <scheme val="minor"/>
      </rPr>
      <t>Glencore CATP:</t>
    </r>
    <r>
      <rPr>
        <sz val="11"/>
        <rFont val="Calibri"/>
        <family val="2"/>
        <scheme val="minor"/>
      </rPr>
      <t xml:space="preserve">
Our position on climate and energy transition (p. 6),
Our ambition and decarbonisation targets (pp. 7-9),
Our strategic pillars (pp. 10-17),
Responsible business practice (18-31)</t>
    </r>
  </si>
  <si>
    <t>We have restated our historic energy use data as set out in the About our emissions calculations and reporting section on page 53 of the Glencore AR and the Glencore BOR at glencore.com/publications. Also refer to the tab 'Cover page' for the general note on restatements.
In comparison to the previously reported numbers for the respective year, this has resulted in an overall decrease of our direct energy use from 108PJ to 98PJ (-10%) in 2021 and 117PJ to 108PJ (-8%) in 2022, and an overall increase of our indirect energy use from 78PJ to 88PJ (+11%) in 2021 and from 77PJ to 86PJ (+11%) in 2022. 
Refer to the Glencore BOR for how our sustainability KPIs that are subject to assurance are defined at glencore.com/publications.</t>
  </si>
  <si>
    <t>GRI 302</t>
  </si>
  <si>
    <t>302-1</t>
  </si>
  <si>
    <t>Energy consumption within the organisation</t>
  </si>
  <si>
    <t>Direct Energy (PJ)</t>
  </si>
  <si>
    <t>Δ</t>
  </si>
  <si>
    <t>EM-MM-130a.1
(1) Total energy consumed, (2) percentage grid electricity, (3) percentage renewable</t>
  </si>
  <si>
    <t>The year-on-year increase of our direct energy use reflects the restart of operations at the Astron Energy Refinery and increased nickel production at our Koniambo nickel operations.
° Historic data has been restated. Refer to Management of material topics under GRI 302 3-3 on this 'GRI' tab. In addition, previous years' data has been restated to reflect data corrections. Also refer to the tab 'Cover page' for the general note on restatements.</t>
  </si>
  <si>
    <t>- Coal (%)</t>
  </si>
  <si>
    <t>- Natural gas &amp; Coal seam gas (%)</t>
  </si>
  <si>
    <t>- Mineral oil (%)</t>
  </si>
  <si>
    <t>- Renewable (hydropower etc) (%)</t>
  </si>
  <si>
    <t>- Other sources (%)</t>
  </si>
  <si>
    <t>Direct energy by commodity (PJ)</t>
  </si>
  <si>
    <t>- Aluminium</t>
  </si>
  <si>
    <t>- Coal</t>
  </si>
  <si>
    <t>- Copper</t>
  </si>
  <si>
    <t>- Ferroalloys</t>
  </si>
  <si>
    <t>- Nickel</t>
  </si>
  <si>
    <t>- Oil</t>
  </si>
  <si>
    <t>- Zinc</t>
  </si>
  <si>
    <t>Direct energy by region (PJ)</t>
  </si>
  <si>
    <t>- Africa</t>
  </si>
  <si>
    <t>- Asia</t>
  </si>
  <si>
    <t xml:space="preserve">- Australia </t>
  </si>
  <si>
    <t>- Europe</t>
  </si>
  <si>
    <t>- North America</t>
  </si>
  <si>
    <t>- South / Latin America</t>
  </si>
  <si>
    <t>Purchased electricity (PJ)</t>
  </si>
  <si>
    <t>The year-on-year decrease of our indirect energy use is largely attributable to planned maintenance shutdowns of three ferroalloys smelters in South Africa.
° Historic data has been restated. Refer to Management of material topics under GRI 302 3-3 in this 'GRI' tab. In addition, previous years' data has been restated to reflect data corrections. Also refer to the tab 'Cover page' for the general note on restatements.</t>
  </si>
  <si>
    <t>- Non-renewable (%)</t>
  </si>
  <si>
    <t>- Renewable energy (%)</t>
  </si>
  <si>
    <t>Purchased energy by commodity (PJ)</t>
  </si>
  <si>
    <t>Purchased energy by region (PJ)</t>
  </si>
  <si>
    <t>Renewable energy share of total energy usage (%)</t>
  </si>
  <si>
    <t>° Historic data has been restated. Refer to Management of material topics under GRI 302 3-3 in this 'GRI' tab.</t>
  </si>
  <si>
    <t xml:space="preserve">Renewable electricity share of total electricity usage (%) </t>
  </si>
  <si>
    <t>302-2</t>
  </si>
  <si>
    <t>Energy consumption outside of the organization</t>
  </si>
  <si>
    <t>We do not currently report on this information. 
We report on our Scope 3 emissions in section GRI 305-3 of this 'GRI' tab.</t>
  </si>
  <si>
    <t>302-3</t>
  </si>
  <si>
    <t>Energy intensity</t>
  </si>
  <si>
    <t>Energy intensity of metals mining (GJ/t Cu-equiv)</t>
  </si>
  <si>
    <t>We show the energy intensity as total energy consumption within our industrial assets by reference to their production. We have shown metals mining, coal mining, metals smelting and oil refining separately. Energy data is collected on a site-by-site rather than activity-by-activity basis. Integrated sites with mining and smelting capability have therefore been allocated to the most appropriate category.
Metals and mining includes integrated mine/smelter operations: Mount Isa, Kazzinc, INO, Murrin Murrin, Koniambo.
Metals smelting includes integrated mine/smelter operations: Ferroalloys
Following an extensive multi-year rebuild, the Astron Energy Refinery restarted operations in early 2023.
Cu-equivalents have been converted on the basis of 2019 average prices. This also includes by-products such as platinum, palladium and rhodium.
° Historic data has been restated. Refer to Management of material topics under GRI 302 3-3 in this 'GRI' tab.</t>
  </si>
  <si>
    <t>Energy intensity of metals smelting (GJ/t Cu-equiv)</t>
  </si>
  <si>
    <t>Energy intensity of coal mining (GJ/kt Cu-equiv)</t>
  </si>
  <si>
    <t>Energy intensity of Astron Energy (GJ/billion Btu)</t>
  </si>
  <si>
    <t>302-4</t>
  </si>
  <si>
    <t>Reduction of energy consumption</t>
  </si>
  <si>
    <r>
      <rPr>
        <i/>
        <sz val="11"/>
        <rFont val="Calibri"/>
        <family val="2"/>
        <scheme val="minor"/>
      </rPr>
      <t>Glencore CATP:</t>
    </r>
    <r>
      <rPr>
        <sz val="11"/>
        <rFont val="Calibri"/>
        <family val="2"/>
        <scheme val="minor"/>
      </rPr>
      <t xml:space="preserve">
Managing our operational footprint (pp. 11-13)</t>
    </r>
  </si>
  <si>
    <t>GRI 303 Water and effluents 2018</t>
  </si>
  <si>
    <t>ESG A-Z: 
Water
Glencore SR:
Water (pp. 33-38)
Glencore AR:
Sustainability (pp. 62-70)
Other:
Refer to tab 'Water' in this ESG Data Book.</t>
  </si>
  <si>
    <t>EM-MM-140a.1
(1) Total fresh water withdrawn, (2) total fresh water consumed, percentage of each in regions with High or Extremely High Baseline Water Stress</t>
  </si>
  <si>
    <t>GRI 303</t>
  </si>
  <si>
    <t>303-1</t>
  </si>
  <si>
    <t>Interactions with water as a shared resource</t>
  </si>
  <si>
    <t>Water stress and water risk exposure</t>
  </si>
  <si>
    <t xml:space="preserve">Water–stressed areas are regions of 'high' or 'extremely high' water stress or that are classified as 'arid &amp; low water use' according to the WRI's Aqueduct Water Risk Atlas.
A breakdown of our water input, output and consumption on a country level and river basin level can be found on our water microsite at www.glencore.com/sustainability/esg-a-z/water-management. </t>
  </si>
  <si>
    <t>303-2</t>
  </si>
  <si>
    <t>Management of water discharge-related impacts</t>
  </si>
  <si>
    <t>ESG A-Z: 
Water
Glencore SR:
Water (pp. 33-38)</t>
  </si>
  <si>
    <t>We treat water prior to the discharge based on the standards defined in the applicable regulatory approvals, permits and licences of our industrial assets.</t>
  </si>
  <si>
    <t>303-3</t>
  </si>
  <si>
    <t>Total water withdrawal</t>
  </si>
  <si>
    <t>Total water withdrawal (GL)</t>
  </si>
  <si>
    <t>The year-on-year decrease is primarily related to less rainfall at some of our industrial coal assets in Australia.
° We previously included water shared internally in our water withdrawal, which represented a double counting, and excluded water entrained in the extracted ore. For 2023, water input includes the portion of water that is entrained in the extracted ore and excludes water that is shared internally. This change has been applied historically and resulted in a net decrease of 3% compared to the previously applied approach. Additionally, there have been a number of restatements of our previously reported 2022 data mainly to reflect improved data collection methods. The most material restatement refers to our Cerrejon industrial asset, that was acquired in 2022, related to improved calculation methods regarding their rainwater runoff. This resulted in a total change of the 2021 data from 1,026 GL to 1,003 GL and the 2022 data from 1,078 GL to 1,080 GL. For further details regarding our definitions see our Glencore BOR. 
For further water withdrawal data with reference to GRI and ICMM's Water Reporting: Good practice guide, 2nd Edition, broken down by quality and from areas with water stress refer also to tab 'Water' in this ESG Data Book and GRI Index.</t>
  </si>
  <si>
    <t>Surface water (GL)</t>
  </si>
  <si>
    <t>Sea water (GL)</t>
  </si>
  <si>
    <t>Groundwater (GL)</t>
  </si>
  <si>
    <t>Rainwater (GL)</t>
  </si>
  <si>
    <t>Potable water (GL)</t>
  </si>
  <si>
    <t>Other water from third parties (GL)</t>
  </si>
  <si>
    <t>Water entrained in ore (GL)</t>
  </si>
  <si>
    <t>303-4</t>
  </si>
  <si>
    <t>Water discharge</t>
  </si>
  <si>
    <t>Total discharged water (GL)</t>
  </si>
  <si>
    <t>We treat water prior to discharge in compliance with regulatory approvals, permits and licences.
Priority substance of potential concern for which discharges are treated primarily involve heavy metals, mineral oils and chemicals that are used for metal processing (e.g. sulfuric acid) regarding our metals and minerals operations and mineral oils regarding our oil operations.
° We previously included water shared internally in our water discharge, which represented a double counting. For 2023, water discharge excludes water that is shared internally. This change has been applied historically and resulted in a decrease of about 6% compared to the previously applied approach. Additionally, there have been a number of restatements of our previously reported 2021 and 2022 data mainly to reflect improved data collection methods. This resulted in a total change of the 2021 data from 662 GL to 621 GL and the 2022 data from 680 GL to 637 GL. For further details regarding our definitions see the Basis of Reporting 2023. 
For further water discharge data with reference to GRI and ICMM's Water Reporting: Good practice guide, 2nd Edition, broken down by quality and from areas with water stress, refer to tab 'Water' in this ESG Data Book and GRI Index.</t>
  </si>
  <si>
    <t>Water discharges to surface water (GL)</t>
  </si>
  <si>
    <t>Water discharges to sea/ocean (GL)</t>
  </si>
  <si>
    <t>Water discharges to groundwater (GL)</t>
  </si>
  <si>
    <t>Water discharges to offsite treatment (GL)</t>
  </si>
  <si>
    <t>Water exported to a third party (GL)</t>
  </si>
  <si>
    <t>303-5</t>
  </si>
  <si>
    <t>Water consumption</t>
  </si>
  <si>
    <t>Total water consumption (GL)</t>
  </si>
  <si>
    <r>
      <t>In consideration of ICMM definitions, consumption is the sum of water removed by evaporation, entrainment (in product and waste) and other losses. To maximise transparency, consumption does not include any change in storage (delta storage), which is reported as a separate value.
For further water consumption data with referenc</t>
    </r>
    <r>
      <rPr>
        <sz val="11"/>
        <rFont val="Calibri"/>
        <family val="2"/>
        <scheme val="minor"/>
      </rPr>
      <t>e to GRI and</t>
    </r>
    <r>
      <rPr>
        <sz val="11"/>
        <color theme="1"/>
        <rFont val="Calibri"/>
        <family val="2"/>
        <scheme val="minor"/>
      </rPr>
      <t xml:space="preserve"> ICMM's Water Reporting: Good practice guide, 2nd Edition, in areas with water stress refer also to tab 'Water' in this ESG Data Book and GRI Index.
</t>
    </r>
    <r>
      <rPr>
        <sz val="11"/>
        <rFont val="Calibri"/>
        <family val="2"/>
        <scheme val="minor"/>
      </rPr>
      <t>° Historic data has been restated as a result of the changes to the water input and output data as explained above.</t>
    </r>
    <r>
      <rPr>
        <sz val="11"/>
        <color theme="1"/>
        <rFont val="Calibri"/>
        <family val="2"/>
        <scheme val="minor"/>
      </rPr>
      <t xml:space="preserve">
</t>
    </r>
  </si>
  <si>
    <t>- Evaporation and other losses (GL)</t>
  </si>
  <si>
    <t>- Entrainment (GL)</t>
  </si>
  <si>
    <t>Change in water in storage (GL)</t>
  </si>
  <si>
    <t>In consideration of ICMM recommendations, the change in storage volume is reported to allow transparency of the overall water balance; and does not indicate an associated water-related impact.</t>
  </si>
  <si>
    <t>GRI 304 Biodiversity 2016</t>
  </si>
  <si>
    <t>ESG A-Z:
Biodiversity
Glencore SR: 
Stakeholder engagement (pp. 18-19),
Closure planning (pp. 39-45),
Nature (pp. 46-50)
Glencore AR: 
Stakeholder Engagement (pp. 23-28)
Other:
Environmental policy</t>
  </si>
  <si>
    <t>EM-MM-160a.1
Description of environmental management policies and practices for active sites</t>
  </si>
  <si>
    <t>GRI 304</t>
  </si>
  <si>
    <t>304-1</t>
  </si>
  <si>
    <t>Operational sites owned, leased, managed in, or adjacent to, protected areas and areas of high biodiversity value outside protected areas</t>
  </si>
  <si>
    <t xml:space="preserve">Areas owned and leased, located in, adjacent to, or that contain protected areas and areas of high biodiversity value outside protected areas (1,000 ha)
</t>
  </si>
  <si>
    <t>EM-MM-160a.3
Percentage of (1) proved and (2) probable reserves in or near sites with protected conservation status or endangered species habitat</t>
  </si>
  <si>
    <t>304-2</t>
  </si>
  <si>
    <t>Description of significant impacts of activities, products and services on biodiversity in protected areas and areas of high biodiversity value outside protected areas</t>
  </si>
  <si>
    <t>ESG A-Z:
Biodiversity
Glencore SR: 
Closure planning (pp. 39-45),
Nature (pp. 46-50)</t>
  </si>
  <si>
    <t>MM1</t>
  </si>
  <si>
    <t>Total land owned, leased or managed for mining operations</t>
  </si>
  <si>
    <t>1,000 ha</t>
  </si>
  <si>
    <t>° Historic data has been restated to account for divestments and to include the land disturbed and rehabilitated by certain closed industrial sites we did not previously include. Further, we have added the ‘total land disturbed and not yet rehabilitated’ data of industrial assets that we acquired, most notably Cerrejón, to the opening balance (A) of the 2022 data. 
The reported data refers to our industrial assets' land (owned or leased) and excludes land of divested industrial sites.</t>
  </si>
  <si>
    <t>Total land disturbed and not yet rehabilitated
(A: opening balance)</t>
  </si>
  <si>
    <t>Total amount of land newly disturbed within
the reporting period (B)</t>
  </si>
  <si>
    <t>Total amount of land newly rehabilitated within the reporting period to the agreed end use (C)</t>
  </si>
  <si>
    <t>Total land disturbed and not yet rehabilitated
(D= A+B-C; closing balance)</t>
  </si>
  <si>
    <t>MM2</t>
  </si>
  <si>
    <t>Number and percentage of total sites identified as requiring biodiversity management plans according to stated criteria, and the number (percentage) of those sites with plans in place</t>
  </si>
  <si>
    <t>ESG A-Z:
Biodiversity
Glencore SR: 
Closure planning (pp. 40-46)
Nature (pp. 46-50)</t>
  </si>
  <si>
    <t>GRI 305 Emissions 2016</t>
  </si>
  <si>
    <r>
      <rPr>
        <i/>
        <sz val="11"/>
        <rFont val="Calibri"/>
        <family val="2"/>
        <scheme val="minor"/>
      </rPr>
      <t>ESG A-Z:</t>
    </r>
    <r>
      <rPr>
        <sz val="11"/>
        <rFont val="Calibri"/>
        <family val="2"/>
        <scheme val="minor"/>
      </rPr>
      <t xml:space="preserve">
Air emissions,
Climate change
</t>
    </r>
    <r>
      <rPr>
        <i/>
        <sz val="11"/>
        <rFont val="Calibri"/>
        <family val="2"/>
        <scheme val="minor"/>
      </rPr>
      <t>Glencore CATP:</t>
    </r>
    <r>
      <rPr>
        <sz val="11"/>
        <rFont val="Calibri"/>
        <family val="2"/>
        <scheme val="minor"/>
      </rPr>
      <t xml:space="preserve">
Our position on climate and energy transition (p. 6),
Our ambition and decarbonisation targets (pp. 7-9),
Our strategic pillars (pp. 10-17),
Responsible business practice (18-31)
</t>
    </r>
    <r>
      <rPr>
        <i/>
        <sz val="11"/>
        <rFont val="Calibri"/>
        <family val="2"/>
        <scheme val="minor"/>
      </rPr>
      <t xml:space="preserve">Glencore SR: </t>
    </r>
    <r>
      <rPr>
        <sz val="11"/>
        <rFont val="Calibri"/>
        <family val="2"/>
        <scheme val="minor"/>
      </rPr>
      <t xml:space="preserve">
Stakeholder engagement (pp. 18-19)
</t>
    </r>
    <r>
      <rPr>
        <i/>
        <sz val="11"/>
        <rFont val="Calibri"/>
        <family val="2"/>
        <scheme val="minor"/>
      </rPr>
      <t xml:space="preserve">Glencore AR: </t>
    </r>
    <r>
      <rPr>
        <sz val="11"/>
        <rFont val="Calibri"/>
        <family val="2"/>
        <scheme val="minor"/>
      </rPr>
      <t xml:space="preserve">
TCFD (p. 29-61),
Stakeholder Engagement (pp. 23-28)
</t>
    </r>
    <r>
      <rPr>
        <i/>
        <sz val="11"/>
        <rFont val="Calibri"/>
        <family val="2"/>
        <scheme val="minor"/>
      </rPr>
      <t>Other:</t>
    </r>
    <r>
      <rPr>
        <sz val="11"/>
        <rFont val="Calibri"/>
        <family val="2"/>
        <scheme val="minor"/>
      </rPr>
      <t xml:space="preserve">
Refer to tab 'GRI - Climate' in this ESG Data Book and GRI Index</t>
    </r>
  </si>
  <si>
    <t xml:space="preserve">EM-MM-110a.1
Gross global Scope 1 emissions, percentage covered under emissions-limiting regulation </t>
  </si>
  <si>
    <r>
      <t>SASB: EM-MM-110a.1
5% of our Scope 1 emissions reported in 2023 are covered under an emissions-limiting regulation (i.e., cap-and-trade and emissions trading scheme in Quebec, Ontario and Europe).
Our CO2e emissions include CO</t>
    </r>
    <r>
      <rPr>
        <vertAlign val="subscript"/>
        <sz val="11"/>
        <rFont val="Calibri"/>
        <family val="2"/>
        <scheme val="minor"/>
      </rPr>
      <t>2</t>
    </r>
    <r>
      <rPr>
        <sz val="11"/>
        <rFont val="Calibri"/>
        <family val="2"/>
        <scheme val="minor"/>
      </rPr>
      <t>,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 xml:space="preserve">O. Other greenhouse gases are not included, pursuant to our most recent materiality assessment, which concluded that their contribution to the overall CO2e emissions of our industrial assets is sufficiently small so as to be immaterial in the context of our industrial CO2e emissions profile.
Our CO2e emissions refer to activities of our industrial assets where we have operational control, i.e., where Glencore directly or indirectly controls and directs the day‐to‐day management and operation of the entity engaging in such activity, whether by contract or otherwise. Where we have operational control of industrial assets, we report on Scope 1, 2 and 3 on a 100% basis, irrespective of our actual equity share. 
</t>
    </r>
  </si>
  <si>
    <t>For industrial assets that are producing or processing commodities but are not under Glencore’s operational control, we report our equity share of such industrial assets’ Scope 1 and 2 emissions, and, whenever the Scope 3 emissions are greater than Scope 1 and 2 emissions combined, Scope 3 emissions in Scope 3, category 15, as further set out in the Our Scope 3 emissions – Category 15: Investments section on page 54 of the Glencore AR.
We have restated our historic GHG emissions as set out in the About our emissions calculations and reporting section on page 53 of the Glencore AR and the Glencore BOR at glencore.com/publications. Also refer to the tab 'Cover page' for the general note on restatements.</t>
  </si>
  <si>
    <t>GRI 305</t>
  </si>
  <si>
    <t>305-1</t>
  </si>
  <si>
    <t xml:space="preserve">Direct (Scope 1) greenhouse gas (GHG) emissions
</t>
  </si>
  <si>
    <r>
      <t>Direct emissions (thousand tonnes CO</t>
    </r>
    <r>
      <rPr>
        <vertAlign val="subscript"/>
        <sz val="11"/>
        <rFont val="Calibri"/>
        <family val="2"/>
        <scheme val="minor"/>
      </rPr>
      <t>2</t>
    </r>
    <r>
      <rPr>
        <sz val="11"/>
        <rFont val="Calibri"/>
        <family val="2"/>
        <scheme val="minor"/>
      </rPr>
      <t>e)</t>
    </r>
  </si>
  <si>
    <t xml:space="preserve">Our 2023 Scope 1 emissions of 16.7 million tonnes represent a 2.0% increase on the 16.4 million tonnes recorded in 2022 which reflects the restart of operations at the Astron Energy Refinery and increased nickel production at our Koniambo nickel operations.
Our 2023 Scope 1 reported emissions represent a reduction of 12.0% compared to the 2019 baseline year (19.0 million tonnes). For further detail refer to tab 'GRI - Climate' in this ESG Data Book and GRI Index.
° In addition to the restatement of our baseline (see Management of material topics under GRI 305 3-3 in this 'GRI' tab), historic data has been restated to reflect data corrections. Also refer to the tab 'Cover page' for the general note on restatements.
</t>
  </si>
  <si>
    <r>
      <t>Direct emissions by commodity (thousand tonnes CO</t>
    </r>
    <r>
      <rPr>
        <vertAlign val="subscript"/>
        <sz val="11"/>
        <rFont val="Calibri"/>
        <family val="2"/>
        <scheme val="minor"/>
      </rPr>
      <t>2</t>
    </r>
    <r>
      <rPr>
        <sz val="11"/>
        <rFont val="Calibri"/>
        <family val="2"/>
        <scheme val="minor"/>
      </rPr>
      <t>e)</t>
    </r>
  </si>
  <si>
    <r>
      <t>Direct emissions by region (thousand tonnes CO</t>
    </r>
    <r>
      <rPr>
        <vertAlign val="subscript"/>
        <sz val="11"/>
        <rFont val="Calibri"/>
        <family val="2"/>
        <scheme val="minor"/>
      </rPr>
      <t>2</t>
    </r>
    <r>
      <rPr>
        <sz val="11"/>
        <rFont val="Calibri"/>
        <family val="2"/>
        <scheme val="minor"/>
      </rPr>
      <t>e)</t>
    </r>
  </si>
  <si>
    <r>
      <t>Direct emissions by source (thousand tonnes CO</t>
    </r>
    <r>
      <rPr>
        <vertAlign val="subscript"/>
        <sz val="11"/>
        <rFont val="Calibri"/>
        <family val="2"/>
        <scheme val="minor"/>
      </rPr>
      <t>2</t>
    </r>
    <r>
      <rPr>
        <sz val="11"/>
        <rFont val="Calibri"/>
        <family val="2"/>
        <scheme val="minor"/>
      </rPr>
      <t>e)</t>
    </r>
  </si>
  <si>
    <t>Fossil fuels</t>
  </si>
  <si>
    <t>- Solid fossil fuels</t>
  </si>
  <si>
    <t>CO2e emissions from consumption of coal and coke at our industrial assets.</t>
  </si>
  <si>
    <t>- Liquid fossil fuels</t>
  </si>
  <si>
    <t>CO2e emissions from consumption of diesel and other oil products at our industrial assets.</t>
  </si>
  <si>
    <t>- Gaseous fossil fuels</t>
  </si>
  <si>
    <t>CO2e emissions from consumption of natural gas, refinery gas and other gas-based fossil fuels at our industrial assets.</t>
  </si>
  <si>
    <t>Reductants</t>
  </si>
  <si>
    <t xml:space="preserve">CO2e emissions from consumption of carbon-based materials for the chemical reduction of metal oxides. </t>
  </si>
  <si>
    <t>Emissions from fossil fuel extraction</t>
  </si>
  <si>
    <t xml:space="preserve">Coal seam emissions from the production of coal. This primarily represents a mix of methane and CO2.
° Historic data has been restated. Refer to Management of material topics under GRI 302 3-3 in this 'GRI' tab. In addition, previous years' data has been restated to reflect data corrections. Also refer to the tab 'Cover page' for the general note on restatements. </t>
  </si>
  <si>
    <t>- Underground</t>
  </si>
  <si>
    <r>
      <t xml:space="preserve">Coal seam emissions from our underground coal industrial assets. This primarily involves methane. 
</t>
    </r>
    <r>
      <rPr>
        <sz val="11"/>
        <color rgb="FFFF0000"/>
        <rFont val="Calibri"/>
        <family val="2"/>
        <scheme val="minor"/>
      </rPr>
      <t xml:space="preserve">° Historic data has been restated. Refer to Management of material topics under GRI 302 3-3 in this 'GRI' tab. In addition, previous years' data has been restated to reflect data corrections. Also refer to the tab 'Cover page' for the general note on restatements. </t>
    </r>
  </si>
  <si>
    <t>- Open pit and stockpiling</t>
  </si>
  <si>
    <t>CO2e emissions from open pit mining as well as from stockpiling coal prior to its sale.</t>
  </si>
  <si>
    <t>- Decommissioned mines</t>
  </si>
  <si>
    <t xml:space="preserve">CO2e emissions from coal mines which have been closed. </t>
  </si>
  <si>
    <r>
      <t>Other direct CO</t>
    </r>
    <r>
      <rPr>
        <vertAlign val="subscript"/>
        <sz val="11"/>
        <rFont val="Calibri"/>
        <family val="2"/>
        <scheme val="minor"/>
      </rPr>
      <t>2</t>
    </r>
    <r>
      <rPr>
        <sz val="11"/>
        <rFont val="Calibri"/>
        <family val="2"/>
        <scheme val="minor"/>
      </rPr>
      <t>e emissions</t>
    </r>
  </si>
  <si>
    <r>
      <t xml:space="preserve">Other CO2e emissions, not covered in the above, directly caused by process activities. 
</t>
    </r>
    <r>
      <rPr>
        <sz val="11"/>
        <color rgb="FFFF0000"/>
        <rFont val="Calibri"/>
        <family val="2"/>
        <scheme val="minor"/>
      </rPr>
      <t>° Historic data has been restated primarily due to an accidental double counting of some fuel related CO2e emissions regarding one of our industrial assets.</t>
    </r>
  </si>
  <si>
    <r>
      <t>Biogenic CO</t>
    </r>
    <r>
      <rPr>
        <vertAlign val="subscript"/>
        <sz val="11"/>
        <rFont val="Calibri"/>
        <family val="2"/>
        <scheme val="minor"/>
      </rPr>
      <t>2</t>
    </r>
    <r>
      <rPr>
        <sz val="11"/>
        <rFont val="Calibri"/>
        <family val="2"/>
        <scheme val="minor"/>
      </rPr>
      <t xml:space="preserve"> emissions</t>
    </r>
  </si>
  <si>
    <r>
      <t>Biogenic CO</t>
    </r>
    <r>
      <rPr>
        <vertAlign val="subscript"/>
        <sz val="11"/>
        <rFont val="Calibri"/>
        <family val="2"/>
        <scheme val="minor"/>
      </rPr>
      <t>2</t>
    </r>
    <r>
      <rPr>
        <sz val="11"/>
        <rFont val="Calibri"/>
        <family val="2"/>
        <scheme val="minor"/>
      </rPr>
      <t xml:space="preserve"> emissions  (thousand tonnes CO</t>
    </r>
    <r>
      <rPr>
        <vertAlign val="subscript"/>
        <sz val="11"/>
        <rFont val="Calibri"/>
        <family val="2"/>
        <scheme val="minor"/>
      </rPr>
      <t>2</t>
    </r>
    <r>
      <rPr>
        <sz val="11"/>
        <rFont val="Calibri"/>
        <family val="2"/>
        <scheme val="minor"/>
      </rPr>
      <t>e)</t>
    </r>
  </si>
  <si>
    <r>
      <t xml:space="preserve">CO2 emissions from the combustion or biodegradation of biomass. In our calculation this includes the CO2 related to our renewable fuels (wood, biodiesel and other primary solid biomass).
</t>
    </r>
    <r>
      <rPr>
        <sz val="11"/>
        <rFont val="Calibri"/>
        <family val="2"/>
        <scheme val="minor"/>
      </rPr>
      <t xml:space="preserve">
° Historic data has been restated. Refer to Management of material topics under GRI 305 3-3 in this 'GRI' tab. </t>
    </r>
  </si>
  <si>
    <t>305-2</t>
  </si>
  <si>
    <t>Energy indirect (Scope 2) GHG emissions – Market based</t>
  </si>
  <si>
    <r>
      <t>Indirect emissions (thousand tonnes CO</t>
    </r>
    <r>
      <rPr>
        <vertAlign val="subscript"/>
        <sz val="11"/>
        <rFont val="Calibri"/>
        <family val="2"/>
        <scheme val="minor"/>
      </rPr>
      <t>2</t>
    </r>
    <r>
      <rPr>
        <sz val="11"/>
        <rFont val="Calibri"/>
        <family val="2"/>
        <scheme val="minor"/>
      </rPr>
      <t>e)</t>
    </r>
  </si>
  <si>
    <r>
      <t xml:space="preserve">Our market-based Scope 2 emissions reflect emissions from energy generators from which our industrial assets contractually purchase electricity bundled or unbundled with emissions abatement certificates (EACs), and for which a specific emissions factor is known. 
Refer to the Glencore BOR for how Scope 2 market-based emissions are defined.
Our Scope 2 market-based emissions were 10.3 million tonnes CO2e in 2023, a 19.5% decrease from the 12.8 million tonnes recorded in 2022. The decrease is largely attributable to planned maintenance shutdowns of three ferroalloys smelters in South Africa.
Our 2023 Scope 2 market-based emissions represent a reduction of 25.9% compared to the 2019 baseline year (13.9 million tonnes). For further detail refer to tab 'GRI - Climate' in this ESG Data Book and GRI Index. 
</t>
    </r>
    <r>
      <rPr>
        <sz val="11"/>
        <rFont val="Calibri"/>
        <family val="2"/>
        <scheme val="minor"/>
      </rPr>
      <t xml:space="preserve">
° Historic data has been restated. Refer to Management of material topics under GRI 305 3-3 in this 'GRI' tab. </t>
    </r>
    <r>
      <rPr>
        <sz val="11"/>
        <color theme="1"/>
        <rFont val="Calibri"/>
        <family val="2"/>
        <scheme val="minor"/>
      </rPr>
      <t xml:space="preserve">In addition, </t>
    </r>
    <r>
      <rPr>
        <sz val="11"/>
        <rFont val="Calibri"/>
        <family val="2"/>
        <scheme val="minor"/>
      </rPr>
      <t>historic data has been restated to reflect data corrections</t>
    </r>
    <r>
      <rPr>
        <sz val="11"/>
        <color theme="1"/>
        <rFont val="Calibri"/>
        <family val="2"/>
        <scheme val="minor"/>
      </rPr>
      <t xml:space="preserve">. Also refer to the tab 'Cover page' for the general note on restatements. </t>
    </r>
  </si>
  <si>
    <r>
      <t>Indirect emissions by commodity (thousand tonnes CO</t>
    </r>
    <r>
      <rPr>
        <vertAlign val="subscript"/>
        <sz val="11"/>
        <rFont val="Calibri"/>
        <family val="2"/>
        <scheme val="minor"/>
      </rPr>
      <t>2</t>
    </r>
    <r>
      <rPr>
        <sz val="11"/>
        <rFont val="Calibri"/>
        <family val="2"/>
        <scheme val="minor"/>
      </rPr>
      <t>e)</t>
    </r>
  </si>
  <si>
    <r>
      <t>Indirect emissions by region (thousand tonnes CO</t>
    </r>
    <r>
      <rPr>
        <vertAlign val="subscript"/>
        <sz val="11"/>
        <rFont val="Calibri"/>
        <family val="2"/>
        <scheme val="minor"/>
      </rPr>
      <t>2</t>
    </r>
    <r>
      <rPr>
        <sz val="11"/>
        <rFont val="Calibri"/>
        <family val="2"/>
        <scheme val="minor"/>
      </rPr>
      <t>e)</t>
    </r>
  </si>
  <si>
    <t>Energy indirect (Scope 2) GHG emissions – Location based</t>
  </si>
  <si>
    <t xml:space="preserve">Our location-based Scope 2 emissions reflect the average emissions intensity of grids on which our industrial assets’ energy consumption physically occurs.
° Historic data has been restated. Refer to Management of material topics under GRI 305 3-3 in this 'GRI' tab. </t>
  </si>
  <si>
    <t>305-1, 
305-2</t>
  </si>
  <si>
    <t>Total GHG emissions (Scope 1 + Scope 2 Location based)</t>
  </si>
  <si>
    <r>
      <t>Total emissions (thousand tonnes CO</t>
    </r>
    <r>
      <rPr>
        <vertAlign val="subscript"/>
        <sz val="11"/>
        <rFont val="Calibri"/>
        <family val="2"/>
        <scheme val="minor"/>
      </rPr>
      <t>2</t>
    </r>
    <r>
      <rPr>
        <sz val="11"/>
        <rFont val="Calibri"/>
        <family val="2"/>
        <scheme val="minor"/>
      </rPr>
      <t>e)</t>
    </r>
  </si>
  <si>
    <t xml:space="preserve">° Historic data has been restated. Refer to Management of material topics under GRI 305 3-3 in this 'GRI' tab. </t>
  </si>
  <si>
    <t>Total emissions (thousand tonnes CO2e)</t>
  </si>
  <si>
    <t>Total GHG emissions (Scope 1 + Scope 2 Market based)</t>
  </si>
  <si>
    <t>During 2023, our operational footprint, or our Scope 1 and Scope 2 market-based emissions, were 27.0 million tonnes CO2e. This represents a 7.5% decrease from the 29.2 million tonnes recorded in 2022 and is largely attributable to planned additional downtime at three of our ferroalloys smelters which offset increased emissions resulting from the restart of operations at the Astron Energy Refinery, and increased production from our Koniambo nickel operations. 
Our 2023 Scope 1 and Scope 2 market-based emissions represent a reduction of 17.9% compared to the 2019 baseline year (32.9 million tonnes CO2e). For further detail refer to tab 'GRI - Climate' in this ESG Data Book and GRI Index.
° Historic data has been restated. Refer to Management of material topics under GRI 305 3-3 in this 'GRI' tab.</t>
  </si>
  <si>
    <t>305-3</t>
  </si>
  <si>
    <t>Other relevant indirect
(Scope 3) GHG emissions – total</t>
  </si>
  <si>
    <t>Our Scope 3 emissions in 2023 were 406 million tonnes CO2e, compared to 368 million tonnes CO2e in 2022 (restated). The 10.2% increase was principally due to the restart of operations at the Astron Energy Refinery coupled with an increase in sold coal volumes that were produced in our operationally controlled industrial assets.
Our 2023 total Scope 3 emissions represent a reduction of 22.1% compared to the 2019 baseline year (521 million tonnes). For further detail refer to tab 'GRI - Climate' in this ESG Data Book and GRI Index.
° Historic data has been restated. Refer to Management of material topics under GRI 305 3-3 in this 'GRI' tab.</t>
  </si>
  <si>
    <t>1. Purchased goods &amp; services</t>
  </si>
  <si>
    <t xml:space="preserve">Our Scope 3 emissions from purchased goods and services in 2023 of 16.5 million tonnes were 12.9% higher than in 2022 (14.7 million tonnes), primarily reflecting the restart of the Astron Energy refinery and associated purchases of crude oil feedstock and increased volumes of third-party feedstock purchased or acquired by our Nikkelverk nickel refinery.
Scope 3, category 1 emissions represent a reduction of 7.1% compared to the 2019 baseline year (17.8 million tonnes). For further detail refer to tab 'GRI - Climate' in this ESG Data Book and GRI Index.
° Historic data has been restated. Refer to Management of material topics under GRI 305 3-3 in this 'GRI' tab.
</t>
  </si>
  <si>
    <t>2. Capital goods</t>
  </si>
  <si>
    <t>Our 2023 Scope 3 emissions from capital goods of 1.9 million tonnes were 16.0% higher than in 2022 (1.7 million tonnes), primarily reflecting increased capital expenditure at a number of our coal, nickel and copper assets.
Our 2023 Scope 3, category 2 emissions represent a reduction of 17.2% compared to the 2019 baseline year (2.3 million tonnes). For further detail refer to tab 'GRI - Climate' in this ESG Data Book and GRI Index.</t>
  </si>
  <si>
    <t>3. Fuel- and energy-related activities</t>
  </si>
  <si>
    <t>Our 2023 Scope 3 emissions from fuel and energy related activities of 4.5 million tonnes were 3.6% lower than in 2022 (4.7 million tonnes), primarily reflecting extended planned shutdowns at some of our ferrochrome smelters, which resulted in lower indirect energy use.
Our 2023 Scope 3, category 3 emissions represent a reduction of 11.1% compared to the 2019 baseline year (5.1 million tonnes). For further detail refer to tab 'GRI - Climate' in this ESG Data Book and GRI Index.
° Historic data has been restated. Refer to Management of material topics under GRI 305 3-3 in this 'GRI' tab.</t>
  </si>
  <si>
    <t>A. Upstream emissions of purchased fuels</t>
  </si>
  <si>
    <t>B. Upstream emissions of purchased electricity</t>
  </si>
  <si>
    <t>C. Transmission and distribution losses</t>
  </si>
  <si>
    <t>D. Generation of purchased electricity that is sold to end users</t>
  </si>
  <si>
    <t>4. Upstream transportation &amp; distribution</t>
  </si>
  <si>
    <t>Our 2023 Scope 3 emissions from upstream transportation and distribution paid for by Glencore of 5.4 million tonnes were 8.6% higher than in 2022 (5.0 million tonnes), driven by increased transport of oil product volumes due to the restart of the Astron Energy refinery, and higher transport emissions associated with shipments of our coal sales. Our 2023 emissions associated with transport of third-party traded commodities by our marketing business increased 4.5% compared to 2022.
Our 2023 Scope 3, category 4 emissions were unchanged compared to the 2019 baseline year (5.4 million tonnes). For further detail refer to tab 'GRI - Climate' in this ESG Data Book and GRI Index.
° Historic data has been restated. Refer to Management of material topics under GRI 305 3-3 in this 'GRI' tab.</t>
  </si>
  <si>
    <t>9. Downstream transportation &amp; distribution</t>
  </si>
  <si>
    <t xml:space="preserve">Our 2023 Scope 3 emissions from downstream transportation and distribution paid for by our customers of 2.5 million tonnes were 2.1% lower than in 2022 (2.6 million tonnes), primarily reflecting reduced emissions from shipments of sold coal and nickel to our customers.
Our 2023 Scope 3, category 9 emissions represent a reduction of 26.3% compared to the 2019 baseline year (3.4 million tonnes). For further detail refer to tab 'GRI - Climate' in this ESG Data Book and GRI Index.
° Historic data has been restated. Refer to Management of material topics under GRI 305 3-3 in this 'GRI' tab.
</t>
  </si>
  <si>
    <t>10. Processing of sold products</t>
  </si>
  <si>
    <t>Our 2023 Scope 3 emissions from our customers' processing of sold products of 17.5 million tonnes were 6.3% higher than in 2022 (16.4 million tonnes), predominantly reflecting increased sales of chrome ore to third-party customers.
Our 2023 Scope 3, category 10 emissions represent a reduction of 14.1% compared to the 2019 baseline year (20.3 million tonnes). For further detail refer to tab 'GRI - Climate' in this ESG Data Book and GRI Index.
° Historic data has been restated. Refer to Management of material topics under GRI 305 3-3 in this 'GRI' tab.</t>
  </si>
  <si>
    <t>11. Use of sold products</t>
  </si>
  <si>
    <t>Our 2023 Scope 3 emissions from our customers’ use of sold products of 324 million tonnes represent a 10.6% increase on the 293 million tonnes recorded in 2022 which reflects the restart of operations at the Astron Energy Refinery coupled with an increase in sold coal volumes that were produced in our operationally controlled industrial assets.
Our 2023 Scope 3, category 11 emissions represent a reduction of 24.7% compared to the 2019 baseline year (431 million tonnes). For further detail refer to tab 'GRI - Climate' in this ESG Data Book and GRI Index.
° Historic data has been restated. Refer to Management of material topics under GRI 305 3-3 in this 'GRI' tab.</t>
  </si>
  <si>
    <t>15. Investments</t>
  </si>
  <si>
    <t>Our Scope 3 emissions from investments in 2023 of 33.0 million tonnes were 10.4% higher than in 2022 (29.9 million tonnes), primarily reflecting increased emissions from Hunter Valley Operations (HVO) due to higher production.
Our 2023 Scope 3, category 15 emissions represent a reduction of 6.5% compared to the 2019 baseline year (35.3 million tonnes). For further detail refer to tab 'GRI - Climate' in this ESG Data Book and GRI Index.
° Historic data has been restated. Refer to Management of material topics under GRI 305 3-3 in this 'GRI' tab.</t>
  </si>
  <si>
    <t>Other Scope 3 categories</t>
  </si>
  <si>
    <t>Our 2023 Scope 3 materiality and relevance assessment identified the following categories as not applicable or immaterial and irrelevant to our industrial Scope 3 emissions inventory: 
5. Waste generated in operations
6. Business travel
7. Employee commuting
8. Upstream leased assets
12. End of life treatment of sold products
13. Downstream leased assets
14. Franchises
17. Other downstream 
These are therefore not calculated for the purpose of our 2023 reporting (subject to a periodical review). For further information refer to the About our emissions calculation and reporting section of our Glencore AR.</t>
  </si>
  <si>
    <t>305-4</t>
  </si>
  <si>
    <t>Scope 1 and Scope 2 market based GHG emissions intensity – Metals mining</t>
  </si>
  <si>
    <t>tCO2e/t Cu-equiv</t>
  </si>
  <si>
    <r>
      <t xml:space="preserve">We show the carbon intensity of our industrial assets as Scope 1 and 2 emissions compared to their production (adjusted to align with our organisational boundary of operational control and expressed in tonnes Cu-equivalent). We have shown metals mining, coal mining, metals smelting and oil refining separately. Emissions data is collected on a site-by-site rather than activity-by-activity basis. Integrated sites with mining and smelting capability have therefore been allocated to the most appropriate category.
The GHG Protocol requires emissions to be presented on a like-for-like basis throughout, taking account of portfolio acquisitions and disposals, with production having therefore been adjusted to align with reported emissions data.
° Our 2019-2022 Scope 1 and 2 emissions have been restated as further set out in the </t>
    </r>
    <r>
      <rPr>
        <i/>
        <sz val="11"/>
        <rFont val="Calibri"/>
        <family val="2"/>
        <scheme val="minor"/>
      </rPr>
      <t>About our emissions calculations and reporting</t>
    </r>
    <r>
      <rPr>
        <sz val="11"/>
        <rFont val="Calibri"/>
        <family val="2"/>
        <scheme val="minor"/>
      </rPr>
      <t xml:space="preserve"> section on page 53 of our Glencore AR.
Metals and mining includes integrated mine/smelter operations: Mount Isa, Kazzinc, INO, Murrin Murrin, Koniambo.
Metals smelting includes integrated mine/smelter operations: Ferroalloys
Following an extensive multi-year rebuild, the Astron Energy Refinery restarted operations in early 2023.
Cu-equivalents have been converted on the basis of 2019 average prices. This also includes by-products such as platinum, palladium and rhodium.
Refer to the Glencore BOR for further information on the calculation of GHG emissions. </t>
    </r>
  </si>
  <si>
    <t>Scope 1 and Scope 2 market based GHG emissions intensity – Metals smelting</t>
  </si>
  <si>
    <t>Scope 1 and Scope 2 market based GHG emissions intensity – Coal mining</t>
  </si>
  <si>
    <t>Scope 1 and Scope 2 market based GHG emissions intensity – Astron Energy</t>
  </si>
  <si>
    <t>tCO2e/billion Btu</t>
  </si>
  <si>
    <t>305-5</t>
  </si>
  <si>
    <t>Reduction of GHG emissions</t>
  </si>
  <si>
    <t xml:space="preserve">Glencore CATP:
Our ambition and decarbonisation targets (pp. 7-9),
Managing our operational footprint (pp. 11-13),
Responsibly reducing our Scope 3 emissions (pp. 14)
Glencore AR:
Reducing our Scope 1 and 2 emissions (pp. 48-49)
Our Scope 3 emissions (pp. 50-51)
About our emissions calculations 
and reporting (pp. 53-61)
Glencore SR:
Meeting our targets (p. 6) </t>
  </si>
  <si>
    <t>Refer to our Glencore CATP.</t>
  </si>
  <si>
    <t>305-7</t>
  </si>
  <si>
    <t>NOx, SOx, and other significant air emissions</t>
  </si>
  <si>
    <t>Total particulates: emissions – total mass (tonnes)</t>
  </si>
  <si>
    <r>
      <t>EM-MM-120a.1
Air emissions of the following pollutants: (1) CO, (2) NOx (excluding N</t>
    </r>
    <r>
      <rPr>
        <vertAlign val="subscript"/>
        <sz val="11"/>
        <rFont val="Calibri"/>
        <family val="2"/>
        <scheme val="minor"/>
      </rPr>
      <t>2</t>
    </r>
    <r>
      <rPr>
        <sz val="11"/>
        <rFont val="Calibri"/>
        <family val="2"/>
        <scheme val="minor"/>
      </rPr>
      <t>O), (3) SOx, (4) particulate matter (PM10), (5) mercury (Hg), (6) lead (Pb), and (7) volatile organic compounds (VOCs)</t>
    </r>
  </si>
  <si>
    <t>Includes air emissions from our industrial activities and mobile equipment. Excludes emissions from time-chartered vessels but includes those from vessels that we own.
The methods applied for the determination of the emissions vary locally and can either be measured, calculated or estimated.
SASB EM-MM-120a.1:
We do not currently disclose the emissions of carbon monoxide (CO), mercury (Hg), lead (Pb) and volatile organic compounds (VOCs).
Our reported particulate matter (PM) includes particle sizes that are larger than 10 micrometers (PM10) as it includes total suspended matter (TSP) with a maximum particle size of about 30 micrometers.</t>
  </si>
  <si>
    <t>NOx (oxides of nitrogen): emissions – total mass (tonnes)</t>
  </si>
  <si>
    <t>SOx (oxides of sulphur): emissions – total mass (tonnes)</t>
  </si>
  <si>
    <t>GRI 306 Waste 2020</t>
  </si>
  <si>
    <t>ESG A-Z:
Waste Management
Glencore SR:
Stakeholder engagement (pp. 18-19),
Catastrophic hazards management (including TSF management) (pp. 21-24)
Glencore AR:
Advancing tomorrow (pp. 10-11),
Our value chain (p. 13),
Stakeholder Engagement (pp. 23-28)
Other:
https://www.glencore.com/sustainability/esg-a-z/Tailings</t>
  </si>
  <si>
    <t>EM-MM-150a.10
Description of waste and hazardous materials management policies and procedures for active and inactive operations;
EM-MM-540a.1
Tailings storage facilities inventory table;
EM-MM-540a.2
Summary of tailings management systems and governance structure used to monitor and maintain stability of tailings storage facilities;
EM-MM-540a.3
Approach to development of Emergency Preparedness and Response Plans (EPRPs) for tailings storage facilities</t>
  </si>
  <si>
    <t>GRI 306</t>
  </si>
  <si>
    <t>306-1</t>
  </si>
  <si>
    <t>Waste generation and significant waste-related impacts</t>
  </si>
  <si>
    <t>306-2</t>
  </si>
  <si>
    <t>Management of significant waste-related impacts</t>
  </si>
  <si>
    <t>306-3</t>
  </si>
  <si>
    <t>Waste generated</t>
  </si>
  <si>
    <t>Total mineral waste (million tonnes)</t>
  </si>
  <si>
    <t>Refer to ESG A-Z – Waste Management.</t>
  </si>
  <si>
    <t>Hazardous mineral waste (million tonnes)</t>
  </si>
  <si>
    <t>EM-MM-150a.7
Total weight of hazardous waste generated</t>
  </si>
  <si>
    <t>Non-hazardous mineral waste (million tonnes)</t>
  </si>
  <si>
    <t>% mineral waste recycled</t>
  </si>
  <si>
    <t>Total non-mineral waste (thousand tonnes)</t>
  </si>
  <si>
    <t>EM-MM-150a.4
Total weight of non-mineral waste generated</t>
  </si>
  <si>
    <t>Data refers to non-mineral waste disposed of. 
Non-mineral waste includes waste oils, spent cell lining, office, canteen and camp waste, scrap steel, tyres and construction waste.</t>
  </si>
  <si>
    <t>% non-mineral waste recycled</t>
  </si>
  <si>
    <t>MM3</t>
  </si>
  <si>
    <t>Total amounts of overburden, rock, tailings and sludges and their associated risks</t>
  </si>
  <si>
    <t>Total amounts of overburden, rock, tailings and sludges (million tonnes)</t>
  </si>
  <si>
    <t>EM-MM-150a.5
Total weight of tailings produced;
EM-MM-150a.6
Total weight of waste rock generated</t>
  </si>
  <si>
    <t>Data refers to total mineral waste generated. 
SASB EM-MM-150a.5+6:
In 2023, this included 140 million tonnes of tailings of which 5.6 million tonnes were recycled (4%) and 2,063 million tonnes of waste rock and overburden.</t>
  </si>
  <si>
    <t>Total number and volume of significant spills and environmental incidents</t>
  </si>
  <si>
    <t>Number of significant spills and environmental incidents</t>
  </si>
  <si>
    <t>EM-MM-140a.2
Number of incidents of non-compliance associated with water quality permits, standards, and regulations;
EM-MM-150a.9
Number of significant incidents associated with hazardous materials and waste management</t>
  </si>
  <si>
    <t>Significant spills are those reported under categories 3 (moderate), 4 (major) and 5 (catastrophic) according to Glencore’s classification scheme (refer also to 2023 Glencore Reporting Glossary at glencore.com/publications).
No category 4 (major) or category 5 (catastrophic) incidents occurred in 2023. Δ
EM-MM-150a.9: 
Seven incidents (category 3, moderate incidents) associated with the management of water and materials occurred in 2023 (refer to sections Water and Nature in the Glencore SR for additional information).</t>
  </si>
  <si>
    <r>
      <t>Volume of significant spills (m</t>
    </r>
    <r>
      <rPr>
        <vertAlign val="superscript"/>
        <sz val="11"/>
        <rFont val="Calibri"/>
        <family val="2"/>
        <scheme val="minor"/>
      </rPr>
      <t>3</t>
    </r>
    <r>
      <rPr>
        <sz val="11"/>
        <rFont val="Calibri"/>
        <family val="2"/>
        <scheme val="minor"/>
      </rPr>
      <t>)</t>
    </r>
  </si>
  <si>
    <t>GRI 308 Supplier environmental assessment 2016</t>
  </si>
  <si>
    <t>ESG A-Z:
Supply chain due diligence
Glencore SR: 
Stakeholder engagement (pp. 18-19), 
Responsible sourcing (pp. 68-70)
Glencore AR: 
Stakeholder Engagement (pp. 23-28)</t>
  </si>
  <si>
    <t>GRI 308</t>
  </si>
  <si>
    <t>308-1</t>
  </si>
  <si>
    <t>New suppliers that were screened using environmental criteria</t>
  </si>
  <si>
    <t xml:space="preserve">Percentage of new suppliers screened using environmental criteria (%)
</t>
  </si>
  <si>
    <t>SOCIAL</t>
  </si>
  <si>
    <t>GRI 401 Employment 2016</t>
  </si>
  <si>
    <r>
      <rPr>
        <i/>
        <sz val="11"/>
        <rFont val="Calibri"/>
        <family val="2"/>
        <scheme val="minor"/>
      </rPr>
      <t>ESG A-Z:</t>
    </r>
    <r>
      <rPr>
        <sz val="11"/>
        <rFont val="Calibri"/>
        <family val="2"/>
        <scheme val="minor"/>
      </rPr>
      <t xml:space="preserve">
Our people
</t>
    </r>
    <r>
      <rPr>
        <i/>
        <sz val="11"/>
        <rFont val="Calibri"/>
        <family val="2"/>
        <scheme val="minor"/>
      </rPr>
      <t xml:space="preserve">Glencore SR: </t>
    </r>
    <r>
      <rPr>
        <sz val="11"/>
        <rFont val="Calibri"/>
        <family val="2"/>
        <scheme val="minor"/>
      </rPr>
      <t xml:space="preserve">
Stakeholder engagement (pp. 18-19)
</t>
    </r>
    <r>
      <rPr>
        <i/>
        <sz val="11"/>
        <rFont val="Calibri"/>
        <family val="2"/>
        <scheme val="minor"/>
      </rPr>
      <t>Glencore AR:</t>
    </r>
    <r>
      <rPr>
        <sz val="11"/>
        <rFont val="Calibri"/>
        <family val="2"/>
        <scheme val="minor"/>
      </rPr>
      <t xml:space="preserve">
Stakeholder Engagement (pp. 23-28),
Our people (pp. 75-77)
</t>
    </r>
    <r>
      <rPr>
        <i/>
        <sz val="11"/>
        <rFont val="Calibri"/>
        <family val="2"/>
        <scheme val="minor"/>
      </rPr>
      <t>Other:</t>
    </r>
    <r>
      <rPr>
        <sz val="11"/>
        <rFont val="Calibri"/>
        <family val="2"/>
        <scheme val="minor"/>
      </rPr>
      <t xml:space="preserve">
Refer to tab 'Our People' in this ESG Data Book</t>
    </r>
  </si>
  <si>
    <t>3, 4, 5, 6</t>
  </si>
  <si>
    <t>GRI 401</t>
  </si>
  <si>
    <t>401-1</t>
  </si>
  <si>
    <t>New employee hires and employee turnover</t>
  </si>
  <si>
    <t>Redundancies</t>
  </si>
  <si>
    <t>For further breakdowns of turnover and new employee hire data refer also to tab 'Our people' in this ESG Data Book and GRI Index.</t>
  </si>
  <si>
    <t>Total redundancies</t>
  </si>
  <si>
    <t>Redundancies (%)</t>
  </si>
  <si>
    <t>Total turnover by region (%)</t>
  </si>
  <si>
    <t>- Australia</t>
  </si>
  <si>
    <t>New employees:</t>
  </si>
  <si>
    <t>Total number new employees</t>
  </si>
  <si>
    <t>New employees (%)</t>
  </si>
  <si>
    <t>GRI 402 Labour/management relations 2016</t>
  </si>
  <si>
    <r>
      <rPr>
        <i/>
        <sz val="11"/>
        <rFont val="Calibri"/>
        <family val="2"/>
        <scheme val="minor"/>
      </rPr>
      <t>ESG A-Z:</t>
    </r>
    <r>
      <rPr>
        <sz val="11"/>
        <rFont val="Calibri"/>
        <family val="2"/>
        <scheme val="minor"/>
      </rPr>
      <t xml:space="preserve">
Our people
</t>
    </r>
    <r>
      <rPr>
        <i/>
        <sz val="11"/>
        <rFont val="Calibri"/>
        <family val="2"/>
        <scheme val="minor"/>
      </rPr>
      <t xml:space="preserve">Glencore SR: </t>
    </r>
    <r>
      <rPr>
        <sz val="11"/>
        <rFont val="Calibri"/>
        <family val="2"/>
        <scheme val="minor"/>
      </rPr>
      <t xml:space="preserve">
Stakeholder engagement (pp. 18-19)
</t>
    </r>
    <r>
      <rPr>
        <i/>
        <sz val="11"/>
        <rFont val="Calibri"/>
        <family val="2"/>
        <scheme val="minor"/>
      </rPr>
      <t>Glencore AR:</t>
    </r>
    <r>
      <rPr>
        <sz val="11"/>
        <rFont val="Calibri"/>
        <family val="2"/>
        <scheme val="minor"/>
      </rPr>
      <t xml:space="preserve">
Our people (pp. 75-77)</t>
    </r>
  </si>
  <si>
    <t>GRI 402</t>
  </si>
  <si>
    <t>402-1</t>
  </si>
  <si>
    <t>Minimum notice periods regarding operational changes</t>
  </si>
  <si>
    <t>Minimum notice periods vary across the Group, ranging from one week to six months.</t>
  </si>
  <si>
    <t>MM4</t>
  </si>
  <si>
    <t>Number of strikes and lock-outs exceeding one week’s duration</t>
  </si>
  <si>
    <t>Number of strikes exceeding one week’s duration</t>
  </si>
  <si>
    <t>EM-MM-310a.2
Number and duration of strikes and lockouts</t>
  </si>
  <si>
    <t>Number of lock-outs exceeding one week’s duration</t>
  </si>
  <si>
    <t>Lockout related to the suspension of operations at one of our Peruvian industrial sites.</t>
  </si>
  <si>
    <t>GRI 403 Occupational health &amp; safety 2018</t>
  </si>
  <si>
    <t>ESG A-Z:
Safety,
Health,
HIV/AIDS 
Glencore SR: 
Stakeholder engagement (pp. 18-19) 
Workforce safety (pp. 25-28),
Occupational health (pp. 29-32)
Glencore AR:
Stakeholder Engagement (pp. 23-28)</t>
  </si>
  <si>
    <t>Health and safety data covers all employees and contractors under our direct supervision of those industrial assets where we have operational control.
Refer also to:
www.glencore.com/en/who-we-are/our-code
www.glencore.com/who-we-are/policies/health-safety-policy</t>
  </si>
  <si>
    <t>GRI 403</t>
  </si>
  <si>
    <t>403-1</t>
  </si>
  <si>
    <t>Occupational health and safety management system</t>
  </si>
  <si>
    <t xml:space="preserve">ESG A-Z:
Safety,
Health,
Glencore SR: 
Workforce safety (pp. 26-29)
Occupational health (pp. 29-32)
</t>
  </si>
  <si>
    <t>We require all the industrial assets under our operational control to have an effective safety management system, to assure the integrity of plants, equipment, structures, processes and protective systems, as well as the monitoring and review of critical controls, and to address the occupational health risks to the workforce, their families and communities. Whilst our expectations on health and safety processes have been mapped to leading industry practices and international standards, such as ISO 45001, certification to such standards is at the discretion of the relevant commodity department and industrial asset. 
For further information refer to:
www.glencore.com/en/who-we-are/our-code
www.glencore.com/who-we-are/policies/health-safety-policy
www.glencore.com/sustainability/esg-a-z/safety
www.glencore.com/sustainability/esg-a-z/health</t>
  </si>
  <si>
    <t>403-2</t>
  </si>
  <si>
    <t>Hazard identification, risk assessment, and incident investigation</t>
  </si>
  <si>
    <t xml:space="preserve">ESG A-Z:
Safety,
Health,
Glencore SR: 
Catastrophic hazard management (pp. 22-25)
Workforce safety (pp. 25-28), 
Occupational health (pp. 29-32)
Glencore AR:
Catastrophic hazard management including TSF management (pp. 66) </t>
  </si>
  <si>
    <t>For further information refer to:
www.glencore.com/en/who-we-are/our-code
www.glencore.com/who-we-are/policies/health-safety-policy</t>
  </si>
  <si>
    <t>403-3</t>
  </si>
  <si>
    <t>Occupational health services</t>
  </si>
  <si>
    <t xml:space="preserve">ESG A-Z:
Safety,
Health,
Glencore SR: 
Workforce safety (pp. 25-28), 
Occupational health (pp. 29-32)
</t>
  </si>
  <si>
    <t>Our industrial assets employ dedicated occupational health functions supporting the local needs of our employees and contractors. We assess, monitor and control health risks to prevent occupational diseases. 
Our focus is on early intervention. If one of our people is injured at work or suffers an occupational disease, requiring rehabilitation, we support the individual to return to work as soon as possible. At some industrial assets we operate clinics that are also accessible for the local community.  
www.glencore.com/who-we-are/policies/health-safety-policy</t>
  </si>
  <si>
    <t>403-4</t>
  </si>
  <si>
    <t>Worker participation, consultation, and communication on occupational health and safety</t>
  </si>
  <si>
    <t>Percentage of industrial sites with formal joint management-worker health and safety committees</t>
  </si>
  <si>
    <t>The majority of our industrial assets have formal health and safety committees in place with both representatives of the workforce and the management. These committees meet and visit the industrial assets regularly. Any findings are actioned to prevent health and safety incidents and to ensure continuous improvement.</t>
  </si>
  <si>
    <t>403-5</t>
  </si>
  <si>
    <t>Worker training on occupational health and safety</t>
  </si>
  <si>
    <r>
      <rPr>
        <i/>
        <sz val="11"/>
        <rFont val="Calibri"/>
        <family val="2"/>
        <scheme val="minor"/>
      </rPr>
      <t>ESG A-Z:</t>
    </r>
    <r>
      <rPr>
        <sz val="11"/>
        <rFont val="Calibri"/>
        <family val="2"/>
        <scheme val="minor"/>
      </rPr>
      <t xml:space="preserve">
Safety</t>
    </r>
  </si>
  <si>
    <t>EM-MM-320a.1
(1) MSHA all-incidence rate, (2) fatality rate, (3) near miss frequency rate (NMFR) and (4) average hours of health, safety, and emergency response training for (a) full-time employees and (b) contract employees</t>
  </si>
  <si>
    <t>Our employees and contractors receive pre-shift training and safety inductions, regular workplace-specific training as well as training in the event of operational changes. A crucial element of these trainings are our fatal hazard protocols and our life-saving behaviours.
EM-MM-320a.1: Refer also to GRI 403-9.</t>
  </si>
  <si>
    <t>403-6</t>
  </si>
  <si>
    <t>Promotion of worker health</t>
  </si>
  <si>
    <t xml:space="preserve">ESG A-Z:
Safety,
Health,
HIV/AIDS 
Glencore SR: 
Workforce safety (pp. 25-28), 
Occupational health (pp. 29-32)
</t>
  </si>
  <si>
    <t>Our occupational health management strategy addresses the health risks facing our workforce, their families, and the communities inside and outside our gates. We follow a variety of onsite programmes to manage occupational diseases and exposure to health hazards; we extend many of these health programmes to our host communities, to combat regional health problems and promote healthy lifestyles. Our work on health is overseen by our health working group, made up with internal subject matter experts.</t>
  </si>
  <si>
    <t>403-7</t>
  </si>
  <si>
    <t>Prevention and mitigation of occupational health and safety impacts directly linked by business relationships</t>
  </si>
  <si>
    <t>ESG A-Z:
Safety,
Health,
Glencore SR: 
Workforce safety (pp. 26-29)
Workforce safety (pp. 25-28), 
Occupational health (pp. 29-32)</t>
  </si>
  <si>
    <t>www.glencore.com/sustainability/esg-a-z/safety</t>
  </si>
  <si>
    <t>403-8</t>
  </si>
  <si>
    <t xml:space="preserve">Workers covered by an occupational health and safety management system
</t>
  </si>
  <si>
    <t>Percentage of employees and contractors covered by: 
- an occupational health and safety management system</t>
  </si>
  <si>
    <t>These metrics cover all our industrial assets. All employees and contractors under our supervision of an industrial asset that has implemented an occupational health and safety management system are covered by this system. Refer also to section 403-1.</t>
  </si>
  <si>
    <t>Percentage of employees and contractors covered by:
- an occupational health and safety management system that has been internally audited</t>
  </si>
  <si>
    <t>Percentage of employees and contractors covered by:
- an occupational health and safety management system that has been audited and certified by an external party</t>
  </si>
  <si>
    <t>403-9</t>
  </si>
  <si>
    <t>Work-related injuries</t>
  </si>
  <si>
    <t xml:space="preserve">ESG A-Z:
Safety,
Health,
Glencore SR: 
Workforce safety (pp. 26-29)
Occupational health (pp. 29-32)
Other:
Refer to tab 'Health and Safety' in this ESG Data Book
</t>
  </si>
  <si>
    <t>For further breakdowns of safety data refer also to tab 'Health and Safety' in this ESG Data Book and GRI Index.
Refer to the Glencore BOR for how our sustainability KPIs that are subject to assurance are defined. For additional information refer also to our Group Reporting Glossary 2023.</t>
  </si>
  <si>
    <t>Total number of fatalities</t>
  </si>
  <si>
    <t xml:space="preserve">Number of workforce fatalities (employees + contractors) </t>
  </si>
  <si>
    <t xml:space="preserve">The total number of occupational fatalities includes all work-related fatalities affecting employees and contractors working at industrial assets under Glencore's operational control. 
EM-MM-320a.1: Refer also to GRI 403-5.
Some examples of work-related hazards posing a risk of high consequence injury and actions taken to minimise risks are set out on pages 25-28. </t>
  </si>
  <si>
    <t>Number of fatalities of employees</t>
  </si>
  <si>
    <t>Number of employee fatalities</t>
  </si>
  <si>
    <t>Number of fatalities of contractors</t>
  </si>
  <si>
    <t>Number of contractors fatalities</t>
  </si>
  <si>
    <t>Total number of fatalities – by region (employees + contractors)</t>
  </si>
  <si>
    <t>Africa</t>
  </si>
  <si>
    <t>Australia</t>
  </si>
  <si>
    <t>North America</t>
  </si>
  <si>
    <t>South / Latin America</t>
  </si>
  <si>
    <t>Rest of the world</t>
  </si>
  <si>
    <t>Number of fatalities – by region (employees)</t>
  </si>
  <si>
    <t>Number of fatalities – by region (contractors)</t>
  </si>
  <si>
    <t>Fatality frequency rate (FIFR)</t>
  </si>
  <si>
    <t>Employees + contractors</t>
  </si>
  <si>
    <t>Our frequency rates refer to one million hours worked unless otherwise stated.</t>
  </si>
  <si>
    <t>Contractors</t>
  </si>
  <si>
    <t>Total recordable injury frequency rate (TRIFR)</t>
  </si>
  <si>
    <t>Lost time injury frequency rate (LTIFR)</t>
  </si>
  <si>
    <t>High potential risk incident (HPRI)</t>
  </si>
  <si>
    <t>An HPRI is am incident (including a zero energy event) that could have likely resulted in major or catastrophic HSEC&amp;HR consequences.</t>
  </si>
  <si>
    <t>Near Miss Frequency Rate (NMFR)</t>
  </si>
  <si>
    <t>Near Miss Frequency Rate (NMFR) is the total number of near miss incidents recorded per million hours worked.</t>
  </si>
  <si>
    <t>High-consequence injuries</t>
  </si>
  <si>
    <t>Work-related injury that results in an injury from which the worker cannot, does not, or is not expected to recover fully to pre-injury health status within 180 days.</t>
  </si>
  <si>
    <t>High-consequence injury rate</t>
  </si>
  <si>
    <t xml:space="preserve">High-consequence injury frequency rate is the total number of high-consequence injuries recorded per million hours worked. </t>
  </si>
  <si>
    <t>Hours worked</t>
  </si>
  <si>
    <t>Lost day rate</t>
  </si>
  <si>
    <t>%</t>
  </si>
  <si>
    <t xml:space="preserve">Lost day rate is expressed by comparing the total lost days to the total number of hours scheduled to be worked by the workforce. </t>
  </si>
  <si>
    <t>Absentee rate</t>
  </si>
  <si>
    <t>The absentee rate is expressed by comparing the total absent time to the total time scheduled to be worked by the workforce.</t>
  </si>
  <si>
    <t>403-10</t>
  </si>
  <si>
    <t>Work-related ill health</t>
  </si>
  <si>
    <t>ESG A-Z:
Health,
Glencore SR: 
Workforce safety (pp. 25-28), 
Occupational health (pp. 29-32)</t>
  </si>
  <si>
    <t>For further breakdowns of health data refer also to tab 'Health and safety' in this ESG Data Book and GRI Index.</t>
  </si>
  <si>
    <t>Fatalities due to occupational diseases</t>
  </si>
  <si>
    <t>Occupational diseases frequency rate (ODR)</t>
  </si>
  <si>
    <t xml:space="preserve">Occupational disease frequency rate is the number of occupational diseases per million hours worked. The majority of occupational diseases are associated with the musculoskeletal system / connective tissue and ear and mastoid process.
° Historic employee data has been restated due to a late classification of some of the reported occupational diseases and the implementation of stronger definitions for occupational disease indicators, which, in turn, supported stronger reporting. 
</t>
  </si>
  <si>
    <t>GRI 404 Training and education 2016</t>
  </si>
  <si>
    <r>
      <rPr>
        <i/>
        <sz val="11"/>
        <rFont val="Calibri"/>
        <family val="2"/>
        <scheme val="minor"/>
      </rPr>
      <t>ESG A-Z:</t>
    </r>
    <r>
      <rPr>
        <sz val="11"/>
        <rFont val="Calibri"/>
        <family val="2"/>
        <scheme val="minor"/>
      </rPr>
      <t xml:space="preserve">
Our people
</t>
    </r>
    <r>
      <rPr>
        <i/>
        <sz val="11"/>
        <rFont val="Calibri"/>
        <family val="2"/>
        <scheme val="minor"/>
      </rPr>
      <t>Glencore AR:</t>
    </r>
    <r>
      <rPr>
        <sz val="11"/>
        <rFont val="Calibri"/>
        <family val="2"/>
        <scheme val="minor"/>
      </rPr>
      <t xml:space="preserve">
Stakeholder Engagement (pp. 23-28),
Our people (pp. 75-77)
</t>
    </r>
    <r>
      <rPr>
        <i/>
        <sz val="11"/>
        <rFont val="Calibri"/>
        <family val="2"/>
        <scheme val="minor"/>
      </rPr>
      <t xml:space="preserve">Glencore SR: </t>
    </r>
    <r>
      <rPr>
        <sz val="11"/>
        <rFont val="Calibri"/>
        <family val="2"/>
        <scheme val="minor"/>
      </rPr>
      <t xml:space="preserve">
Stakeholder engagement (pp. 18-19)</t>
    </r>
  </si>
  <si>
    <t>GRI 404</t>
  </si>
  <si>
    <t>404-1</t>
  </si>
  <si>
    <t>Average hours of training per year per employee</t>
  </si>
  <si>
    <t>Average training hours per worker (employees + contractors)</t>
  </si>
  <si>
    <t>We do not collect information on training based on gender as training opportunities are not differentiated based on gender distinction.</t>
  </si>
  <si>
    <t>Average hours of training per year by employee category</t>
  </si>
  <si>
    <t>Management</t>
  </si>
  <si>
    <t>Supervisors, administration, technical</t>
  </si>
  <si>
    <t>Operational, production, maintenance</t>
  </si>
  <si>
    <t>Average training and 
development expenditure</t>
  </si>
  <si>
    <t>Average training and 
development expenditure 
per full time employee (US$)</t>
  </si>
  <si>
    <t>404-2</t>
  </si>
  <si>
    <t>Programmes for upgrading employee skills and transition assistance programmes</t>
  </si>
  <si>
    <t>Refer to our Glencore AR p. 75 and to  https://www.glencore.com/sustainability/esg-a-z/our-people - under Employee retention and turnover. We are looking to improve on our disclosures in this area in the coming years.</t>
  </si>
  <si>
    <t>GRI 405 Diversity and equal opportunity 2016</t>
  </si>
  <si>
    <r>
      <rPr>
        <i/>
        <sz val="11"/>
        <rFont val="Calibri"/>
        <family val="2"/>
        <scheme val="minor"/>
      </rPr>
      <t>ESG A-Z:</t>
    </r>
    <r>
      <rPr>
        <sz val="11"/>
        <rFont val="Calibri"/>
        <family val="2"/>
        <scheme val="minor"/>
      </rPr>
      <t xml:space="preserve">
Our people
UK Gender Pay Gap Disclosure
</t>
    </r>
    <r>
      <rPr>
        <i/>
        <sz val="11"/>
        <rFont val="Calibri"/>
        <family val="2"/>
        <scheme val="minor"/>
      </rPr>
      <t xml:space="preserve">Glencore AR:
</t>
    </r>
    <r>
      <rPr>
        <sz val="11"/>
        <rFont val="Calibri"/>
        <family val="2"/>
        <scheme val="minor"/>
      </rPr>
      <t xml:space="preserve">Stakeholder Engagement (pp. 23-28),
Our people (pp. 75-77)
</t>
    </r>
    <r>
      <rPr>
        <i/>
        <sz val="11"/>
        <rFont val="Calibri"/>
        <family val="2"/>
        <scheme val="minor"/>
      </rPr>
      <t xml:space="preserve">Glencore SR: </t>
    </r>
    <r>
      <rPr>
        <sz val="11"/>
        <rFont val="Calibri"/>
        <family val="2"/>
        <scheme val="minor"/>
      </rPr>
      <t xml:space="preserve">
Stakeholder engagement (pp. 18-19)
</t>
    </r>
    <r>
      <rPr>
        <i/>
        <sz val="11"/>
        <rFont val="Calibri"/>
        <family val="2"/>
        <scheme val="minor"/>
      </rPr>
      <t>Other:</t>
    </r>
    <r>
      <rPr>
        <sz val="11"/>
        <rFont val="Calibri"/>
        <family val="2"/>
        <scheme val="minor"/>
      </rPr>
      <t xml:space="preserve">
Refer to tab 'Our People' in this ESG Data Book</t>
    </r>
  </si>
  <si>
    <t>GRI 405</t>
  </si>
  <si>
    <t>405-1</t>
  </si>
  <si>
    <t>Diversity of governance bodies and employees</t>
  </si>
  <si>
    <t>Minority group membership</t>
  </si>
  <si>
    <t xml:space="preserve">Glencore has operations in areas where minority group membership data cannot be collected for privacy reasons. We therefore cannot provide an accurate number. </t>
  </si>
  <si>
    <t>Number of female employees</t>
  </si>
  <si>
    <t>For further breakdowns refer also to tab 'Our people' in this ESG Data Book and GRI Index.</t>
  </si>
  <si>
    <t>Percentage of female employees (%)</t>
  </si>
  <si>
    <t xml:space="preserve">Percentage of female managers (%) </t>
  </si>
  <si>
    <t>Number of female Board directors of Glencore plc</t>
  </si>
  <si>
    <t>For further breakdowns regarding the composition of our company's governance bodies refer to section Corporate Governance of our Glencore AR.</t>
  </si>
  <si>
    <t>Number of employees with registered disability</t>
  </si>
  <si>
    <t>405-2</t>
  </si>
  <si>
    <t>Ratio of basic salary of men to women by employee category</t>
  </si>
  <si>
    <r>
      <rPr>
        <i/>
        <sz val="11"/>
        <rFont val="Calibri"/>
        <family val="2"/>
        <scheme val="minor"/>
      </rPr>
      <t>ESG A-Z:</t>
    </r>
    <r>
      <rPr>
        <sz val="11"/>
        <rFont val="Calibri"/>
        <family val="2"/>
        <scheme val="minor"/>
      </rPr>
      <t xml:space="preserve">
Our people
UK Gender Pay Gap Disclosure
</t>
    </r>
    <r>
      <rPr>
        <i/>
        <sz val="11"/>
        <rFont val="Calibri"/>
        <family val="2"/>
        <scheme val="minor"/>
      </rPr>
      <t>Glencore AR:</t>
    </r>
    <r>
      <rPr>
        <sz val="11"/>
        <rFont val="Calibri"/>
        <family val="2"/>
        <scheme val="minor"/>
      </rPr>
      <t xml:space="preserve">
Our people (pp. 75-77)</t>
    </r>
  </si>
  <si>
    <t>Data showing a breakdown of salaries by gender is currently unavailable, however, as a matter of policy the setting of basic salaries is not differentiated by gender.</t>
  </si>
  <si>
    <t>GRI 406 Non-discrimination 2016</t>
  </si>
  <si>
    <r>
      <rPr>
        <i/>
        <sz val="11"/>
        <rFont val="Calibri"/>
        <family val="2"/>
        <scheme val="minor"/>
      </rPr>
      <t>ESG A-Z:</t>
    </r>
    <r>
      <rPr>
        <sz val="11"/>
        <rFont val="Calibri"/>
        <family val="2"/>
        <scheme val="minor"/>
      </rPr>
      <t xml:space="preserve">
Our people
</t>
    </r>
    <r>
      <rPr>
        <i/>
        <sz val="11"/>
        <rFont val="Calibri"/>
        <family val="2"/>
        <scheme val="minor"/>
      </rPr>
      <t>Glencore SR:</t>
    </r>
    <r>
      <rPr>
        <sz val="11"/>
        <rFont val="Calibri"/>
        <family val="2"/>
        <scheme val="minor"/>
      </rPr>
      <t xml:space="preserve">
Stakeholder engagement (pp. 18-19)
</t>
    </r>
    <r>
      <rPr>
        <i/>
        <sz val="11"/>
        <rFont val="Calibri"/>
        <family val="2"/>
        <scheme val="minor"/>
      </rPr>
      <t xml:space="preserve">Glencore AR: </t>
    </r>
    <r>
      <rPr>
        <sz val="11"/>
        <rFont val="Calibri"/>
        <family val="2"/>
        <scheme val="minor"/>
      </rPr>
      <t xml:space="preserve">
Stakeholder Engagement (pp. 23-28)
Our people (pp. 75-77)
</t>
    </r>
    <r>
      <rPr>
        <i/>
        <sz val="11"/>
        <rFont val="Calibri"/>
        <family val="2"/>
        <scheme val="minor"/>
      </rPr>
      <t>Other:</t>
    </r>
    <r>
      <rPr>
        <sz val="11"/>
        <rFont val="Calibri"/>
        <family val="2"/>
        <scheme val="minor"/>
      </rPr>
      <t xml:space="preserve">
Code of Conduct
2023 Modern Slavery Statement (to be published)</t>
    </r>
  </si>
  <si>
    <t>GRI 406</t>
  </si>
  <si>
    <t>406-1</t>
  </si>
  <si>
    <t>Incidents of discrimination and corrective actions taken</t>
  </si>
  <si>
    <t>Number of incidents of discrimination</t>
  </si>
  <si>
    <t>We report the number of incidents of discrimination. Each reported case of discrimination is carefully analysed and where confirmed, appropriate disciplinary action is taken in accordance with our policies.</t>
  </si>
  <si>
    <t>GRI 407 Freedom of association and collective bargaining 2016</t>
  </si>
  <si>
    <r>
      <rPr>
        <i/>
        <sz val="11"/>
        <rFont val="Calibri"/>
        <family val="2"/>
        <scheme val="minor"/>
      </rPr>
      <t>ESG A-Z:</t>
    </r>
    <r>
      <rPr>
        <sz val="11"/>
        <rFont val="Calibri"/>
        <family val="2"/>
        <scheme val="minor"/>
      </rPr>
      <t xml:space="preserve">
Our people
</t>
    </r>
    <r>
      <rPr>
        <i/>
        <sz val="11"/>
        <rFont val="Calibri"/>
        <family val="2"/>
        <scheme val="minor"/>
      </rPr>
      <t xml:space="preserve">Glencore AR: </t>
    </r>
    <r>
      <rPr>
        <sz val="11"/>
        <rFont val="Calibri"/>
        <family val="2"/>
        <scheme val="minor"/>
      </rPr>
      <t xml:space="preserve">
Stakeholder Engagement (pp. 23-28),
Our people (pp. 75-77)
</t>
    </r>
    <r>
      <rPr>
        <i/>
        <sz val="11"/>
        <rFont val="Calibri"/>
        <family val="2"/>
        <scheme val="minor"/>
      </rPr>
      <t xml:space="preserve">Glencore SR:
</t>
    </r>
    <r>
      <rPr>
        <sz val="11"/>
        <rFont val="Calibri"/>
        <family val="2"/>
        <scheme val="minor"/>
      </rPr>
      <t xml:space="preserve">Stakeholder engagement (pp. 18-19),
</t>
    </r>
    <r>
      <rPr>
        <i/>
        <sz val="11"/>
        <rFont val="Calibri"/>
        <family val="2"/>
        <scheme val="minor"/>
      </rPr>
      <t>Other:</t>
    </r>
    <r>
      <rPr>
        <sz val="11"/>
        <rFont val="Calibri"/>
        <family val="2"/>
        <scheme val="minor"/>
      </rPr>
      <t xml:space="preserve">
Code of Conduct
2023 Modern Slavery Statement (to be published)</t>
    </r>
  </si>
  <si>
    <t>Number of industrial sites</t>
  </si>
  <si>
    <t>GRI 408 Child labour 2016</t>
  </si>
  <si>
    <t>ESG A-Z:
Our people,
Human rights
Glencore SR:
Stakeholder engagement (pp. 18-19),
Human rights (pp. 51-56),
Responsible sourcing (pp. 68-70),
Glencore AR: 
Stakeholder Engagement (pp. 23-28),
Our people (pp. 75-77)
Other:
Code of Conduct
2023 Modern Slavery Statement (to be published)</t>
  </si>
  <si>
    <t>GRI 409 Forced or compulsory labour 2016</t>
  </si>
  <si>
    <t>ESG A-Z:
Our people,
Human rights
Glencore SR:
Stakeholder engagement (pp. 18-19),
Human rights (pp. 51-56),
Responsible sourcing (pp. 68-70),
Glencore AR: 
Stakeholder Engagement (pp. 23-28),
Our people (pp. 75-77)
Other:
Code of Conduct</t>
  </si>
  <si>
    <t>GRI 410 Security practices 2016</t>
  </si>
  <si>
    <t>ESG A-Z:
Human rights
Glencore SR:
Stakeholder engagement (pp. 18-19),
Human rights (pp. 51-56)
Glencore AR: 
Stakeholder Engagement (pp. 23-28)
Other:
Code of Conduct</t>
  </si>
  <si>
    <t>1, 2</t>
  </si>
  <si>
    <t>GRI 410</t>
  </si>
  <si>
    <t>410-1</t>
  </si>
  <si>
    <t>Security personnel trained in human rights policies or procedures</t>
  </si>
  <si>
    <t>Percent of employed security personnel trained in human rights</t>
  </si>
  <si>
    <t>1, 3</t>
  </si>
  <si>
    <t xml:space="preserve">Glencore requires private security contractors be trained in human rights, whether by the contractors themselves or in cooperation with Glencore, in accordance with the Voluntary Principles of Security and Human Rights. </t>
  </si>
  <si>
    <t>Percent of third–party private security personnel trained in human rights</t>
  </si>
  <si>
    <t>GRI 411 Rights of Indigenous Peoples 2016</t>
  </si>
  <si>
    <t>ESG A-Z:
Human rights
Glencore SR:
Human rights (pp. 51-56),
Indigenous peoples (pp. 57-62)
Social performance (pp. 63-67)
Glencore AR: 
Sustainability (p. 69)
Other:
Code of Conduct</t>
  </si>
  <si>
    <t>EM-MM-210a.2
Percentage of (1) proved and (2) probable reserves in or near indigenous land /
EM-MM-210a.3
Discussion of engagement processes and due diligence practices with respect to human rights, indigenous rights, and operation in areas of conflict</t>
  </si>
  <si>
    <t>Refer also to glencore.com/sustainability/esg-a-z/communities#Indigenous</t>
  </si>
  <si>
    <t>GRI 411</t>
  </si>
  <si>
    <t>411-1</t>
  </si>
  <si>
    <t>Incidents of violations involving rights of Indigenous Peoples</t>
  </si>
  <si>
    <t>No findings of violations recorded (refer also to MM6).</t>
  </si>
  <si>
    <t>MM5</t>
  </si>
  <si>
    <t>Number of sites located on or near Indigenous people's land</t>
  </si>
  <si>
    <t>SASB EM-MM-210a.2: 
We do not currently disclose the percentage of (1) proved and (2) probable reserves in or near Indigenous lands.</t>
  </si>
  <si>
    <t>Number of sites with operations in or adjacent to an indigenous community that have an agreement with that community</t>
  </si>
  <si>
    <t>SOCIETY</t>
  </si>
  <si>
    <t>GRI 413 Local communities 2016</t>
  </si>
  <si>
    <t>ESG A-Z:
Stakeholder engagement,
Communities
Glencore SR:
Stakeholder engagement (pp. 18-19),
Human rights (pp. 51-56), 
Social performance (pp. 63-67)
Glencore AR: 
Stakeholder Engagement (pp. 23-28),
Sustainability (pp. 62-70),
Risk Management (p. 113-115)</t>
  </si>
  <si>
    <t>EM-MM-210b.1
Discussion of process to manage risks and opportunities associated with community rights and interests</t>
  </si>
  <si>
    <t>To help us consistently measure and report on our contributions, we have a socio-economic contribution scorecard integrated into our existing community and stakeholder engagement systems. We require each industrial asset where we have operational control to develop and implement a local complaints and grievance mechanism including a formal grievance and conflict resolution process for community members and others to make complaints and raise concerns. The process should include a system to receive, investigate, and respond to the concerns raised.</t>
  </si>
  <si>
    <t>Total number of community complaints</t>
  </si>
  <si>
    <t>GRI 413</t>
  </si>
  <si>
    <t>413-1</t>
  </si>
  <si>
    <t>Percentage of operations with implemented local community engagement, impact assessments, and/or development programmes</t>
  </si>
  <si>
    <r>
      <t xml:space="preserve">We do not report the total percentage. Our industrial assets are required to identify and assess impacts, opportunities and risks throughout the lifecycle of their activities, and to have community engagement and social investment strategies in place, as applicable.
For more information, see
ESG A-Z: Stakeholder engagement, Communities;
</t>
    </r>
    <r>
      <rPr>
        <i/>
        <sz val="11"/>
        <rFont val="Calibri"/>
        <family val="2"/>
        <scheme val="minor"/>
      </rPr>
      <t>Glencore SR:</t>
    </r>
    <r>
      <rPr>
        <sz val="11"/>
        <rFont val="Calibri"/>
        <family val="2"/>
        <scheme val="minor"/>
      </rPr>
      <t xml:space="preserve">
Stakeholder engagement (pp. 18-19),
Human Rights (pp. 51-56),
Social performance (pp. 63-67)</t>
    </r>
  </si>
  <si>
    <t>MM6</t>
  </si>
  <si>
    <t>Number and description of significant disputes relating to land use, customary rights of local communities and Indigenous Peoples</t>
  </si>
  <si>
    <t>Number of significant land disputes</t>
  </si>
  <si>
    <t>EM-MM-210a.3
Discussion of engagement processes and due diligence practices with respect to human rights, indigenous rights, and operation in areas of conflict</t>
  </si>
  <si>
    <t>The previously reported land claim relating to an industrial site in South Africa, which in 2022 had been referred to the Land Claims Court, the competent body to resolve the dispute, remains pending without progress. In addition, a second land claim related to another industrial site in South Africa was referred to the Land Claims Court during 2023.
At one of our industrial assets in Australia throughout the reporting period there were two landholder disputes in the Queensland Land Court regarding land access for exploration. Both have now been resolved.</t>
  </si>
  <si>
    <t>MM7</t>
  </si>
  <si>
    <t>The extent to which grievance mechanisms were used to resolve disputes relating to land use and customary rights of local communities and Indigenous Peoples, and the outcomes</t>
  </si>
  <si>
    <t xml:space="preserve">ESG A-Z:
Stakeholder engagement,
Communities
Glencore SR:
Stakeholder engagement (pp. 18-19),
Human rights (pp. 51-56), 
Social performance (pp. 63-67)
Indigenous peoples (pp. 57-62)
</t>
  </si>
  <si>
    <t>At this stage, Glencore does not provide information on the use and outcomes of the grievance mechanisms.
To help us consistently measure and report on our contributions, we have a socio-economic contribution scorecard integrated into our existing community and stakeholder engagement systems. We require each industrial asset where we have operational control to develop and implement a local complaints and grievance mechanism. This should include a formal grievance and conflict resolution process for community members and others to make complaints and raise concerns. The process should include a system to receive, investigate, and respond to the concerns raised.</t>
  </si>
  <si>
    <t>MM8</t>
  </si>
  <si>
    <t xml:space="preserve">Number (and percentage) of company operating sites where artisanal and small scale mining takes place on, or adjacent to, the site; the associated risks and the actions taken to manage and mitigate these risks
</t>
  </si>
  <si>
    <t xml:space="preserve">ESG A-Z:
Artisanal and small-scale mining (ASM)
Glencore SR:
Human rights (pp. 51-56), 
Social performance (pp. 63-67)
</t>
  </si>
  <si>
    <t>Sites (%)</t>
  </si>
  <si>
    <t>MM9</t>
  </si>
  <si>
    <t>Sites where resettlements took place, the number of households resettled in each, and how their livelihoods where affected in the process</t>
  </si>
  <si>
    <t>Number of sites with resettlement activities</t>
  </si>
  <si>
    <t>Resettlement activities took place at Prodeco (Calenturitas)</t>
  </si>
  <si>
    <t>Number of resettled households</t>
  </si>
  <si>
    <t>MM10</t>
  </si>
  <si>
    <t>Number and percentage of operations with closure plans</t>
  </si>
  <si>
    <t>ESG A-Z:
Stakeholder engagement,
Communities
Glencore SR:
Stakeholder engagement (pp. 18-19)
Human rights (pp. 51-56), 
Social performance (pp. 63-67)</t>
  </si>
  <si>
    <r>
      <t xml:space="preserve">As required by our </t>
    </r>
    <r>
      <rPr>
        <i/>
        <sz val="11"/>
        <rFont val="Calibri"/>
        <family val="2"/>
        <scheme val="minor"/>
      </rPr>
      <t>Group Environmental Policy</t>
    </r>
    <r>
      <rPr>
        <sz val="11"/>
        <rFont val="Calibri"/>
        <family val="2"/>
        <scheme val="minor"/>
      </rPr>
      <t xml:space="preserve"> all our industrial assets must have closure plans in place.
We are looking to improve our disclosures in this area in the coming years.</t>
    </r>
  </si>
  <si>
    <t>GRI 414 Supplier social assessment 2016</t>
  </si>
  <si>
    <t>ESG A-Z:
Supply chain due diligence
Glencore SR:
Stakeholder engagement (pp. 18-19), 
Human rights (pp. 51-56),
Responsible sourcing (pp. 68-70)</t>
  </si>
  <si>
    <t>1, 2, 6, 10</t>
  </si>
  <si>
    <t>3, 5, 8</t>
  </si>
  <si>
    <t>EM-MM-210a.3
Discussion of engagement processes and due diligence practices with respect to human rights, indigenous rights, and operation in areas of conflict reserves in or near areas of conflict</t>
  </si>
  <si>
    <t>GRI 414</t>
  </si>
  <si>
    <t>414-1</t>
  </si>
  <si>
    <t>New suppliers that were screened using social criteria</t>
  </si>
  <si>
    <t>Percentage of new suppliers screened (%)</t>
  </si>
  <si>
    <t>GRI 415 Public policy 2016</t>
  </si>
  <si>
    <r>
      <rPr>
        <i/>
        <sz val="11"/>
        <rFont val="Calibri"/>
        <family val="2"/>
        <scheme val="minor"/>
      </rPr>
      <t>ESG A-Z:</t>
    </r>
    <r>
      <rPr>
        <sz val="11"/>
        <rFont val="Calibri"/>
        <family val="2"/>
        <scheme val="minor"/>
      </rPr>
      <t xml:space="preserve">
Ethics
</t>
    </r>
    <r>
      <rPr>
        <i/>
        <sz val="11"/>
        <rFont val="Calibri"/>
        <family val="2"/>
        <scheme val="minor"/>
      </rPr>
      <t xml:space="preserve">Glencore SR: </t>
    </r>
    <r>
      <rPr>
        <sz val="11"/>
        <rFont val="Calibri"/>
        <family val="2"/>
        <scheme val="minor"/>
      </rPr>
      <t xml:space="preserve">
Stakeholder engagement (pp. 18-19)
</t>
    </r>
    <r>
      <rPr>
        <i/>
        <sz val="11"/>
        <rFont val="Calibri"/>
        <family val="2"/>
        <scheme val="minor"/>
      </rPr>
      <t>Glencore AR:</t>
    </r>
    <r>
      <rPr>
        <sz val="11"/>
        <rFont val="Calibri"/>
        <family val="2"/>
        <scheme val="minor"/>
      </rPr>
      <t xml:space="preserve">
Ethics and compliance (pp. 71-74)
Stakeholder Engagement (pp. 23-28)
</t>
    </r>
    <r>
      <rPr>
        <i/>
        <sz val="11"/>
        <rFont val="Calibri"/>
        <family val="2"/>
        <scheme val="minor"/>
      </rPr>
      <t xml:space="preserve">Glencore E&amp;CR:
</t>
    </r>
    <r>
      <rPr>
        <sz val="11"/>
        <rFont val="Calibri"/>
        <family val="2"/>
        <scheme val="minor"/>
      </rPr>
      <t xml:space="preserve">Anti-corruption and bribery (pp. 72-76)
</t>
    </r>
    <r>
      <rPr>
        <i/>
        <sz val="11"/>
        <rFont val="Calibri"/>
        <family val="2"/>
        <scheme val="minor"/>
      </rPr>
      <t>Other:</t>
    </r>
    <r>
      <rPr>
        <sz val="11"/>
        <rFont val="Calibri"/>
        <family val="2"/>
        <scheme val="minor"/>
      </rPr>
      <t xml:space="preserve">
Glencore Anti-Corruption Policy,
Glencore Political Engagement Policy</t>
    </r>
  </si>
  <si>
    <t xml:space="preserve">Glencore does not permit any funds or resources to be used to contribute to any political campaign, political party, political candidate or any politically affiliated organisation. </t>
  </si>
  <si>
    <t>GRI 415</t>
  </si>
  <si>
    <t>415-1</t>
  </si>
  <si>
    <t>Political contributions</t>
  </si>
  <si>
    <t>PRODUCT RESPONSIBILITY</t>
  </si>
  <si>
    <t>GRI 416 Customer health &amp; safety 2016</t>
  </si>
  <si>
    <t xml:space="preserve">ESG A-Z: 
Supply chain due diligence
Glencore SR:
Responsible sourcing (pp. 68-70),
Stakeholder engagement (pp. 18-19)
Glencore AR:
Stakeholder Engagement (pp. 23-28)
</t>
  </si>
  <si>
    <t>7, 8, 9</t>
  </si>
  <si>
    <t>MM11</t>
  </si>
  <si>
    <t>Programmes and progress relating to materials stewardship</t>
  </si>
  <si>
    <t>Glencore SR:
Responsible sourcing (pp. 68-70)</t>
  </si>
  <si>
    <t xml:space="preserve">Progress is tracked internally, but not reported externally. </t>
  </si>
  <si>
    <t>GRI 416</t>
  </si>
  <si>
    <t>416-1</t>
  </si>
  <si>
    <t>Assessment of the health and safety impacts of product and service categories</t>
  </si>
  <si>
    <t xml:space="preserve">All our products are thoroughly assessed as part of the registration and notification process under the REACH Regulation (see eur-lex.europa.eu/legal-content/en/TXT/HTML/?uri=CELEX:02006R1907-20221217) as well as schemes in other applicable jurisdictions. </t>
  </si>
  <si>
    <t>GRI 417 Marketing and labelling 2016</t>
  </si>
  <si>
    <t>GRI 417</t>
  </si>
  <si>
    <t>417-1</t>
  </si>
  <si>
    <t>Requirements for product and service information and labelling</t>
  </si>
  <si>
    <t>Our sustainability framework requires our commodity products to conform with the regulations and good practice guidelines pertaining to the regions where we operate. This also applies to the information requirements of our products. In Europe we have prepared and submitted extensive dossiers for all substances within our products in line with REACH registration requirements, containing information on properties, environmental impacts and guidance for safe use. This information is actively sent to all our customers by means of safety data sheets. For products not subject to REACH requirements we have documented information on properties, environmental impacts and guidance for safe use and make this available to our customers as safety data sheets.</t>
  </si>
  <si>
    <t>* We refer to ‘direct / indirect greenhouse gas’ (GHG) as opposed to CO2e in this disclosure to mirror the approach followed by the Global Reporting Initiative (GRI). For purposes of this disclosure, GHG and CO2e have the same meaning.</t>
  </si>
  <si>
    <t>Δ This 2023 KPI is subject to independent Limited Assurance by Deloitte LLP under the ISAE 3000 (Revised) Standard. Refer to the Basis of Reporting 2023 for how our sustainability KPIs that are subject to assurance are defined. Deloitte LLP’s unqualified Independent Limited Assurance Report to the Directors of Glencore plc is published on page 295 of the Glencore AR and on page 74 of the Glencore SR.  </t>
  </si>
  <si>
    <t>° Unless otherwise noted, refer to the general note on restatements in the tab 'Cover page' of this ESG Data Book and GRI Index.</t>
  </si>
  <si>
    <t>Glencore ESG Data Book 2023</t>
  </si>
  <si>
    <r>
      <t>Additional information: GHG emissions applied in 2023</t>
    </r>
    <r>
      <rPr>
        <b/>
        <vertAlign val="superscript"/>
        <sz val="11"/>
        <color theme="1"/>
        <rFont val="Calibri"/>
        <family val="2"/>
        <scheme val="minor"/>
      </rPr>
      <t>1)</t>
    </r>
  </si>
  <si>
    <r>
      <t>This section contains additional information on Glencore's CO</t>
    </r>
    <r>
      <rPr>
        <vertAlign val="subscript"/>
        <sz val="11"/>
        <rFont val="Calibri"/>
        <family val="2"/>
        <scheme val="minor"/>
      </rPr>
      <t>2</t>
    </r>
    <r>
      <rPr>
        <sz val="11"/>
        <rFont val="Calibri"/>
        <family val="2"/>
        <scheme val="minor"/>
      </rPr>
      <t xml:space="preserve">e emissions reporting and performance. The information is complementary to Glencore's climate change disclosures as part of the Glencore CTAP, Glencore AR, Glencore SR and the 'GRI' tab of this ESG Data Book and GRI Index.
Unless otherwise stated, we have given consideration to the GHG Protocol’s Corporate Standard (including Scope 2 Guidance) and the Corporate Value Chain (Scope 3) Standard in formulating our approach to calculating the emissions that we report on. The boundaries and scope of our emissions reporting are set out in the </t>
    </r>
    <r>
      <rPr>
        <i/>
        <sz val="11"/>
        <rFont val="Calibri"/>
        <family val="2"/>
        <scheme val="minor"/>
      </rPr>
      <t xml:space="preserve">About our emissions calculations and reporting </t>
    </r>
    <r>
      <rPr>
        <sz val="11"/>
        <rFont val="Calibri"/>
        <family val="2"/>
        <scheme val="minor"/>
      </rPr>
      <t>section on page 53 of our Glencore AR and our Glencore BOR at https://www.glencore.com/publications. 
° For information about restatements of our GHG data and our GHG emissions accounting refer to the About our emissions calculations and reporting section on page 53 of the Glencore AR and the Glencore BOR at glencore.com/publications. Please also refer to Management of material topics under GRI 305 3-3 in the 'GRI' tab regarding the restatement of our baseline and see the 'Cover page' tab for further information on restatements in relation to this ESG Data Book and GRI Index.</t>
    </r>
  </si>
  <si>
    <t>Indicator</t>
  </si>
  <si>
    <t>2019 (restated) °</t>
  </si>
  <si>
    <t>2020 (restated) °</t>
  </si>
  <si>
    <t>2021 (restated) °</t>
  </si>
  <si>
    <t>2022 (restated) °</t>
  </si>
  <si>
    <t>GHG emission factors - Scope 1</t>
  </si>
  <si>
    <t>Region</t>
  </si>
  <si>
    <t>Type</t>
  </si>
  <si>
    <t>Greenhouse Gas</t>
  </si>
  <si>
    <t>Value</t>
  </si>
  <si>
    <t>Unit</t>
  </si>
  <si>
    <t>Description</t>
  </si>
  <si>
    <t>Global</t>
  </si>
  <si>
    <t>Natural Gas</t>
  </si>
  <si>
    <t>Carbon Dioxide</t>
  </si>
  <si>
    <t>kg GHG/TJ</t>
  </si>
  <si>
    <t>GHG Protocol Cross-Sector Tools - Stationary Combustion - (March 2017).</t>
  </si>
  <si>
    <t>Methane</t>
  </si>
  <si>
    <t>Nitrous Oxide</t>
  </si>
  <si>
    <t>Residual fuel oil</t>
  </si>
  <si>
    <t>kg GHG/t (metric)</t>
  </si>
  <si>
    <t>Anthracite</t>
  </si>
  <si>
    <t>Coke oven coke</t>
  </si>
  <si>
    <t>Other kerosene</t>
  </si>
  <si>
    <t>kg GHG/L</t>
  </si>
  <si>
    <t>Gas/Diesel oil</t>
  </si>
  <si>
    <t>Naphtha</t>
  </si>
  <si>
    <t>Liquified Petroleum Gases</t>
  </si>
  <si>
    <t>Gasoline/Petrol</t>
  </si>
  <si>
    <t>kg GHG/gal (US)</t>
  </si>
  <si>
    <t>GHG Protocol Cross-Sector Tools - Transport Fuel Use - (March 2017).</t>
  </si>
  <si>
    <t>On-Road Diesel Fuel</t>
  </si>
  <si>
    <t>Heavy fuel oil</t>
  </si>
  <si>
    <t>Methane combusted</t>
  </si>
  <si>
    <t>t GHG (metric)/t (metric)</t>
  </si>
  <si>
    <t>Australian National Greenhouse Accounts (NGA) factors 2006 - Table 2.3: (Coal mine waste gas that is captured for combustion).</t>
  </si>
  <si>
    <t>Limestone flux reductant</t>
  </si>
  <si>
    <r>
      <t>CO</t>
    </r>
    <r>
      <rPr>
        <vertAlign val="subscript"/>
        <sz val="11"/>
        <color theme="1"/>
        <rFont val="Calibri"/>
        <family val="2"/>
        <scheme val="minor"/>
      </rPr>
      <t>2</t>
    </r>
    <r>
      <rPr>
        <sz val="11"/>
        <color theme="1"/>
        <rFont val="Calibri"/>
        <family val="2"/>
        <scheme val="minor"/>
      </rPr>
      <t>e</t>
    </r>
  </si>
  <si>
    <t>kg GHG/kg</t>
  </si>
  <si>
    <t>GHG Protocol sector specific - Iron and steel 2008.</t>
  </si>
  <si>
    <t>GHG emission factors - Scope 2, purchased electricity grid emission factors</t>
  </si>
  <si>
    <t>Canada - Nova Scotia</t>
  </si>
  <si>
    <t>Purchased electricity</t>
  </si>
  <si>
    <t>g GHG/kWh</t>
  </si>
  <si>
    <t xml:space="preserve">National Inventory Report 1990 - 2021, Canada's 2023 UNFCCC Submission, Part 3, Table A13-4, CO2/CH4/N2O intensity (g CO2/kWh), representing emission factors for 2021. </t>
  </si>
  <si>
    <t>Canada - New Brunswick</t>
  </si>
  <si>
    <t>Canada - Quebec</t>
  </si>
  <si>
    <t>Canada - Ontario</t>
  </si>
  <si>
    <t>Canada - British Columbia</t>
  </si>
  <si>
    <t>US Egrid - ERCT</t>
  </si>
  <si>
    <t>lb GHG/MWh</t>
  </si>
  <si>
    <t>United States Environmental Protection Agency (EPA). 2023. 'eGRID2023, US EPA, Clean Air Markets Division, Washington, DC 20460. Available from EPA’s eGRID web site: https://www.epa.gov/energy/egrid, representing emission factors for 2021.</t>
  </si>
  <si>
    <t>US Egrid - CAMX</t>
  </si>
  <si>
    <t>US Egrid - NEWE</t>
  </si>
  <si>
    <t>US Egrid - NWPP</t>
  </si>
  <si>
    <t>Australia - New South Wales</t>
  </si>
  <si>
    <t>Australian National Greenhouse Account Factors: 2023, Table 1 'Indirect (Scope 2 and Scope 3) emissions from consumption of purchased electricity from a grid, representing emission factors for 2023.</t>
  </si>
  <si>
    <t>Australia - Queensland</t>
  </si>
  <si>
    <t>Australia -  Western Australia</t>
  </si>
  <si>
    <t>Australia - Northern Territory</t>
  </si>
  <si>
    <t>New Caledonia</t>
  </si>
  <si>
    <t>Rapport d’activité 2021 relatif à la mise en oevre du schema pour la transition energetique de la Nouvelle-Caledonie, Edition 2021, Gouvernement de la Nouvelle Calédonie.</t>
  </si>
  <si>
    <t>Argentina</t>
  </si>
  <si>
    <t>External dissemination of any IEA data requires specific permission which is why the relevant emission factors are not disclosed in this ESG Data Book.</t>
  </si>
  <si>
    <t>Source: IEA Emission Factors, 2023 Edition, tab CO2KWH ELE, product 'Total'. This represents the latest emission factor available in 2023 for the year 2021.
External dissemination of any IEA data requires specific permission which is why the relevant emission factors are not disclosed in this ESG Data Book.</t>
  </si>
  <si>
    <t>Bolivia</t>
  </si>
  <si>
    <t>Chile</t>
  </si>
  <si>
    <t>Colombia</t>
  </si>
  <si>
    <t>Democratic Republic of the Congo</t>
  </si>
  <si>
    <t>Germany</t>
  </si>
  <si>
    <t>Italy</t>
  </si>
  <si>
    <t>Kazakhstan</t>
  </si>
  <si>
    <t>Norway</t>
  </si>
  <si>
    <t>Peru</t>
  </si>
  <si>
    <t>South Africa</t>
  </si>
  <si>
    <t>Spain</t>
  </si>
  <si>
    <t>United Kingdom</t>
  </si>
  <si>
    <t>Zambia</t>
  </si>
  <si>
    <r>
      <t>Global warming potential (GWP)</t>
    </r>
    <r>
      <rPr>
        <b/>
        <vertAlign val="superscript"/>
        <sz val="12"/>
        <color theme="0"/>
        <rFont val="Calibri"/>
        <family val="2"/>
        <scheme val="minor"/>
      </rPr>
      <t>2)</t>
    </r>
    <r>
      <rPr>
        <b/>
        <sz val="12"/>
        <color theme="0"/>
        <rFont val="Calibri"/>
        <family val="2"/>
        <scheme val="minor"/>
      </rPr>
      <t xml:space="preserve"> values relative to CO</t>
    </r>
    <r>
      <rPr>
        <b/>
        <vertAlign val="subscript"/>
        <sz val="11"/>
        <color theme="0"/>
        <rFont val="Calibri"/>
        <family val="2"/>
        <scheme val="minor"/>
      </rPr>
      <t>2</t>
    </r>
  </si>
  <si>
    <t>Chemical formula</t>
  </si>
  <si>
    <t>Global warming potential</t>
  </si>
  <si>
    <r>
      <t>CO</t>
    </r>
    <r>
      <rPr>
        <vertAlign val="subscript"/>
        <sz val="11"/>
        <color theme="1"/>
        <rFont val="Calibri"/>
        <family val="2"/>
        <scheme val="minor"/>
      </rPr>
      <t>2</t>
    </r>
  </si>
  <si>
    <t>Carbon dioxide</t>
  </si>
  <si>
    <r>
      <t>g CO</t>
    </r>
    <r>
      <rPr>
        <vertAlign val="subscript"/>
        <sz val="11"/>
        <color theme="1"/>
        <rFont val="Calibri"/>
        <family val="2"/>
        <scheme val="minor"/>
      </rPr>
      <t>2</t>
    </r>
    <r>
      <rPr>
        <sz val="11"/>
        <color theme="1"/>
        <rFont val="Calibri"/>
        <family val="2"/>
        <scheme val="minor"/>
      </rPr>
      <t>e/g CO</t>
    </r>
    <r>
      <rPr>
        <vertAlign val="subscript"/>
        <sz val="11"/>
        <color theme="1"/>
        <rFont val="Calibri"/>
        <family val="2"/>
        <scheme val="minor"/>
      </rPr>
      <t>2</t>
    </r>
  </si>
  <si>
    <t>IPCC Sixth Assessment Report, 2021 (AR6), GWP values for 100-year time horizon.</t>
  </si>
  <si>
    <r>
      <t>CH</t>
    </r>
    <r>
      <rPr>
        <vertAlign val="subscript"/>
        <sz val="11"/>
        <color theme="1"/>
        <rFont val="Calibri"/>
        <family val="2"/>
        <scheme val="minor"/>
      </rPr>
      <t>4</t>
    </r>
  </si>
  <si>
    <r>
      <t>g CO</t>
    </r>
    <r>
      <rPr>
        <vertAlign val="subscript"/>
        <sz val="11"/>
        <color theme="1"/>
        <rFont val="Calibri"/>
        <family val="2"/>
        <scheme val="minor"/>
      </rPr>
      <t>2</t>
    </r>
    <r>
      <rPr>
        <sz val="11"/>
        <color theme="1"/>
        <rFont val="Calibri"/>
        <family val="2"/>
        <scheme val="minor"/>
      </rPr>
      <t>e/g CH</t>
    </r>
    <r>
      <rPr>
        <vertAlign val="subscript"/>
        <sz val="11"/>
        <color theme="1"/>
        <rFont val="Calibri"/>
        <family val="2"/>
        <scheme val="minor"/>
      </rPr>
      <t>4</t>
    </r>
  </si>
  <si>
    <r>
      <t>N</t>
    </r>
    <r>
      <rPr>
        <vertAlign val="subscript"/>
        <sz val="11"/>
        <color theme="1"/>
        <rFont val="Calibri"/>
        <family val="2"/>
        <scheme val="minor"/>
      </rPr>
      <t>2</t>
    </r>
    <r>
      <rPr>
        <sz val="11"/>
        <color theme="1"/>
        <rFont val="Calibri"/>
        <family val="2"/>
        <scheme val="minor"/>
      </rPr>
      <t>O</t>
    </r>
  </si>
  <si>
    <t>Nitrous oxide</t>
  </si>
  <si>
    <r>
      <t>g CO</t>
    </r>
    <r>
      <rPr>
        <vertAlign val="subscript"/>
        <sz val="11"/>
        <color theme="1"/>
        <rFont val="Calibri"/>
        <family val="2"/>
        <scheme val="minor"/>
      </rPr>
      <t>2</t>
    </r>
    <r>
      <rPr>
        <sz val="11"/>
        <color theme="1"/>
        <rFont val="Calibri"/>
        <family val="2"/>
        <scheme val="minor"/>
      </rPr>
      <t>e/g N</t>
    </r>
    <r>
      <rPr>
        <vertAlign val="subscript"/>
        <sz val="11"/>
        <color theme="1"/>
        <rFont val="Calibri"/>
        <family val="2"/>
        <scheme val="minor"/>
      </rPr>
      <t>2</t>
    </r>
    <r>
      <rPr>
        <sz val="11"/>
        <color theme="1"/>
        <rFont val="Calibri"/>
        <family val="2"/>
        <scheme val="minor"/>
      </rPr>
      <t>O</t>
    </r>
  </si>
  <si>
    <t>Additional GHG emissions information: participation in emission trading schemes in 2023</t>
  </si>
  <si>
    <t>Emission trading scheme name</t>
  </si>
  <si>
    <t>Carbon allowances allocated</t>
  </si>
  <si>
    <t>Carbon allowances purchased</t>
  </si>
  <si>
    <r>
      <t>Verified emissions (t CO</t>
    </r>
    <r>
      <rPr>
        <b/>
        <vertAlign val="subscript"/>
        <sz val="11"/>
        <color theme="1"/>
        <rFont val="Calibri"/>
        <family val="2"/>
        <scheme val="minor"/>
      </rPr>
      <t>2</t>
    </r>
    <r>
      <rPr>
        <b/>
        <sz val="11"/>
        <color theme="1"/>
        <rFont val="Calibri"/>
        <family val="2"/>
        <scheme val="minor"/>
      </rPr>
      <t>e)</t>
    </r>
  </si>
  <si>
    <t>European Union ETS</t>
  </si>
  <si>
    <t>Zinc industrial assets in Germany, Italy and Spain.</t>
  </si>
  <si>
    <t>Quebec cap and trade system</t>
  </si>
  <si>
    <t>Copper, Zinc and Nickel industrial assets in Quebec and Ontario, Canada.</t>
  </si>
  <si>
    <t>Additional GHG emissions information: break down of coal production by mine type</t>
  </si>
  <si>
    <t>Mine type</t>
  </si>
  <si>
    <t>Underground</t>
  </si>
  <si>
    <t>Percentage of coal production from underground operations.</t>
  </si>
  <si>
    <t>Surface</t>
  </si>
  <si>
    <t>Percentage of coal production from surface operations.</t>
  </si>
  <si>
    <t>1) We refer to ‘direct / indirect greenhouse gas’ (GHG) as opposed to CO2e in this 'GRI - Climate' tab to mirror the approach followed by the Global Reporting Initiative (GRI). For purposes of this 'GRI - Climate' tab, GHG and CO2e have the same meaning.</t>
  </si>
  <si>
    <t>2) Our CO2e emissions have been amended to apply the GWP values for a 100-year time horizon of the IPCC’s Sixth Assessment Report, 2021 (AR6), where the granularity of the published emission factors allows such a conversion, except for certain CO2e emissions from the extraction of coal and decommissioned coal mines, which still apply the GWPs from the IPCC’s Fifth Assessment Report (AR5).</t>
  </si>
  <si>
    <t>Additional information: Water*</t>
  </si>
  <si>
    <t>Water metrics, by source/destination in mega liters (ML), 2019-2023</t>
  </si>
  <si>
    <t>Metric</t>
  </si>
  <si>
    <t>Sub-metric</t>
  </si>
  <si>
    <t>Source/destination/type</t>
  </si>
  <si>
    <t>Water input</t>
  </si>
  <si>
    <t>Operational water withdrawal</t>
  </si>
  <si>
    <r>
      <t>Surface water</t>
    </r>
    <r>
      <rPr>
        <vertAlign val="superscript"/>
        <sz val="11"/>
        <color theme="1"/>
        <rFont val="Calibri"/>
        <family val="2"/>
        <scheme val="minor"/>
      </rPr>
      <t>1)</t>
    </r>
  </si>
  <si>
    <r>
      <t>Groundwater</t>
    </r>
    <r>
      <rPr>
        <vertAlign val="superscript"/>
        <sz val="11"/>
        <color theme="1"/>
        <rFont val="Calibri"/>
        <family val="2"/>
        <scheme val="minor"/>
      </rPr>
      <t>2)</t>
    </r>
  </si>
  <si>
    <r>
      <t>Sea water</t>
    </r>
    <r>
      <rPr>
        <vertAlign val="superscript"/>
        <sz val="11"/>
        <color theme="1"/>
        <rFont val="Calibri"/>
        <family val="2"/>
        <scheme val="minor"/>
      </rPr>
      <t>3)</t>
    </r>
  </si>
  <si>
    <r>
      <t>Third-party water</t>
    </r>
    <r>
      <rPr>
        <vertAlign val="superscript"/>
        <sz val="11"/>
        <color theme="1"/>
        <rFont val="Calibri"/>
        <family val="2"/>
        <scheme val="minor"/>
      </rPr>
      <t>4)</t>
    </r>
  </si>
  <si>
    <t>Subtotal</t>
  </si>
  <si>
    <t>Other Managed Water (OMW)  ̶  withdrawn</t>
  </si>
  <si>
    <t>OMW  ̶  withdrawn</t>
  </si>
  <si>
    <t>Operational water + OMW  ̶  input</t>
  </si>
  <si>
    <t>Operational water discharge</t>
  </si>
  <si>
    <r>
      <t>Groundwater</t>
    </r>
    <r>
      <rPr>
        <vertAlign val="superscript"/>
        <sz val="11"/>
        <color theme="1"/>
        <rFont val="Calibri"/>
        <family val="2"/>
        <scheme val="minor"/>
      </rPr>
      <t>5)</t>
    </r>
  </si>
  <si>
    <r>
      <t>Sea water</t>
    </r>
    <r>
      <rPr>
        <vertAlign val="superscript"/>
        <sz val="11"/>
        <color theme="1"/>
        <rFont val="Calibri"/>
        <family val="2"/>
        <scheme val="minor"/>
      </rPr>
      <t xml:space="preserve">3) </t>
    </r>
  </si>
  <si>
    <r>
      <t>Supply to third party</t>
    </r>
    <r>
      <rPr>
        <vertAlign val="superscript"/>
        <sz val="11"/>
        <color theme="1"/>
        <rFont val="Calibri"/>
        <family val="2"/>
        <scheme val="minor"/>
      </rPr>
      <t>6)</t>
    </r>
  </si>
  <si>
    <r>
      <t xml:space="preserve">Subtotal </t>
    </r>
    <r>
      <rPr>
        <b/>
        <vertAlign val="superscript"/>
        <sz val="11"/>
        <color theme="1"/>
        <rFont val="Calibri"/>
        <family val="2"/>
        <scheme val="minor"/>
      </rPr>
      <t xml:space="preserve">Δ </t>
    </r>
  </si>
  <si>
    <t>Other Managed Water (OMW)  ̶  discharged</t>
  </si>
  <si>
    <t>OMW  ̶  discharged</t>
  </si>
  <si>
    <t>Total discharge, including OMW</t>
  </si>
  <si>
    <t>Other metrics</t>
  </si>
  <si>
    <r>
      <t>Water consumption</t>
    </r>
    <r>
      <rPr>
        <b/>
        <vertAlign val="superscript"/>
        <sz val="11"/>
        <color theme="1"/>
        <rFont val="Calibri"/>
        <family val="2"/>
        <scheme val="minor"/>
      </rPr>
      <t>7)</t>
    </r>
  </si>
  <si>
    <t>Evaporation</t>
  </si>
  <si>
    <r>
      <t>Entrainment</t>
    </r>
    <r>
      <rPr>
        <vertAlign val="superscript"/>
        <sz val="11"/>
        <color theme="1"/>
        <rFont val="Calibri"/>
        <family val="2"/>
        <scheme val="minor"/>
      </rPr>
      <t>8)</t>
    </r>
  </si>
  <si>
    <t>Other Managed Water (OMW)  ̶  consumed</t>
  </si>
  <si>
    <r>
      <t>Total water consumption</t>
    </r>
    <r>
      <rPr>
        <b/>
        <vertAlign val="superscript"/>
        <sz val="11"/>
        <color theme="1"/>
        <rFont val="Calibri"/>
        <family val="2"/>
        <scheme val="minor"/>
      </rPr>
      <t>7)</t>
    </r>
  </si>
  <si>
    <t>Water use, reuse, recycling, in storage</t>
  </si>
  <si>
    <t>Water use</t>
  </si>
  <si>
    <t>Water reuse/recycling</t>
  </si>
  <si>
    <r>
      <t>Change in Storage</t>
    </r>
    <r>
      <rPr>
        <vertAlign val="superscript"/>
        <sz val="11"/>
        <color theme="1"/>
        <rFont val="Calibri"/>
        <family val="2"/>
        <scheme val="minor"/>
      </rPr>
      <t>9)</t>
    </r>
  </si>
  <si>
    <t>GRI/ICMM water metrics, by source/destination, quality and water-stressed areas in mega liters (ML), 2023</t>
  </si>
  <si>
    <t>Source/Destination/ Type</t>
  </si>
  <si>
    <t>All Operations</t>
  </si>
  <si>
    <r>
      <t>Operations in Water-Stressed Areas</t>
    </r>
    <r>
      <rPr>
        <b/>
        <vertAlign val="superscript"/>
        <sz val="11"/>
        <color theme="1"/>
        <rFont val="Calibri"/>
        <family val="2"/>
        <scheme val="minor"/>
      </rPr>
      <t>10)</t>
    </r>
  </si>
  <si>
    <t>Volume of water by quality</t>
  </si>
  <si>
    <r>
      <t>High</t>
    </r>
    <r>
      <rPr>
        <b/>
        <vertAlign val="superscript"/>
        <sz val="11"/>
        <color theme="1"/>
        <rFont val="Calibri"/>
        <family val="2"/>
        <scheme val="minor"/>
      </rPr>
      <t>11)</t>
    </r>
  </si>
  <si>
    <r>
      <t>Low</t>
    </r>
    <r>
      <rPr>
        <b/>
        <vertAlign val="superscript"/>
        <sz val="11"/>
        <color theme="1"/>
        <rFont val="Calibri"/>
        <family val="2"/>
        <scheme val="minor"/>
      </rPr>
      <t>12)</t>
    </r>
  </si>
  <si>
    <t>Total</t>
  </si>
  <si>
    <r>
      <t>Water stress</t>
    </r>
    <r>
      <rPr>
        <b/>
        <vertAlign val="superscript"/>
        <sz val="11"/>
        <color theme="0"/>
        <rFont val="Calibri"/>
        <family val="2"/>
        <scheme val="minor"/>
      </rPr>
      <t>10)</t>
    </r>
    <r>
      <rPr>
        <b/>
        <sz val="11"/>
        <color theme="0"/>
        <rFont val="Calibri"/>
        <family val="2"/>
        <scheme val="minor"/>
      </rPr>
      <t xml:space="preserve"> exposure (all industrial sites), 2023</t>
    </r>
  </si>
  <si>
    <t>Proportion of industrial sites situated in water stressed areas</t>
  </si>
  <si>
    <t xml:space="preserve">* For explanations regarding restatements of previous years' data refer to the tab 'Cover page' as well as to section GRI 303 Water and effluents of the 'GRI' tab of this ESG Data Book and GRI Index. For further details regarding our definitions refer also to the Glencore BOR. </t>
  </si>
  <si>
    <t>1) Water extracted from / discharged to rivers, creeks and wetlands that may or may not run through the industrial site and water extracted from / discharged to dams and lakes that are external to the site. Surface water withdrawn includes precipitation directly or indirectly captured in our water dams and ponds, as well as precipitation that requires treatment ahead of discharge to meet applicable discharge limits. This excludes water imported from / exported to Glencore internal water sharing networks.</t>
  </si>
  <si>
    <t>2) Water extracted from bores (wells) or as part of ore body dewatering (aquifer interception or dewatering) in mining operations that is not diverted around the operations. This includes water that is entrained in ore extracted from the ground. Aligned with ICMM, water entrained in ore extracted from the ground is considered to be part of withdrawal from groundwater (not as produced water).</t>
  </si>
  <si>
    <t xml:space="preserve">3) Water that is extracted from / discharged to the sea or ocean, including saline estuaries. </t>
  </si>
  <si>
    <t>4) Water purchased or traded that is potable (suitable for drinking) according to the regional requirements and water imported from a company or a treatment facility external to the industrial site that is not potable.</t>
  </si>
  <si>
    <t xml:space="preserve">5) Water that is discharged to groundwater. </t>
  </si>
  <si>
    <t>6) Water discharged to offsite treatment / disposal locations and water exported to external parties for usage.</t>
  </si>
  <si>
    <t>7) Aligned with ICMM definitions, consumption is the sum of water removed by evaporation, entrainment (in product and waste) and other losses. To maximise transparency, consumption does not include any change in storage (delta storage), which is reported as a separate value.</t>
  </si>
  <si>
    <t>8) Water that is entrained in waste or final products.</t>
  </si>
  <si>
    <t>9) The net change (positive or negative) in the volume of water in storage during the reporting period. Aligned with ICMM recommendations, the change in storage volume is reported to allow transparency of the overall water balance; and does not indicate an associated water-related impact.</t>
  </si>
  <si>
    <t>10) Water stressed areas are regions of high or extremely high water stress or that are classified as arid &amp; low water use according to the WRI’s Aqueduct Water Risk Atlas.</t>
  </si>
  <si>
    <t>11) High quality water – water with high socio-environmental value with multiple potential beneficial uses and/or receptors, including water supply for drinking, agriculture, food production, amenity value, that may require minimal to moderate level of treatment to meet appropriate drinking water standards.</t>
  </si>
  <si>
    <t>12) Low quality water – water with lower socio-environmental value as the poorer quality may restrict potential suitability for use by a wide range of other users/receptors, excluding potential industrial uses and adapted ecosystem function (e.g. industrial, wastewater and seawater) that would require significant treatment to raise quality to appropriate drinking water standards.</t>
  </si>
  <si>
    <t>Additional information: Health and safety*</t>
  </si>
  <si>
    <t>Safety performance, 2019-2023</t>
  </si>
  <si>
    <r>
      <t>Fatality frequency rate (FFR)</t>
    </r>
    <r>
      <rPr>
        <vertAlign val="superscript"/>
        <sz val="11"/>
        <color theme="1"/>
        <rFont val="Calibri"/>
        <family val="2"/>
        <scheme val="minor"/>
      </rPr>
      <t>1)</t>
    </r>
  </si>
  <si>
    <r>
      <t>High-consequence work-related injuries</t>
    </r>
    <r>
      <rPr>
        <vertAlign val="superscript"/>
        <sz val="11"/>
        <color theme="1"/>
        <rFont val="Calibri"/>
        <family val="2"/>
        <scheme val="minor"/>
      </rPr>
      <t>1)</t>
    </r>
  </si>
  <si>
    <r>
      <t>High-consequence work-related injuries frequency rate</t>
    </r>
    <r>
      <rPr>
        <vertAlign val="superscript"/>
        <sz val="11"/>
        <color theme="1"/>
        <rFont val="Calibri"/>
        <family val="2"/>
        <scheme val="minor"/>
      </rPr>
      <t>2)</t>
    </r>
  </si>
  <si>
    <r>
      <t>High potential risk incidents (HPRIs)</t>
    </r>
    <r>
      <rPr>
        <vertAlign val="superscript"/>
        <sz val="11"/>
        <color theme="1"/>
        <rFont val="Calibri"/>
        <family val="2"/>
        <scheme val="minor"/>
      </rPr>
      <t>3)</t>
    </r>
  </si>
  <si>
    <t>Safety performance by employees, contractors and total workforce, 2023</t>
  </si>
  <si>
    <t>Total workforce</t>
  </si>
  <si>
    <t>Occupational diseases by type, 2019-2023</t>
  </si>
  <si>
    <r>
      <t>Occupational disease rate</t>
    </r>
    <r>
      <rPr>
        <vertAlign val="superscript"/>
        <sz val="11"/>
        <color theme="1"/>
        <rFont val="Calibri"/>
        <family val="2"/>
        <scheme val="minor"/>
      </rPr>
      <t>2)</t>
    </r>
  </si>
  <si>
    <t>Mental and behavioural disorders</t>
  </si>
  <si>
    <t>Diseases of the nervous system</t>
  </si>
  <si>
    <t>Diseases of the ear and mastoid process</t>
  </si>
  <si>
    <t>Diseases of the circulatory system</t>
  </si>
  <si>
    <t>Diseases of the respiratory system</t>
  </si>
  <si>
    <t>Diseases of the skin and subcutaneous tissue</t>
  </si>
  <si>
    <t>Diseases of the musculoskeletal system and connective tissue</t>
  </si>
  <si>
    <t>Other</t>
  </si>
  <si>
    <t>Total occupational diseases</t>
  </si>
  <si>
    <t>Occupational diseases, by employees, contractors and total workforce, 2023</t>
  </si>
  <si>
    <r>
      <t>Occupational disease frequency rate (ODFR)</t>
    </r>
    <r>
      <rPr>
        <vertAlign val="superscript"/>
        <sz val="11"/>
        <color theme="1"/>
        <rFont val="Calibri"/>
        <family val="2"/>
        <scheme val="minor"/>
      </rPr>
      <t>1)</t>
    </r>
  </si>
  <si>
    <r>
      <t xml:space="preserve">Health and safety performance frequency rates per 200,000 hours worked, 2019-2023 </t>
    </r>
    <r>
      <rPr>
        <b/>
        <sz val="11"/>
        <color theme="0"/>
        <rFont val="Calibri"/>
        <family val="2"/>
        <scheme val="minor"/>
      </rPr>
      <t>[SASB basis]</t>
    </r>
  </si>
  <si>
    <t>Fatality frequency rate (FFR)</t>
  </si>
  <si>
    <t>Total recordable incident frequency rate (TRIFR)</t>
  </si>
  <si>
    <t>High-consequence work-related injuries frequency rate</t>
  </si>
  <si>
    <t>Occupational disease frequency rate (ODFR)</t>
  </si>
  <si>
    <t xml:space="preserve">* For explanations regarding restatements of previous years' data refer to the tab 'Cover page' as well as to section GRI 403 Occupational health &amp; safety of the 'GRI' tab of this ESG Data Book and GRI Index. For further details regarding our definitions refer also to the Glencore BOR. </t>
  </si>
  <si>
    <t>1) The frequency rate is the number of occurrences per million hours worked.</t>
  </si>
  <si>
    <t>2) High-consequence work-related injuries are work-related injuries that result in an injury from which the worker cannot, does not, or is not expected to recover fully to pre-injury health status within 180 days.</t>
  </si>
  <si>
    <t>3) High-potential risk incidents (HPRIs) are incidents (including zero energy events) that could have likely resulted in major or catastrophic HSEC&amp;HR consequences. We classify the severity of incidents against a five-point scale, 1: negligible, 2: minor, 3: moderate, 4: major, and 5: catastrophic. For further information refer to our Group Reporting Glossary available at https://www.glencore.com/publications.</t>
  </si>
  <si>
    <t>Glencore ESG Data Book 2023*</t>
  </si>
  <si>
    <r>
      <t xml:space="preserve">Additional information: Our people </t>
    </r>
    <r>
      <rPr>
        <b/>
        <vertAlign val="superscript"/>
        <sz val="11"/>
        <color theme="1"/>
        <rFont val="Calibri"/>
        <family val="2"/>
        <scheme val="minor"/>
      </rPr>
      <t>1), 2)</t>
    </r>
  </si>
  <si>
    <t>Total employees &amp; contractors 2019-2023</t>
  </si>
  <si>
    <t>Total Workforce</t>
  </si>
  <si>
    <t>Total employees &amp; contractors by region / share of employees &amp; contractors in 2023</t>
  </si>
  <si>
    <t>Asia</t>
  </si>
  <si>
    <t>Europe</t>
  </si>
  <si>
    <t>South America</t>
  </si>
  <si>
    <t>Share</t>
  </si>
  <si>
    <t>Employees by contract type, gender and region / share by contract type and gender in 2023</t>
  </si>
  <si>
    <t>Permanent employees - female</t>
  </si>
  <si>
    <t>Permanent employees - male</t>
  </si>
  <si>
    <t>Temporary employees -  female</t>
  </si>
  <si>
    <t>Temporary employees -  male</t>
  </si>
  <si>
    <t>Total female</t>
  </si>
  <si>
    <t>Total male</t>
  </si>
  <si>
    <t>Employees by employment type, gender and region in 2023</t>
  </si>
  <si>
    <t>Full-time - female</t>
  </si>
  <si>
    <t>Full-time - male</t>
  </si>
  <si>
    <t>Part-time - female</t>
  </si>
  <si>
    <t>Part-time - male</t>
  </si>
  <si>
    <t>Casual - female</t>
  </si>
  <si>
    <t>Casual - male</t>
  </si>
  <si>
    <t>Employees by age group, gender and region / share by age group in 2023</t>
  </si>
  <si>
    <t>Females &lt; 30 years</t>
  </si>
  <si>
    <t>Males &lt; 30 years</t>
  </si>
  <si>
    <t>Females 30-50  years</t>
  </si>
  <si>
    <t>Males 30-50  years</t>
  </si>
  <si>
    <t>Females &gt; 50 years</t>
  </si>
  <si>
    <t>Males &gt; 50 years</t>
  </si>
  <si>
    <t>Total employees by role type and gender / share by role type in 2023</t>
  </si>
  <si>
    <t>Role type</t>
  </si>
  <si>
    <t>Female</t>
  </si>
  <si>
    <t>Male</t>
  </si>
  <si>
    <t>Operational - production, maintenance</t>
  </si>
  <si>
    <t>Middle management</t>
  </si>
  <si>
    <t>Senior management</t>
  </si>
  <si>
    <t>Executive management</t>
  </si>
  <si>
    <t>New employees hires by gender, age group and region / share by country in 2023</t>
  </si>
  <si>
    <t>New hires - female</t>
  </si>
  <si>
    <t>New hires - male</t>
  </si>
  <si>
    <t>New hires &lt; 30 years</t>
  </si>
  <si>
    <t>New hires 30-50  years</t>
  </si>
  <si>
    <t>New hires &gt; 50 years</t>
  </si>
  <si>
    <t>New hires - total</t>
  </si>
  <si>
    <t>New hires - Percent</t>
  </si>
  <si>
    <t>Employees turnover by gender, age group and region / share by country in 2023</t>
  </si>
  <si>
    <t>Turnover - female</t>
  </si>
  <si>
    <t>Turnover - male</t>
  </si>
  <si>
    <t>Turnover &lt; 30 years</t>
  </si>
  <si>
    <t>Turnover 30-50  years</t>
  </si>
  <si>
    <t>Turnover &gt; 50 years</t>
  </si>
  <si>
    <t>Turnover - total</t>
  </si>
  <si>
    <t>Turnover - Percent</t>
  </si>
  <si>
    <t>1) We base our workforce numbers on their end of year status (as at 31 December). As a result, these figures do not include workforce data from industrial assets that were disposed of during the year.</t>
  </si>
  <si>
    <t>2) Until 2022 we reported our employee data based on a headcount approach and our contractor data based on a full-time equivalent (FTE) approach. Since 2023, employee and contractor numbers are reported as headcount data.</t>
  </si>
  <si>
    <t>* We do not identify whether data has been restated in the 'Our people' tab.</t>
  </si>
  <si>
    <t>Disclosure according to ICMM Social and Economic Reporting Framework and Guidance, 2022</t>
  </si>
  <si>
    <t>Core indicator</t>
  </si>
  <si>
    <t xml:space="preserve"> Disclosure</t>
  </si>
  <si>
    <t>GRI Standards or other Reporting Framework Reference</t>
  </si>
  <si>
    <t>Financial payments</t>
  </si>
  <si>
    <t>1. Country-by-country reporting of business activities, revenues, profit and tax</t>
  </si>
  <si>
    <t xml:space="preserve">Financial, economic, and tax-related information for each jurisdiction in which a member operates. </t>
  </si>
  <si>
    <t>Glencore prepares a country-by-country report that aggregates tax information per country relating to the global allocation of income, taxes paid and other indicators. Data is reported by project and by region as shown. Glencore also lodges an OECD Base Erosion and Profit Shifting (BEPS) Action 13 report with the Swiss Tax Authorities.
We will report on our further progress regarding this disclosure next year.</t>
  </si>
  <si>
    <t>GRI 207-4, OECD BEPS Country-by-Country reporting template.</t>
  </si>
  <si>
    <t>Employment</t>
  </si>
  <si>
    <t>2. Workforce composition</t>
  </si>
  <si>
    <t>Companies to provide information on their employees and other workers including:
- Total direct workforce split by region;
- Proportion of permanent vs contractor workforce;
- For direct workforce only – the  percentage (%) of employees per employee category, by age group, gender and  other indicators of diversity (eg ethnicity), as deemed appropriate by the company and its operating context.</t>
  </si>
  <si>
    <t xml:space="preserve">Refer to tab 'Our people' in this ESG Data Book and GRI Index.
The breakdown of workforce composition by ethnicity is currently unavailable on a Group wide level. Glencore has around 150,000 employees and contractors in over 35 countries around the world. Each country poses a different regulatory framework on collection of sensitive data, including ethnicity, in which such is considered illegal in some countries. This has provided us with complexity in disclosing this data. 
</t>
  </si>
  <si>
    <t>GRI 2-7 Employees, 2-8 Workers who are not employees (2021), and GRI 405: Diversity and Equal Opportunity (2016).</t>
  </si>
  <si>
    <t>3. Pay equality (%)</t>
  </si>
  <si>
    <t>Ratio of the basic salary and remuneration for each employee category by significant locations of operation for priority areas of equality: women to men, minor to major ethnic groups, and other relevant equality areas. 
This should be provided for direct employees only.  It is noted that in certain jurisdictions reporting against ethnic groups may not be permitted and this will need to be specifically noted by ICMM member companies.</t>
  </si>
  <si>
    <t xml:space="preserve">The ratios of basic salary and remuneration for the requested employee breakdowns are currently unavailable. We continue to make investments in our programmes and technologies to improve the reporting capabilities in our business. A number of our departments and inudstrial assets have well established reporting practices but we are working to greater enhance these capabilities over future years.  
For general information about pay equality refer to page 76 of the 'Our people' section in our Glencore AR.
</t>
  </si>
  <si>
    <t>Adapted from GRI 405: Diversity and Equal Opportunity (2016)</t>
  </si>
  <si>
    <t>4. Wage level (%)</t>
  </si>
  <si>
    <t xml:space="preserve">Companies to provide an overview of the following ratios for (direct employees only):
- Ratios of standard entry level wage by gender compared to local living wage;
- Ratio of the annual total compensation of the CEO to the median of the annual total compensation of all its employees, except the CEO.
</t>
  </si>
  <si>
    <t xml:space="preserve">The ratio of our standard entry level wage compared to the local living wage is currently unavailable. In 2023 we conducted a review of the local living wage in five countries, covering nearly 75% of our employee population in 2023 as outlined on page 77 of the 'Our people' section in our Glencore AR. This review resulted in confirmation that all our employees in these countries are paid above the local living wage. We intend to continue to progress these efforts in 2024. 
For the ratio of the annual total compensation of the CEO compared to the median of the annual total compensation of all its employees refer to page 148 of the 'Director's remuneration report' section in our Glencore AR.
</t>
  </si>
  <si>
    <t>GRI 2-21: Annual total compensation ratio (2021) and GRI 202-1: Ratios of standard entry level wage by gender compared to local minimum wage (2016)</t>
  </si>
  <si>
    <t>Workforce Development</t>
  </si>
  <si>
    <t>5. Training provided (compound)</t>
  </si>
  <si>
    <t>Companies to provide an overview of the training provided to their direct employees including:
- Average hours of training per person that the organisation’s employees have undertaken during the reporting period, by gender and employee category;
- Average training and development expenditure per full time employee;
- % of employees that received training, split per category and where relevant equality categories as per the employment indicators including gender and ethnicity.</t>
  </si>
  <si>
    <t>Refer to GRI 404-1 of tab 'GRI' of this ESG Data Book and GRI Index for the average hours of training by person and employee category as well as the average training and development expenditure per full time employee.
The average and percentage of training hours by gender and the percentage of training hours by employees that received training are unavailable. We are working towards increasing our reporting capabilities and we intend to continue to invest in collating this information.</t>
  </si>
  <si>
    <t>GRI 404-1: Training and Education (2016)</t>
  </si>
  <si>
    <t>Procurement</t>
  </si>
  <si>
    <t>6. Local procurement (%)</t>
  </si>
  <si>
    <t>% of the procurement budget used for significant locations of operation that is spent on suppliers local to that operation, disaggregated per gender and ethnicity.</t>
  </si>
  <si>
    <t xml:space="preserve">Refer to GRI 204-1 of tab 'GRI' of this ESG Data Book and GRI Index where we show the percentage spend with local businesses that are owned or operated by women.
A disaggregation of the ratio of procurement budget per ethnicity is unavailable. Glencore has operations in countries where data about ethnicity cannot be collected or is unavailable for privacy reasons. We therefore cannot provide an accurate number. 
</t>
  </si>
  <si>
    <t>GRI 204-1: Proportion of spending on local suppliers (2016)</t>
  </si>
  <si>
    <t>Education and Skills</t>
  </si>
  <si>
    <t>7. Education and Skills support provided</t>
  </si>
  <si>
    <t xml:space="preserve">Companies to provide details on the range of education and skills programmes that they deploy outside of their workforce, including:
</t>
  </si>
  <si>
    <t xml:space="preserve">Number of education and skills programmes supported </t>
  </si>
  <si>
    <t xml:space="preserve">More than 60 of our industrial assets have set up local education and skills programmes covering various programmes ranging from sponsorships of local reading clubs, bursaries and scholarships, donations to education centres/schools, etc. However, we do not collect information about the number of individual programmes in place across our industrial assets. </t>
  </si>
  <si>
    <t xml:space="preserve">Total investment on education and skills programme(s) (outside of workforce) split by programme area:
</t>
  </si>
  <si>
    <t>- Investments on education and skills - Bursaries and scholarship (US$ million)</t>
  </si>
  <si>
    <t>- Investments on education and skills - Provision of Education Support (US$ million)</t>
  </si>
  <si>
    <t>- Investments on education and skills - Adult learning (US$ million)</t>
  </si>
  <si>
    <t>- Investments on education and skills - Other (US$ million)</t>
  </si>
  <si>
    <t xml:space="preserve">Total number of beneficiaries of education and skills programmes </t>
  </si>
  <si>
    <t>Capacity and Institutions</t>
  </si>
  <si>
    <t>8. Capacity and institution support provided</t>
  </si>
  <si>
    <t xml:space="preserve">Companies to provide details on the range of capacity and institution programmes that they support, including:
</t>
  </si>
  <si>
    <t>Number of capacity and  institution programmes supported</t>
  </si>
  <si>
    <t xml:space="preserve">More than 40 of our industrial assets have set up local capacity and institution programmes covering various programmes like donations for the local fire brigade, woman shelter projects, local community circles, etc. However, we don't collect information about the number of individual programmes in place across our industrial assets. </t>
  </si>
  <si>
    <t xml:space="preserve">Total investment on capacity and institution programmes split by programme area
</t>
  </si>
  <si>
    <t>- Investments on capacity and institution programmes - Training Programmes (US$ million)</t>
  </si>
  <si>
    <t>- Investments on capacity and institution programmes - Support for Civic Organisations (US$ million)</t>
  </si>
  <si>
    <t>- Investments on capacity and institution programmes - Other (US$ million)</t>
  </si>
  <si>
    <t xml:space="preserve">Total number of beneficiaries of capacity and institution programmes </t>
  </si>
  <si>
    <t>ICMM Performance Expectations - Cover note</t>
  </si>
  <si>
    <r>
      <rPr>
        <b/>
        <sz val="14"/>
        <color rgb="FF000000"/>
        <rFont val="Calibri"/>
        <family val="2"/>
        <scheme val="minor"/>
      </rPr>
      <t xml:space="preserve">Prioritisation criteria and third-party validations in 2023
</t>
    </r>
    <r>
      <rPr>
        <sz val="11"/>
        <color rgb="FF000000"/>
        <rFont val="Calibri"/>
        <family val="2"/>
        <scheme val="minor"/>
      </rPr>
      <t>In line with ICMM member requirements, our prioritisation criteria was developed by a third-party consultant and has been assured by a qualified validation service provider in line with ICMM's Assurance and Validation Procedure Performance Expectations (refer t</t>
    </r>
    <r>
      <rPr>
        <sz val="11"/>
        <rFont val="Calibri"/>
        <family val="2"/>
        <scheme val="minor"/>
      </rPr>
      <t>o Deloitte LLP's unqualified</t>
    </r>
    <r>
      <rPr>
        <sz val="11"/>
        <color rgb="FF000000"/>
        <rFont val="Calibri"/>
        <family val="2"/>
        <scheme val="minor"/>
      </rPr>
      <t xml:space="preserve"> Limited Assurance statement under the ISAE 3000 (Revised</t>
    </r>
    <r>
      <rPr>
        <sz val="11"/>
        <rFont val="Calibri"/>
        <family val="2"/>
        <scheme val="minor"/>
      </rPr>
      <t>) S</t>
    </r>
    <r>
      <rPr>
        <sz val="11"/>
        <color rgb="FF000000"/>
        <rFont val="Calibri"/>
        <family val="2"/>
        <scheme val="minor"/>
      </rPr>
      <t>tandard on pages 74-76 of our 2023 Sustainability Report).
In developing the prioritisation criteria the third-party consultant used Glencore's sustainability reports, materiality assessments, industrial asset level sustainability related data, periodic sustainability / HSEC&amp;HR reports, country risk ratings, media reviews and consideration of assurance requirements under other relevant standards (e.g. Towards Sustainable Mining (TSM)). Based on all the information used, each of our industrial assets was scored out of 5 (1 being the lowest priority, 5 being the highest priority) against each metric (50 metrics in total). To ensure validation covered a cross-section of our industrial assets across different geographies, commodities and risk exposures, a mix of higher and lower ranking industrial assets was selected for third-party validation across each year from years 1 (2022/2023) to 3 (2025). Year 1 was split between 2022 and 2023 to allow us to pilot third-party validation at a few of our industrial assets in 2022 and enable other industrial assets to learn from the process. After the 2022 validations, we reviewed the validation schedule in 2023</t>
    </r>
    <r>
      <rPr>
        <sz val="11"/>
        <rFont val="Calibri"/>
        <family val="2"/>
        <scheme val="minor"/>
      </rPr>
      <t>, adjusting the prioritisation of a number of industrial assets and</t>
    </r>
    <r>
      <rPr>
        <sz val="11"/>
        <color rgb="FF000000"/>
        <rFont val="Calibri"/>
        <family val="2"/>
        <scheme val="minor"/>
      </rPr>
      <t xml:space="preserve"> increasing the </t>
    </r>
    <r>
      <rPr>
        <sz val="11"/>
        <rFont val="Calibri"/>
        <family val="2"/>
        <scheme val="minor"/>
      </rPr>
      <t xml:space="preserve">total number of industrial assets to be validated in year 1 from 10 to 11.
</t>
    </r>
    <r>
      <rPr>
        <b/>
        <sz val="11"/>
        <rFont val="Calibri"/>
        <family val="2"/>
        <scheme val="minor"/>
      </rPr>
      <t>Number to be validated:</t>
    </r>
    <r>
      <rPr>
        <b/>
        <sz val="11"/>
        <color rgb="FF000000"/>
        <rFont val="Calibri"/>
        <family val="2"/>
        <scheme val="minor"/>
      </rPr>
      <t xml:space="preserve">
</t>
    </r>
    <r>
      <rPr>
        <sz val="11"/>
        <color rgb="FF000000"/>
        <rFont val="Calibri"/>
        <family val="2"/>
        <scheme val="minor"/>
      </rPr>
      <t xml:space="preserve">Year 1 (split across 2022 and 2023): 11 industrial assets
Year 2: 9 industrial assets
Year 3: 8 industrial assets
We will continue to to review the validation schedule/prioritisation criteria at the beginning of the new year for any significant changes which may require modification of the schedule.
</t>
    </r>
    <r>
      <rPr>
        <b/>
        <sz val="11"/>
        <color rgb="FF000000"/>
        <rFont val="Calibri"/>
        <family val="2"/>
        <scheme val="minor"/>
      </rPr>
      <t xml:space="preserve">Validation activities in 2023:
</t>
    </r>
    <r>
      <rPr>
        <sz val="11"/>
        <color rgb="FF000000"/>
        <rFont val="Calibri"/>
        <family val="2"/>
        <scheme val="minor"/>
      </rPr>
      <t>In 2023, the self-assessments of the industrial assets Antapaccay, Asturiana de Zinc, Clermont, Goedgevonden, Kamoto Copper Company (KCC), Mutanda Mining (MUMI), and Raglan as well as Queensland Metal’s industrial site George Fisher Mine were third-party validated in-person. The results from the third-party validations are included in the tab 'ICMM PE - Asset assessments'.</t>
    </r>
  </si>
  <si>
    <r>
      <t xml:space="preserve">Alloys: </t>
    </r>
    <r>
      <rPr>
        <sz val="11"/>
        <rFont val="Calibri"/>
        <family val="2"/>
        <scheme val="minor"/>
      </rPr>
      <t xml:space="preserve">3.3: </t>
    </r>
    <r>
      <rPr>
        <sz val="11"/>
        <color theme="5" tint="0.39997558519241921"/>
        <rFont val="Calibri"/>
        <family val="2"/>
        <scheme val="minor"/>
      </rPr>
      <t>[can no longer add comments, but would we even need the first sentence here?]</t>
    </r>
    <r>
      <rPr>
        <sz val="11"/>
        <rFont val="Calibri"/>
        <family val="2"/>
        <scheme val="minor"/>
      </rPr>
      <t>Western Chrome Mines utilize private security services, aiming to uphold human rights and security standards aligned with the voluntary principle on security and hum</t>
    </r>
    <r>
      <rPr>
        <b/>
        <sz val="11"/>
        <rFont val="Calibri"/>
        <family val="2"/>
        <scheme val="minor"/>
      </rPr>
      <t>an rights. Presently, Synergy Global is aiding us in conducting human rights impact and risk assessments.</t>
    </r>
  </si>
  <si>
    <r>
      <t>Copper:</t>
    </r>
    <r>
      <rPr>
        <sz val="11"/>
        <color theme="1"/>
        <rFont val="Calibri"/>
        <family val="2"/>
        <scheme val="minor"/>
      </rPr>
      <t xml:space="preserve"> 3.3: Lomas Bayas and Altonorte have a plan to improve their risk assessments and training programs.</t>
    </r>
  </si>
  <si>
    <r>
      <t xml:space="preserve">Copper: </t>
    </r>
    <r>
      <rPr>
        <sz val="11"/>
        <color theme="1"/>
        <rFont val="Calibri"/>
        <family val="2"/>
        <scheme val="minor"/>
      </rPr>
      <t>4.1:</t>
    </r>
    <r>
      <rPr>
        <b/>
        <sz val="11"/>
        <color theme="1"/>
        <rFont val="Calibri"/>
        <family val="2"/>
        <scheme val="minor"/>
      </rPr>
      <t xml:space="preserve"> </t>
    </r>
    <r>
      <rPr>
        <sz val="11"/>
        <color theme="1"/>
        <rFont val="Calibri"/>
        <family val="2"/>
        <scheme val="minor"/>
      </rPr>
      <t xml:space="preserve">PASAR is </t>
    </r>
    <r>
      <rPr>
        <sz val="11"/>
        <color rgb="FFFF0000"/>
        <rFont val="Calibri"/>
        <family val="2"/>
        <scheme val="minor"/>
      </rPr>
      <t>working towards</t>
    </r>
    <r>
      <rPr>
        <sz val="11"/>
        <color theme="1"/>
        <rFont val="Calibri"/>
        <family val="2"/>
        <scheme val="minor"/>
      </rPr>
      <t xml:space="preserve"> improving their stakeholder mapping and engagement plans.</t>
    </r>
  </si>
  <si>
    <r>
      <t xml:space="preserve">Copper: </t>
    </r>
    <r>
      <rPr>
        <sz val="11"/>
        <color theme="1"/>
        <rFont val="Calibri"/>
        <family val="2"/>
        <scheme val="minor"/>
      </rPr>
      <t xml:space="preserve">4.3 &amp; 4.4 Altonorte is </t>
    </r>
    <r>
      <rPr>
        <sz val="11"/>
        <color rgb="FFFF0000"/>
        <rFont val="Calibri"/>
        <family val="2"/>
        <scheme val="minor"/>
      </rPr>
      <t xml:space="preserve">working towards </t>
    </r>
    <r>
      <rPr>
        <sz val="11"/>
        <color theme="1"/>
        <rFont val="Calibri"/>
        <family val="2"/>
        <scheme val="minor"/>
      </rPr>
      <t>improving their risk management processes and is undertaking further testing of their emergency response plan.</t>
    </r>
  </si>
  <si>
    <r>
      <t>Copper:</t>
    </r>
    <r>
      <rPr>
        <sz val="11"/>
        <color theme="1"/>
        <rFont val="Calibri"/>
        <family val="2"/>
        <scheme val="minor"/>
      </rPr>
      <t xml:space="preserve"> 5.1 &amp; 5.2 PASAR is </t>
    </r>
    <r>
      <rPr>
        <sz val="11"/>
        <color rgb="FFFF0000"/>
        <rFont val="Calibri"/>
        <family val="2"/>
        <scheme val="minor"/>
      </rPr>
      <t>working on improving</t>
    </r>
    <r>
      <rPr>
        <sz val="11"/>
        <color theme="1"/>
        <rFont val="Calibri"/>
        <family val="2"/>
        <scheme val="minor"/>
      </rPr>
      <t xml:space="preserve"> their health and safety practices.</t>
    </r>
  </si>
  <si>
    <r>
      <t xml:space="preserve">Copper: </t>
    </r>
    <r>
      <rPr>
        <sz val="11"/>
        <color theme="1"/>
        <rFont val="Calibri"/>
        <family val="2"/>
        <scheme val="minor"/>
      </rPr>
      <t xml:space="preserve">6.1 PASAR and Altonorte are </t>
    </r>
    <r>
      <rPr>
        <sz val="11"/>
        <color rgb="FFFF0000"/>
        <rFont val="Calibri"/>
        <family val="2"/>
        <scheme val="minor"/>
      </rPr>
      <t>working at i</t>
    </r>
    <r>
      <rPr>
        <sz val="11"/>
        <color theme="1"/>
        <rFont val="Calibri"/>
        <family val="2"/>
        <scheme val="minor"/>
      </rPr>
      <t>mproving their closure plans to cover all aspects of closure.</t>
    </r>
  </si>
  <si>
    <r>
      <t>Copper:</t>
    </r>
    <r>
      <rPr>
        <sz val="11"/>
        <color theme="1"/>
        <rFont val="Calibri"/>
        <family val="2"/>
        <scheme val="minor"/>
      </rPr>
      <t xml:space="preserve"> 9.1, 9.2 and 9.3: Horne, PASAR and Altonorte are </t>
    </r>
    <r>
      <rPr>
        <sz val="11"/>
        <color rgb="FFFF0000"/>
        <rFont val="Calibri"/>
        <family val="2"/>
        <scheme val="minor"/>
      </rPr>
      <t>working towards</t>
    </r>
    <r>
      <rPr>
        <sz val="11"/>
        <color theme="1"/>
        <rFont val="Calibri"/>
        <family val="2"/>
        <scheme val="minor"/>
      </rPr>
      <t xml:space="preserve"> improving their baseline studies and strategies / management plans to better meet their local needs and improve their local procurement practices. Altonorte are working towards impro</t>
    </r>
    <r>
      <rPr>
        <sz val="11"/>
        <color theme="1"/>
        <rFont val="Calibri"/>
        <family val="2"/>
        <scheme val="minor"/>
      </rPr>
      <t>ving their stakeholder engagement plan in relation to grievances and complaints.</t>
    </r>
  </si>
  <si>
    <r>
      <t xml:space="preserve">Nickel: </t>
    </r>
    <r>
      <rPr>
        <sz val="11"/>
        <rFont val="Calibri"/>
        <family val="2"/>
        <scheme val="minor"/>
      </rPr>
      <t>3.3: Koniambo</t>
    </r>
    <r>
      <rPr>
        <b/>
        <sz val="11"/>
        <rFont val="Calibri"/>
        <family val="2"/>
        <scheme val="minor"/>
      </rPr>
      <t xml:space="preserve"> </t>
    </r>
    <r>
      <rPr>
        <sz val="11"/>
        <rFont val="Calibri"/>
        <family val="2"/>
        <scheme val="minor"/>
      </rPr>
      <t xml:space="preserve">is </t>
    </r>
    <r>
      <rPr>
        <sz val="11"/>
        <color rgb="FFFF0000"/>
        <rFont val="Calibri"/>
        <family val="2"/>
        <scheme val="minor"/>
      </rPr>
      <t>working on</t>
    </r>
    <r>
      <rPr>
        <sz val="11"/>
        <rFont val="Calibri"/>
        <family val="2"/>
        <scheme val="minor"/>
      </rPr>
      <t xml:space="preserve"> their VPSHR-aligned training packages. </t>
    </r>
  </si>
  <si>
    <r>
      <t>Nickel:</t>
    </r>
    <r>
      <rPr>
        <sz val="11"/>
        <rFont val="Calibri"/>
        <family val="2"/>
        <scheme val="minor"/>
      </rPr>
      <t xml:space="preserve"> 4.3: Murrin Murrin</t>
    </r>
    <r>
      <rPr>
        <b/>
        <sz val="11"/>
        <rFont val="Calibri"/>
        <family val="2"/>
        <scheme val="minor"/>
      </rPr>
      <t xml:space="preserve"> </t>
    </r>
    <r>
      <rPr>
        <sz val="11"/>
        <rFont val="Calibri"/>
        <family val="2"/>
        <scheme val="minor"/>
      </rPr>
      <t xml:space="preserve">is </t>
    </r>
    <r>
      <rPr>
        <sz val="11"/>
        <color rgb="FFFF0000"/>
        <rFont val="Calibri"/>
        <family val="2"/>
        <scheme val="minor"/>
      </rPr>
      <t>working towards</t>
    </r>
    <r>
      <rPr>
        <sz val="11"/>
        <rFont val="Calibri"/>
        <family val="2"/>
        <scheme val="minor"/>
      </rPr>
      <t xml:space="preserve"> improving their risk and opportunity assessments.</t>
    </r>
  </si>
  <si>
    <t>ICMM Performance Expectations - Corporate level self-assessment</t>
  </si>
  <si>
    <t>Please refer to the tab 'ICMM PE - Cover note' when using this information.</t>
  </si>
  <si>
    <t xml:space="preserve">Key:
</t>
  </si>
  <si>
    <t>ICMM Mining Principles - Performance Expectations</t>
  </si>
  <si>
    <t>Rating</t>
  </si>
  <si>
    <r>
      <t xml:space="preserve">1 - Ethical Business: </t>
    </r>
    <r>
      <rPr>
        <sz val="11"/>
        <rFont val="Calibri"/>
        <family val="2"/>
        <scheme val="minor"/>
      </rPr>
      <t>Apply ethical business practices and sound systems of corporate governance and transparency to support sustainable development.</t>
    </r>
  </si>
  <si>
    <t xml:space="preserve">Establish systems to maintain compliance with applicable laws. </t>
  </si>
  <si>
    <t>l</t>
  </si>
  <si>
    <t>Implement policies and practices to prevent bribery, corruption and to publicly disclose facilitation payments.</t>
  </si>
  <si>
    <t>Implement policies and standards consistent with the ICMM policy framework.</t>
  </si>
  <si>
    <t>Assign accountability for sustainability performance at the Board and/or Executive Committee level.</t>
  </si>
  <si>
    <t>Disclose the value and beneficiaries of financial and in-kind political contributions whether directly or through an intermediary.</t>
  </si>
  <si>
    <r>
      <t xml:space="preserve">2 - Decision Making: </t>
    </r>
    <r>
      <rPr>
        <sz val="11"/>
        <rFont val="Calibri"/>
        <family val="2"/>
        <scheme val="minor"/>
      </rPr>
      <t xml:space="preserve">Integrate sustainable development in corporate strategy and decision-making processes. </t>
    </r>
  </si>
  <si>
    <t>Integrate sustainable development principles into corporate strategy and decision-making processes relating to investments and in the design, operation and closure of facilities.</t>
  </si>
  <si>
    <t>Support the adoption of responsible health and safety, environmental, human rights and labour policies and practices by joint venture partners, suppliers and contractors, based on risk.</t>
  </si>
  <si>
    <r>
      <t xml:space="preserve">3 - Human Rights: </t>
    </r>
    <r>
      <rPr>
        <sz val="11"/>
        <rFont val="Calibri"/>
        <family val="2"/>
        <scheme val="minor"/>
      </rPr>
      <t>Respect human rights and the interests, cultures, customs and values of workers and communities affected by our activities.</t>
    </r>
  </si>
  <si>
    <t>Support the UN Guiding Principles on Business and Human Rights by developing a policy commitment to respect human rights, undertaking human rights due diligence and providing for or cooperating in processes to enable the remediation of adverse human rights impacts that members have caused or contributed to.</t>
  </si>
  <si>
    <t>Respect the rights of workers by: not employing child or forced labour; avoiding human trafficking; not assigning hazardous/dangerous work to those under 18; eliminating harassment and discrimination; respecting freedom of association and collective bargaining; and providing a mechanism to address workers grievances.</t>
  </si>
  <si>
    <t>Remunerate employees with wages that equal or exceed legal requirements or represent a competitive wage within that job market (whichever is higher) and assign regular and overtime working hours within legally required limits.</t>
  </si>
  <si>
    <r>
      <t xml:space="preserve">4 - Risk Management: </t>
    </r>
    <r>
      <rPr>
        <sz val="11"/>
        <rFont val="Calibri"/>
        <family val="2"/>
        <scheme val="minor"/>
      </rPr>
      <t>Implement effective risk-management strategies and systems based on sound science and which account for stakeholder perceptions of risks.</t>
    </r>
  </si>
  <si>
    <t xml:space="preserve">Assess environmental and social risks and opportunities of new projects and of significant changes to existing operations in consultation with interested and affected stakeholders, and publicly disclose assessment results. </t>
  </si>
  <si>
    <t xml:space="preserve">Undertake risk-based due diligence on conflict and human rights that aligns with the OECD Due Diligence Guidance on Conflict Affected and High Risk Areas, when operating in, or sourcing from, a conflict-affected or high risk area. </t>
  </si>
  <si>
    <r>
      <t xml:space="preserve">5 - Health and Safety: </t>
    </r>
    <r>
      <rPr>
        <sz val="11"/>
        <rFont val="Calibri"/>
        <family val="2"/>
        <scheme val="minor"/>
      </rPr>
      <t>Pursue continual improvement in the health and safety performance with the ultimate goal of zero harm.</t>
    </r>
  </si>
  <si>
    <t xml:space="preserve">Implement practices aimed at continually improving workplace health and safety, and monitor performance for the elimination of workplace fatalities, serious injuries and prevention of occupational diseases, based upon a recognised international standard or management system. </t>
  </si>
  <si>
    <t>Provide workers with training in accordance with their responsibilities for health and safety and implement health surveillance and risk-based monitoring programmes based on occupational exposures.</t>
  </si>
  <si>
    <r>
      <t xml:space="preserve">6 - Environmental Performance: </t>
    </r>
    <r>
      <rPr>
        <sz val="11"/>
        <rFont val="Calibri"/>
        <family val="2"/>
        <scheme val="minor"/>
      </rPr>
      <t>Pursue continual improvement in environmental performance issues, such as water stewardship, energy use and climate change.</t>
    </r>
  </si>
  <si>
    <t xml:space="preserve">Plan and design for closure in consultation with relevant authorities and stakeholders, implement measures to address closure-related environmental and social aspects, and make financial provision to enable agreed closure and post-closure commitments to be realised. </t>
  </si>
  <si>
    <t xml:space="preserve">Implement water stewardship practices that provide for strong and transparent water governance, effective management of water at operations, and collaboration with stakeholders at a catchment level to achieve responsible and sustainable water use. </t>
  </si>
  <si>
    <r>
      <t xml:space="preserve">Design, construct, operate, monitor and decommission tailings disposal/storage facilities using comprehensive, risk-based management and governance practices in line with internationally recognised good practice, to minimise the risk of catastrophic failure. </t>
    </r>
    <r>
      <rPr>
        <b/>
        <sz val="11"/>
        <color rgb="FF000000"/>
        <rFont val="Calibri"/>
        <family val="2"/>
        <scheme val="minor"/>
      </rPr>
      <t xml:space="preserve">Note: </t>
    </r>
    <r>
      <rPr>
        <sz val="11"/>
        <color rgb="FF000000"/>
        <rFont val="Calibri"/>
        <family val="2"/>
        <scheme val="minor"/>
      </rPr>
      <t>To achieve 'Meets', the asset must be in conformance with the Global Industry Standard on Tailings Management (GISTM).</t>
    </r>
  </si>
  <si>
    <t>Based on our ongoing tailings storage facility (TSF) management systems and independent third-party assessments we have in place for our TSFs with ‘Very High’ and ‘Extreme” Consequence Classifications we believe that any gaps in conformance are identified and managed appropriately. Our most recent disclosure against GISTM for our TSFs with ‘Very High’ and ‘Extreme” Consequence Classifications is available on our website  (https://www.glencore.com/sustainability/esg-a-z/Tailings). We are committed to continuing to progress towards conformance with the requirements of the GISTM. For further information on our TSF governance framework, refer to pages 21-23 of the 2023 Sustainability Report.</t>
  </si>
  <si>
    <t xml:space="preserve">Implement measures to improve energy efficiency and contribute to a low-carbon future, and report the outcomes based on internationally recognised protocols for measuring CO2 equivalent (GHG) emissions. </t>
  </si>
  <si>
    <r>
      <t xml:space="preserve">7 - Conservation of Biodiversity: </t>
    </r>
    <r>
      <rPr>
        <sz val="11"/>
        <rFont val="Calibri"/>
        <family val="2"/>
        <scheme val="minor"/>
      </rPr>
      <t>Contribute to the conservation of biodiversity and integrated approaches to land-use planning.</t>
    </r>
  </si>
  <si>
    <t xml:space="preserve">Neither explore nor develop new mines in World Heritage sites, respect legally designated protected areas, and design and operate any new operations or changes to existing operations to be compatible with the value for which such areas were designated </t>
  </si>
  <si>
    <t>Assess and address risks and impacts to biodiversity and ecosystem services by implementing the mitigation hierarchy, with the ambition of achieving no net loss to biodiversity.</t>
  </si>
  <si>
    <r>
      <t xml:space="preserve">8 - Responsible Production: </t>
    </r>
    <r>
      <rPr>
        <sz val="11"/>
        <rFont val="Calibri"/>
        <family val="2"/>
        <scheme val="minor"/>
      </rPr>
      <t>Facilitate and support the knowledge-base and systems for responsible design, use, re-use, recycling and disposal of products containing metals and minerals.</t>
    </r>
  </si>
  <si>
    <t xml:space="preserve">In project design, operation and de-commissioning, implement cost-effective measures for the recovery, re-use or recycling of energy, natural resources, and materials. </t>
  </si>
  <si>
    <t>Assess the hazards of the products of mining according to UN Globally Harmonised System of Hazard Classification and Labelling or equivalent relevant regulatory systems and communicate through safety data sheets and labelling as appropriate.</t>
  </si>
  <si>
    <r>
      <t xml:space="preserve">9 - Social Performance: </t>
    </r>
    <r>
      <rPr>
        <sz val="11"/>
        <rFont val="Calibri"/>
        <family val="2"/>
        <scheme val="minor"/>
      </rPr>
      <t>Pursue continual improvement in social performance and contribute to the social, economic and institutional development of host countries and communities.</t>
    </r>
  </si>
  <si>
    <t xml:space="preserve">Implement inclusive approaches with local communities to identify their development priorities and support activities that contribute to their lasting social and economic wellbeing, in partnership with government, civil society and development agencies, as appropriate. </t>
  </si>
  <si>
    <t>Enable access by local enterprises to procurement and contracting opportunities across the project life-cycle, both directly and by encouraging larger contractors and suppliers, and also by supporting initiatives to enhance economic opportunities for local communities.</t>
  </si>
  <si>
    <r>
      <t xml:space="preserve">10 - Stakeholder Engagement: </t>
    </r>
    <r>
      <rPr>
        <sz val="11"/>
        <rFont val="Calibri"/>
        <family val="2"/>
        <scheme val="minor"/>
      </rPr>
      <t>Proactively engage key stakeholders on sustainable development challenges and opportunities in an open and transparent manner. Effectively report and independently verify progress and performance.</t>
    </r>
  </si>
  <si>
    <t xml:space="preserve">Identify and engage with key corporate-level external stakeholders on sustainable development issues in an open and transparent manner. </t>
  </si>
  <si>
    <t xml:space="preserve">Publicly support the implementation of the Extractive Industries Transparency Initiative (EITI) and compile information on all material payments, at the appropriate levels of government, by country and by project. </t>
  </si>
  <si>
    <t>Report annually on economic, social and environmental performance at the corporate level using the GRI Sustainability Reporting Standards.</t>
  </si>
  <si>
    <t xml:space="preserve">Each year, conduct independent assurance of sustainability performance following the ICMM guidance on assuring and verifying membership requirements. </t>
  </si>
  <si>
    <t>Note: ICMM stipulates that ICMM PEs 3.2, 3.3, 3.6, 3.7, 4.3, 4.4, 6.4, 9.3 and 9.4 are not applicable at a corporate level.</t>
  </si>
  <si>
    <t>ICMM Performance Expectations - Industrial asset assessments</t>
  </si>
  <si>
    <t>Key:</t>
  </si>
  <si>
    <t xml:space="preserve">Coal </t>
  </si>
  <si>
    <t>Copper</t>
  </si>
  <si>
    <t xml:space="preserve">Ferroalloys </t>
  </si>
  <si>
    <t>Nickel</t>
  </si>
  <si>
    <t>Zinc</t>
  </si>
  <si>
    <t>Principle</t>
  </si>
  <si>
    <t>Number</t>
  </si>
  <si>
    <t>Requirement</t>
  </si>
  <si>
    <t>Goedgevonden*</t>
  </si>
  <si>
    <t>Tweefontein</t>
  </si>
  <si>
    <t>iMpunzi</t>
  </si>
  <si>
    <t>Bulga</t>
  </si>
  <si>
    <t>Clermont</t>
  </si>
  <si>
    <t>Collinsville</t>
  </si>
  <si>
    <t>Mt Owen / Glendell</t>
  </si>
  <si>
    <t>Hail Creek</t>
  </si>
  <si>
    <t xml:space="preserve">Integra </t>
  </si>
  <si>
    <t>Liddell</t>
  </si>
  <si>
    <t>Mangoola</t>
  </si>
  <si>
    <t>Oaky Creek</t>
  </si>
  <si>
    <t>Newlands</t>
  </si>
  <si>
    <t>Ulan</t>
  </si>
  <si>
    <t>Ravensworth</t>
  </si>
  <si>
    <t>Rolleston</t>
  </si>
  <si>
    <t>United Wambo</t>
  </si>
  <si>
    <t>Cerrejon</t>
  </si>
  <si>
    <t>Kamoto Copper Company (KCC)*</t>
  </si>
  <si>
    <t>Mutanda Mining (MUMI)*</t>
  </si>
  <si>
    <t>CCR</t>
  </si>
  <si>
    <t>Horne</t>
  </si>
  <si>
    <t>PASAR</t>
  </si>
  <si>
    <t>Antapaccay*</t>
  </si>
  <si>
    <t>Lomas Bayas</t>
  </si>
  <si>
    <t>Altonorte</t>
  </si>
  <si>
    <t>Carbon Group</t>
  </si>
  <si>
    <t>Chrome Smelters</t>
  </si>
  <si>
    <t>Eastern Chrome Mines</t>
  </si>
  <si>
    <t>Vanadium</t>
  </si>
  <si>
    <t>Western Chrome Mines</t>
  </si>
  <si>
    <t>Nikkelverk</t>
  </si>
  <si>
    <t>Raglan*</t>
  </si>
  <si>
    <t>Sudbury</t>
  </si>
  <si>
    <t>Koniambo</t>
  </si>
  <si>
    <t>Murrin Murrin</t>
  </si>
  <si>
    <t>Kazzinc</t>
  </si>
  <si>
    <t>Nordenham</t>
  </si>
  <si>
    <t>Asturiana de Zinc*</t>
  </si>
  <si>
    <t>Portovesme</t>
  </si>
  <si>
    <t>Brittania Refined Metals (BRM)</t>
  </si>
  <si>
    <t>CEZinc</t>
  </si>
  <si>
    <t>General Smelting</t>
  </si>
  <si>
    <t>Kidd</t>
  </si>
  <si>
    <t>McArthur River Mine (MRM)</t>
  </si>
  <si>
    <t>Queensland Metals**</t>
  </si>
  <si>
    <t>Ethical Business</t>
  </si>
  <si>
    <t>1.1</t>
  </si>
  <si>
    <t>Establish systems to maintain compliance with applicable law.</t>
  </si>
  <si>
    <t>Decision Making</t>
  </si>
  <si>
    <t>2.2</t>
  </si>
  <si>
    <t>Human Rights</t>
  </si>
  <si>
    <t>3.1</t>
  </si>
  <si>
    <t>CCR, Horne and PASAR have plans to improve their human rights risk assessments and stakeholder engagement plans and MRM is progressively reviewing security processes against the UNGPs.</t>
  </si>
  <si>
    <t>3.2</t>
  </si>
  <si>
    <t>Avoid the involuntary physical or economic displacement of families and communities. Where this is not possible apply the mitigation hierarchy and implement actions or remedies that address residual adverse effects to restore or improve livelihoods and standards of living of displaced people.</t>
  </si>
  <si>
    <t>The majority of our industrial assets have not undertaken resettlements and have no resettlements planned.</t>
  </si>
  <si>
    <t>3.3</t>
  </si>
  <si>
    <t>Implement, based on risk, a human rights and security approach consistent with the Voluntary Principles on Security &amp; Human Rights.</t>
  </si>
  <si>
    <r>
      <t xml:space="preserve">Whilst some of our industrial assets operate in low-risk areas with little to no presence of private security providers or public security bodies, all of our industrial assets’ seek to implement human rights and security approaches that are consistent with the Voluntary Principles on Security and Human Rights (VPSHRs).
</t>
    </r>
    <r>
      <rPr>
        <sz val="11"/>
        <rFont val="Calibri"/>
        <family val="2"/>
        <scheme val="minor"/>
      </rPr>
      <t xml:space="preserve">Horne, </t>
    </r>
    <r>
      <rPr>
        <sz val="11"/>
        <color theme="1"/>
        <rFont val="Calibri"/>
        <family val="2"/>
        <scheme val="minor"/>
      </rPr>
      <t>Lomas Bayas and Altonorte have a plan to improve their human rights and security risk assessments and training programs. Western Chrome Mines is conducting human rights impact and risk assessments aided by a third party. Koniambo is working on their VPSHR-aligned training packages. Nordenham and MRM are currently reviewing security processes against the VPSHRs.</t>
    </r>
  </si>
  <si>
    <t>3.4</t>
  </si>
  <si>
    <t>Respect the rights of workers by not employing child or forced labour; avoiding human trafficking; not assigning hazardous/dangerous work to those under 18; eliminating harassment and discrimination; respecting freedom of association and collective bargaining; and providing a mechanism to address workers grievances.</t>
  </si>
  <si>
    <t>3.5</t>
  </si>
  <si>
    <t>3.6</t>
  </si>
  <si>
    <t xml:space="preserve">Respect the rights, interests, aspirations, culture and natural resource-based livelihoods of Indigenous Peoples in project design, development and operation; apply the mitigation hierarchy to address adverse impacts; and deliver sustainable benefits for Indigenous Peoples. </t>
  </si>
  <si>
    <r>
      <t>Whilst some of our industrial assets do not have Indigenous Peoples within their area of influence, all of our industrial assets are committed to respecting
the rights, interests and aspirations of Indigenous Peoples and acknowledging their right to maintain their culture, identity, traditions, and customs.</t>
    </r>
    <r>
      <rPr>
        <sz val="11"/>
        <color rgb="FFFF0000"/>
        <rFont val="Calibri"/>
        <family val="2"/>
        <scheme val="minor"/>
      </rPr>
      <t xml:space="preserve"> 
</t>
    </r>
    <r>
      <rPr>
        <sz val="11"/>
        <rFont val="Calibri"/>
        <family val="2"/>
        <scheme val="minor"/>
      </rPr>
      <t>PASAR is undertaking an assessment to determine whether there are Indigenous Peoples in their area of influence.</t>
    </r>
  </si>
  <si>
    <t>3.7</t>
  </si>
  <si>
    <t xml:space="preserve">Work to obtain the free, prior and informed consent of Indigenous Peoples where significant adverse impacts are likely to occur, as a result of relocation, disturbance of lands and territories or of critical cultural heritage and capture the outcomes of engagement and consent processes in agreements. </t>
  </si>
  <si>
    <t>Whilst free, prior, and informed consent (FPIC) only applies to new projects or significant expansions, all of our industrial assets in the event of a new project or significant expansion would seek to ensure that Indigenous Peoples are consulted and have given their free, prior, and informed consent in relation to new projects and changes to existing projects where significant adverse impacts are likely to occur in the area of influence of the new project or significant expansion.</t>
  </si>
  <si>
    <t>3.8</t>
  </si>
  <si>
    <t>Implement policies and practices to respect the rights and interests of women and support diversity in the workplace.</t>
  </si>
  <si>
    <t xml:space="preserve">KCC, MUMI and Lomas Bayas are working on developing a gender equality strategy and mechanisms to improve and track performance. </t>
  </si>
  <si>
    <t>Risk Management</t>
  </si>
  <si>
    <t>4.1</t>
  </si>
  <si>
    <t>Assess environmental and social risks and opportunities of new projects and of significant changes to existing operations in consultation with interested and affected stakeholders, and publicly disclose assessment results.</t>
  </si>
  <si>
    <t>PASAR is working towards improving their stakeholder mapping and engagement plans. Kidd and MRM are working towards improving their processes for multidisciplinary baseline and impact studies/assessments.</t>
  </si>
  <si>
    <t>4.2</t>
  </si>
  <si>
    <t xml:space="preserve">Undertake risk-based due diligence on conflict and human rights that aligns with the OECD Due Diligence Guidance on Conflict Affected and High-Risk Areas, when operating in, or sourcing from, a conflict-affected or high-risk area. </t>
  </si>
  <si>
    <t>4.3</t>
  </si>
  <si>
    <t xml:space="preserve">Implement risk-based controls to avoid/prevent, minimise, mitigate and/or remedy health, safety and environmental impacts to workers, local communities, cultural heritage and the natural environment, based upon a recognised international standard or management system. </t>
  </si>
  <si>
    <r>
      <t xml:space="preserve">Altonorte, Murrin Murrin, Nordenham, Kidd and MRM </t>
    </r>
    <r>
      <rPr>
        <sz val="11"/>
        <color theme="1"/>
        <rFont val="Calibri"/>
        <family val="2"/>
        <scheme val="minor"/>
      </rPr>
      <t>are working towards improving their risk management processes.</t>
    </r>
  </si>
  <si>
    <t>4.4</t>
  </si>
  <si>
    <t xml:space="preserve">Develop, maintain and test emergency response plans. Where risks to external stakeholders are significant, this should be in collaboration with potentially affected stakeholders and consistent with established industry good practice. </t>
  </si>
  <si>
    <t>Altonorte is undertaking further testing of their emergency response plan. Chrome Smelters are reviewing their emergency preparedness and response related risks.</t>
  </si>
  <si>
    <t>Health &amp; Safety</t>
  </si>
  <si>
    <t>5.1</t>
  </si>
  <si>
    <r>
      <t>PASAR, Carbon Group and Chrome Smelters</t>
    </r>
    <r>
      <rPr>
        <sz val="11"/>
        <color theme="1"/>
        <rFont val="Calibri"/>
        <family val="2"/>
        <scheme val="minor"/>
      </rPr>
      <t xml:space="preserve"> are working on improving their health and safety practices.</t>
    </r>
  </si>
  <si>
    <t>5.2</t>
  </si>
  <si>
    <t>Environmental Performance</t>
  </si>
  <si>
    <t>6.1</t>
  </si>
  <si>
    <r>
      <t xml:space="preserve">Cerrejon has a plan to consult with external stakeholders regarding their closure plans. PASAR, Altonorte, Koniambo, Kazinc and General Smelting </t>
    </r>
    <r>
      <rPr>
        <sz val="11"/>
        <color theme="1"/>
        <rFont val="Calibri"/>
        <family val="2"/>
        <scheme val="minor"/>
      </rPr>
      <t>are working on improving their closure plans.</t>
    </r>
  </si>
  <si>
    <t>6.2</t>
  </si>
  <si>
    <r>
      <t>Murrin Murrin and Kidd</t>
    </r>
    <r>
      <rPr>
        <sz val="11"/>
        <color theme="7"/>
        <rFont val="Calibri"/>
        <family val="2"/>
        <scheme val="minor"/>
      </rPr>
      <t xml:space="preserve"> </t>
    </r>
    <r>
      <rPr>
        <sz val="11"/>
        <color theme="1"/>
        <rFont val="Calibri"/>
        <family val="2"/>
        <scheme val="minor"/>
      </rPr>
      <t xml:space="preserve">are working on improving their water stewardship practices. 
</t>
    </r>
  </si>
  <si>
    <t>6.3</t>
  </si>
  <si>
    <r>
      <t xml:space="preserve">Design, construct, operate, monitor and decommission tailings disposal/storage facilities using comprehensive, risk-based management and governance practices in line with internationally recognised good practice, to minimise the risk of catastrophic failure. 
</t>
    </r>
    <r>
      <rPr>
        <b/>
        <sz val="9"/>
        <rFont val="Arial"/>
        <family val="2"/>
      </rPr>
      <t>Note:</t>
    </r>
    <r>
      <rPr>
        <sz val="9"/>
        <rFont val="Arial"/>
        <family val="2"/>
      </rPr>
      <t xml:space="preserve"> To achieve 'Meets', the asset must be in conformance with the Global Industry Standard on Tailings Management (GISTM).</t>
    </r>
  </si>
  <si>
    <t>Based on our ongoing tailings storage facility (TSF) management systems and independent third-party assessments we have in place for our TSFs with ‘Very High’ and ‘Extreme” Consequence Classifications we believe that any gaps in conformance are identified and managed appropriately. Our most recent disclosure against GISTM for our TSFs with ‘Very High’ and ‘Extreme” Consequence Classifications is available on our website  (https://www.glencore.com/sustainability/esg-a-z/Tailings). We are committed to continuing to progress towards conformance with the requirements of the GISTM. For further information on our TSF governance framework, refer to pages 21-23 of the 2023 Sustainability Report.
The 'Not applicable' scores represent industrial assets that do not have TSFs.</t>
  </si>
  <si>
    <t xml:space="preserve">Apply the mitigation hierarchy to prevent pollution, manage releases and waste, and address potential impacts on human health and the environment. </t>
  </si>
  <si>
    <r>
      <t>Western Chrome Mines, Koniambo and Kidd</t>
    </r>
    <r>
      <rPr>
        <sz val="11"/>
        <color theme="1"/>
        <rFont val="Calibri"/>
        <family val="2"/>
        <scheme val="minor"/>
      </rPr>
      <t xml:space="preserve"> are working towards improving their environmental risk assessment processes. </t>
    </r>
  </si>
  <si>
    <t>6.5</t>
  </si>
  <si>
    <t>Conservation of Biodiversity</t>
  </si>
  <si>
    <t>7.1</t>
  </si>
  <si>
    <t xml:space="preserve">Neither explore nor develop new mines in World Heritage sites, respect legally designated protected areas, and design and operate any new operations or changes to existing operations to be compatible with the value for which such areas were designated. </t>
  </si>
  <si>
    <t>7.2</t>
  </si>
  <si>
    <r>
      <t>Portovesme and CEZinc</t>
    </r>
    <r>
      <rPr>
        <sz val="11"/>
        <color theme="1"/>
        <rFont val="Calibri"/>
        <family val="2"/>
        <scheme val="minor"/>
      </rPr>
      <t xml:space="preserve"> are working towards improving practices in relation to biodiversity. </t>
    </r>
  </si>
  <si>
    <t>Responsible Production</t>
  </si>
  <si>
    <t>8.1</t>
  </si>
  <si>
    <t>MRM are working on improving their waste management practices.</t>
  </si>
  <si>
    <t>8.2</t>
  </si>
  <si>
    <t xml:space="preserve">Assess the hazards of the products of mining according to UN Globally Harmonised System of Hazard Classification and Labelling or equivalent relevant regulatory systems and communicate through safety data sheets and labelling as appropriate.  </t>
  </si>
  <si>
    <t>Social Performance</t>
  </si>
  <si>
    <t>9.1</t>
  </si>
  <si>
    <r>
      <t>Horne, PASAR and Altonorte are working towards improving their baseline studies and strategies/management plans to better meet their local needs and improve their local procurement practices. Nikkelverk and Murrin Murrin are working on further developing their social needs assessments to inform their socio-economic strategies. Koniambo is working on its local procurement, social investment and local employment strategies. Kazzinc, Portovesme, Kidd and MRM</t>
    </r>
    <r>
      <rPr>
        <sz val="11"/>
        <color theme="1"/>
        <rFont val="Calibri"/>
        <family val="2"/>
        <scheme val="minor"/>
      </rPr>
      <t xml:space="preserve"> are currently reviewing their socio-economic development strategies.</t>
    </r>
  </si>
  <si>
    <t>9.2</t>
  </si>
  <si>
    <t xml:space="preserve">Enable access by local enterprises to procurement and contracting opportunities across the project life-cycle, both directly and by encouraging larger contractors and suppliers, and also by supporting initiatives to enhance economic opportunities for local communities. </t>
  </si>
  <si>
    <t>9.3</t>
  </si>
  <si>
    <t xml:space="preserve">Conduct stakeholder engagement based upon an analysis of the local context and provide local stakeholders with access to effective mechanisms for seeking resolution of grievances related to the company and its activities. </t>
  </si>
  <si>
    <t xml:space="preserve">Altonorte, Carbon Group, Vanadium, Kazzinc, Portovesme, and Kidd are reviewing their stakeholder engagement and complaints and grievances management practices. </t>
  </si>
  <si>
    <t>9.4</t>
  </si>
  <si>
    <t xml:space="preserve">Collaborate with government, where appropriate, to support improvements in environmental and social practices of local Artisanal and Small-scale Mining (ASM). </t>
  </si>
  <si>
    <t xml:space="preserve">
</t>
  </si>
  <si>
    <t>Stakeholder Engagement</t>
  </si>
  <si>
    <t>Notes:</t>
  </si>
  <si>
    <t>ICMM stipulates that ICMM PEs 1.3, 1.4, 1.5, 2.1, 10.1, 10.3 and 10.4 are not applicable at an industrial asset level.</t>
  </si>
  <si>
    <t>*These industrial assets' self assessments against the ICMM PEs were validated by Deloitte in 2023.</t>
  </si>
  <si>
    <t>**Queensland Metal’s industrial site George Fisher Mine's self assessment against the ICMM PEs was validated by Deloitte in 2023.</t>
  </si>
  <si>
    <t/>
  </si>
  <si>
    <t>°</t>
  </si>
  <si>
    <t>Proportion of industrial sites situated in water-stressed areas</t>
  </si>
  <si>
    <t>Glencore AR:
Audit Committee report (pp. 129-130),
Assurance statement (pp. 295-297)
Glencore SR:
Assurance statement (pp. 74-76)</t>
  </si>
  <si>
    <r>
      <t>The reported data refers to our industrial assets' land (owned or leased).
° Industrial assets are undertaking a LEAP assessment and continue to strengthen reporting of data related to our proximity to protected areas and areas of high biodiversity value. Previous year’s data has been restated to reflect this work. Further progress in reporting on this topic is expected in the following years.
SASB EM-MM-160a.3:
We do not currently disclose the percentage of (1) proved and (2) probable reserves in or near sites with protected conservation status or endangered species habitat. However, we provide information about those industrial assets that are located in or adjacent to protected areas or areas with high biodiversity value in our ESG A-Z on our homepage.</t>
    </r>
    <r>
      <rPr>
        <b/>
        <sz val="11"/>
        <rFont val="Calibri"/>
        <family val="2"/>
        <scheme val="minor"/>
      </rPr>
      <t xml:space="preserve">
</t>
    </r>
  </si>
  <si>
    <t>Fatalities</t>
  </si>
  <si>
    <t>Total recordable incidents (TRIs)</t>
  </si>
  <si>
    <r>
      <t>Total recordable incident frequency rate (TRIFR)</t>
    </r>
    <r>
      <rPr>
        <vertAlign val="superscript"/>
        <sz val="11"/>
        <color theme="1"/>
        <rFont val="Calibri"/>
        <family val="2"/>
        <scheme val="minor"/>
      </rPr>
      <t>1)</t>
    </r>
  </si>
  <si>
    <t>Lost time injuries (LTIs)</t>
  </si>
  <si>
    <r>
      <t>Lost time injury frequency rate (LTIFR)</t>
    </r>
    <r>
      <rPr>
        <vertAlign val="superscript"/>
        <sz val="11"/>
        <color theme="1"/>
        <rFont val="Calibri"/>
        <family val="2"/>
        <scheme val="minor"/>
      </rPr>
      <t>1)</t>
    </r>
  </si>
  <si>
    <t>Information on the number of beneficiaries is currently not available. We are reviewing our data methodology for beneficiaries for improved disclosures in the coming years.</t>
  </si>
  <si>
    <t>For the purpose of the ICMM PEs, we exclude the industrial asset, Volcan Compañia Minera S.A.A., following completion of the disposal of our investment in that industrial asset in May 2024.</t>
  </si>
  <si>
    <r>
      <t xml:space="preserve">In line with International Council for Mining and Metals (ICMM) member requirements, please see below and in the following tabs the ratings for our corporate self-assessment ('ICMM PE - Corporate assessment' tab),  self-assessments for our industrial assets ('ICMM PE - Asset assessments' tab) including third-party validation results against ICMM's Validation Guidance  - Performance Expectations (Feb 2020) (ICMM PEs). Where requirements have been assessed as partially met, improvement actions have been identified and are being progressively implemented. 
For more information on Glencore's approach to the ICMM's Principles: Performance Expectations and how we have incorporated them in our industrial activities, please refer to page 11 of our 2023 Sustainability Report, our policies (https://www.glencore.com/who-we-are/policies), our ESG A-Z (https://www.glencore.com/sustainability/esg-a-z), and our annual corporate reporting suite.
Self-assessment and ICMM PE third party validation outcomes are determined for each individual ICMM PE. The ICMM PEs stipulate that certain of the ICMM PEs are only applicable at corporate level or industrial asset level, with the majority being applicable to both. The ICMM applies the following ratings:
</t>
    </r>
    <r>
      <rPr>
        <b/>
        <sz val="11"/>
        <color rgb="FF000000"/>
        <rFont val="Calibri"/>
        <family val="2"/>
        <scheme val="minor"/>
      </rPr>
      <t xml:space="preserve">- Meets: </t>
    </r>
    <r>
      <rPr>
        <sz val="11"/>
        <color rgb="FF000000"/>
        <rFont val="Calibri"/>
        <family val="2"/>
        <scheme val="minor"/>
      </rPr>
      <t xml:space="preserve">Systems and/or practices related to the ICMM PE have been implemented and there is sufficient evidence to demonstrate that the intent of the ICMM PE is being met, however opportunities for improvement may still remain.
</t>
    </r>
    <r>
      <rPr>
        <b/>
        <sz val="11"/>
        <color rgb="FF000000"/>
        <rFont val="Calibri"/>
        <family val="2"/>
        <scheme val="minor"/>
      </rPr>
      <t>- Partially meets:</t>
    </r>
    <r>
      <rPr>
        <sz val="11"/>
        <color rgb="FF000000"/>
        <rFont val="Calibri"/>
        <family val="2"/>
        <scheme val="minor"/>
      </rPr>
      <t xml:space="preserve"> Systems and/or practices related to meeting the intent of the ICMM PE have been only partially implemented. Gaps or weaknesses persist that may contribute to an inability to meet the intended outcome of the ICMM PE, or insufficient verifiable evidence can be provided to demonstrate that the activity is aligned to the intent of the ICMM PE.
</t>
    </r>
    <r>
      <rPr>
        <b/>
        <sz val="11"/>
        <color rgb="FF000000"/>
        <rFont val="Calibri"/>
        <family val="2"/>
        <scheme val="minor"/>
      </rPr>
      <t xml:space="preserve">- Does not meet: </t>
    </r>
    <r>
      <rPr>
        <sz val="11"/>
        <color rgb="FF000000"/>
        <rFont val="Calibri"/>
        <family val="2"/>
        <scheme val="minor"/>
      </rPr>
      <t xml:space="preserve">Systems and/or practices required to support implementation of the substantive intent of the ICMM PE are not in place, or are not being implemented, or cannot be evidenced.
</t>
    </r>
    <r>
      <rPr>
        <b/>
        <sz val="11"/>
        <color rgb="FF000000"/>
        <rFont val="Calibri"/>
        <family val="2"/>
        <scheme val="minor"/>
      </rPr>
      <t xml:space="preserve">- Not applicable: </t>
    </r>
    <r>
      <rPr>
        <sz val="11"/>
        <color rgb="FF000000"/>
        <rFont val="Calibri"/>
        <family val="2"/>
        <scheme val="minor"/>
      </rPr>
      <t>The performance expectation is not applicable to an industrial asset or company. 
For the purpose of the ICMM PEs, the consolidated results of our industrial assets’ self-assessments against ICMM’s Performance Expectations exclude the industrial asset, Volcan Compañia Minera S.A.A., following completion of the disposal of our investment in that industrial asset in May 2024.</t>
    </r>
  </si>
  <si>
    <t xml:space="preserve">For the definitions of the terms used in this ESG Data Book and GRI Index, refer to the 2023 Group Glossary under www.glencore.com/publications. 
For the basis of our energy and emissions reporting in this ESG Data Book and GRI Index, see the About our emissions calculations and reporting section on page 53 of our 2023 Annual Report. For the basis of reporting for the other Environmental, Social and Governance (ESG) metrics in this ESG Data Book and GRI Index, see the About this report section on page 72 of our 2023 Sustainability Report and our Basis of reporting on selected ESG KPIs 2023 (Glencore Basis of Reporting 2023) under www.glencore.com/publications.
</t>
  </si>
  <si>
    <t>Δ Selected ESG metrics (Selected Information) in this ESG Data Book have been subject to independent limited assurance under the ISAE 3000 (Revised) Standard by Deloitte LLP. The Selected Information is identified by the Δ symbol. Refer to the Basis of reporting on selected ESG KPIs 2023 (Basis of Reporting 2023) for how specific Environmental, Social and Governance (ESG) metrics that are subject to assurance are defined and on the underlying processes applied for their collection and verification. The scope and limitations of Deloitte LLP’s assurance are set out in their unqualified reports on page 295 of the 2023 Annual Report and on page 74 of the 2023 Sustainability Report.  </t>
  </si>
  <si>
    <t>For all references to the AR, SR, CATP, E&amp;CR and BOR go to www.glencore.com/publications.</t>
  </si>
  <si>
    <t xml:space="preserve">Reporting period of Glencore AR, CTAP, SR, E&amp;CR:
1 January to 31 December 2023 (annual frequency)
Publication date of AR: 20.03.2024
Publication date of CATP: 20.03.2024
Publication date of E&amp;CR: 02.05.2024
Publication date of SR: 17.05.2024
Contact point: info@glencore.com 
</t>
  </si>
  <si>
    <t>Refer to the Additional information section, including in relation to forward-looking statements, on page 78 of our Sustainability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</si>
</sst>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_ ;\-#,##0\ "/>
    <numFmt numFmtId="165" formatCode="0.0%"/>
    <numFmt numFmtId="166" formatCode="_-* #,##0_-;\-* #,##0_-;_-* &quot;-&quot;??_-;_-@_-"/>
    <numFmt numFmtId="167" formatCode="_-* #,##0.0000_-;\-* #,##0.0000_-;_-* &quot;-&quot;??_-;_-@_-"/>
    <numFmt numFmtId="168" formatCode="_-* #,##0.0_-;\-* #,##0.0_-;_-* &quot;-&quot;??_-;_-@_-"/>
    <numFmt numFmtId="169" formatCode="#,##0.0_ ;\-#,##0.0\ "/>
    <numFmt numFmtId="170" formatCode="0.000"/>
    <numFmt numFmtId="171" formatCode="0.0"/>
    <numFmt numFmtId="172" formatCode="#,##0.00_ ;\-#,##0.00\ "/>
    <numFmt numFmtId="173" formatCode="#,##0.00000"/>
    <numFmt numFmtId="174" formatCode="0.0000"/>
  </numFmts>
  <fonts count="53"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
      <sz val="11"/>
      <name val="Calibri"/>
      <family val="2"/>
    </font>
    <font>
      <sz val="11"/>
      <color theme="1"/>
      <name val="Calibri"/>
      <family val="2"/>
    </font>
    <font>
      <sz val="14"/>
      <color theme="1"/>
      <name val="Calibri"/>
      <family val="2"/>
      <scheme val="minor"/>
    </font>
    <font>
      <sz val="11"/>
      <color rgb="FFFF00FF"/>
      <name val="Calibri"/>
      <family val="2"/>
      <scheme val="minor"/>
    </font>
    <font>
      <b/>
      <sz val="11"/>
      <name val="Calibri"/>
      <family val="2"/>
      <scheme val="minor"/>
    </font>
    <font>
      <sz val="12"/>
      <name val="Calibri"/>
      <family val="2"/>
      <scheme val="minor"/>
    </font>
    <font>
      <b/>
      <sz val="11"/>
      <color rgb="FFFF0000"/>
      <name val="Calibri"/>
      <family val="2"/>
      <scheme val="minor"/>
    </font>
    <font>
      <b/>
      <sz val="12"/>
      <color rgb="FFFF0000"/>
      <name val="Calibri"/>
      <family val="2"/>
      <scheme val="minor"/>
    </font>
    <font>
      <sz val="12"/>
      <color theme="1"/>
      <name val="Calibri"/>
      <family val="2"/>
      <scheme val="minor"/>
    </font>
    <font>
      <b/>
      <sz val="14"/>
      <color theme="0"/>
      <name val="Calibri"/>
      <family val="2"/>
      <scheme val="minor"/>
    </font>
    <font>
      <b/>
      <sz val="12"/>
      <color theme="0"/>
      <name val="Calibri"/>
      <family val="2"/>
      <scheme val="minor"/>
    </font>
    <font>
      <b/>
      <sz val="12"/>
      <name val="Calibri"/>
      <family val="2"/>
      <scheme val="minor"/>
    </font>
    <font>
      <i/>
      <sz val="11"/>
      <name val="Calibri"/>
      <family val="2"/>
      <scheme val="minor"/>
    </font>
    <font>
      <i/>
      <sz val="11"/>
      <color theme="1"/>
      <name val="Calibri"/>
      <family val="2"/>
      <scheme val="minor"/>
    </font>
    <font>
      <b/>
      <i/>
      <sz val="11"/>
      <color theme="1"/>
      <name val="Calibri"/>
      <family val="2"/>
      <scheme val="minor"/>
    </font>
    <font>
      <sz val="11"/>
      <color rgb="FF000000"/>
      <name val="Calibri"/>
      <family val="2"/>
      <scheme val="minor"/>
    </font>
    <font>
      <b/>
      <i/>
      <sz val="11"/>
      <name val="Calibri"/>
      <family val="2"/>
      <scheme val="minor"/>
    </font>
    <font>
      <sz val="11"/>
      <name val="Arial"/>
      <family val="2"/>
    </font>
    <font>
      <sz val="11"/>
      <color theme="7"/>
      <name val="Calibri"/>
      <family val="2"/>
      <scheme val="minor"/>
    </font>
    <font>
      <vertAlign val="subscript"/>
      <sz val="11"/>
      <name val="Calibri"/>
      <family val="2"/>
      <scheme val="minor"/>
    </font>
    <font>
      <vertAlign val="superscript"/>
      <sz val="11"/>
      <name val="Calibri"/>
      <family val="2"/>
      <scheme val="minor"/>
    </font>
    <font>
      <u/>
      <sz val="11"/>
      <color rgb="FF445044"/>
      <name val="Calibri"/>
      <family val="2"/>
      <scheme val="minor"/>
    </font>
    <font>
      <u/>
      <sz val="11"/>
      <color theme="1"/>
      <name val="Calibri"/>
      <family val="2"/>
      <scheme val="minor"/>
    </font>
    <font>
      <b/>
      <vertAlign val="superscript"/>
      <sz val="11"/>
      <color theme="1"/>
      <name val="Calibri"/>
      <family val="2"/>
      <scheme val="minor"/>
    </font>
    <font>
      <vertAlign val="subscript"/>
      <sz val="11"/>
      <color theme="1"/>
      <name val="Calibri"/>
      <family val="2"/>
      <scheme val="minor"/>
    </font>
    <font>
      <b/>
      <vertAlign val="superscript"/>
      <sz val="12"/>
      <color theme="0"/>
      <name val="Calibri"/>
      <family val="2"/>
      <scheme val="minor"/>
    </font>
    <font>
      <b/>
      <vertAlign val="subscript"/>
      <sz val="11"/>
      <color theme="0"/>
      <name val="Calibri"/>
      <family val="2"/>
      <scheme val="minor"/>
    </font>
    <font>
      <sz val="9"/>
      <color theme="1"/>
      <name val="Calibri"/>
      <family val="2"/>
      <scheme val="minor"/>
    </font>
    <font>
      <b/>
      <vertAlign val="subscript"/>
      <sz val="11"/>
      <color theme="1"/>
      <name val="Calibri"/>
      <family val="2"/>
      <scheme val="minor"/>
    </font>
    <font>
      <sz val="9"/>
      <name val="Calibri"/>
      <family val="2"/>
      <scheme val="minor"/>
    </font>
    <font>
      <vertAlign val="superscript"/>
      <sz val="11"/>
      <color theme="1"/>
      <name val="Calibri"/>
      <family val="2"/>
      <scheme val="minor"/>
    </font>
    <font>
      <b/>
      <vertAlign val="superscript"/>
      <sz val="11"/>
      <color theme="0"/>
      <name val="Calibri"/>
      <family val="2"/>
      <scheme val="minor"/>
    </font>
    <font>
      <sz val="9"/>
      <color indexed="8"/>
      <name val="Calibri"/>
      <family val="2"/>
      <scheme val="minor"/>
    </font>
    <font>
      <b/>
      <sz val="14"/>
      <name val="Calibri"/>
      <family val="2"/>
      <scheme val="minor"/>
    </font>
    <font>
      <b/>
      <sz val="11"/>
      <color rgb="FF000000"/>
      <name val="Calibri"/>
      <family val="2"/>
      <scheme val="minor"/>
    </font>
    <font>
      <b/>
      <sz val="14"/>
      <color rgb="FF000000"/>
      <name val="Calibri"/>
      <family val="2"/>
      <scheme val="minor"/>
    </font>
    <font>
      <sz val="11"/>
      <color theme="5" tint="0.39997558519241921"/>
      <name val="Calibri"/>
      <family val="2"/>
      <scheme val="minor"/>
    </font>
    <font>
      <b/>
      <sz val="11"/>
      <color rgb="FFFFFFFF"/>
      <name val="Calibri"/>
      <family val="2"/>
      <scheme val="minor"/>
    </font>
    <font>
      <sz val="10"/>
      <name val="Arial"/>
      <family val="2"/>
    </font>
    <font>
      <sz val="18"/>
      <color rgb="FF00AFAA"/>
      <name val="Wingdings"/>
      <charset val="2"/>
    </font>
    <font>
      <sz val="14"/>
      <color rgb="FF00649E"/>
      <name val="Arial"/>
      <family val="2"/>
    </font>
    <font>
      <b/>
      <sz val="9"/>
      <color theme="0"/>
      <name val="Arial"/>
      <family val="2"/>
    </font>
    <font>
      <b/>
      <sz val="9"/>
      <name val="Arial"/>
      <family val="2"/>
    </font>
    <font>
      <b/>
      <sz val="11"/>
      <name val="Arial"/>
      <family val="2"/>
    </font>
    <font>
      <sz val="9"/>
      <name val="Arial"/>
      <family val="2"/>
    </font>
    <font>
      <sz val="18"/>
      <color rgb="FFBEA791"/>
      <name val="Wingdings"/>
      <charset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rgb="FF00AFAA"/>
        <bgColor indexed="64"/>
      </patternFill>
    </fill>
    <fill>
      <patternFill patternType="solid">
        <fgColor rgb="FFEBEBEB"/>
        <bgColor indexed="64"/>
      </patternFill>
    </fill>
    <fill>
      <patternFill patternType="solid">
        <fgColor rgb="FF006CA0"/>
        <bgColor indexed="64"/>
      </patternFill>
    </fill>
    <fill>
      <patternFill patternType="solid">
        <fgColor rgb="FF7FA9C3"/>
        <bgColor indexed="64"/>
      </patternFill>
    </fill>
    <fill>
      <patternFill patternType="solid">
        <fgColor theme="2"/>
        <bgColor indexed="64"/>
      </patternFill>
    </fill>
    <fill>
      <patternFill patternType="solid">
        <fgColor theme="0" tint="-0.249977111117893"/>
        <bgColor indexed="64"/>
      </patternFill>
    </fill>
    <fill>
      <patternFill patternType="solid">
        <fgColor theme="4"/>
        <bgColor indexed="64"/>
      </patternFill>
    </fill>
  </fills>
  <borders count="46">
    <border>
      <left/>
      <right/>
      <top/>
      <bottom/>
      <diagonal/>
    </border>
    <border>
      <left/>
      <right/>
      <top/>
      <bottom style="thin">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top style="thin">
        <color indexed="64"/>
      </top>
      <bottom/>
      <diagonal/>
    </border>
    <border>
      <left/>
      <right/>
      <top style="thin">
        <color indexed="64"/>
      </top>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right/>
      <top style="thin">
        <color indexed="64"/>
      </top>
      <bottom style="thin">
        <color indexed="64"/>
      </bottom>
      <diagonal/>
    </border>
    <border>
      <left style="thin">
        <color theme="0"/>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theme="0"/>
      </bottom>
      <diagonal/>
    </border>
    <border>
      <left/>
      <right/>
      <top/>
      <bottom style="thin">
        <color theme="2"/>
      </bottom>
      <diagonal/>
    </border>
    <border>
      <left style="thin">
        <color indexed="64"/>
      </left>
      <right style="thin">
        <color theme="1"/>
      </right>
      <top/>
      <bottom style="thin">
        <color indexed="64"/>
      </bottom>
      <diagonal/>
    </border>
    <border>
      <left style="thin">
        <color theme="1"/>
      </left>
      <right style="thin">
        <color theme="1"/>
      </right>
      <top/>
      <bottom style="thin">
        <color indexed="64"/>
      </bottom>
      <diagonal/>
    </border>
    <border>
      <left style="thin">
        <color theme="1"/>
      </left>
      <right style="thin">
        <color indexed="64"/>
      </right>
      <top/>
      <bottom style="thin">
        <color indexed="64"/>
      </bottom>
      <diagonal/>
    </border>
    <border>
      <left style="thin">
        <color theme="1"/>
      </left>
      <right/>
      <top/>
      <bottom style="thin">
        <color indexed="64"/>
      </bottom>
      <diagonal/>
    </border>
    <border>
      <left style="thin">
        <color theme="0"/>
      </left>
      <right style="thin">
        <color indexed="64"/>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theme="0"/>
      </bottom>
      <diagonal/>
    </border>
    <border>
      <left style="thin">
        <color indexed="64"/>
      </left>
      <right/>
      <top style="medium">
        <color indexed="64"/>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8" fillId="0" borderId="0" applyNumberFormat="0" applyFill="0" applyBorder="0" applyAlignment="0" applyProtection="0"/>
    <xf numFmtId="43" fontId="1" fillId="0" borderId="0" applyFont="0" applyFill="0" applyBorder="0" applyAlignment="0" applyProtection="0"/>
    <xf numFmtId="0" fontId="45" fillId="0" borderId="0" applyProtection="0"/>
    <xf numFmtId="0" fontId="1" fillId="0" borderId="0"/>
  </cellStyleXfs>
  <cellXfs count="734">
    <xf numFmtId="0" fontId="0" fillId="0" borderId="0" xfId="0"/>
    <xf numFmtId="0" fontId="5" fillId="0" borderId="0" xfId="0" applyFont="1" applyAlignment="1">
      <alignment vertical="top"/>
    </xf>
    <xf numFmtId="0" fontId="6" fillId="0" borderId="0" xfId="0" applyFont="1" applyAlignment="1">
      <alignment horizontal="left" vertical="top" wrapText="1"/>
    </xf>
    <xf numFmtId="0" fontId="4" fillId="0" borderId="0" xfId="0" applyFont="1"/>
    <xf numFmtId="0" fontId="0" fillId="0" borderId="0" xfId="0" applyAlignment="1">
      <alignment horizontal="left"/>
    </xf>
    <xf numFmtId="0" fontId="0" fillId="0" borderId="0" xfId="0" applyAlignment="1">
      <alignment wrapText="1"/>
    </xf>
    <xf numFmtId="0" fontId="6" fillId="0" borderId="0" xfId="0" applyFont="1" applyAlignment="1">
      <alignment wrapText="1"/>
    </xf>
    <xf numFmtId="0" fontId="8" fillId="0" borderId="0" xfId="0" applyFont="1"/>
    <xf numFmtId="0" fontId="6" fillId="0" borderId="0" xfId="0" applyFont="1" applyAlignment="1">
      <alignment vertical="top"/>
    </xf>
    <xf numFmtId="0" fontId="5" fillId="3" borderId="0" xfId="0" applyFont="1" applyFill="1" applyAlignment="1">
      <alignment vertical="top"/>
    </xf>
    <xf numFmtId="0" fontId="9" fillId="3" borderId="0" xfId="0" applyFont="1" applyFill="1" applyAlignment="1">
      <alignment vertical="top" wrapText="1"/>
    </xf>
    <xf numFmtId="0" fontId="9" fillId="3" borderId="0" xfId="0" applyFont="1" applyFill="1" applyAlignment="1">
      <alignment horizontal="left" vertical="top" wrapText="1"/>
    </xf>
    <xf numFmtId="0" fontId="0" fillId="3" borderId="0" xfId="0" applyFill="1" applyAlignment="1">
      <alignment horizontal="center" vertical="top" wrapText="1"/>
    </xf>
    <xf numFmtId="0" fontId="0" fillId="3" borderId="0" xfId="0" applyFill="1" applyAlignment="1">
      <alignment horizontal="left" vertical="top" wrapText="1"/>
    </xf>
    <xf numFmtId="0" fontId="4" fillId="3" borderId="0" xfId="0" applyFont="1" applyFill="1" applyAlignment="1">
      <alignment horizontal="center" vertical="top" wrapText="1"/>
    </xf>
    <xf numFmtId="0" fontId="10" fillId="3" borderId="0" xfId="0" applyFont="1" applyFill="1" applyAlignment="1">
      <alignment horizontal="center" vertical="top" wrapText="1"/>
    </xf>
    <xf numFmtId="0" fontId="10" fillId="3" borderId="0" xfId="0" applyFont="1" applyFill="1" applyAlignment="1">
      <alignment horizontal="left" vertical="top" wrapText="1"/>
    </xf>
    <xf numFmtId="0" fontId="6" fillId="3" borderId="0" xfId="0" applyFont="1" applyFill="1" applyAlignment="1">
      <alignment horizontal="center" vertical="top" wrapText="1"/>
    </xf>
    <xf numFmtId="0" fontId="0" fillId="0" borderId="0" xfId="0" applyAlignment="1">
      <alignment vertical="top"/>
    </xf>
    <xf numFmtId="0" fontId="8" fillId="3" borderId="0" xfId="0" applyFont="1" applyFill="1" applyAlignment="1">
      <alignment horizontal="center" vertical="top" wrapText="1"/>
    </xf>
    <xf numFmtId="0" fontId="8" fillId="3" borderId="0" xfId="0" applyFont="1" applyFill="1" applyAlignment="1">
      <alignment horizontal="left" vertical="top" wrapText="1"/>
    </xf>
    <xf numFmtId="0" fontId="6" fillId="3" borderId="0" xfId="0" applyFont="1" applyFill="1" applyAlignment="1">
      <alignment horizontal="left" vertical="top"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5" xfId="0" applyFont="1" applyFill="1" applyBorder="1" applyAlignment="1">
      <alignment vertical="top" wrapText="1"/>
    </xf>
    <xf numFmtId="0" fontId="2" fillId="4" borderId="5"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9" xfId="0" applyFont="1" applyFill="1" applyBorder="1" applyAlignment="1">
      <alignment horizontal="left" vertical="top" wrapText="1"/>
    </xf>
    <xf numFmtId="0" fontId="15" fillId="0" borderId="0" xfId="0" applyFont="1" applyAlignment="1">
      <alignment vertical="top"/>
    </xf>
    <xf numFmtId="0" fontId="16" fillId="5" borderId="11" xfId="0" applyFont="1" applyFill="1" applyBorder="1" applyAlignment="1">
      <alignment vertical="center"/>
    </xf>
    <xf numFmtId="0" fontId="17" fillId="5" borderId="5" xfId="0" applyFont="1" applyFill="1" applyBorder="1" applyAlignment="1">
      <alignment vertical="center"/>
    </xf>
    <xf numFmtId="0" fontId="17" fillId="5" borderId="5" xfId="0" applyFont="1" applyFill="1" applyBorder="1" applyAlignment="1">
      <alignment horizontal="left" vertical="center"/>
    </xf>
    <xf numFmtId="0" fontId="14" fillId="5" borderId="12" xfId="0" applyFont="1" applyFill="1" applyBorder="1" applyAlignment="1">
      <alignment vertical="center"/>
    </xf>
    <xf numFmtId="0" fontId="6" fillId="3" borderId="13" xfId="0" applyFont="1" applyFill="1" applyBorder="1" applyAlignment="1">
      <alignment vertical="top" wrapText="1"/>
    </xf>
    <xf numFmtId="49" fontId="6" fillId="3" borderId="13" xfId="0" applyNumberFormat="1" applyFont="1" applyFill="1" applyBorder="1" applyAlignment="1">
      <alignment vertical="top" wrapText="1"/>
    </xf>
    <xf numFmtId="0" fontId="6" fillId="3" borderId="14" xfId="0" applyFont="1" applyFill="1" applyBorder="1" applyAlignment="1">
      <alignment vertical="top" wrapText="1"/>
    </xf>
    <xf numFmtId="0" fontId="6" fillId="3" borderId="1" xfId="0" applyFont="1" applyFill="1" applyBorder="1" applyAlignment="1">
      <alignment vertical="top" wrapText="1"/>
    </xf>
    <xf numFmtId="0" fontId="6" fillId="3" borderId="1" xfId="0" applyFont="1" applyFill="1" applyBorder="1" applyAlignment="1">
      <alignment horizontal="left" vertical="top" wrapText="1"/>
    </xf>
    <xf numFmtId="0" fontId="11" fillId="3" borderId="1" xfId="0" applyFont="1" applyFill="1" applyBorder="1" applyAlignment="1">
      <alignment vertical="top" wrapText="1"/>
    </xf>
    <xf numFmtId="0" fontId="6" fillId="3" borderId="15" xfId="0" applyFont="1" applyFill="1" applyBorder="1" applyAlignment="1">
      <alignment horizontal="left" vertical="top" wrapText="1"/>
    </xf>
    <xf numFmtId="0" fontId="6" fillId="3" borderId="13" xfId="0" applyFont="1" applyFill="1" applyBorder="1" applyAlignment="1">
      <alignment horizontal="left" vertical="top" wrapText="1"/>
    </xf>
    <xf numFmtId="0" fontId="6" fillId="0" borderId="10" xfId="0" applyFont="1" applyBorder="1" applyAlignment="1">
      <alignment horizontal="left" vertical="top" wrapText="1"/>
    </xf>
    <xf numFmtId="0" fontId="6" fillId="0" borderId="14" xfId="0" applyFont="1" applyBorder="1" applyAlignment="1">
      <alignment horizontal="left" vertical="top" wrapText="1"/>
    </xf>
    <xf numFmtId="0" fontId="6" fillId="0" borderId="13" xfId="0" applyFont="1" applyBorder="1" applyAlignment="1">
      <alignment vertical="top" wrapText="1"/>
    </xf>
    <xf numFmtId="0" fontId="0" fillId="0" borderId="13" xfId="0" applyBorder="1" applyAlignment="1">
      <alignment vertical="top" wrapText="1"/>
    </xf>
    <xf numFmtId="49" fontId="6" fillId="3" borderId="10" xfId="0" applyNumberFormat="1" applyFont="1" applyFill="1" applyBorder="1" applyAlignment="1">
      <alignment horizontal="left" vertical="top" wrapText="1"/>
    </xf>
    <xf numFmtId="0" fontId="6" fillId="3" borderId="16" xfId="0" applyFont="1" applyFill="1" applyBorder="1" applyAlignment="1">
      <alignment horizontal="left" vertical="top" wrapText="1"/>
    </xf>
    <xf numFmtId="0" fontId="6" fillId="0" borderId="16" xfId="0" applyFont="1" applyBorder="1" applyAlignment="1">
      <alignment horizontal="left" vertical="top" wrapText="1"/>
    </xf>
    <xf numFmtId="0" fontId="6" fillId="3" borderId="10" xfId="0" applyFont="1" applyFill="1" applyBorder="1" applyAlignment="1">
      <alignment horizontal="left" vertical="top" wrapText="1"/>
    </xf>
    <xf numFmtId="0" fontId="6" fillId="0" borderId="14" xfId="0" applyFont="1" applyBorder="1" applyAlignment="1">
      <alignment vertical="top" wrapText="1"/>
    </xf>
    <xf numFmtId="0" fontId="6" fillId="3" borderId="10" xfId="0" applyFont="1" applyFill="1" applyBorder="1" applyAlignment="1">
      <alignment vertical="top" wrapText="1"/>
    </xf>
    <xf numFmtId="0" fontId="0" fillId="3" borderId="14" xfId="0" applyFill="1" applyBorder="1" applyAlignment="1">
      <alignment vertical="top" wrapText="1"/>
    </xf>
    <xf numFmtId="164" fontId="6" fillId="6" borderId="17" xfId="1" applyNumberFormat="1" applyFont="1" applyFill="1" applyBorder="1" applyAlignment="1">
      <alignment vertical="top" wrapText="1"/>
    </xf>
    <xf numFmtId="3" fontId="6" fillId="6" borderId="18" xfId="2" applyNumberFormat="1" applyFont="1" applyFill="1" applyBorder="1" applyAlignment="1">
      <alignment horizontal="left" vertical="top" wrapText="1"/>
    </xf>
    <xf numFmtId="164" fontId="11" fillId="6" borderId="17" xfId="1" applyNumberFormat="1" applyFont="1" applyFill="1" applyBorder="1" applyAlignment="1">
      <alignment vertical="top" wrapText="1"/>
    </xf>
    <xf numFmtId="0" fontId="6" fillId="6" borderId="18" xfId="1" applyNumberFormat="1" applyFont="1" applyFill="1" applyBorder="1" applyAlignment="1">
      <alignment horizontal="left" vertical="top" wrapText="1"/>
    </xf>
    <xf numFmtId="0" fontId="6" fillId="0" borderId="10" xfId="0" applyFont="1" applyBorder="1" applyAlignment="1">
      <alignment horizontal="center" vertical="top" wrapText="1"/>
    </xf>
    <xf numFmtId="0" fontId="6" fillId="0" borderId="10" xfId="0" applyFont="1" applyBorder="1" applyAlignment="1">
      <alignment vertical="top" wrapText="1"/>
    </xf>
    <xf numFmtId="0" fontId="6" fillId="0" borderId="13" xfId="0" applyFont="1" applyBorder="1" applyAlignment="1">
      <alignment horizontal="left" vertical="top" wrapText="1"/>
    </xf>
    <xf numFmtId="164" fontId="6" fillId="6" borderId="14" xfId="1" applyNumberFormat="1" applyFont="1" applyFill="1" applyBorder="1" applyAlignment="1">
      <alignment horizontal="right" vertical="top" wrapText="1"/>
    </xf>
    <xf numFmtId="164" fontId="11" fillId="6" borderId="14" xfId="1" applyNumberFormat="1" applyFont="1" applyFill="1" applyBorder="1" applyAlignment="1">
      <alignment horizontal="right" vertical="top" wrapText="1"/>
    </xf>
    <xf numFmtId="164" fontId="11" fillId="6" borderId="17" xfId="1" applyNumberFormat="1" applyFont="1" applyFill="1" applyBorder="1" applyAlignment="1">
      <alignment horizontal="right" vertical="top" wrapText="1"/>
    </xf>
    <xf numFmtId="0" fontId="6" fillId="0" borderId="17" xfId="0" applyFont="1" applyBorder="1" applyAlignment="1">
      <alignment horizontal="left" vertical="top" wrapText="1"/>
    </xf>
    <xf numFmtId="0" fontId="6" fillId="3" borderId="17" xfId="0" applyFont="1" applyFill="1" applyBorder="1" applyAlignment="1">
      <alignment vertical="top" wrapText="1"/>
    </xf>
    <xf numFmtId="0" fontId="6" fillId="3" borderId="8" xfId="0" applyFont="1" applyFill="1" applyBorder="1" applyAlignment="1">
      <alignment vertical="top" wrapText="1"/>
    </xf>
    <xf numFmtId="0" fontId="6" fillId="3" borderId="8" xfId="0" applyFont="1" applyFill="1" applyBorder="1" applyAlignment="1">
      <alignment horizontal="left" vertical="top" wrapText="1"/>
    </xf>
    <xf numFmtId="0" fontId="11" fillId="3" borderId="8" xfId="0" applyFont="1" applyFill="1" applyBorder="1" applyAlignment="1">
      <alignment vertical="top" wrapText="1"/>
    </xf>
    <xf numFmtId="0" fontId="6" fillId="3" borderId="18" xfId="0" applyFont="1" applyFill="1" applyBorder="1" applyAlignment="1">
      <alignment horizontal="left" vertical="top" wrapText="1"/>
    </xf>
    <xf numFmtId="0" fontId="6" fillId="0" borderId="19" xfId="0" applyFont="1" applyBorder="1" applyAlignment="1">
      <alignment horizontal="left" vertical="top" wrapText="1"/>
    </xf>
    <xf numFmtId="9" fontId="6" fillId="6" borderId="11" xfId="0" applyNumberFormat="1" applyFont="1" applyFill="1" applyBorder="1" applyAlignment="1">
      <alignment vertical="top" wrapText="1"/>
    </xf>
    <xf numFmtId="3" fontId="6" fillId="6" borderId="12" xfId="2" applyNumberFormat="1" applyFont="1" applyFill="1" applyBorder="1" applyAlignment="1">
      <alignment horizontal="left" vertical="top" wrapText="1"/>
    </xf>
    <xf numFmtId="9" fontId="11" fillId="6" borderId="11" xfId="0" applyNumberFormat="1" applyFont="1" applyFill="1" applyBorder="1" applyAlignment="1">
      <alignment vertical="top" wrapText="1"/>
    </xf>
    <xf numFmtId="0" fontId="6" fillId="6" borderId="12" xfId="0" applyFont="1" applyFill="1" applyBorder="1" applyAlignment="1">
      <alignment horizontal="left" vertical="top" wrapText="1"/>
    </xf>
    <xf numFmtId="0" fontId="6" fillId="0" borderId="16" xfId="0" applyFont="1" applyBorder="1" applyAlignment="1">
      <alignment horizontal="center" vertical="top" wrapText="1"/>
    </xf>
    <xf numFmtId="0" fontId="6" fillId="3" borderId="19" xfId="0" applyFont="1" applyFill="1" applyBorder="1" applyAlignment="1">
      <alignment horizontal="left" vertical="top" wrapText="1"/>
    </xf>
    <xf numFmtId="0" fontId="6" fillId="3" borderId="19" xfId="0" applyFont="1" applyFill="1" applyBorder="1" applyAlignment="1">
      <alignment vertical="top" wrapText="1"/>
    </xf>
    <xf numFmtId="0" fontId="16" fillId="5" borderId="20" xfId="0" applyFont="1" applyFill="1" applyBorder="1" applyAlignment="1">
      <alignment vertical="center"/>
    </xf>
    <xf numFmtId="0" fontId="17" fillId="5" borderId="0" xfId="0" applyFont="1" applyFill="1" applyAlignment="1">
      <alignment vertical="top"/>
    </xf>
    <xf numFmtId="0" fontId="17" fillId="5" borderId="0" xfId="0" applyFont="1" applyFill="1" applyAlignment="1">
      <alignment horizontal="left" vertical="top"/>
    </xf>
    <xf numFmtId="0" fontId="14" fillId="5" borderId="21" xfId="0" applyFont="1" applyFill="1" applyBorder="1" applyAlignment="1">
      <alignment vertical="top"/>
    </xf>
    <xf numFmtId="16" fontId="6" fillId="3" borderId="13" xfId="0" quotePrefix="1" applyNumberFormat="1" applyFont="1" applyFill="1" applyBorder="1" applyAlignment="1">
      <alignment vertical="top" wrapText="1"/>
    </xf>
    <xf numFmtId="0" fontId="6" fillId="3" borderId="14" xfId="0" applyFont="1" applyFill="1" applyBorder="1" applyAlignment="1">
      <alignment horizontal="left" vertical="top" wrapText="1"/>
    </xf>
    <xf numFmtId="0" fontId="6" fillId="3" borderId="13" xfId="0" applyFont="1" applyFill="1" applyBorder="1" applyAlignment="1">
      <alignment horizontal="center" vertical="top" wrapText="1"/>
    </xf>
    <xf numFmtId="0" fontId="6" fillId="3" borderId="13" xfId="0" quotePrefix="1" applyFont="1" applyFill="1" applyBorder="1" applyAlignment="1">
      <alignment vertical="top" wrapText="1"/>
    </xf>
    <xf numFmtId="0" fontId="6" fillId="3" borderId="10" xfId="0" applyFont="1" applyFill="1" applyBorder="1" applyAlignment="1">
      <alignment horizontal="center" vertical="top" wrapText="1"/>
    </xf>
    <xf numFmtId="0" fontId="6" fillId="3" borderId="19" xfId="0" quotePrefix="1" applyFont="1" applyFill="1" applyBorder="1" applyAlignment="1">
      <alignment vertical="top" wrapText="1"/>
    </xf>
    <xf numFmtId="0" fontId="6" fillId="3" borderId="20" xfId="0" applyFont="1" applyFill="1" applyBorder="1" applyAlignment="1">
      <alignment horizontal="left" vertical="top" wrapText="1"/>
    </xf>
    <xf numFmtId="0" fontId="6" fillId="0" borderId="20" xfId="0" applyFont="1" applyBorder="1" applyAlignment="1">
      <alignment vertical="top" wrapText="1"/>
    </xf>
    <xf numFmtId="0" fontId="6" fillId="3" borderId="0" xfId="0" applyFont="1" applyFill="1" applyAlignment="1">
      <alignment vertical="top" wrapText="1"/>
    </xf>
    <xf numFmtId="0" fontId="11" fillId="3" borderId="0" xfId="0" applyFont="1" applyFill="1" applyAlignment="1">
      <alignment vertical="top" wrapText="1"/>
    </xf>
    <xf numFmtId="0" fontId="6" fillId="3" borderId="21" xfId="0" applyFont="1" applyFill="1" applyBorder="1" applyAlignment="1">
      <alignment horizontal="left" vertical="top" wrapText="1"/>
    </xf>
    <xf numFmtId="0" fontId="6" fillId="3" borderId="19" xfId="0" applyFont="1" applyFill="1" applyBorder="1" applyAlignment="1">
      <alignment horizontal="center" vertical="top" wrapText="1"/>
    </xf>
    <xf numFmtId="0" fontId="6" fillId="3" borderId="16" xfId="0" applyFont="1" applyFill="1" applyBorder="1" applyAlignment="1">
      <alignment horizontal="center" vertical="top" wrapText="1"/>
    </xf>
    <xf numFmtId="0" fontId="17" fillId="7" borderId="20" xfId="0" applyFont="1" applyFill="1" applyBorder="1" applyAlignment="1">
      <alignment vertical="center"/>
    </xf>
    <xf numFmtId="0" fontId="17" fillId="7" borderId="0" xfId="0" applyFont="1" applyFill="1" applyAlignment="1">
      <alignment vertical="center"/>
    </xf>
    <xf numFmtId="0" fontId="17" fillId="7" borderId="0" xfId="0" applyFont="1" applyFill="1" applyAlignment="1">
      <alignment horizontal="left" vertical="center"/>
    </xf>
    <xf numFmtId="0" fontId="14" fillId="7" borderId="21" xfId="0" applyFont="1" applyFill="1" applyBorder="1" applyAlignment="1">
      <alignment vertical="center"/>
    </xf>
    <xf numFmtId="0" fontId="18" fillId="7" borderId="21" xfId="0" applyFont="1" applyFill="1" applyBorder="1" applyAlignment="1">
      <alignment vertical="center"/>
    </xf>
    <xf numFmtId="0" fontId="17" fillId="8" borderId="20" xfId="0" applyFont="1" applyFill="1" applyBorder="1" applyAlignment="1">
      <alignment vertical="center"/>
    </xf>
    <xf numFmtId="0" fontId="17" fillId="8" borderId="0" xfId="0" applyFont="1" applyFill="1" applyAlignment="1">
      <alignment vertical="top"/>
    </xf>
    <xf numFmtId="0" fontId="17" fillId="8" borderId="0" xfId="0" applyFont="1" applyFill="1" applyAlignment="1">
      <alignment vertical="top" wrapText="1"/>
    </xf>
    <xf numFmtId="0" fontId="17" fillId="8" borderId="0" xfId="0" applyFont="1" applyFill="1" applyAlignment="1">
      <alignment horizontal="left" vertical="top" wrapText="1"/>
    </xf>
    <xf numFmtId="0" fontId="17" fillId="8" borderId="0" xfId="0" applyFont="1" applyFill="1" applyAlignment="1">
      <alignment horizontal="center" vertical="top" wrapText="1"/>
    </xf>
    <xf numFmtId="0" fontId="13" fillId="8" borderId="21" xfId="0" applyFont="1" applyFill="1" applyBorder="1" applyAlignment="1">
      <alignment vertical="top" wrapText="1"/>
    </xf>
    <xf numFmtId="0" fontId="11" fillId="8" borderId="21" xfId="0" applyFont="1" applyFill="1" applyBorder="1" applyAlignment="1">
      <alignment vertical="top" wrapText="1"/>
    </xf>
    <xf numFmtId="0" fontId="19" fillId="0" borderId="17" xfId="0" applyFont="1" applyBorder="1" applyAlignment="1">
      <alignment vertical="top" wrapText="1"/>
    </xf>
    <xf numFmtId="0" fontId="6" fillId="0" borderId="16" xfId="0" applyFont="1" applyBorder="1" applyAlignment="1">
      <alignment vertical="top" wrapText="1"/>
    </xf>
    <xf numFmtId="0" fontId="6" fillId="0" borderId="17" xfId="0" applyFont="1" applyBorder="1" applyAlignment="1">
      <alignment vertical="top" wrapText="1"/>
    </xf>
    <xf numFmtId="9" fontId="6" fillId="6" borderId="17" xfId="2" applyFont="1" applyFill="1" applyBorder="1" applyAlignment="1">
      <alignment horizontal="right" vertical="top" wrapText="1"/>
    </xf>
    <xf numFmtId="9" fontId="6" fillId="6" borderId="18" xfId="2" applyFont="1" applyFill="1" applyBorder="1" applyAlignment="1">
      <alignment horizontal="left" vertical="top" wrapText="1"/>
    </xf>
    <xf numFmtId="0" fontId="6" fillId="6" borderId="18" xfId="2" applyNumberFormat="1" applyFont="1" applyFill="1" applyBorder="1" applyAlignment="1">
      <alignment horizontal="left" vertical="top" wrapText="1"/>
    </xf>
    <xf numFmtId="0" fontId="6" fillId="0" borderId="13" xfId="0" applyFont="1" applyBorder="1" applyAlignment="1">
      <alignment horizontal="center" vertical="top" wrapText="1"/>
    </xf>
    <xf numFmtId="0" fontId="19" fillId="3" borderId="11" xfId="0" applyFont="1" applyFill="1" applyBorder="1" applyAlignment="1">
      <alignment vertical="top" wrapText="1"/>
    </xf>
    <xf numFmtId="0" fontId="6" fillId="3" borderId="5" xfId="0" applyFont="1" applyFill="1" applyBorder="1" applyAlignment="1">
      <alignment vertical="top" wrapText="1"/>
    </xf>
    <xf numFmtId="0" fontId="6" fillId="3" borderId="5" xfId="0" applyFont="1" applyFill="1" applyBorder="1" applyAlignment="1">
      <alignment horizontal="left" vertical="top" wrapText="1"/>
    </xf>
    <xf numFmtId="0" fontId="11" fillId="3" borderId="5" xfId="0" applyFont="1" applyFill="1" applyBorder="1" applyAlignment="1">
      <alignment vertical="top" wrapText="1"/>
    </xf>
    <xf numFmtId="0" fontId="6" fillId="3" borderId="12" xfId="0" applyFont="1" applyFill="1" applyBorder="1" applyAlignment="1">
      <alignment horizontal="left" vertical="top" wrapText="1"/>
    </xf>
    <xf numFmtId="0" fontId="17" fillId="8" borderId="0" xfId="0" applyFont="1" applyFill="1" applyAlignment="1">
      <alignment vertical="center"/>
    </xf>
    <xf numFmtId="0" fontId="17" fillId="8" borderId="0" xfId="0" applyFont="1" applyFill="1" applyAlignment="1">
      <alignment horizontal="left" vertical="center"/>
    </xf>
    <xf numFmtId="0" fontId="17" fillId="8" borderId="0" xfId="0" applyFont="1" applyFill="1" applyAlignment="1">
      <alignment vertical="center" wrapText="1"/>
    </xf>
    <xf numFmtId="0" fontId="17" fillId="8" borderId="0" xfId="0" applyFont="1" applyFill="1" applyAlignment="1">
      <alignment horizontal="left" vertical="center" wrapText="1"/>
    </xf>
    <xf numFmtId="0" fontId="17" fillId="8" borderId="0" xfId="0" applyFont="1" applyFill="1" applyAlignment="1">
      <alignment horizontal="center" vertical="center" wrapText="1"/>
    </xf>
    <xf numFmtId="0" fontId="13" fillId="8" borderId="21" xfId="0" applyFont="1" applyFill="1" applyBorder="1" applyAlignment="1">
      <alignment vertical="center" wrapText="1"/>
    </xf>
    <xf numFmtId="0" fontId="11" fillId="8" borderId="21" xfId="0" applyFont="1" applyFill="1" applyBorder="1" applyAlignment="1">
      <alignment vertical="center" wrapText="1"/>
    </xf>
    <xf numFmtId="0" fontId="19" fillId="3" borderId="14" xfId="0" applyFont="1" applyFill="1" applyBorder="1" applyAlignment="1">
      <alignment vertical="top" wrapText="1"/>
    </xf>
    <xf numFmtId="0" fontId="6" fillId="0" borderId="19" xfId="0" applyFont="1" applyBorder="1" applyAlignment="1">
      <alignment vertical="top" wrapText="1"/>
    </xf>
    <xf numFmtId="0" fontId="0" fillId="0" borderId="19" xfId="0" applyBorder="1" applyAlignment="1">
      <alignment vertical="top" wrapText="1"/>
    </xf>
    <xf numFmtId="0" fontId="6" fillId="0" borderId="5" xfId="0" applyFont="1" applyBorder="1" applyAlignment="1">
      <alignment vertical="top" wrapText="1"/>
    </xf>
    <xf numFmtId="0" fontId="14" fillId="8" borderId="21" xfId="0" applyFont="1" applyFill="1" applyBorder="1" applyAlignment="1">
      <alignment vertical="center"/>
    </xf>
    <xf numFmtId="0" fontId="18" fillId="8" borderId="21" xfId="0" applyFont="1" applyFill="1" applyBorder="1" applyAlignment="1">
      <alignment vertical="center"/>
    </xf>
    <xf numFmtId="0" fontId="22" fillId="0" borderId="10" xfId="0" applyFont="1" applyBorder="1" applyAlignment="1">
      <alignment vertical="top" wrapText="1"/>
    </xf>
    <xf numFmtId="0" fontId="19" fillId="0" borderId="11" xfId="0" applyFont="1" applyBorder="1" applyAlignment="1">
      <alignment horizontal="left" vertical="top" wrapText="1"/>
    </xf>
    <xf numFmtId="0" fontId="19" fillId="3" borderId="5" xfId="0" applyFont="1" applyFill="1" applyBorder="1" applyAlignment="1">
      <alignment vertical="top" wrapText="1"/>
    </xf>
    <xf numFmtId="0" fontId="19" fillId="3" borderId="5" xfId="0" applyFont="1" applyFill="1" applyBorder="1" applyAlignment="1">
      <alignment horizontal="left" vertical="top" wrapText="1"/>
    </xf>
    <xf numFmtId="0" fontId="23" fillId="3" borderId="5" xfId="0" applyFont="1" applyFill="1" applyBorder="1" applyAlignment="1">
      <alignment vertical="top" wrapText="1"/>
    </xf>
    <xf numFmtId="0" fontId="19" fillId="3" borderId="12" xfId="0" applyFont="1" applyFill="1" applyBorder="1" applyAlignment="1">
      <alignment horizontal="left" vertical="top" wrapText="1"/>
    </xf>
    <xf numFmtId="0" fontId="19" fillId="0" borderId="16" xfId="0" applyFont="1" applyBorder="1" applyAlignment="1">
      <alignment horizontal="center" vertical="top" wrapText="1"/>
    </xf>
    <xf numFmtId="0" fontId="19" fillId="0" borderId="16" xfId="0" applyFont="1" applyBorder="1" applyAlignment="1">
      <alignment vertical="top" wrapText="1"/>
    </xf>
    <xf numFmtId="0" fontId="17" fillId="8" borderId="20" xfId="0" applyFont="1" applyFill="1" applyBorder="1" applyAlignment="1">
      <alignment horizontal="left" vertical="center"/>
    </xf>
    <xf numFmtId="9" fontId="6" fillId="6" borderId="11" xfId="2" applyFont="1" applyFill="1" applyBorder="1" applyAlignment="1">
      <alignment horizontal="right" vertical="top" wrapText="1"/>
    </xf>
    <xf numFmtId="9" fontId="6" fillId="6" borderId="12" xfId="2" applyFont="1" applyFill="1" applyBorder="1" applyAlignment="1">
      <alignment horizontal="left" vertical="top" wrapText="1"/>
    </xf>
    <xf numFmtId="9" fontId="11" fillId="6" borderId="11" xfId="2" applyFont="1" applyFill="1" applyBorder="1" applyAlignment="1">
      <alignment horizontal="right" vertical="top" wrapText="1"/>
    </xf>
    <xf numFmtId="0" fontId="6" fillId="6" borderId="12" xfId="2" applyNumberFormat="1" applyFont="1" applyFill="1" applyBorder="1" applyAlignment="1">
      <alignment horizontal="left" vertical="top" wrapText="1"/>
    </xf>
    <xf numFmtId="0" fontId="6" fillId="3" borderId="16" xfId="0" applyFont="1" applyFill="1" applyBorder="1" applyAlignment="1">
      <alignment vertical="top" wrapText="1"/>
    </xf>
    <xf numFmtId="0" fontId="0" fillId="0" borderId="13" xfId="0" applyBorder="1" applyAlignment="1">
      <alignment horizontal="left" vertical="top" wrapText="1"/>
    </xf>
    <xf numFmtId="0" fontId="6" fillId="0" borderId="0" xfId="0" applyFont="1" applyAlignment="1">
      <alignment vertical="top" wrapText="1"/>
    </xf>
    <xf numFmtId="0" fontId="0" fillId="0" borderId="16" xfId="0" applyBorder="1" applyAlignment="1">
      <alignment horizontal="left" vertical="top" wrapText="1"/>
    </xf>
    <xf numFmtId="9" fontId="11" fillId="6" borderId="11" xfId="2" applyFont="1" applyFill="1" applyBorder="1" applyAlignment="1">
      <alignment vertical="top" wrapText="1"/>
    </xf>
    <xf numFmtId="0" fontId="14" fillId="8" borderId="21" xfId="0" applyFont="1" applyFill="1" applyBorder="1" applyAlignment="1">
      <alignment horizontal="left" vertical="center"/>
    </xf>
    <xf numFmtId="0" fontId="18" fillId="8" borderId="21" xfId="0" applyFont="1" applyFill="1" applyBorder="1" applyAlignment="1">
      <alignment horizontal="left" vertical="center"/>
    </xf>
    <xf numFmtId="0" fontId="6" fillId="3" borderId="11" xfId="0" applyFont="1" applyFill="1" applyBorder="1" applyAlignment="1">
      <alignment horizontal="left" vertical="top" wrapText="1"/>
    </xf>
    <xf numFmtId="0" fontId="0" fillId="0" borderId="22" xfId="0" applyBorder="1" applyAlignment="1">
      <alignment vertical="top" wrapText="1"/>
    </xf>
    <xf numFmtId="0" fontId="11" fillId="3" borderId="1" xfId="0" applyFont="1" applyFill="1" applyBorder="1" applyAlignment="1">
      <alignment horizontal="left" vertical="top" wrapText="1"/>
    </xf>
    <xf numFmtId="9" fontId="6" fillId="3" borderId="8" xfId="2" applyFont="1" applyFill="1" applyBorder="1" applyAlignment="1">
      <alignment horizontal="right" vertical="top" wrapText="1"/>
    </xf>
    <xf numFmtId="9" fontId="6" fillId="3" borderId="8" xfId="2" applyFont="1" applyFill="1" applyBorder="1" applyAlignment="1">
      <alignment horizontal="left" vertical="top" wrapText="1"/>
    </xf>
    <xf numFmtId="9" fontId="11" fillId="3" borderId="8" xfId="2" applyFont="1" applyFill="1" applyBorder="1" applyAlignment="1">
      <alignment horizontal="right" vertical="top" wrapText="1"/>
    </xf>
    <xf numFmtId="0" fontId="6" fillId="3" borderId="18" xfId="2" applyNumberFormat="1" applyFont="1" applyFill="1" applyBorder="1" applyAlignment="1">
      <alignment horizontal="left" vertical="top" wrapText="1"/>
    </xf>
    <xf numFmtId="0" fontId="6" fillId="3" borderId="11" xfId="0" applyFont="1" applyFill="1" applyBorder="1" applyAlignment="1">
      <alignment vertical="top" wrapText="1"/>
    </xf>
    <xf numFmtId="0" fontId="6" fillId="3" borderId="20" xfId="0" applyFont="1" applyFill="1" applyBorder="1" applyAlignment="1">
      <alignment vertical="top" wrapText="1"/>
    </xf>
    <xf numFmtId="0" fontId="0" fillId="0" borderId="10" xfId="0" applyBorder="1" applyAlignment="1">
      <alignment vertical="top" wrapText="1"/>
    </xf>
    <xf numFmtId="0" fontId="0" fillId="0" borderId="16" xfId="0" applyBorder="1" applyAlignment="1">
      <alignment vertical="top" wrapText="1"/>
    </xf>
    <xf numFmtId="0" fontId="17" fillId="7" borderId="0" xfId="0" applyFont="1" applyFill="1" applyAlignment="1">
      <alignment vertical="top"/>
    </xf>
    <xf numFmtId="0" fontId="17" fillId="7" borderId="0" xfId="0" applyFont="1" applyFill="1" applyAlignment="1">
      <alignment horizontal="left" vertical="top"/>
    </xf>
    <xf numFmtId="0" fontId="18" fillId="7" borderId="21" xfId="0" applyFont="1" applyFill="1" applyBorder="1" applyAlignment="1">
      <alignment vertical="top"/>
    </xf>
    <xf numFmtId="0" fontId="17" fillId="8" borderId="0" xfId="0" applyFont="1" applyFill="1" applyAlignment="1">
      <alignment horizontal="left" vertical="top"/>
    </xf>
    <xf numFmtId="0" fontId="18" fillId="8" borderId="21" xfId="0" applyFont="1" applyFill="1" applyBorder="1" applyAlignment="1">
      <alignment vertical="top"/>
    </xf>
    <xf numFmtId="3" fontId="6" fillId="6" borderId="17" xfId="2" applyNumberFormat="1" applyFont="1" applyFill="1" applyBorder="1" applyAlignment="1">
      <alignment vertical="top" wrapText="1"/>
    </xf>
    <xf numFmtId="3" fontId="6" fillId="6" borderId="17" xfId="2" applyNumberFormat="1" applyFont="1" applyFill="1" applyBorder="1" applyAlignment="1">
      <alignment horizontal="right" vertical="top" wrapText="1"/>
    </xf>
    <xf numFmtId="3" fontId="11" fillId="6" borderId="17" xfId="2" applyNumberFormat="1" applyFont="1" applyFill="1" applyBorder="1" applyAlignment="1">
      <alignment vertical="top" wrapText="1"/>
    </xf>
    <xf numFmtId="165" fontId="6" fillId="6" borderId="11" xfId="2" applyNumberFormat="1" applyFont="1" applyFill="1" applyBorder="1" applyAlignment="1">
      <alignment vertical="top" wrapText="1"/>
    </xf>
    <xf numFmtId="165" fontId="11" fillId="6" borderId="11" xfId="2" applyNumberFormat="1" applyFont="1" applyFill="1" applyBorder="1" applyAlignment="1">
      <alignment vertical="top" wrapText="1"/>
    </xf>
    <xf numFmtId="0" fontId="24" fillId="0" borderId="16" xfId="0" applyFont="1" applyBorder="1" applyAlignment="1">
      <alignment vertical="top" wrapText="1"/>
    </xf>
    <xf numFmtId="166" fontId="6" fillId="6" borderId="17" xfId="1" applyNumberFormat="1" applyFont="1" applyFill="1" applyBorder="1" applyAlignment="1">
      <alignment horizontal="right" vertical="top" wrapText="1"/>
    </xf>
    <xf numFmtId="166" fontId="11" fillId="6" borderId="17" xfId="1" applyNumberFormat="1" applyFont="1" applyFill="1" applyBorder="1" applyAlignment="1">
      <alignment horizontal="right" vertical="top" wrapText="1"/>
    </xf>
    <xf numFmtId="0" fontId="6" fillId="0" borderId="10" xfId="0" quotePrefix="1" applyFont="1" applyBorder="1" applyAlignment="1">
      <alignment horizontal="left" vertical="top" wrapText="1"/>
    </xf>
    <xf numFmtId="9" fontId="11" fillId="6" borderId="17" xfId="2" applyFont="1" applyFill="1" applyBorder="1" applyAlignment="1">
      <alignment horizontal="right" vertical="top" wrapText="1"/>
    </xf>
    <xf numFmtId="166" fontId="6" fillId="6" borderId="17" xfId="2" applyNumberFormat="1" applyFont="1" applyFill="1" applyBorder="1" applyAlignment="1">
      <alignment horizontal="right" vertical="top" wrapText="1"/>
    </xf>
    <xf numFmtId="166" fontId="11" fillId="6" borderId="17" xfId="2" applyNumberFormat="1" applyFont="1" applyFill="1" applyBorder="1" applyAlignment="1">
      <alignment horizontal="right" vertical="top" wrapText="1"/>
    </xf>
    <xf numFmtId="167" fontId="6" fillId="6" borderId="17" xfId="1" applyNumberFormat="1" applyFont="1" applyFill="1" applyBorder="1" applyAlignment="1">
      <alignment horizontal="right" vertical="top" wrapText="1"/>
    </xf>
    <xf numFmtId="167" fontId="11" fillId="6" borderId="17" xfId="1" applyNumberFormat="1" applyFont="1" applyFill="1" applyBorder="1" applyAlignment="1">
      <alignment horizontal="right" vertical="top" wrapText="1"/>
    </xf>
    <xf numFmtId="9" fontId="6" fillId="6" borderId="14" xfId="2" applyFont="1" applyFill="1" applyBorder="1" applyAlignment="1">
      <alignment horizontal="right" vertical="top" wrapText="1"/>
    </xf>
    <xf numFmtId="9" fontId="11" fillId="6" borderId="14" xfId="2" applyFont="1" applyFill="1" applyBorder="1" applyAlignment="1">
      <alignment horizontal="right" vertical="top" wrapText="1"/>
    </xf>
    <xf numFmtId="166" fontId="6" fillId="6" borderId="14" xfId="2" applyNumberFormat="1" applyFont="1" applyFill="1" applyBorder="1" applyAlignment="1">
      <alignment horizontal="right" vertical="top" wrapText="1"/>
    </xf>
    <xf numFmtId="166" fontId="11" fillId="6" borderId="14" xfId="2" applyNumberFormat="1" applyFont="1" applyFill="1" applyBorder="1" applyAlignment="1">
      <alignment horizontal="right" vertical="top" wrapText="1"/>
    </xf>
    <xf numFmtId="168" fontId="6" fillId="6" borderId="17" xfId="1" applyNumberFormat="1" applyFont="1" applyFill="1" applyBorder="1" applyAlignment="1">
      <alignment horizontal="right" vertical="top" wrapText="1"/>
    </xf>
    <xf numFmtId="168" fontId="11" fillId="6" borderId="17" xfId="1" applyNumberFormat="1" applyFont="1" applyFill="1" applyBorder="1" applyAlignment="1">
      <alignment horizontal="right" vertical="top" wrapText="1"/>
    </xf>
    <xf numFmtId="165" fontId="6" fillId="6" borderId="14" xfId="2" applyNumberFormat="1" applyFont="1" applyFill="1" applyBorder="1" applyAlignment="1">
      <alignment horizontal="right" vertical="top" wrapText="1"/>
    </xf>
    <xf numFmtId="165" fontId="11" fillId="6" borderId="14" xfId="2" applyNumberFormat="1" applyFont="1" applyFill="1" applyBorder="1" applyAlignment="1">
      <alignment horizontal="right" vertical="top" wrapText="1"/>
    </xf>
    <xf numFmtId="0" fontId="0" fillId="0" borderId="16" xfId="0" quotePrefix="1" applyBorder="1" applyAlignment="1">
      <alignment horizontal="left" vertical="top" wrapText="1"/>
    </xf>
    <xf numFmtId="9" fontId="6" fillId="6" borderId="20" xfId="2" applyFont="1" applyFill="1" applyBorder="1" applyAlignment="1">
      <alignment horizontal="right" vertical="top" wrapText="1"/>
    </xf>
    <xf numFmtId="9" fontId="6" fillId="6" borderId="21" xfId="2" applyFont="1" applyFill="1" applyBorder="1" applyAlignment="1">
      <alignment horizontal="left" vertical="top" wrapText="1"/>
    </xf>
    <xf numFmtId="9" fontId="11" fillId="6" borderId="20" xfId="2" applyFont="1" applyFill="1" applyBorder="1" applyAlignment="1">
      <alignment horizontal="right" vertical="top" wrapText="1"/>
    </xf>
    <xf numFmtId="0" fontId="6" fillId="0" borderId="16" xfId="0" quotePrefix="1" applyFont="1" applyBorder="1" applyAlignment="1">
      <alignment horizontal="left" vertical="top" wrapText="1"/>
    </xf>
    <xf numFmtId="3" fontId="6" fillId="6" borderId="11" xfId="2" applyNumberFormat="1" applyFont="1" applyFill="1" applyBorder="1" applyAlignment="1">
      <alignment horizontal="right" vertical="top" wrapText="1"/>
    </xf>
    <xf numFmtId="3" fontId="11" fillId="6" borderId="11" xfId="2" applyNumberFormat="1" applyFont="1" applyFill="1" applyBorder="1" applyAlignment="1">
      <alignment horizontal="right" vertical="top" wrapText="1"/>
    </xf>
    <xf numFmtId="0" fontId="3" fillId="6" borderId="12" xfId="2" applyNumberFormat="1" applyFont="1" applyFill="1" applyBorder="1" applyAlignment="1">
      <alignment horizontal="left" vertical="top" wrapText="1"/>
    </xf>
    <xf numFmtId="0" fontId="6" fillId="0" borderId="11" xfId="0" applyFont="1" applyBorder="1" applyAlignment="1">
      <alignment horizontal="center" vertical="top" wrapText="1"/>
    </xf>
    <xf numFmtId="0" fontId="3" fillId="6" borderId="18" xfId="2" applyNumberFormat="1" applyFont="1" applyFill="1" applyBorder="1" applyAlignment="1">
      <alignment horizontal="left" vertical="top" wrapText="1"/>
    </xf>
    <xf numFmtId="0" fontId="6" fillId="0" borderId="18" xfId="0" applyFont="1" applyBorder="1" applyAlignment="1">
      <alignment horizontal="left" vertical="top" wrapText="1"/>
    </xf>
    <xf numFmtId="0" fontId="0" fillId="0" borderId="18" xfId="0" applyBorder="1"/>
    <xf numFmtId="3" fontId="6" fillId="6" borderId="17" xfId="1" applyNumberFormat="1" applyFont="1" applyFill="1" applyBorder="1" applyAlignment="1">
      <alignment horizontal="right" vertical="top" wrapText="1"/>
    </xf>
    <xf numFmtId="3" fontId="11" fillId="6" borderId="14" xfId="1" applyNumberFormat="1" applyFont="1" applyFill="1" applyBorder="1" applyAlignment="1">
      <alignment horizontal="right" vertical="top" wrapText="1"/>
    </xf>
    <xf numFmtId="0" fontId="6" fillId="6" borderId="15" xfId="1" applyNumberFormat="1" applyFont="1" applyFill="1" applyBorder="1" applyAlignment="1">
      <alignment horizontal="left" vertical="top" wrapText="1"/>
    </xf>
    <xf numFmtId="0" fontId="6" fillId="0" borderId="19" xfId="0" applyFont="1" applyBorder="1" applyAlignment="1">
      <alignment horizontal="center" vertical="top" wrapText="1"/>
    </xf>
    <xf numFmtId="3" fontId="11" fillId="6" borderId="17" xfId="1" applyNumberFormat="1" applyFont="1" applyFill="1" applyBorder="1" applyAlignment="1">
      <alignment vertical="top" wrapText="1"/>
    </xf>
    <xf numFmtId="0" fontId="6" fillId="0" borderId="10" xfId="0" applyFont="1" applyBorder="1" applyAlignment="1">
      <alignment vertical="center" wrapText="1"/>
    </xf>
    <xf numFmtId="3" fontId="6" fillId="6" borderId="17" xfId="1" applyNumberFormat="1" applyFont="1" applyFill="1" applyBorder="1" applyAlignment="1">
      <alignment vertical="top" wrapText="1"/>
    </xf>
    <xf numFmtId="0" fontId="6" fillId="0" borderId="16" xfId="0" quotePrefix="1" applyFont="1" applyBorder="1" applyAlignment="1">
      <alignment horizontal="left" vertical="top" wrapText="1" indent="1"/>
    </xf>
    <xf numFmtId="3" fontId="11" fillId="6" borderId="17" xfId="1" applyNumberFormat="1" applyFont="1" applyFill="1" applyBorder="1" applyAlignment="1">
      <alignment horizontal="right" vertical="top" wrapText="1"/>
    </xf>
    <xf numFmtId="0" fontId="0" fillId="0" borderId="19" xfId="0" applyBorder="1" applyAlignment="1">
      <alignment horizontal="left" vertical="top" wrapText="1"/>
    </xf>
    <xf numFmtId="3" fontId="6" fillId="6" borderId="11" xfId="1" applyNumberFormat="1" applyFont="1" applyFill="1" applyBorder="1" applyAlignment="1">
      <alignment vertical="top" wrapText="1"/>
    </xf>
    <xf numFmtId="3" fontId="11" fillId="6" borderId="5" xfId="1" applyNumberFormat="1" applyFont="1" applyFill="1" applyBorder="1" applyAlignment="1">
      <alignment vertical="top" wrapText="1"/>
    </xf>
    <xf numFmtId="0" fontId="6" fillId="6" borderId="12" xfId="1" applyNumberFormat="1" applyFont="1" applyFill="1" applyBorder="1" applyAlignment="1">
      <alignment horizontal="left" vertical="top" wrapText="1"/>
    </xf>
    <xf numFmtId="3" fontId="11" fillId="6" borderId="11" xfId="1" applyNumberFormat="1" applyFont="1" applyFill="1" applyBorder="1" applyAlignment="1">
      <alignment vertical="top" wrapText="1"/>
    </xf>
    <xf numFmtId="0" fontId="17" fillId="8" borderId="0" xfId="0" applyFont="1" applyFill="1"/>
    <xf numFmtId="0" fontId="17" fillId="8" borderId="0" xfId="0" applyFont="1" applyFill="1" applyAlignment="1">
      <alignment horizontal="left"/>
    </xf>
    <xf numFmtId="0" fontId="18" fillId="8" borderId="21" xfId="0" applyFont="1" applyFill="1" applyBorder="1"/>
    <xf numFmtId="164" fontId="6" fillId="6" borderId="17" xfId="1" applyNumberFormat="1" applyFont="1" applyFill="1" applyBorder="1" applyAlignment="1">
      <alignment horizontal="right" vertical="top" wrapText="1"/>
    </xf>
    <xf numFmtId="164" fontId="6" fillId="6" borderId="17" xfId="4" applyNumberFormat="1" applyFont="1" applyFill="1" applyBorder="1" applyAlignment="1">
      <alignment horizontal="right" vertical="top" wrapText="1"/>
    </xf>
    <xf numFmtId="164" fontId="11" fillId="6" borderId="17" xfId="4" applyNumberFormat="1" applyFont="1" applyFill="1" applyBorder="1" applyAlignment="1">
      <alignment vertical="top" wrapText="1"/>
    </xf>
    <xf numFmtId="169" fontId="6" fillId="6" borderId="17" xfId="4" applyNumberFormat="1" applyFont="1" applyFill="1" applyBorder="1" applyAlignment="1">
      <alignment vertical="top" wrapText="1"/>
    </xf>
    <xf numFmtId="169" fontId="6" fillId="6" borderId="17" xfId="4" applyNumberFormat="1" applyFont="1" applyFill="1" applyBorder="1" applyAlignment="1">
      <alignment horizontal="right" vertical="top" wrapText="1"/>
    </xf>
    <xf numFmtId="169" fontId="11" fillId="6" borderId="17" xfId="4" applyNumberFormat="1" applyFont="1" applyFill="1" applyBorder="1" applyAlignment="1">
      <alignment vertical="top" wrapText="1"/>
    </xf>
    <xf numFmtId="9" fontId="6" fillId="6" borderId="12" xfId="0" applyNumberFormat="1" applyFont="1" applyFill="1" applyBorder="1" applyAlignment="1">
      <alignment horizontal="left" vertical="top" wrapText="1"/>
    </xf>
    <xf numFmtId="0" fontId="6" fillId="6" borderId="5" xfId="0" applyFont="1" applyFill="1" applyBorder="1" applyAlignment="1">
      <alignment horizontal="left" vertical="top" wrapText="1"/>
    </xf>
    <xf numFmtId="0" fontId="6" fillId="0" borderId="21" xfId="0" applyFont="1" applyBorder="1" applyAlignment="1">
      <alignment horizontal="left" vertical="top" wrapText="1"/>
    </xf>
    <xf numFmtId="0" fontId="19" fillId="0" borderId="16" xfId="0" applyFont="1" applyBorder="1" applyAlignment="1">
      <alignment horizontal="left" vertical="top" wrapText="1"/>
    </xf>
    <xf numFmtId="166" fontId="11" fillId="6" borderId="8" xfId="1" applyNumberFormat="1" applyFont="1" applyFill="1" applyBorder="1" applyAlignment="1">
      <alignment horizontal="right" vertical="top" wrapText="1"/>
    </xf>
    <xf numFmtId="43" fontId="6" fillId="6" borderId="17" xfId="1" applyFont="1" applyFill="1" applyBorder="1" applyAlignment="1">
      <alignment horizontal="right" vertical="top" wrapText="1"/>
    </xf>
    <xf numFmtId="43" fontId="11" fillId="6" borderId="8" xfId="1" applyFont="1" applyFill="1" applyBorder="1" applyAlignment="1">
      <alignment horizontal="right" vertical="top" wrapText="1"/>
    </xf>
    <xf numFmtId="0" fontId="6" fillId="0" borderId="18" xfId="0" applyFont="1" applyBorder="1" applyAlignment="1">
      <alignment vertical="top" wrapText="1"/>
    </xf>
    <xf numFmtId="166" fontId="11" fillId="6" borderId="8" xfId="1" applyNumberFormat="1" applyFont="1" applyFill="1" applyBorder="1" applyAlignment="1">
      <alignment vertical="top" wrapText="1"/>
    </xf>
    <xf numFmtId="166" fontId="11" fillId="6" borderId="18" xfId="1" applyNumberFormat="1" applyFont="1" applyFill="1" applyBorder="1" applyAlignment="1">
      <alignment vertical="top" wrapText="1"/>
    </xf>
    <xf numFmtId="164" fontId="11" fillId="6" borderId="8" xfId="1" applyNumberFormat="1" applyFont="1" applyFill="1" applyBorder="1" applyAlignment="1">
      <alignment vertical="top" wrapText="1"/>
    </xf>
    <xf numFmtId="164" fontId="11" fillId="6" borderId="0" xfId="1" applyNumberFormat="1" applyFont="1" applyFill="1" applyBorder="1" applyAlignment="1">
      <alignment vertical="top" wrapText="1"/>
    </xf>
    <xf numFmtId="0" fontId="6" fillId="0" borderId="10" xfId="0" applyFont="1" applyBorder="1" applyAlignment="1">
      <alignment horizontal="left" vertical="top" wrapText="1" indent="1"/>
    </xf>
    <xf numFmtId="0" fontId="7" fillId="0" borderId="10" xfId="0" applyFont="1" applyBorder="1" applyAlignment="1">
      <alignment vertical="top" wrapText="1"/>
    </xf>
    <xf numFmtId="166" fontId="6" fillId="3" borderId="8" xfId="1" applyNumberFormat="1" applyFont="1" applyFill="1" applyBorder="1" applyAlignment="1">
      <alignment vertical="top" wrapText="1"/>
    </xf>
    <xf numFmtId="166" fontId="6" fillId="3" borderId="8" xfId="1" applyNumberFormat="1" applyFont="1" applyFill="1" applyBorder="1" applyAlignment="1">
      <alignment horizontal="left" vertical="top" wrapText="1"/>
    </xf>
    <xf numFmtId="166" fontId="11" fillId="3" borderId="8" xfId="1" applyNumberFormat="1" applyFont="1" applyFill="1" applyBorder="1" applyAlignment="1">
      <alignment vertical="top" wrapText="1"/>
    </xf>
    <xf numFmtId="0" fontId="6" fillId="3" borderId="18" xfId="1" applyNumberFormat="1" applyFont="1" applyFill="1" applyBorder="1" applyAlignment="1">
      <alignment horizontal="left" vertical="top" wrapText="1"/>
    </xf>
    <xf numFmtId="169" fontId="6" fillId="6" borderId="17" xfId="1" applyNumberFormat="1" applyFont="1" applyFill="1" applyBorder="1" applyAlignment="1">
      <alignment vertical="top" wrapText="1"/>
    </xf>
    <xf numFmtId="169" fontId="11" fillId="6" borderId="17" xfId="1" applyNumberFormat="1" applyFont="1" applyFill="1" applyBorder="1" applyAlignment="1">
      <alignment vertical="top" wrapText="1"/>
    </xf>
    <xf numFmtId="0" fontId="0" fillId="0" borderId="17" xfId="0" applyBorder="1" applyAlignment="1">
      <alignment horizontal="left" vertical="top" wrapText="1"/>
    </xf>
    <xf numFmtId="9" fontId="0" fillId="0" borderId="13" xfId="0" applyNumberFormat="1" applyBorder="1" applyAlignment="1">
      <alignment horizontal="left" vertical="top" wrapText="1"/>
    </xf>
    <xf numFmtId="164" fontId="6" fillId="6" borderId="11" xfId="1" applyNumberFormat="1" applyFont="1" applyFill="1" applyBorder="1" applyAlignment="1">
      <alignment horizontal="right" vertical="top" wrapText="1"/>
    </xf>
    <xf numFmtId="164" fontId="11" fillId="6" borderId="11" xfId="1" applyNumberFormat="1" applyFont="1" applyFill="1" applyBorder="1" applyAlignment="1">
      <alignment horizontal="right" vertical="top" wrapText="1"/>
    </xf>
    <xf numFmtId="0" fontId="6" fillId="6" borderId="21" xfId="1" applyNumberFormat="1" applyFont="1" applyFill="1" applyBorder="1" applyAlignment="1">
      <alignment horizontal="left" vertical="top" wrapText="1"/>
    </xf>
    <xf numFmtId="166" fontId="6" fillId="3" borderId="0" xfId="1" applyNumberFormat="1" applyFont="1" applyFill="1" applyBorder="1" applyAlignment="1">
      <alignment vertical="top" wrapText="1"/>
    </xf>
    <xf numFmtId="166" fontId="6" fillId="3" borderId="0" xfId="1" applyNumberFormat="1" applyFont="1" applyFill="1" applyBorder="1" applyAlignment="1">
      <alignment horizontal="left" vertical="top" wrapText="1"/>
    </xf>
    <xf numFmtId="166" fontId="11" fillId="3" borderId="0" xfId="1" applyNumberFormat="1" applyFont="1" applyFill="1" applyBorder="1" applyAlignment="1">
      <alignment vertical="top" wrapText="1"/>
    </xf>
    <xf numFmtId="166" fontId="6" fillId="3" borderId="21" xfId="1" applyNumberFormat="1" applyFont="1" applyFill="1" applyBorder="1" applyAlignment="1">
      <alignment horizontal="left" vertical="top" wrapText="1"/>
    </xf>
    <xf numFmtId="166" fontId="6" fillId="3" borderId="1" xfId="1" applyNumberFormat="1" applyFont="1" applyFill="1" applyBorder="1" applyAlignment="1">
      <alignment vertical="top" wrapText="1"/>
    </xf>
    <xf numFmtId="166" fontId="6" fillId="3" borderId="1" xfId="1" applyNumberFormat="1" applyFont="1" applyFill="1" applyBorder="1" applyAlignment="1">
      <alignment horizontal="left" vertical="top" wrapText="1"/>
    </xf>
    <xf numFmtId="166" fontId="11" fillId="3" borderId="1" xfId="1" applyNumberFormat="1" applyFont="1" applyFill="1" applyBorder="1" applyAlignment="1">
      <alignment vertical="top" wrapText="1"/>
    </xf>
    <xf numFmtId="166" fontId="6" fillId="3" borderId="15" xfId="1" applyNumberFormat="1" applyFont="1" applyFill="1" applyBorder="1" applyAlignment="1">
      <alignment horizontal="left" vertical="top" wrapText="1"/>
    </xf>
    <xf numFmtId="9" fontId="6" fillId="6" borderId="17" xfId="2" applyFont="1" applyFill="1" applyBorder="1" applyAlignment="1">
      <alignment vertical="top" wrapText="1"/>
    </xf>
    <xf numFmtId="9" fontId="11" fillId="6" borderId="17" xfId="2" applyFont="1" applyFill="1" applyBorder="1" applyAlignment="1">
      <alignment vertical="top" wrapText="1"/>
    </xf>
    <xf numFmtId="0" fontId="19" fillId="3" borderId="11" xfId="0" applyFont="1" applyFill="1" applyBorder="1" applyAlignment="1">
      <alignment horizontal="left" vertical="top" wrapText="1"/>
    </xf>
    <xf numFmtId="0" fontId="17" fillId="7" borderId="20" xfId="0" applyFont="1" applyFill="1" applyBorder="1" applyAlignment="1">
      <alignment vertical="center" wrapText="1"/>
    </xf>
    <xf numFmtId="0" fontId="17" fillId="7" borderId="0" xfId="0" applyFont="1" applyFill="1" applyAlignment="1">
      <alignment vertical="center" wrapText="1"/>
    </xf>
    <xf numFmtId="0" fontId="17" fillId="7" borderId="0" xfId="0" applyFont="1" applyFill="1" applyAlignment="1">
      <alignment horizontal="left" vertical="center" wrapText="1"/>
    </xf>
    <xf numFmtId="0" fontId="17" fillId="7" borderId="0" xfId="0" applyFont="1" applyFill="1" applyAlignment="1">
      <alignment horizontal="center" vertical="center" wrapText="1"/>
    </xf>
    <xf numFmtId="0" fontId="11" fillId="7" borderId="21" xfId="0" applyFont="1" applyFill="1" applyBorder="1" applyAlignment="1">
      <alignment horizontal="left" vertical="center" wrapText="1"/>
    </xf>
    <xf numFmtId="0" fontId="6" fillId="0" borderId="8" xfId="0" applyFont="1" applyBorder="1" applyAlignment="1">
      <alignment horizontal="left" vertical="top" wrapText="1"/>
    </xf>
    <xf numFmtId="3" fontId="6" fillId="6" borderId="17" xfId="0" applyNumberFormat="1" applyFont="1" applyFill="1" applyBorder="1" applyAlignment="1">
      <alignment horizontal="right" vertical="top" wrapText="1"/>
    </xf>
    <xf numFmtId="3" fontId="11" fillId="6" borderId="17" xfId="0" applyNumberFormat="1" applyFont="1" applyFill="1" applyBorder="1" applyAlignment="1">
      <alignment horizontal="right" vertical="top" wrapText="1"/>
    </xf>
    <xf numFmtId="0" fontId="6" fillId="6" borderId="18" xfId="0" applyFont="1" applyFill="1" applyBorder="1" applyAlignment="1">
      <alignment horizontal="left" vertical="top" wrapText="1"/>
    </xf>
    <xf numFmtId="9" fontId="6" fillId="6" borderId="17" xfId="0" applyNumberFormat="1" applyFont="1" applyFill="1" applyBorder="1" applyAlignment="1">
      <alignment horizontal="right" vertical="top" wrapText="1"/>
    </xf>
    <xf numFmtId="9" fontId="11" fillId="6" borderId="17" xfId="0" applyNumberFormat="1" applyFont="1" applyFill="1" applyBorder="1" applyAlignment="1">
      <alignment horizontal="right" vertical="top" wrapText="1"/>
    </xf>
    <xf numFmtId="0" fontId="6" fillId="0" borderId="18" xfId="0" quotePrefix="1" applyFont="1" applyBorder="1" applyAlignment="1">
      <alignment horizontal="left" vertical="top" wrapText="1"/>
    </xf>
    <xf numFmtId="0" fontId="6" fillId="3" borderId="8" xfId="0" quotePrefix="1" applyFont="1" applyFill="1" applyBorder="1" applyAlignment="1">
      <alignment horizontal="left" vertical="top" wrapText="1"/>
    </xf>
    <xf numFmtId="0" fontId="6" fillId="0" borderId="8" xfId="0" quotePrefix="1" applyFont="1" applyBorder="1" applyAlignment="1">
      <alignment horizontal="left" vertical="top" wrapText="1"/>
    </xf>
    <xf numFmtId="0" fontId="6" fillId="0" borderId="5" xfId="0" quotePrefix="1" applyFont="1" applyBorder="1" applyAlignment="1">
      <alignment horizontal="left" vertical="top" wrapText="1"/>
    </xf>
    <xf numFmtId="0" fontId="6" fillId="3" borderId="16" xfId="0" quotePrefix="1" applyFont="1" applyFill="1" applyBorder="1" applyAlignment="1">
      <alignment vertical="top" wrapText="1"/>
    </xf>
    <xf numFmtId="0" fontId="11" fillId="0" borderId="17" xfId="0" applyFont="1" applyBorder="1" applyAlignment="1">
      <alignment horizontal="left" vertical="top" wrapText="1"/>
    </xf>
    <xf numFmtId="0" fontId="0" fillId="3" borderId="13" xfId="0" applyFill="1" applyBorder="1" applyAlignment="1">
      <alignment vertical="top" wrapText="1"/>
    </xf>
    <xf numFmtId="0" fontId="29" fillId="0" borderId="13" xfId="3" applyFont="1" applyFill="1" applyBorder="1" applyAlignment="1">
      <alignment vertical="top" wrapText="1"/>
    </xf>
    <xf numFmtId="164" fontId="11" fillId="6" borderId="14" xfId="1" applyNumberFormat="1" applyFont="1" applyFill="1" applyBorder="1" applyAlignment="1">
      <alignment vertical="top" wrapText="1"/>
    </xf>
    <xf numFmtId="170" fontId="6" fillId="6" borderId="17" xfId="0" applyNumberFormat="1" applyFont="1" applyFill="1" applyBorder="1" applyAlignment="1">
      <alignment vertical="top" wrapText="1"/>
    </xf>
    <xf numFmtId="170" fontId="11" fillId="6" borderId="17" xfId="0" applyNumberFormat="1" applyFont="1" applyFill="1" applyBorder="1" applyAlignment="1">
      <alignment vertical="top" wrapText="1"/>
    </xf>
    <xf numFmtId="170" fontId="11" fillId="6" borderId="14" xfId="0" applyNumberFormat="1" applyFont="1" applyFill="1" applyBorder="1" applyAlignment="1">
      <alignment vertical="top" wrapText="1"/>
    </xf>
    <xf numFmtId="0" fontId="6" fillId="6" borderId="15" xfId="0" applyFont="1" applyFill="1" applyBorder="1" applyAlignment="1">
      <alignment horizontal="left" vertical="top" wrapText="1"/>
    </xf>
    <xf numFmtId="2" fontId="6" fillId="6" borderId="17" xfId="0" applyNumberFormat="1" applyFont="1" applyFill="1" applyBorder="1" applyAlignment="1">
      <alignment vertical="top" wrapText="1"/>
    </xf>
    <xf numFmtId="2" fontId="11" fillId="6" borderId="17" xfId="0" applyNumberFormat="1" applyFont="1" applyFill="1" applyBorder="1" applyAlignment="1">
      <alignment vertical="top" wrapText="1"/>
    </xf>
    <xf numFmtId="2" fontId="6" fillId="6" borderId="17" xfId="0" applyNumberFormat="1" applyFont="1" applyFill="1" applyBorder="1" applyAlignment="1">
      <alignment horizontal="right" vertical="top" wrapText="1"/>
    </xf>
    <xf numFmtId="2" fontId="11" fillId="6" borderId="14" xfId="0" applyNumberFormat="1" applyFont="1" applyFill="1" applyBorder="1" applyAlignment="1">
      <alignment vertical="top" wrapText="1"/>
    </xf>
    <xf numFmtId="1" fontId="6" fillId="6" borderId="17" xfId="0" applyNumberFormat="1" applyFont="1" applyFill="1" applyBorder="1" applyAlignment="1">
      <alignment vertical="top" wrapText="1"/>
    </xf>
    <xf numFmtId="1" fontId="11" fillId="6" borderId="14" xfId="0" applyNumberFormat="1" applyFont="1" applyFill="1" applyBorder="1" applyAlignment="1">
      <alignment vertical="top" wrapText="1"/>
    </xf>
    <xf numFmtId="1" fontId="6" fillId="6" borderId="17" xfId="0" applyNumberFormat="1" applyFont="1" applyFill="1" applyBorder="1" applyAlignment="1">
      <alignment horizontal="right" vertical="top" wrapText="1"/>
    </xf>
    <xf numFmtId="172" fontId="6" fillId="6" borderId="17" xfId="1" applyNumberFormat="1" applyFont="1" applyFill="1" applyBorder="1" applyAlignment="1">
      <alignment horizontal="right" vertical="top" wrapText="1"/>
    </xf>
    <xf numFmtId="172" fontId="11" fillId="6" borderId="17" xfId="1" applyNumberFormat="1" applyFont="1" applyFill="1" applyBorder="1" applyAlignment="1">
      <alignment horizontal="right" vertical="top" wrapText="1"/>
    </xf>
    <xf numFmtId="165" fontId="6" fillId="6" borderId="17" xfId="2" applyNumberFormat="1" applyFont="1" applyFill="1" applyBorder="1" applyAlignment="1">
      <alignment vertical="top" wrapText="1"/>
    </xf>
    <xf numFmtId="165" fontId="11" fillId="6" borderId="14" xfId="2" applyNumberFormat="1" applyFont="1" applyFill="1" applyBorder="1" applyAlignment="1">
      <alignment vertical="top" wrapText="1"/>
    </xf>
    <xf numFmtId="0" fontId="6" fillId="6" borderId="21" xfId="2" applyNumberFormat="1" applyFont="1" applyFill="1" applyBorder="1" applyAlignment="1">
      <alignment horizontal="left" vertical="top" wrapText="1"/>
    </xf>
    <xf numFmtId="172" fontId="11" fillId="6" borderId="14" xfId="1" applyNumberFormat="1" applyFont="1" applyFill="1" applyBorder="1" applyAlignment="1">
      <alignment vertical="top" wrapText="1"/>
    </xf>
    <xf numFmtId="172" fontId="11" fillId="6" borderId="17" xfId="1" applyNumberFormat="1" applyFont="1" applyFill="1" applyBorder="1" applyAlignment="1">
      <alignment vertical="top" wrapText="1"/>
    </xf>
    <xf numFmtId="172" fontId="6" fillId="6" borderId="11" xfId="1" applyNumberFormat="1" applyFont="1" applyFill="1" applyBorder="1" applyAlignment="1">
      <alignment vertical="top" wrapText="1"/>
    </xf>
    <xf numFmtId="172" fontId="11" fillId="6" borderId="11" xfId="1" applyNumberFormat="1" applyFont="1" applyFill="1" applyBorder="1" applyAlignment="1">
      <alignment vertical="top" wrapText="1"/>
    </xf>
    <xf numFmtId="1" fontId="11" fillId="6" borderId="17" xfId="0" applyNumberFormat="1" applyFont="1" applyFill="1" applyBorder="1" applyAlignment="1">
      <alignment horizontal="right" vertical="top" wrapText="1"/>
    </xf>
    <xf numFmtId="1" fontId="6" fillId="6" borderId="17" xfId="2" applyNumberFormat="1" applyFont="1" applyFill="1" applyBorder="1" applyAlignment="1">
      <alignment horizontal="right" vertical="top" wrapText="1"/>
    </xf>
    <xf numFmtId="1" fontId="11" fillId="6" borderId="17" xfId="2" applyNumberFormat="1" applyFont="1" applyFill="1" applyBorder="1" applyAlignment="1">
      <alignment horizontal="right" vertical="top" wrapText="1"/>
    </xf>
    <xf numFmtId="1" fontId="11" fillId="6" borderId="11" xfId="2" applyNumberFormat="1" applyFont="1" applyFill="1" applyBorder="1" applyAlignment="1">
      <alignment horizontal="right" vertical="top" wrapText="1"/>
    </xf>
    <xf numFmtId="0" fontId="0" fillId="0" borderId="10" xfId="0" applyBorder="1" applyAlignment="1">
      <alignment horizontal="left" vertical="top" wrapText="1"/>
    </xf>
    <xf numFmtId="0" fontId="6" fillId="3" borderId="17" xfId="0" applyFont="1" applyFill="1" applyBorder="1" applyAlignment="1">
      <alignment horizontal="left" vertical="top" wrapText="1"/>
    </xf>
    <xf numFmtId="3" fontId="11" fillId="6" borderId="17" xfId="2" applyNumberFormat="1" applyFont="1" applyFill="1" applyBorder="1" applyAlignment="1">
      <alignment horizontal="right" vertical="top" wrapText="1"/>
    </xf>
    <xf numFmtId="0" fontId="0" fillId="0" borderId="0" xfId="0" applyAlignment="1">
      <alignment vertical="top" wrapText="1"/>
    </xf>
    <xf numFmtId="1" fontId="6" fillId="6" borderId="11" xfId="1" applyNumberFormat="1" applyFont="1" applyFill="1" applyBorder="1" applyAlignment="1">
      <alignment horizontal="right" vertical="top" wrapText="1"/>
    </xf>
    <xf numFmtId="1" fontId="11" fillId="6" borderId="11" xfId="1" applyNumberFormat="1" applyFont="1" applyFill="1" applyBorder="1" applyAlignment="1">
      <alignment horizontal="right" vertical="top" wrapText="1"/>
    </xf>
    <xf numFmtId="1" fontId="6" fillId="6" borderId="11" xfId="1" applyNumberFormat="1" applyFont="1" applyFill="1" applyBorder="1" applyAlignment="1">
      <alignment vertical="top" wrapText="1"/>
    </xf>
    <xf numFmtId="1" fontId="6" fillId="6" borderId="12" xfId="1" applyNumberFormat="1" applyFont="1" applyFill="1" applyBorder="1" applyAlignment="1">
      <alignment horizontal="left" vertical="top" wrapText="1"/>
    </xf>
    <xf numFmtId="1" fontId="11" fillId="6" borderId="11" xfId="1" applyNumberFormat="1" applyFont="1" applyFill="1" applyBorder="1" applyAlignment="1">
      <alignment vertical="top" wrapText="1"/>
    </xf>
    <xf numFmtId="9" fontId="6" fillId="6" borderId="17" xfId="1" applyNumberFormat="1" applyFont="1" applyFill="1" applyBorder="1" applyAlignment="1">
      <alignment vertical="top" wrapText="1"/>
    </xf>
    <xf numFmtId="9" fontId="11" fillId="6" borderId="11" xfId="1" applyNumberFormat="1" applyFont="1" applyFill="1" applyBorder="1" applyAlignment="1">
      <alignment vertical="top" wrapText="1"/>
    </xf>
    <xf numFmtId="9" fontId="6" fillId="6" borderId="11" xfId="1" applyNumberFormat="1" applyFont="1" applyFill="1" applyBorder="1" applyAlignment="1">
      <alignment vertical="top" wrapText="1"/>
    </xf>
    <xf numFmtId="0" fontId="19" fillId="0" borderId="10" xfId="0" applyFont="1" applyBorder="1" applyAlignment="1">
      <alignment horizontal="left" vertical="top" wrapText="1"/>
    </xf>
    <xf numFmtId="1" fontId="6" fillId="6" borderId="17" xfId="1" applyNumberFormat="1" applyFont="1" applyFill="1" applyBorder="1" applyAlignment="1">
      <alignment vertical="top" wrapText="1"/>
    </xf>
    <xf numFmtId="1" fontId="6" fillId="6" borderId="18" xfId="1" applyNumberFormat="1" applyFont="1" applyFill="1" applyBorder="1" applyAlignment="1">
      <alignment horizontal="left" vertical="top" wrapText="1"/>
    </xf>
    <xf numFmtId="1" fontId="11" fillId="6" borderId="14" xfId="1" applyNumberFormat="1" applyFont="1" applyFill="1" applyBorder="1" applyAlignment="1">
      <alignment vertical="top" wrapText="1"/>
    </xf>
    <xf numFmtId="0" fontId="21" fillId="0" borderId="10" xfId="0" applyFont="1" applyBorder="1" applyAlignment="1">
      <alignment horizontal="left" vertical="top" wrapText="1"/>
    </xf>
    <xf numFmtId="0" fontId="19" fillId="3" borderId="1" xfId="0" applyFont="1" applyFill="1" applyBorder="1" applyAlignment="1">
      <alignment vertical="top" wrapText="1"/>
    </xf>
    <xf numFmtId="0" fontId="19" fillId="3" borderId="1" xfId="0" applyFont="1" applyFill="1" applyBorder="1" applyAlignment="1">
      <alignment horizontal="left" vertical="top" wrapText="1"/>
    </xf>
    <xf numFmtId="0" fontId="23" fillId="3" borderId="1" xfId="0" applyFont="1" applyFill="1" applyBorder="1" applyAlignment="1">
      <alignment vertical="top" wrapText="1"/>
    </xf>
    <xf numFmtId="0" fontId="19" fillId="3" borderId="15" xfId="0" applyFont="1" applyFill="1" applyBorder="1" applyAlignment="1">
      <alignment horizontal="left" vertical="top" wrapText="1"/>
    </xf>
    <xf numFmtId="0" fontId="19" fillId="3" borderId="18" xfId="0" applyFont="1" applyFill="1" applyBorder="1" applyAlignment="1">
      <alignment horizontal="left" vertical="top" wrapText="1"/>
    </xf>
    <xf numFmtId="1" fontId="11" fillId="6" borderId="17" xfId="1" applyNumberFormat="1" applyFont="1" applyFill="1" applyBorder="1" applyAlignment="1">
      <alignment vertical="top" wrapText="1"/>
    </xf>
    <xf numFmtId="0" fontId="6" fillId="3" borderId="23" xfId="0" applyFont="1" applyFill="1" applyBorder="1" applyAlignment="1">
      <alignment horizontal="left" vertical="top" wrapText="1"/>
    </xf>
    <xf numFmtId="0" fontId="0" fillId="3" borderId="0" xfId="0" applyFill="1" applyAlignment="1">
      <alignment vertical="top" wrapText="1"/>
    </xf>
    <xf numFmtId="0" fontId="4" fillId="3" borderId="0" xfId="0" applyFont="1" applyFill="1" applyAlignment="1">
      <alignment vertical="top" wrapText="1"/>
    </xf>
    <xf numFmtId="0" fontId="0" fillId="3" borderId="21" xfId="0" applyFill="1" applyBorder="1" applyAlignment="1">
      <alignment horizontal="left" vertical="top" wrapText="1"/>
    </xf>
    <xf numFmtId="0" fontId="0" fillId="3" borderId="21" xfId="0" applyFill="1" applyBorder="1" applyAlignment="1">
      <alignment horizontal="center" vertical="top" wrapText="1"/>
    </xf>
    <xf numFmtId="0" fontId="20" fillId="3" borderId="11" xfId="0" applyFont="1" applyFill="1" applyBorder="1" applyAlignment="1">
      <alignment vertical="top" wrapText="1"/>
    </xf>
    <xf numFmtId="0" fontId="0" fillId="3" borderId="5" xfId="0" applyFill="1" applyBorder="1" applyAlignment="1">
      <alignment vertical="top" wrapText="1"/>
    </xf>
    <xf numFmtId="0" fontId="0" fillId="3" borderId="5" xfId="0" applyFill="1" applyBorder="1" applyAlignment="1">
      <alignment horizontal="left" vertical="top" wrapText="1"/>
    </xf>
    <xf numFmtId="0" fontId="4" fillId="3" borderId="5" xfId="0" applyFont="1" applyFill="1" applyBorder="1" applyAlignment="1">
      <alignment vertical="top" wrapText="1"/>
    </xf>
    <xf numFmtId="0" fontId="0" fillId="3" borderId="12" xfId="0" applyFill="1" applyBorder="1" applyAlignment="1">
      <alignment horizontal="left" vertical="top" wrapText="1"/>
    </xf>
    <xf numFmtId="0" fontId="0" fillId="3" borderId="12" xfId="0" applyFill="1" applyBorder="1" applyAlignment="1">
      <alignment horizontal="center" vertical="top" wrapText="1"/>
    </xf>
    <xf numFmtId="0" fontId="17" fillId="5" borderId="11" xfId="0" applyFont="1" applyFill="1" applyBorder="1" applyAlignment="1">
      <alignment vertical="center"/>
    </xf>
    <xf numFmtId="0" fontId="17" fillId="5" borderId="11" xfId="0" applyFont="1" applyFill="1" applyBorder="1" applyAlignment="1">
      <alignment horizontal="left" vertical="center"/>
    </xf>
    <xf numFmtId="0" fontId="17" fillId="5" borderId="11" xfId="0" applyFont="1" applyFill="1" applyBorder="1" applyAlignment="1">
      <alignment horizontal="right" vertical="center"/>
    </xf>
    <xf numFmtId="166" fontId="6" fillId="6" borderId="14" xfId="1" applyNumberFormat="1" applyFont="1" applyFill="1" applyBorder="1" applyAlignment="1">
      <alignment horizontal="right" vertical="top" wrapText="1"/>
    </xf>
    <xf numFmtId="166" fontId="6" fillId="6" borderId="15" xfId="1" applyNumberFormat="1" applyFont="1" applyFill="1" applyBorder="1" applyAlignment="1">
      <alignment horizontal="left" vertical="top" wrapText="1"/>
    </xf>
    <xf numFmtId="43" fontId="6" fillId="6" borderId="14" xfId="1" applyFont="1" applyFill="1" applyBorder="1" applyAlignment="1">
      <alignment horizontal="left" vertical="top" wrapText="1"/>
    </xf>
    <xf numFmtId="43" fontId="6" fillId="6" borderId="15" xfId="1" applyFont="1" applyFill="1" applyBorder="1" applyAlignment="1">
      <alignment horizontal="left" vertical="top" wrapText="1"/>
    </xf>
    <xf numFmtId="166" fontId="6" fillId="6" borderId="15" xfId="1" applyNumberFormat="1" applyFont="1" applyFill="1" applyBorder="1" applyAlignment="1">
      <alignment horizontal="right" vertical="top" wrapText="1"/>
    </xf>
    <xf numFmtId="166" fontId="6" fillId="6" borderId="18" xfId="1" applyNumberFormat="1" applyFont="1" applyFill="1" applyBorder="1" applyAlignment="1">
      <alignment horizontal="right" vertical="top" wrapText="1"/>
    </xf>
    <xf numFmtId="164" fontId="6" fillId="6" borderId="18" xfId="1" applyNumberFormat="1" applyFont="1" applyFill="1" applyBorder="1" applyAlignment="1">
      <alignment horizontal="right" vertical="top" wrapText="1"/>
    </xf>
    <xf numFmtId="166" fontId="6" fillId="3" borderId="10" xfId="1" applyNumberFormat="1" applyFont="1" applyFill="1" applyBorder="1" applyAlignment="1">
      <alignment vertical="top" wrapText="1"/>
    </xf>
    <xf numFmtId="166" fontId="6" fillId="3" borderId="17" xfId="1" applyNumberFormat="1" applyFont="1" applyFill="1" applyBorder="1" applyAlignment="1">
      <alignment vertical="top" wrapText="1"/>
    </xf>
    <xf numFmtId="166" fontId="6" fillId="3" borderId="18" xfId="1" applyNumberFormat="1" applyFont="1" applyFill="1" applyBorder="1" applyAlignment="1">
      <alignment vertical="top" wrapText="1"/>
    </xf>
    <xf numFmtId="169" fontId="6" fillId="6" borderId="14" xfId="1" applyNumberFormat="1" applyFont="1" applyFill="1" applyBorder="1" applyAlignment="1">
      <alignment vertical="top" wrapText="1"/>
    </xf>
    <xf numFmtId="169" fontId="6" fillId="6" borderId="15" xfId="1" applyNumberFormat="1" applyFont="1" applyFill="1" applyBorder="1" applyAlignment="1">
      <alignment vertical="top" wrapText="1"/>
    </xf>
    <xf numFmtId="0" fontId="17" fillId="5" borderId="12" xfId="0" applyFont="1" applyFill="1" applyBorder="1" applyAlignment="1">
      <alignment vertical="center"/>
    </xf>
    <xf numFmtId="0" fontId="4" fillId="6" borderId="13" xfId="0" applyFont="1" applyFill="1" applyBorder="1" applyAlignment="1">
      <alignment horizontal="left" vertical="top" wrapText="1"/>
    </xf>
    <xf numFmtId="0" fontId="4" fillId="6" borderId="15" xfId="0" applyFont="1" applyFill="1" applyBorder="1" applyAlignment="1">
      <alignment horizontal="left" vertical="top" wrapText="1"/>
    </xf>
    <xf numFmtId="0" fontId="4" fillId="6" borderId="14" xfId="0" applyFont="1" applyFill="1" applyBorder="1" applyAlignment="1">
      <alignment horizontal="left" vertical="top" wrapText="1"/>
    </xf>
    <xf numFmtId="0" fontId="0" fillId="0" borderId="10" xfId="0" applyBorder="1" applyAlignment="1">
      <alignment vertical="top"/>
    </xf>
    <xf numFmtId="0" fontId="0" fillId="0" borderId="14" xfId="0" applyBorder="1" applyAlignment="1">
      <alignment vertical="top"/>
    </xf>
    <xf numFmtId="0" fontId="0" fillId="0" borderId="13" xfId="0" applyBorder="1" applyAlignment="1">
      <alignment vertical="top"/>
    </xf>
    <xf numFmtId="3" fontId="0" fillId="0" borderId="18" xfId="0" applyNumberFormat="1" applyBorder="1" applyAlignment="1">
      <alignment horizontal="right" vertical="top"/>
    </xf>
    <xf numFmtId="0" fontId="0" fillId="0" borderId="17" xfId="0" applyBorder="1" applyAlignment="1">
      <alignment vertical="top"/>
    </xf>
    <xf numFmtId="173" fontId="0" fillId="0" borderId="18" xfId="0" applyNumberFormat="1" applyBorder="1" applyAlignment="1">
      <alignment horizontal="right" vertical="top"/>
    </xf>
    <xf numFmtId="0" fontId="4" fillId="6" borderId="13" xfId="0" applyFont="1" applyFill="1" applyBorder="1" applyAlignment="1">
      <alignment vertical="top" wrapText="1"/>
    </xf>
    <xf numFmtId="2" fontId="0" fillId="3" borderId="18" xfId="0" applyNumberFormat="1" applyFill="1" applyBorder="1" applyAlignment="1">
      <alignment horizontal="right" vertical="top"/>
    </xf>
    <xf numFmtId="0" fontId="0" fillId="3" borderId="10" xfId="0" applyFill="1" applyBorder="1" applyAlignment="1">
      <alignment horizontal="left" vertical="top"/>
    </xf>
    <xf numFmtId="0" fontId="0" fillId="3" borderId="18" xfId="0" applyFill="1" applyBorder="1" applyAlignment="1">
      <alignment horizontal="right" vertical="top"/>
    </xf>
    <xf numFmtId="174" fontId="0" fillId="3" borderId="18" xfId="0" applyNumberFormat="1" applyFill="1" applyBorder="1" applyAlignment="1">
      <alignment horizontal="right" vertical="top"/>
    </xf>
    <xf numFmtId="3" fontId="0" fillId="3" borderId="18" xfId="0" applyNumberFormat="1" applyFill="1" applyBorder="1" applyAlignment="1">
      <alignment horizontal="right" vertical="top"/>
    </xf>
    <xf numFmtId="0" fontId="6" fillId="0" borderId="0" xfId="0" applyFont="1"/>
    <xf numFmtId="0" fontId="4" fillId="6" borderId="13" xfId="0" applyFont="1" applyFill="1" applyBorder="1" applyAlignment="1">
      <alignment horizontal="left" vertical="top"/>
    </xf>
    <xf numFmtId="0" fontId="4" fillId="6" borderId="24" xfId="0" applyFont="1" applyFill="1" applyBorder="1" applyAlignment="1">
      <alignment horizontal="center" vertical="top" wrapText="1"/>
    </xf>
    <xf numFmtId="0" fontId="4" fillId="6" borderId="25" xfId="0" applyFont="1" applyFill="1" applyBorder="1" applyAlignment="1">
      <alignment horizontal="center" vertical="top" wrapText="1"/>
    </xf>
    <xf numFmtId="0" fontId="4" fillId="6" borderId="26" xfId="0" applyFont="1" applyFill="1" applyBorder="1" applyAlignment="1">
      <alignment horizontal="center" vertical="top" wrapText="1"/>
    </xf>
    <xf numFmtId="0" fontId="11" fillId="0" borderId="0" xfId="0" applyFont="1" applyAlignment="1">
      <alignment horizontal="left" vertical="top"/>
    </xf>
    <xf numFmtId="0" fontId="0" fillId="0" borderId="17" xfId="0" applyBorder="1" applyAlignment="1">
      <alignment horizontal="center" vertical="top" wrapText="1"/>
    </xf>
    <xf numFmtId="0" fontId="0" fillId="0" borderId="10" xfId="0" applyBorder="1" applyAlignment="1">
      <alignment horizontal="center" vertical="top" wrapText="1"/>
    </xf>
    <xf numFmtId="0" fontId="0" fillId="0" borderId="18" xfId="0" applyBorder="1" applyAlignment="1">
      <alignment horizontal="right" vertical="top" wrapText="1"/>
    </xf>
    <xf numFmtId="0" fontId="4" fillId="6" borderId="27" xfId="0" applyFont="1" applyFill="1" applyBorder="1" applyAlignment="1">
      <alignment horizontal="left" vertical="top" wrapText="1"/>
    </xf>
    <xf numFmtId="166" fontId="0" fillId="0" borderId="10" xfId="1" applyNumberFormat="1" applyFont="1" applyBorder="1" applyAlignment="1">
      <alignment vertical="top"/>
    </xf>
    <xf numFmtId="166" fontId="0" fillId="0" borderId="17" xfId="1" applyNumberFormat="1" applyFont="1" applyBorder="1" applyAlignment="1">
      <alignment vertical="top"/>
    </xf>
    <xf numFmtId="0" fontId="4" fillId="6" borderId="13" xfId="0" applyFont="1" applyFill="1" applyBorder="1" applyAlignment="1">
      <alignment vertical="top"/>
    </xf>
    <xf numFmtId="0" fontId="4" fillId="6" borderId="14" xfId="0" applyFont="1" applyFill="1" applyBorder="1" applyAlignment="1">
      <alignment vertical="top"/>
    </xf>
    <xf numFmtId="0" fontId="4" fillId="6" borderId="15" xfId="0" applyFont="1" applyFill="1" applyBorder="1" applyAlignment="1">
      <alignment vertical="top"/>
    </xf>
    <xf numFmtId="0" fontId="4" fillId="6" borderId="1" xfId="0" applyFont="1" applyFill="1" applyBorder="1" applyAlignment="1">
      <alignment vertical="top"/>
    </xf>
    <xf numFmtId="9" fontId="0" fillId="0" borderId="18" xfId="0" applyNumberFormat="1" applyBorder="1" applyAlignment="1">
      <alignment vertical="top"/>
    </xf>
    <xf numFmtId="9" fontId="0" fillId="0" borderId="8" xfId="0" applyNumberFormat="1" applyBorder="1" applyAlignment="1">
      <alignment vertical="top"/>
    </xf>
    <xf numFmtId="0" fontId="4" fillId="9" borderId="13" xfId="0" applyFont="1" applyFill="1" applyBorder="1" applyAlignment="1">
      <alignment vertical="top"/>
    </xf>
    <xf numFmtId="0" fontId="4" fillId="9" borderId="14" xfId="0" applyFont="1" applyFill="1" applyBorder="1" applyAlignment="1">
      <alignment vertical="top"/>
    </xf>
    <xf numFmtId="0" fontId="4" fillId="9" borderId="15" xfId="0" applyFont="1" applyFill="1" applyBorder="1" applyAlignment="1">
      <alignment horizontal="left" vertical="top"/>
    </xf>
    <xf numFmtId="0" fontId="0" fillId="0" borderId="10" xfId="0" applyBorder="1" applyAlignment="1">
      <alignment horizontal="left" vertical="center" wrapText="1"/>
    </xf>
    <xf numFmtId="0" fontId="4" fillId="0" borderId="10" xfId="0" applyFont="1" applyBorder="1" applyAlignment="1">
      <alignment horizontal="left" vertical="center" wrapText="1"/>
    </xf>
    <xf numFmtId="0" fontId="0" fillId="0" borderId="10" xfId="0" applyBorder="1" applyAlignment="1">
      <alignment horizontal="left" vertical="center"/>
    </xf>
    <xf numFmtId="3" fontId="0" fillId="0" borderId="10" xfId="0" applyNumberFormat="1" applyBorder="1" applyAlignment="1">
      <alignment vertical="center"/>
    </xf>
    <xf numFmtId="3" fontId="0" fillId="0" borderId="17" xfId="0" applyNumberFormat="1" applyBorder="1" applyAlignment="1">
      <alignment vertical="center"/>
    </xf>
    <xf numFmtId="3" fontId="0" fillId="0" borderId="18" xfId="0" applyNumberFormat="1" applyBorder="1" applyAlignment="1">
      <alignment horizontal="left" vertical="center"/>
    </xf>
    <xf numFmtId="3" fontId="0" fillId="0" borderId="28" xfId="0" applyNumberFormat="1" applyBorder="1" applyAlignment="1">
      <alignment vertical="center"/>
    </xf>
    <xf numFmtId="0" fontId="4" fillId="0" borderId="10" xfId="0" applyFont="1" applyBorder="1" applyAlignment="1">
      <alignment vertical="top"/>
    </xf>
    <xf numFmtId="3" fontId="4" fillId="0" borderId="10" xfId="0" applyNumberFormat="1" applyFont="1" applyBorder="1" applyAlignment="1">
      <alignment vertical="center"/>
    </xf>
    <xf numFmtId="3" fontId="4" fillId="0" borderId="17" xfId="0" applyNumberFormat="1" applyFont="1" applyBorder="1" applyAlignment="1">
      <alignment vertical="center"/>
    </xf>
    <xf numFmtId="3" fontId="4" fillId="0" borderId="18" xfId="0" applyNumberFormat="1" applyFont="1" applyBorder="1" applyAlignment="1">
      <alignment horizontal="left" vertical="center"/>
    </xf>
    <xf numFmtId="3" fontId="4" fillId="3" borderId="28" xfId="0" applyNumberFormat="1" applyFont="1" applyFill="1" applyBorder="1" applyAlignment="1">
      <alignment vertical="center"/>
    </xf>
    <xf numFmtId="0" fontId="4" fillId="0" borderId="10" xfId="0" applyFont="1" applyBorder="1" applyAlignment="1">
      <alignment vertical="top" wrapText="1"/>
    </xf>
    <xf numFmtId="3" fontId="4" fillId="0" borderId="10" xfId="0" applyNumberFormat="1" applyFont="1" applyBorder="1" applyAlignment="1">
      <alignment horizontal="right" vertical="center"/>
    </xf>
    <xf numFmtId="3" fontId="4" fillId="0" borderId="17" xfId="0" applyNumberFormat="1" applyFont="1" applyBorder="1" applyAlignment="1">
      <alignment horizontal="right" vertical="center"/>
    </xf>
    <xf numFmtId="3" fontId="4" fillId="0" borderId="28" xfId="0" applyNumberFormat="1" applyFont="1" applyBorder="1" applyAlignment="1">
      <alignment vertical="center"/>
    </xf>
    <xf numFmtId="3" fontId="4" fillId="9" borderId="10" xfId="0" applyNumberFormat="1" applyFont="1" applyFill="1" applyBorder="1" applyAlignment="1">
      <alignment vertical="center"/>
    </xf>
    <xf numFmtId="3" fontId="4" fillId="9" borderId="17" xfId="0" applyNumberFormat="1" applyFont="1" applyFill="1" applyBorder="1" applyAlignment="1">
      <alignment vertical="center"/>
    </xf>
    <xf numFmtId="3" fontId="4" fillId="9" borderId="18" xfId="0" applyNumberFormat="1" applyFont="1" applyFill="1" applyBorder="1" applyAlignment="1">
      <alignment horizontal="left" vertical="center"/>
    </xf>
    <xf numFmtId="3" fontId="4" fillId="9" borderId="18" xfId="0" applyNumberFormat="1" applyFont="1" applyFill="1" applyBorder="1" applyAlignment="1">
      <alignment vertical="center"/>
    </xf>
    <xf numFmtId="0" fontId="4" fillId="0" borderId="16" xfId="0" applyFont="1" applyBorder="1" applyAlignment="1">
      <alignment horizontal="left" vertical="center" wrapText="1"/>
    </xf>
    <xf numFmtId="3" fontId="0" fillId="0" borderId="0" xfId="0" applyNumberFormat="1"/>
    <xf numFmtId="3" fontId="0" fillId="0" borderId="10" xfId="0" applyNumberFormat="1" applyBorder="1" applyAlignment="1">
      <alignment horizontal="right" vertical="center"/>
    </xf>
    <xf numFmtId="3" fontId="0" fillId="0" borderId="17" xfId="0" applyNumberFormat="1" applyBorder="1" applyAlignment="1">
      <alignment horizontal="right" vertical="center"/>
    </xf>
    <xf numFmtId="0" fontId="0" fillId="0" borderId="10" xfId="0" applyBorder="1"/>
    <xf numFmtId="0" fontId="0" fillId="0" borderId="10" xfId="0" applyBorder="1" applyAlignment="1">
      <alignment vertical="center"/>
    </xf>
    <xf numFmtId="0" fontId="4" fillId="9" borderId="15" xfId="0" applyFont="1" applyFill="1" applyBorder="1" applyAlignment="1">
      <alignment horizontal="left" vertical="center"/>
    </xf>
    <xf numFmtId="0" fontId="4" fillId="9" borderId="17" xfId="0" applyFont="1" applyFill="1" applyBorder="1" applyAlignment="1">
      <alignment horizontal="center" vertical="center"/>
    </xf>
    <xf numFmtId="0" fontId="4" fillId="9" borderId="18" xfId="0" applyFont="1" applyFill="1" applyBorder="1" applyAlignment="1">
      <alignment horizontal="left" vertical="center"/>
    </xf>
    <xf numFmtId="0" fontId="4" fillId="9" borderId="10" xfId="0" applyFont="1" applyFill="1" applyBorder="1" applyAlignment="1">
      <alignment horizontal="center" vertical="center"/>
    </xf>
    <xf numFmtId="3" fontId="0" fillId="0" borderId="10" xfId="0" applyNumberFormat="1" applyBorder="1"/>
    <xf numFmtId="3" fontId="0" fillId="0" borderId="17" xfId="0" applyNumberFormat="1" applyBorder="1"/>
    <xf numFmtId="3" fontId="0" fillId="0" borderId="28" xfId="0" applyNumberFormat="1" applyBorder="1" applyAlignment="1">
      <alignment horizontal="left"/>
    </xf>
    <xf numFmtId="3" fontId="4" fillId="0" borderId="28" xfId="0" applyNumberFormat="1" applyFont="1" applyBorder="1" applyAlignment="1">
      <alignment horizontal="left" vertical="center"/>
    </xf>
    <xf numFmtId="3" fontId="4" fillId="0" borderId="0" xfId="0" applyNumberFormat="1" applyFont="1"/>
    <xf numFmtId="0" fontId="4" fillId="0" borderId="0" xfId="0" applyFont="1" applyAlignment="1">
      <alignment horizontal="left"/>
    </xf>
    <xf numFmtId="3" fontId="4" fillId="9" borderId="10" xfId="0" applyNumberFormat="1" applyFont="1" applyFill="1" applyBorder="1" applyAlignment="1">
      <alignment vertical="top"/>
    </xf>
    <xf numFmtId="3" fontId="4" fillId="9" borderId="17" xfId="0" applyNumberFormat="1" applyFont="1" applyFill="1" applyBorder="1" applyAlignment="1">
      <alignment vertical="top"/>
    </xf>
    <xf numFmtId="3" fontId="4" fillId="9" borderId="18" xfId="0" applyNumberFormat="1" applyFont="1" applyFill="1" applyBorder="1" applyAlignment="1">
      <alignment horizontal="left" vertical="top"/>
    </xf>
    <xf numFmtId="3" fontId="0" fillId="0" borderId="28" xfId="0" applyNumberFormat="1" applyBorder="1" applyAlignment="1">
      <alignment horizontal="left" vertical="center"/>
    </xf>
    <xf numFmtId="3" fontId="0" fillId="10" borderId="10" xfId="0" applyNumberFormat="1" applyFill="1" applyBorder="1" applyAlignment="1">
      <alignment horizontal="right" vertical="center"/>
    </xf>
    <xf numFmtId="0" fontId="0" fillId="10" borderId="10" xfId="0" applyFill="1" applyBorder="1"/>
    <xf numFmtId="0" fontId="4" fillId="9" borderId="10" xfId="0" applyFont="1" applyFill="1" applyBorder="1" applyAlignment="1">
      <alignment vertical="top" wrapText="1"/>
    </xf>
    <xf numFmtId="3" fontId="4" fillId="9" borderId="17" xfId="0" applyNumberFormat="1" applyFont="1" applyFill="1" applyBorder="1" applyAlignment="1">
      <alignment horizontal="right" vertical="center"/>
    </xf>
    <xf numFmtId="0" fontId="0" fillId="0" borderId="5" xfId="0" applyBorder="1" applyAlignment="1">
      <alignment vertical="center"/>
    </xf>
    <xf numFmtId="0" fontId="0" fillId="0" borderId="5" xfId="0" applyBorder="1" applyAlignment="1">
      <alignment horizontal="left" vertical="center"/>
    </xf>
    <xf numFmtId="3" fontId="0" fillId="0" borderId="5" xfId="0" applyNumberFormat="1" applyBorder="1" applyAlignment="1">
      <alignment horizontal="right" vertical="center"/>
    </xf>
    <xf numFmtId="3" fontId="0" fillId="0" borderId="0" xfId="0" applyNumberFormat="1" applyAlignment="1">
      <alignment horizontal="left" vertical="center"/>
    </xf>
    <xf numFmtId="3" fontId="0" fillId="0" borderId="0" xfId="0" applyNumberFormat="1" applyAlignment="1">
      <alignment horizontal="right" vertical="center"/>
    </xf>
    <xf numFmtId="9" fontId="0" fillId="3" borderId="13" xfId="2" applyFont="1" applyFill="1" applyBorder="1" applyAlignment="1">
      <alignment vertical="center"/>
    </xf>
    <xf numFmtId="0" fontId="0" fillId="0" borderId="0" xfId="0" applyAlignment="1">
      <alignment vertical="center"/>
    </xf>
    <xf numFmtId="0" fontId="34" fillId="0" borderId="0" xfId="0" applyFont="1"/>
    <xf numFmtId="0" fontId="4" fillId="0" borderId="0" xfId="0" applyFont="1" applyAlignment="1">
      <alignment vertical="top"/>
    </xf>
    <xf numFmtId="0" fontId="4" fillId="9" borderId="15" xfId="0" applyFont="1" applyFill="1" applyBorder="1" applyAlignment="1">
      <alignment vertical="top"/>
    </xf>
    <xf numFmtId="0" fontId="0" fillId="0" borderId="28" xfId="0" applyBorder="1" applyAlignment="1">
      <alignment vertical="top"/>
    </xf>
    <xf numFmtId="170" fontId="0" fillId="0" borderId="10" xfId="0" applyNumberFormat="1" applyBorder="1" applyAlignment="1">
      <alignment vertical="top"/>
    </xf>
    <xf numFmtId="170" fontId="0" fillId="0" borderId="17" xfId="0" applyNumberFormat="1" applyBorder="1" applyAlignment="1">
      <alignment vertical="top"/>
    </xf>
    <xf numFmtId="170" fontId="0" fillId="0" borderId="28" xfId="0" applyNumberFormat="1" applyBorder="1" applyAlignment="1">
      <alignment vertical="top"/>
    </xf>
    <xf numFmtId="3" fontId="0" fillId="0" borderId="10" xfId="0" applyNumberFormat="1" applyBorder="1" applyAlignment="1">
      <alignment vertical="top"/>
    </xf>
    <xf numFmtId="1" fontId="0" fillId="0" borderId="17" xfId="0" applyNumberFormat="1" applyBorder="1" applyAlignment="1">
      <alignment horizontal="right" vertical="top"/>
    </xf>
    <xf numFmtId="3" fontId="0" fillId="0" borderId="17" xfId="0" applyNumberFormat="1" applyBorder="1" applyAlignment="1">
      <alignment vertical="top"/>
    </xf>
    <xf numFmtId="3" fontId="0" fillId="0" borderId="28" xfId="0" applyNumberFormat="1" applyBorder="1" applyAlignment="1">
      <alignment vertical="top"/>
    </xf>
    <xf numFmtId="2" fontId="0" fillId="0" borderId="10" xfId="0" applyNumberFormat="1" applyBorder="1" applyAlignment="1">
      <alignment vertical="top"/>
    </xf>
    <xf numFmtId="2" fontId="0" fillId="0" borderId="17" xfId="0" applyNumberFormat="1" applyBorder="1" applyAlignment="1">
      <alignment vertical="top"/>
    </xf>
    <xf numFmtId="2" fontId="0" fillId="0" borderId="10" xfId="0" applyNumberFormat="1" applyBorder="1" applyAlignment="1">
      <alignment horizontal="right" vertical="top"/>
    </xf>
    <xf numFmtId="1" fontId="0" fillId="0" borderId="10" xfId="0" applyNumberFormat="1" applyBorder="1" applyAlignment="1">
      <alignment vertical="top"/>
    </xf>
    <xf numFmtId="1" fontId="0" fillId="0" borderId="17" xfId="0" applyNumberFormat="1" applyBorder="1" applyAlignment="1">
      <alignment vertical="top"/>
    </xf>
    <xf numFmtId="1" fontId="0" fillId="0" borderId="28" xfId="0" applyNumberFormat="1" applyBorder="1" applyAlignment="1">
      <alignment vertical="top"/>
    </xf>
    <xf numFmtId="2" fontId="0" fillId="0" borderId="28" xfId="0" applyNumberFormat="1" applyBorder="1" applyAlignment="1">
      <alignment vertical="top"/>
    </xf>
    <xf numFmtId="1" fontId="0" fillId="0" borderId="10" xfId="0" applyNumberFormat="1" applyBorder="1" applyAlignment="1">
      <alignment horizontal="right" vertical="top"/>
    </xf>
    <xf numFmtId="1" fontId="0" fillId="0" borderId="28" xfId="0" applyNumberFormat="1" applyBorder="1" applyAlignment="1">
      <alignment horizontal="right" vertical="top"/>
    </xf>
    <xf numFmtId="0" fontId="4" fillId="9" borderId="13" xfId="0" applyFont="1" applyFill="1" applyBorder="1" applyAlignment="1">
      <alignment horizontal="center" vertical="top"/>
    </xf>
    <xf numFmtId="170" fontId="0" fillId="0" borderId="0" xfId="0" applyNumberFormat="1" applyAlignment="1">
      <alignment vertical="top"/>
    </xf>
    <xf numFmtId="1" fontId="0" fillId="0" borderId="0" xfId="0" applyNumberFormat="1" applyAlignment="1">
      <alignment vertical="top"/>
    </xf>
    <xf numFmtId="2" fontId="0" fillId="0" borderId="0" xfId="0" applyNumberFormat="1" applyAlignment="1">
      <alignment vertical="top"/>
    </xf>
    <xf numFmtId="171" fontId="0" fillId="0" borderId="0" xfId="0" applyNumberFormat="1" applyAlignment="1">
      <alignment vertical="top"/>
    </xf>
    <xf numFmtId="3" fontId="0" fillId="0" borderId="0" xfId="0" applyNumberFormat="1" applyAlignment="1">
      <alignment vertical="top"/>
    </xf>
    <xf numFmtId="171" fontId="4" fillId="0" borderId="0" xfId="0" applyNumberFormat="1" applyFont="1" applyAlignment="1">
      <alignment vertical="top"/>
    </xf>
    <xf numFmtId="1" fontId="4" fillId="0" borderId="0" xfId="0" applyNumberFormat="1" applyFont="1" applyAlignment="1">
      <alignment vertical="top"/>
    </xf>
    <xf numFmtId="3" fontId="4" fillId="0" borderId="0" xfId="0" applyNumberFormat="1" applyFont="1" applyAlignment="1">
      <alignment vertical="top"/>
    </xf>
    <xf numFmtId="1" fontId="3" fillId="0" borderId="0" xfId="0" applyNumberFormat="1" applyFont="1" applyAlignment="1">
      <alignment vertical="top"/>
    </xf>
    <xf numFmtId="1" fontId="3" fillId="0" borderId="0" xfId="0" applyNumberFormat="1" applyFont="1" applyAlignment="1">
      <alignment vertical="top" wrapText="1"/>
    </xf>
    <xf numFmtId="1" fontId="4" fillId="0" borderId="10" xfId="0" applyNumberFormat="1" applyFont="1" applyBorder="1" applyAlignment="1">
      <alignment horizontal="right" vertical="top"/>
    </xf>
    <xf numFmtId="1" fontId="4" fillId="0" borderId="10" xfId="0" applyNumberFormat="1" applyFont="1" applyBorder="1" applyAlignment="1">
      <alignment vertical="top"/>
    </xf>
    <xf numFmtId="2" fontId="4" fillId="0" borderId="0" xfId="0" applyNumberFormat="1" applyFont="1" applyAlignment="1">
      <alignment vertical="top"/>
    </xf>
    <xf numFmtId="0" fontId="4" fillId="0" borderId="0" xfId="0" applyFont="1" applyAlignment="1">
      <alignment vertical="top" wrapText="1"/>
    </xf>
    <xf numFmtId="171" fontId="0" fillId="0" borderId="10" xfId="0" applyNumberFormat="1" applyBorder="1" applyAlignment="1">
      <alignment vertical="top"/>
    </xf>
    <xf numFmtId="0" fontId="34" fillId="0" borderId="0" xfId="0" applyFont="1" applyAlignment="1">
      <alignment vertical="top"/>
    </xf>
    <xf numFmtId="0" fontId="39" fillId="0" borderId="0" xfId="0" applyFont="1" applyAlignment="1">
      <alignment vertical="top"/>
    </xf>
    <xf numFmtId="0" fontId="40" fillId="0" borderId="0" xfId="0" applyFont="1" applyAlignment="1">
      <alignment vertical="top"/>
    </xf>
    <xf numFmtId="0" fontId="4" fillId="0" borderId="13" xfId="0" applyFont="1" applyBorder="1" applyAlignment="1">
      <alignment horizontal="right" vertical="center"/>
    </xf>
    <xf numFmtId="0" fontId="0" fillId="0" borderId="10" xfId="0" applyBorder="1" applyAlignment="1">
      <alignment horizontal="right" vertical="center"/>
    </xf>
    <xf numFmtId="0" fontId="4" fillId="0" borderId="10" xfId="0" applyFont="1" applyBorder="1" applyAlignment="1">
      <alignment horizontal="right" vertical="center"/>
    </xf>
    <xf numFmtId="0" fontId="4" fillId="9" borderId="13" xfId="0" applyFont="1" applyFill="1" applyBorder="1" applyAlignment="1">
      <alignment horizontal="right" vertical="top" wrapText="1"/>
    </xf>
    <xf numFmtId="3" fontId="4" fillId="0" borderId="10" xfId="0" applyNumberFormat="1" applyFont="1" applyBorder="1" applyAlignment="1">
      <alignment vertical="top"/>
    </xf>
    <xf numFmtId="0" fontId="21" fillId="0" borderId="10" xfId="0" applyFont="1" applyBorder="1" applyAlignment="1">
      <alignment vertical="top"/>
    </xf>
    <xf numFmtId="9" fontId="21" fillId="0" borderId="10" xfId="2" applyFont="1" applyBorder="1" applyAlignment="1">
      <alignment vertical="top"/>
    </xf>
    <xf numFmtId="0" fontId="4" fillId="9" borderId="13" xfId="0" applyFont="1" applyFill="1" applyBorder="1" applyAlignment="1">
      <alignment horizontal="right" vertical="top"/>
    </xf>
    <xf numFmtId="165" fontId="0" fillId="0" borderId="0" xfId="2" applyNumberFormat="1" applyFont="1" applyAlignment="1">
      <alignment vertical="top"/>
    </xf>
    <xf numFmtId="165" fontId="21" fillId="0" borderId="10" xfId="2" applyNumberFormat="1" applyFont="1" applyBorder="1" applyAlignment="1">
      <alignment vertical="top"/>
    </xf>
    <xf numFmtId="9" fontId="0" fillId="0" borderId="10" xfId="2" applyFont="1" applyBorder="1" applyAlignment="1">
      <alignment vertical="top"/>
    </xf>
    <xf numFmtId="9" fontId="4" fillId="0" borderId="10" xfId="2" applyFont="1" applyBorder="1" applyAlignment="1">
      <alignment vertical="top"/>
    </xf>
    <xf numFmtId="0" fontId="2" fillId="4" borderId="0" xfId="0" applyFont="1" applyFill="1" applyAlignment="1">
      <alignment vertical="top"/>
    </xf>
    <xf numFmtId="0" fontId="2" fillId="4" borderId="0" xfId="0" applyFont="1" applyFill="1" applyAlignment="1">
      <alignment vertical="top" wrapText="1"/>
    </xf>
    <xf numFmtId="0" fontId="0" fillId="0" borderId="13" xfId="0" quotePrefix="1" applyBorder="1" applyAlignment="1">
      <alignment horizontal="left" vertical="top" wrapText="1" indent="1"/>
    </xf>
    <xf numFmtId="169" fontId="11" fillId="6" borderId="14" xfId="1" applyNumberFormat="1" applyFont="1" applyFill="1" applyBorder="1" applyAlignment="1">
      <alignment vertical="top" wrapText="1"/>
    </xf>
    <xf numFmtId="164" fontId="6" fillId="0" borderId="11" xfId="1" applyNumberFormat="1" applyFont="1" applyFill="1" applyBorder="1" applyAlignment="1">
      <alignment vertical="top" wrapText="1"/>
    </xf>
    <xf numFmtId="0" fontId="0" fillId="0" borderId="10" xfId="0" quotePrefix="1" applyBorder="1" applyAlignment="1">
      <alignment vertical="top" wrapText="1"/>
    </xf>
    <xf numFmtId="164" fontId="6" fillId="0" borderId="10" xfId="1" applyNumberFormat="1" applyFont="1" applyFill="1" applyBorder="1" applyAlignment="1">
      <alignment vertical="top" wrapText="1"/>
    </xf>
    <xf numFmtId="0" fontId="5" fillId="0" borderId="0" xfId="0" applyFont="1" applyAlignment="1">
      <alignment vertical="top" wrapText="1"/>
    </xf>
    <xf numFmtId="0" fontId="22" fillId="0" borderId="0" xfId="0" applyFont="1" applyAlignment="1">
      <alignment vertical="top" wrapText="1"/>
    </xf>
    <xf numFmtId="0" fontId="11" fillId="0" borderId="0" xfId="0" applyFont="1"/>
    <xf numFmtId="0" fontId="44" fillId="5" borderId="10" xfId="0" applyFont="1" applyFill="1" applyBorder="1" applyAlignment="1">
      <alignment horizontal="center" vertical="center" wrapText="1" readingOrder="1"/>
    </xf>
    <xf numFmtId="0" fontId="44" fillId="5" borderId="10" xfId="0" applyFont="1" applyFill="1" applyBorder="1" applyAlignment="1">
      <alignment horizontal="left" vertical="top" wrapText="1" readingOrder="1"/>
    </xf>
    <xf numFmtId="0" fontId="41" fillId="3" borderId="10" xfId="0" applyFont="1" applyFill="1" applyBorder="1" applyAlignment="1">
      <alignment horizontal="center" vertical="center" wrapText="1" readingOrder="1"/>
    </xf>
    <xf numFmtId="0" fontId="22" fillId="3" borderId="10" xfId="0" applyFont="1" applyFill="1" applyBorder="1" applyAlignment="1">
      <alignment horizontal="left" vertical="top" wrapText="1" readingOrder="1"/>
    </xf>
    <xf numFmtId="0" fontId="46" fillId="0" borderId="10" xfId="5" applyFont="1" applyBorder="1" applyAlignment="1">
      <alignment horizontal="center" vertical="center"/>
    </xf>
    <xf numFmtId="0" fontId="28" fillId="3" borderId="10" xfId="3" applyFill="1" applyBorder="1" applyAlignment="1">
      <alignment horizontal="left" vertical="top" wrapText="1"/>
    </xf>
    <xf numFmtId="0" fontId="0" fillId="3" borderId="10" xfId="0" applyFill="1" applyBorder="1" applyAlignment="1">
      <alignment horizontal="left" vertical="top" wrapText="1"/>
    </xf>
    <xf numFmtId="0" fontId="47" fillId="0" borderId="10" xfId="6" applyFont="1" applyBorder="1" applyAlignment="1">
      <alignment horizontal="center" vertical="center"/>
    </xf>
    <xf numFmtId="0" fontId="22" fillId="0" borderId="10" xfId="0" applyFont="1" applyBorder="1" applyAlignment="1">
      <alignment horizontal="left" vertical="top" wrapText="1" readingOrder="1"/>
    </xf>
    <xf numFmtId="0" fontId="22" fillId="3" borderId="10" xfId="0" applyFont="1" applyFill="1" applyBorder="1" applyAlignment="1">
      <alignment horizontal="left" vertical="center" wrapText="1" readingOrder="1"/>
    </xf>
    <xf numFmtId="0" fontId="5" fillId="0" borderId="0" xfId="0" applyFont="1"/>
    <xf numFmtId="0" fontId="2" fillId="5" borderId="10" xfId="0" applyFont="1" applyFill="1" applyBorder="1" applyAlignment="1">
      <alignment vertical="center"/>
    </xf>
    <xf numFmtId="0" fontId="49" fillId="6" borderId="12" xfId="0" applyFont="1" applyFill="1" applyBorder="1" applyAlignment="1">
      <alignment horizontal="center" vertical="center" wrapText="1"/>
    </xf>
    <xf numFmtId="0" fontId="49" fillId="6" borderId="12" xfId="0" applyFont="1" applyFill="1" applyBorder="1" applyAlignment="1">
      <alignment horizontal="left" vertical="center" wrapText="1"/>
    </xf>
    <xf numFmtId="0" fontId="49" fillId="6" borderId="16" xfId="0" applyFont="1" applyFill="1" applyBorder="1" applyAlignment="1">
      <alignment horizontal="left" vertical="center" wrapText="1"/>
    </xf>
    <xf numFmtId="0" fontId="50" fillId="6" borderId="1" xfId="0" applyFont="1" applyFill="1" applyBorder="1" applyAlignment="1">
      <alignment horizontal="center" vertical="center" wrapText="1"/>
    </xf>
    <xf numFmtId="0" fontId="51" fillId="6" borderId="13" xfId="0" applyFont="1" applyFill="1" applyBorder="1" applyAlignment="1">
      <alignment horizontal="left" vertical="top" wrapText="1"/>
    </xf>
    <xf numFmtId="0" fontId="46" fillId="0" borderId="34" xfId="5" applyFont="1" applyBorder="1" applyAlignment="1">
      <alignment horizontal="center" vertical="center"/>
    </xf>
    <xf numFmtId="0" fontId="46" fillId="0" borderId="33" xfId="5" applyFont="1" applyBorder="1" applyAlignment="1">
      <alignment horizontal="center" vertical="center"/>
    </xf>
    <xf numFmtId="0" fontId="0" fillId="3" borderId="10" xfId="0" applyFill="1" applyBorder="1" applyAlignment="1">
      <alignment wrapText="1"/>
    </xf>
    <xf numFmtId="0" fontId="49" fillId="6" borderId="38" xfId="0" applyFont="1" applyFill="1" applyBorder="1" applyAlignment="1">
      <alignment horizontal="center" vertical="center" wrapText="1"/>
    </xf>
    <xf numFmtId="0" fontId="50" fillId="6" borderId="8" xfId="0" applyFont="1" applyFill="1" applyBorder="1" applyAlignment="1">
      <alignment horizontal="center" vertical="center" wrapText="1"/>
    </xf>
    <xf numFmtId="0" fontId="51" fillId="6" borderId="10" xfId="0" applyFont="1" applyFill="1" applyBorder="1" applyAlignment="1">
      <alignment horizontal="left" vertical="top" wrapText="1"/>
    </xf>
    <xf numFmtId="0" fontId="46" fillId="0" borderId="18" xfId="5" applyFont="1" applyBorder="1" applyAlignment="1">
      <alignment horizontal="center" vertical="center"/>
    </xf>
    <xf numFmtId="0" fontId="25" fillId="3" borderId="10" xfId="0" applyFont="1" applyFill="1" applyBorder="1" applyAlignment="1">
      <alignment wrapText="1"/>
    </xf>
    <xf numFmtId="0" fontId="52" fillId="0" borderId="10" xfId="5" applyFont="1" applyBorder="1" applyAlignment="1">
      <alignment horizontal="center" vertical="center"/>
    </xf>
    <xf numFmtId="0" fontId="47" fillId="0" borderId="18" xfId="6" applyFont="1" applyBorder="1" applyAlignment="1">
      <alignment horizontal="center" vertical="center"/>
    </xf>
    <xf numFmtId="0" fontId="0" fillId="3" borderId="13" xfId="0" applyFill="1" applyBorder="1" applyAlignment="1">
      <alignment wrapText="1"/>
    </xf>
    <xf numFmtId="0" fontId="52" fillId="0" borderId="18" xfId="5" applyFont="1" applyBorder="1" applyAlignment="1">
      <alignment horizontal="center" vertical="center"/>
    </xf>
    <xf numFmtId="0" fontId="22" fillId="3" borderId="10" xfId="0" applyFont="1" applyFill="1" applyBorder="1" applyAlignment="1">
      <alignment wrapText="1"/>
    </xf>
    <xf numFmtId="0" fontId="6" fillId="3" borderId="10" xfId="0" applyFont="1" applyFill="1" applyBorder="1" applyAlignment="1">
      <alignment wrapText="1"/>
    </xf>
    <xf numFmtId="0" fontId="49" fillId="6" borderId="39" xfId="0" applyFont="1" applyFill="1" applyBorder="1" applyAlignment="1">
      <alignment horizontal="center" vertical="center" wrapText="1"/>
    </xf>
    <xf numFmtId="0" fontId="50" fillId="6" borderId="40" xfId="0" applyFont="1" applyFill="1" applyBorder="1" applyAlignment="1">
      <alignment horizontal="center" vertical="center" wrapText="1"/>
    </xf>
    <xf numFmtId="0" fontId="46" fillId="0" borderId="41" xfId="5" applyFont="1" applyBorder="1" applyAlignment="1">
      <alignment horizontal="center" vertical="center"/>
    </xf>
    <xf numFmtId="0" fontId="46" fillId="0" borderId="42" xfId="5" applyFont="1" applyBorder="1" applyAlignment="1">
      <alignment horizontal="center" vertical="center"/>
    </xf>
    <xf numFmtId="0" fontId="4" fillId="3" borderId="0" xfId="0" applyFont="1" applyFill="1"/>
    <xf numFmtId="0" fontId="0" fillId="3" borderId="0" xfId="0" applyFill="1"/>
    <xf numFmtId="0" fontId="6" fillId="3" borderId="0" xfId="0" applyFont="1" applyFill="1"/>
    <xf numFmtId="0" fontId="12" fillId="0" borderId="0" xfId="0" applyFont="1" applyAlignment="1">
      <alignment vertical="top"/>
    </xf>
    <xf numFmtId="0" fontId="12" fillId="0" borderId="21" xfId="0" applyFont="1" applyBorder="1" applyAlignment="1">
      <alignment vertical="top"/>
    </xf>
    <xf numFmtId="0" fontId="18" fillId="0" borderId="0" xfId="0" applyFont="1" applyAlignment="1">
      <alignment vertical="top"/>
    </xf>
    <xf numFmtId="0" fontId="19" fillId="3" borderId="20" xfId="0" applyFont="1" applyFill="1" applyBorder="1" applyAlignment="1">
      <alignment horizontal="left" vertical="top" wrapText="1"/>
    </xf>
    <xf numFmtId="0" fontId="7" fillId="0" borderId="0" xfId="0" applyFont="1" applyAlignment="1">
      <alignment horizontal="left" vertical="top" wrapText="1"/>
    </xf>
    <xf numFmtId="0" fontId="6" fillId="0" borderId="44" xfId="0" applyFont="1" applyBorder="1" applyAlignment="1">
      <alignment vertical="top" wrapText="1"/>
    </xf>
    <xf numFmtId="166" fontId="6" fillId="0" borderId="14" xfId="1" applyNumberFormat="1" applyFont="1" applyFill="1" applyBorder="1" applyAlignment="1">
      <alignment horizontal="left" vertical="top" wrapText="1"/>
    </xf>
    <xf numFmtId="0" fontId="48" fillId="11" borderId="45" xfId="0" applyFont="1" applyFill="1" applyBorder="1" applyAlignment="1">
      <alignment horizontal="left" vertical="center" wrapText="1"/>
    </xf>
    <xf numFmtId="0" fontId="49" fillId="6" borderId="43" xfId="0" applyFont="1" applyFill="1" applyBorder="1" applyAlignment="1">
      <alignment horizontal="left" vertical="center" wrapText="1"/>
    </xf>
    <xf numFmtId="0" fontId="6" fillId="0" borderId="2" xfId="0" quotePrefix="1" applyFont="1" applyBorder="1" applyAlignment="1">
      <alignment horizontal="left" vertical="top" wrapText="1"/>
    </xf>
    <xf numFmtId="0" fontId="4" fillId="0" borderId="1" xfId="0" applyFont="1" applyBorder="1" applyAlignment="1">
      <alignment horizontal="left" vertical="top"/>
    </xf>
    <xf numFmtId="0" fontId="6" fillId="3" borderId="0" xfId="0" applyFont="1" applyFill="1" applyAlignment="1">
      <alignment horizontal="left" vertical="top" wrapText="1"/>
    </xf>
    <xf numFmtId="0" fontId="11" fillId="3" borderId="0" xfId="0" applyFont="1" applyFill="1" applyAlignment="1">
      <alignment horizontal="left" vertical="top" wrapText="1"/>
    </xf>
    <xf numFmtId="0" fontId="2" fillId="4" borderId="6" xfId="0" applyFont="1" applyFill="1" applyBorder="1" applyAlignment="1">
      <alignment horizontal="center" vertical="top" wrapText="1"/>
    </xf>
    <xf numFmtId="0" fontId="2" fillId="4" borderId="7" xfId="0" applyFont="1" applyFill="1" applyBorder="1" applyAlignment="1">
      <alignment horizontal="center" vertical="top" wrapText="1"/>
    </xf>
    <xf numFmtId="0" fontId="2" fillId="4" borderId="8" xfId="0" applyFont="1" applyFill="1" applyBorder="1" applyAlignment="1">
      <alignment horizontal="center" vertical="top" wrapText="1"/>
    </xf>
    <xf numFmtId="0" fontId="4" fillId="3" borderId="0" xfId="0" applyFont="1" applyFill="1" applyAlignment="1">
      <alignment horizontal="left" vertical="top"/>
    </xf>
    <xf numFmtId="0" fontId="6" fillId="3" borderId="0" xfId="0" applyFont="1" applyFill="1" applyAlignment="1">
      <alignment horizontal="left" vertical="top"/>
    </xf>
    <xf numFmtId="0" fontId="11" fillId="3" borderId="0" xfId="0" applyFont="1" applyFill="1" applyAlignment="1">
      <alignment horizontal="left" vertical="top"/>
    </xf>
    <xf numFmtId="0" fontId="6" fillId="0" borderId="16" xfId="0" applyFont="1" applyBorder="1" applyAlignment="1">
      <alignment horizontal="left" vertical="top" wrapText="1"/>
    </xf>
    <xf numFmtId="0" fontId="6" fillId="3" borderId="16" xfId="0" applyFont="1" applyFill="1" applyBorder="1" applyAlignment="1">
      <alignment horizontal="left" vertical="top" wrapText="1"/>
    </xf>
    <xf numFmtId="49" fontId="6" fillId="3" borderId="16" xfId="0" applyNumberFormat="1" applyFont="1" applyFill="1" applyBorder="1" applyAlignment="1">
      <alignment horizontal="left" vertical="top" wrapText="1"/>
    </xf>
    <xf numFmtId="0" fontId="6" fillId="3" borderId="19" xfId="0" applyFont="1" applyFill="1" applyBorder="1" applyAlignment="1">
      <alignment horizontal="left" vertical="top" wrapText="1"/>
    </xf>
    <xf numFmtId="0" fontId="6" fillId="3" borderId="10" xfId="0" applyFont="1" applyFill="1" applyBorder="1" applyAlignment="1">
      <alignment horizontal="left" vertical="top" wrapText="1"/>
    </xf>
    <xf numFmtId="0" fontId="6" fillId="0" borderId="10" xfId="0" applyFont="1" applyBorder="1" applyAlignment="1">
      <alignment horizontal="left" vertical="top" wrapText="1"/>
    </xf>
    <xf numFmtId="49" fontId="6" fillId="3" borderId="10" xfId="0" applyNumberFormat="1" applyFont="1" applyFill="1" applyBorder="1" applyAlignment="1">
      <alignment horizontal="left" vertical="top" wrapText="1"/>
    </xf>
    <xf numFmtId="0" fontId="6" fillId="0" borderId="19" xfId="0" applyFont="1" applyBorder="1" applyAlignment="1">
      <alignment horizontal="left" vertical="top" wrapText="1"/>
    </xf>
    <xf numFmtId="0" fontId="6" fillId="3" borderId="13" xfId="0" applyFont="1" applyFill="1" applyBorder="1" applyAlignment="1">
      <alignment horizontal="left" vertical="top" wrapText="1"/>
    </xf>
    <xf numFmtId="0" fontId="6" fillId="3" borderId="11" xfId="0" applyFont="1" applyFill="1" applyBorder="1" applyAlignment="1">
      <alignment horizontal="left" vertical="top" wrapText="1"/>
    </xf>
    <xf numFmtId="0" fontId="6" fillId="3" borderId="14" xfId="0" applyFont="1" applyFill="1" applyBorder="1" applyAlignment="1">
      <alignment horizontal="left" vertical="top" wrapText="1"/>
    </xf>
    <xf numFmtId="0" fontId="6" fillId="0" borderId="13" xfId="0" applyFont="1" applyBorder="1" applyAlignment="1">
      <alignment horizontal="left" vertical="top" wrapText="1"/>
    </xf>
    <xf numFmtId="0" fontId="6" fillId="0" borderId="16" xfId="0" applyFont="1" applyBorder="1" applyAlignment="1">
      <alignment horizontal="center" vertical="top" wrapText="1"/>
    </xf>
    <xf numFmtId="0" fontId="6" fillId="0" borderId="13" xfId="0" applyFont="1" applyBorder="1" applyAlignment="1">
      <alignment horizontal="center" vertical="top" wrapText="1"/>
    </xf>
    <xf numFmtId="0" fontId="6" fillId="0" borderId="16" xfId="0" applyFont="1" applyBorder="1" applyAlignment="1">
      <alignment horizontal="center" vertical="top"/>
    </xf>
    <xf numFmtId="0" fontId="6" fillId="0" borderId="13" xfId="0" applyFont="1" applyBorder="1" applyAlignment="1">
      <alignment horizontal="center" vertical="top"/>
    </xf>
    <xf numFmtId="0" fontId="6" fillId="3" borderId="5" xfId="0" applyFont="1" applyFill="1" applyBorder="1" applyAlignment="1">
      <alignment horizontal="left" vertical="top" wrapText="1"/>
    </xf>
    <xf numFmtId="0" fontId="6" fillId="3" borderId="1"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3" borderId="1" xfId="0" applyFont="1" applyFill="1" applyBorder="1" applyAlignment="1">
      <alignment horizontal="left" vertical="top" wrapText="1"/>
    </xf>
    <xf numFmtId="0" fontId="6" fillId="3" borderId="12"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0" borderId="12" xfId="0" applyFont="1" applyBorder="1" applyAlignment="1">
      <alignment horizontal="left" vertical="top" wrapText="1"/>
    </xf>
    <xf numFmtId="0" fontId="6" fillId="0" borderId="18" xfId="0" applyFont="1" applyBorder="1" applyAlignment="1">
      <alignment horizontal="left" vertical="top" wrapText="1"/>
    </xf>
    <xf numFmtId="0" fontId="6" fillId="0" borderId="16" xfId="0" applyFont="1" applyBorder="1" applyAlignment="1">
      <alignment vertical="top" wrapText="1"/>
    </xf>
    <xf numFmtId="0" fontId="6" fillId="0" borderId="10" xfId="0" applyFont="1" applyBorder="1" applyAlignment="1">
      <alignment vertical="top" wrapText="1"/>
    </xf>
    <xf numFmtId="9" fontId="6" fillId="0" borderId="5" xfId="2" applyFont="1" applyFill="1" applyBorder="1" applyAlignment="1">
      <alignment horizontal="center" vertical="top" wrapText="1"/>
    </xf>
    <xf numFmtId="9" fontId="6" fillId="0" borderId="12" xfId="2" applyFont="1" applyFill="1" applyBorder="1" applyAlignment="1">
      <alignment horizontal="center" vertical="top" wrapText="1"/>
    </xf>
    <xf numFmtId="0" fontId="6" fillId="0" borderId="19" xfId="0" applyFont="1" applyBorder="1" applyAlignment="1">
      <alignment horizontal="center" vertical="top" wrapText="1"/>
    </xf>
    <xf numFmtId="0" fontId="6" fillId="3" borderId="0" xfId="0" applyFont="1" applyFill="1" applyAlignment="1">
      <alignment horizontal="center" vertical="top" wrapText="1"/>
    </xf>
    <xf numFmtId="0" fontId="6" fillId="3" borderId="1" xfId="0" applyFont="1" applyFill="1" applyBorder="1" applyAlignment="1">
      <alignment horizontal="center" vertical="top" wrapText="1"/>
    </xf>
    <xf numFmtId="0" fontId="11" fillId="3" borderId="0" xfId="0" applyFont="1" applyFill="1" applyAlignment="1">
      <alignment horizontal="center" vertical="top" wrapText="1"/>
    </xf>
    <xf numFmtId="0" fontId="11" fillId="3" borderId="21" xfId="0" applyFont="1" applyFill="1" applyBorder="1" applyAlignment="1">
      <alignment horizontal="center" vertical="top" wrapText="1"/>
    </xf>
    <xf numFmtId="0" fontId="11" fillId="3" borderId="1" xfId="0" applyFont="1" applyFill="1" applyBorder="1" applyAlignment="1">
      <alignment horizontal="center" vertical="top" wrapText="1"/>
    </xf>
    <xf numFmtId="0" fontId="11" fillId="3" borderId="15" xfId="0" applyFont="1" applyFill="1" applyBorder="1" applyAlignment="1">
      <alignment horizontal="center" vertical="top" wrapText="1"/>
    </xf>
    <xf numFmtId="0" fontId="6" fillId="3" borderId="19" xfId="0" applyFont="1" applyFill="1" applyBorder="1" applyAlignment="1">
      <alignment horizontal="center" vertical="top" wrapText="1"/>
    </xf>
    <xf numFmtId="0" fontId="6" fillId="3" borderId="13" xfId="0" applyFont="1" applyFill="1" applyBorder="1" applyAlignment="1">
      <alignment horizontal="center" vertical="top" wrapText="1"/>
    </xf>
    <xf numFmtId="0" fontId="6" fillId="0" borderId="19" xfId="0" applyFont="1" applyBorder="1" applyAlignment="1">
      <alignment vertical="top" wrapText="1"/>
    </xf>
    <xf numFmtId="0" fontId="6" fillId="0" borderId="13" xfId="0" applyFont="1" applyBorder="1" applyAlignment="1">
      <alignment vertical="top" wrapText="1"/>
    </xf>
    <xf numFmtId="0" fontId="0" fillId="0" borderId="16" xfId="0" applyBorder="1" applyAlignment="1">
      <alignment horizontal="left" vertical="top" wrapText="1"/>
    </xf>
    <xf numFmtId="0" fontId="0" fillId="0" borderId="19" xfId="0" applyBorder="1" applyAlignment="1">
      <alignment horizontal="left" vertical="top" wrapText="1"/>
    </xf>
    <xf numFmtId="0" fontId="0" fillId="0" borderId="13" xfId="0" applyBorder="1" applyAlignment="1">
      <alignment horizontal="left" vertical="top" wrapText="1"/>
    </xf>
    <xf numFmtId="49" fontId="6" fillId="0" borderId="16" xfId="0" applyNumberFormat="1" applyFont="1" applyBorder="1" applyAlignment="1">
      <alignment vertical="top" wrapText="1"/>
    </xf>
    <xf numFmtId="49" fontId="6" fillId="0" borderId="19" xfId="0" applyNumberFormat="1" applyFont="1" applyBorder="1" applyAlignment="1">
      <alignment vertical="top" wrapText="1"/>
    </xf>
    <xf numFmtId="0" fontId="6" fillId="0" borderId="16" xfId="0" applyFont="1" applyBorder="1" applyAlignment="1">
      <alignment horizontal="left" vertical="top"/>
    </xf>
    <xf numFmtId="0" fontId="6" fillId="0" borderId="19" xfId="0" applyFont="1" applyBorder="1" applyAlignment="1">
      <alignment horizontal="left" vertical="top"/>
    </xf>
    <xf numFmtId="0" fontId="6" fillId="3" borderId="19" xfId="0" quotePrefix="1" applyFont="1" applyFill="1" applyBorder="1" applyAlignment="1">
      <alignment horizontal="left" vertical="top" wrapText="1"/>
    </xf>
    <xf numFmtId="0" fontId="6" fillId="3" borderId="13" xfId="0" quotePrefix="1" applyFont="1" applyFill="1" applyBorder="1" applyAlignment="1">
      <alignment horizontal="left" vertical="top" wrapText="1"/>
    </xf>
    <xf numFmtId="0" fontId="6" fillId="3" borderId="20" xfId="0" applyFont="1" applyFill="1" applyBorder="1" applyAlignment="1">
      <alignment horizontal="left" vertical="top" wrapText="1"/>
    </xf>
    <xf numFmtId="9" fontId="6" fillId="0" borderId="16" xfId="0" applyNumberFormat="1" applyFont="1" applyBorder="1" applyAlignment="1">
      <alignment horizontal="left" vertical="top" wrapText="1"/>
    </xf>
    <xf numFmtId="9" fontId="6" fillId="0" borderId="19" xfId="0" applyNumberFormat="1" applyFont="1" applyBorder="1" applyAlignment="1">
      <alignment horizontal="left" vertical="top" wrapText="1"/>
    </xf>
    <xf numFmtId="9" fontId="6" fillId="0" borderId="13" xfId="0" applyNumberFormat="1" applyFont="1" applyBorder="1" applyAlignment="1">
      <alignment horizontal="left" vertical="top" wrapText="1"/>
    </xf>
    <xf numFmtId="0" fontId="0" fillId="0" borderId="16" xfId="0" applyBorder="1" applyAlignment="1">
      <alignment vertical="top" wrapText="1"/>
    </xf>
    <xf numFmtId="0" fontId="0" fillId="0" borderId="19" xfId="0" applyBorder="1" applyAlignment="1">
      <alignment vertical="top" wrapText="1"/>
    </xf>
    <xf numFmtId="0" fontId="6" fillId="3" borderId="16" xfId="0" applyFont="1" applyFill="1" applyBorder="1" applyAlignment="1">
      <alignment horizontal="center" vertical="top" wrapText="1"/>
    </xf>
    <xf numFmtId="9" fontId="6" fillId="3" borderId="8" xfId="0" applyNumberFormat="1" applyFont="1" applyFill="1" applyBorder="1" applyAlignment="1">
      <alignment horizontal="center" vertical="top" wrapText="1"/>
    </xf>
    <xf numFmtId="9" fontId="11" fillId="3" borderId="8" xfId="0" applyNumberFormat="1" applyFont="1" applyFill="1" applyBorder="1" applyAlignment="1">
      <alignment horizontal="center" vertical="top" wrapText="1"/>
    </xf>
    <xf numFmtId="0" fontId="6" fillId="2" borderId="19" xfId="0" applyFont="1" applyFill="1" applyBorder="1" applyAlignment="1">
      <alignment horizontal="left" vertical="top" wrapText="1"/>
    </xf>
    <xf numFmtId="0" fontId="6" fillId="0" borderId="11" xfId="0" applyFont="1" applyBorder="1" applyAlignment="1">
      <alignment horizontal="left" vertical="top" wrapText="1"/>
    </xf>
    <xf numFmtId="0" fontId="6" fillId="0" borderId="20" xfId="0" applyFont="1" applyBorder="1" applyAlignment="1">
      <alignment horizontal="left" vertical="top" wrapText="1"/>
    </xf>
    <xf numFmtId="0" fontId="0" fillId="0" borderId="0" xfId="0" applyAlignment="1">
      <alignment vertical="top" wrapText="1"/>
    </xf>
    <xf numFmtId="0" fontId="6" fillId="3" borderId="17" xfId="0" applyFont="1" applyFill="1" applyBorder="1" applyAlignment="1">
      <alignment horizontal="left" vertical="top" wrapText="1"/>
    </xf>
    <xf numFmtId="0" fontId="6" fillId="3" borderId="8" xfId="0" applyFont="1" applyFill="1" applyBorder="1" applyAlignment="1">
      <alignment horizontal="left" vertical="top" wrapText="1"/>
    </xf>
    <xf numFmtId="0" fontId="11" fillId="3" borderId="8" xfId="0" applyFont="1" applyFill="1" applyBorder="1" applyAlignment="1">
      <alignment horizontal="left" vertical="top" wrapText="1"/>
    </xf>
    <xf numFmtId="0" fontId="6" fillId="0" borderId="5" xfId="0" applyFont="1" applyBorder="1" applyAlignment="1">
      <alignment horizontal="left" vertical="top" wrapText="1"/>
    </xf>
    <xf numFmtId="0" fontId="11" fillId="0" borderId="5" xfId="0" applyFont="1" applyBorder="1" applyAlignment="1">
      <alignment horizontal="left" vertical="top" wrapText="1"/>
    </xf>
    <xf numFmtId="0" fontId="6" fillId="0" borderId="0" xfId="0" applyFont="1" applyAlignment="1">
      <alignment horizontal="left" vertical="top" wrapText="1"/>
    </xf>
    <xf numFmtId="0" fontId="11" fillId="0" borderId="0" xfId="0" applyFont="1" applyAlignment="1">
      <alignment horizontal="left" vertical="top" wrapText="1"/>
    </xf>
    <xf numFmtId="0" fontId="0" fillId="0" borderId="17" xfId="0" applyBorder="1" applyAlignment="1">
      <alignment horizontal="left" vertical="top" wrapText="1"/>
    </xf>
    <xf numFmtId="0" fontId="0" fillId="0" borderId="8" xfId="0" applyBorder="1" applyAlignment="1">
      <alignment horizontal="left" vertical="top" wrapText="1"/>
    </xf>
    <xf numFmtId="0" fontId="0" fillId="0" borderId="18" xfId="0" applyBorder="1" applyAlignment="1">
      <alignment horizontal="left" vertical="top" wrapText="1"/>
    </xf>
    <xf numFmtId="0" fontId="5" fillId="0" borderId="0" xfId="0" applyFont="1" applyAlignment="1">
      <alignment horizontal="left" vertical="top"/>
    </xf>
    <xf numFmtId="0" fontId="4" fillId="0" borderId="0" xfId="0" applyFont="1" applyAlignment="1">
      <alignment horizontal="left" vertical="top"/>
    </xf>
    <xf numFmtId="0" fontId="6" fillId="3" borderId="18" xfId="0" applyFont="1" applyFill="1" applyBorder="1" applyAlignment="1">
      <alignment horizontal="left" vertical="top" wrapText="1"/>
    </xf>
    <xf numFmtId="0" fontId="0" fillId="3" borderId="1" xfId="0" applyFill="1" applyBorder="1" applyAlignment="1">
      <alignment horizontal="left" vertical="top" wrapText="1"/>
    </xf>
    <xf numFmtId="0" fontId="17" fillId="5" borderId="11" xfId="0" applyFont="1" applyFill="1" applyBorder="1" applyAlignment="1">
      <alignment horizontal="right" vertical="center"/>
    </xf>
    <xf numFmtId="0" fontId="17" fillId="5" borderId="12" xfId="0" applyFont="1" applyFill="1" applyBorder="1" applyAlignment="1">
      <alignment horizontal="right" vertical="center"/>
    </xf>
    <xf numFmtId="0" fontId="4" fillId="0" borderId="8" xfId="0" applyFont="1" applyBorder="1" applyAlignment="1">
      <alignment horizontal="left" vertical="top"/>
    </xf>
    <xf numFmtId="0" fontId="4" fillId="6" borderId="14"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15" xfId="0" applyFont="1" applyFill="1" applyBorder="1" applyAlignment="1">
      <alignment horizontal="left" vertical="top" wrapText="1"/>
    </xf>
    <xf numFmtId="0" fontId="0" fillId="0" borderId="14" xfId="0" applyBorder="1" applyAlignment="1">
      <alignment horizontal="left" vertical="top" wrapText="1"/>
    </xf>
    <xf numFmtId="0" fontId="0" fillId="0" borderId="1" xfId="0" applyBorder="1" applyAlignment="1">
      <alignment horizontal="left" vertical="top" wrapText="1"/>
    </xf>
    <xf numFmtId="0" fontId="0" fillId="0" borderId="15" xfId="0" applyBorder="1" applyAlignment="1">
      <alignment horizontal="left" vertical="top" wrapText="1"/>
    </xf>
    <xf numFmtId="0" fontId="0" fillId="0" borderId="8" xfId="0" applyBorder="1" applyAlignment="1">
      <alignment horizontal="left" vertical="top"/>
    </xf>
    <xf numFmtId="0" fontId="0" fillId="3" borderId="17" xfId="0" applyFill="1" applyBorder="1" applyAlignment="1">
      <alignment horizontal="left" vertical="top" wrapText="1"/>
    </xf>
    <xf numFmtId="0" fontId="0" fillId="3" borderId="8" xfId="0" applyFill="1" applyBorder="1" applyAlignment="1">
      <alignment horizontal="left" vertical="top" wrapText="1"/>
    </xf>
    <xf numFmtId="0" fontId="0" fillId="3" borderId="18" xfId="0" applyFill="1" applyBorder="1" applyAlignment="1">
      <alignment horizontal="left" vertical="top" wrapText="1"/>
    </xf>
    <xf numFmtId="0" fontId="0" fillId="3" borderId="16" xfId="0" applyFill="1" applyBorder="1" applyAlignment="1">
      <alignment horizontal="center" vertical="top" wrapText="1"/>
    </xf>
    <xf numFmtId="0" fontId="0" fillId="3" borderId="19" xfId="0" applyFill="1" applyBorder="1" applyAlignment="1">
      <alignment horizontal="center" vertical="top" wrapText="1"/>
    </xf>
    <xf numFmtId="0" fontId="0" fillId="3" borderId="13" xfId="0" applyFill="1" applyBorder="1" applyAlignment="1">
      <alignment horizontal="center" vertical="top" wrapText="1"/>
    </xf>
    <xf numFmtId="0" fontId="0" fillId="3" borderId="8" xfId="0" applyFill="1" applyBorder="1" applyAlignment="1">
      <alignment horizontal="left" vertical="top"/>
    </xf>
    <xf numFmtId="0" fontId="34" fillId="0" borderId="6" xfId="0" applyFont="1" applyBorder="1" applyAlignment="1">
      <alignment horizontal="left" vertical="top"/>
    </xf>
    <xf numFmtId="0" fontId="34" fillId="0" borderId="8" xfId="0" applyFont="1" applyBorder="1" applyAlignment="1">
      <alignment horizontal="left" vertical="top"/>
    </xf>
    <xf numFmtId="0" fontId="17" fillId="5" borderId="11" xfId="0" applyFont="1" applyFill="1" applyBorder="1" applyAlignment="1">
      <alignment horizontal="left" vertical="center"/>
    </xf>
    <xf numFmtId="0" fontId="17" fillId="5" borderId="5" xfId="0" applyFont="1" applyFill="1" applyBorder="1" applyAlignment="1">
      <alignment horizontal="left" vertical="center"/>
    </xf>
    <xf numFmtId="0" fontId="17" fillId="5" borderId="12" xfId="0" applyFont="1" applyFill="1" applyBorder="1" applyAlignment="1">
      <alignment horizontal="left" vertical="center"/>
    </xf>
    <xf numFmtId="0" fontId="0" fillId="0" borderId="5" xfId="0" applyBorder="1" applyAlignment="1">
      <alignment horizontal="left" vertical="top"/>
    </xf>
    <xf numFmtId="0" fontId="36" fillId="0" borderId="0" xfId="0" applyFont="1" applyAlignment="1">
      <alignment horizontal="left" vertical="top" wrapText="1"/>
    </xf>
    <xf numFmtId="0" fontId="34" fillId="0" borderId="0" xfId="0" applyFont="1" applyAlignment="1">
      <alignment horizontal="left" vertical="top" wrapText="1"/>
    </xf>
    <xf numFmtId="0" fontId="0" fillId="0" borderId="10" xfId="0" applyBorder="1" applyAlignment="1">
      <alignment horizontal="left" vertical="center" wrapText="1"/>
    </xf>
    <xf numFmtId="0" fontId="4" fillId="0" borderId="10" xfId="0" applyFont="1" applyBorder="1" applyAlignment="1">
      <alignment horizontal="left" vertical="center" wrapText="1"/>
    </xf>
    <xf numFmtId="0" fontId="4" fillId="9" borderId="17" xfId="0" applyFont="1" applyFill="1" applyBorder="1" applyAlignment="1">
      <alignment horizontal="left" vertical="center" wrapText="1"/>
    </xf>
    <xf numFmtId="0" fontId="4" fillId="9" borderId="18" xfId="0" applyFont="1" applyFill="1" applyBorder="1" applyAlignment="1">
      <alignment horizontal="left" vertical="center" wrapText="1"/>
    </xf>
    <xf numFmtId="0" fontId="4" fillId="9" borderId="14" xfId="0" applyFont="1" applyFill="1" applyBorder="1" applyAlignment="1">
      <alignment horizontal="right" vertical="top"/>
    </xf>
    <xf numFmtId="0" fontId="4" fillId="9" borderId="15" xfId="0" applyFont="1" applyFill="1" applyBorder="1" applyAlignment="1">
      <alignment horizontal="right" vertical="top"/>
    </xf>
    <xf numFmtId="0" fontId="4" fillId="9" borderId="13" xfId="0" applyFont="1" applyFill="1" applyBorder="1" applyAlignment="1">
      <alignment horizontal="left" vertical="top"/>
    </xf>
    <xf numFmtId="0" fontId="4" fillId="9" borderId="10" xfId="0" applyFont="1" applyFill="1" applyBorder="1" applyAlignment="1">
      <alignment horizontal="left" vertical="top"/>
    </xf>
    <xf numFmtId="0" fontId="4" fillId="9" borderId="19"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9"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4" fillId="9" borderId="14"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17" xfId="0" applyFont="1" applyFill="1" applyBorder="1" applyAlignment="1">
      <alignment horizontal="center" vertical="center"/>
    </xf>
    <xf numFmtId="0" fontId="4" fillId="9" borderId="8" xfId="0" applyFont="1" applyFill="1" applyBorder="1" applyAlignment="1">
      <alignment horizontal="center" vertical="center"/>
    </xf>
    <xf numFmtId="0" fontId="4" fillId="9" borderId="10" xfId="0" applyFont="1" applyFill="1" applyBorder="1" applyAlignment="1">
      <alignment horizontal="center" vertical="center"/>
    </xf>
    <xf numFmtId="3" fontId="0" fillId="0" borderId="10" xfId="0" applyNumberFormat="1" applyBorder="1" applyAlignment="1">
      <alignment horizontal="right" vertical="center"/>
    </xf>
    <xf numFmtId="3" fontId="4" fillId="3" borderId="17" xfId="0" applyNumberFormat="1" applyFont="1" applyFill="1" applyBorder="1" applyAlignment="1">
      <alignment horizontal="right" vertical="top"/>
    </xf>
    <xf numFmtId="3" fontId="4" fillId="3" borderId="18" xfId="0" applyNumberFormat="1" applyFont="1" applyFill="1" applyBorder="1" applyAlignment="1">
      <alignment horizontal="right" vertical="top"/>
    </xf>
    <xf numFmtId="3" fontId="4" fillId="9" borderId="17" xfId="0" applyNumberFormat="1" applyFont="1" applyFill="1" applyBorder="1" applyAlignment="1">
      <alignment horizontal="right" vertical="top"/>
    </xf>
    <xf numFmtId="3" fontId="4" fillId="9" borderId="18" xfId="0" applyNumberFormat="1" applyFont="1" applyFill="1" applyBorder="1" applyAlignment="1">
      <alignment horizontal="right" vertical="top"/>
    </xf>
    <xf numFmtId="0" fontId="34" fillId="3" borderId="0" xfId="0" applyFont="1" applyFill="1" applyAlignment="1">
      <alignment horizontal="left" vertical="top" wrapText="1"/>
    </xf>
    <xf numFmtId="0" fontId="0" fillId="3" borderId="14" xfId="0" applyFill="1" applyBorder="1" applyAlignment="1">
      <alignment horizontal="left" vertical="center"/>
    </xf>
    <xf numFmtId="0" fontId="0" fillId="3" borderId="1" xfId="0" applyFill="1" applyBorder="1" applyAlignment="1">
      <alignment horizontal="left" vertical="center"/>
    </xf>
    <xf numFmtId="0" fontId="0" fillId="3" borderId="15" xfId="0" applyFill="1" applyBorder="1" applyAlignment="1">
      <alignment horizontal="left" vertical="center"/>
    </xf>
    <xf numFmtId="2" fontId="0" fillId="0" borderId="17" xfId="0" applyNumberFormat="1" applyBorder="1" applyAlignment="1">
      <alignment horizontal="right" vertical="top"/>
    </xf>
    <xf numFmtId="2" fontId="0" fillId="0" borderId="18" xfId="0" applyNumberFormat="1" applyBorder="1" applyAlignment="1">
      <alignment horizontal="right" vertical="top"/>
    </xf>
    <xf numFmtId="0" fontId="17" fillId="5" borderId="29" xfId="0" applyFont="1" applyFill="1" applyBorder="1" applyAlignment="1">
      <alignment horizontal="left" vertical="center"/>
    </xf>
    <xf numFmtId="0" fontId="17" fillId="5" borderId="30" xfId="0" applyFont="1" applyFill="1" applyBorder="1" applyAlignment="1">
      <alignment horizontal="left" vertical="center"/>
    </xf>
    <xf numFmtId="0" fontId="17" fillId="5" borderId="31" xfId="0" applyFont="1" applyFill="1" applyBorder="1" applyAlignment="1">
      <alignment horizontal="left" vertical="center"/>
    </xf>
    <xf numFmtId="0" fontId="0" fillId="0" borderId="17" xfId="0" applyBorder="1" applyAlignment="1">
      <alignment horizontal="right" vertical="top"/>
    </xf>
    <xf numFmtId="0" fontId="0" fillId="0" borderId="18" xfId="0" applyBorder="1" applyAlignment="1">
      <alignment horizontal="right" vertical="top"/>
    </xf>
    <xf numFmtId="170" fontId="0" fillId="0" borderId="17" xfId="0" applyNumberFormat="1" applyBorder="1" applyAlignment="1">
      <alignment horizontal="right" vertical="top"/>
    </xf>
    <xf numFmtId="170" fontId="0" fillId="0" borderId="18" xfId="0" applyNumberFormat="1" applyBorder="1" applyAlignment="1">
      <alignment horizontal="right" vertical="top"/>
    </xf>
    <xf numFmtId="1" fontId="0" fillId="0" borderId="17" xfId="0" applyNumberFormat="1" applyBorder="1" applyAlignment="1">
      <alignment horizontal="right" vertical="top"/>
    </xf>
    <xf numFmtId="1" fontId="0" fillId="0" borderId="18" xfId="0" applyNumberFormat="1" applyBorder="1" applyAlignment="1">
      <alignment horizontal="right" vertical="top"/>
    </xf>
    <xf numFmtId="171" fontId="0" fillId="0" borderId="17" xfId="0" applyNumberFormat="1" applyBorder="1" applyAlignment="1">
      <alignment horizontal="right" vertical="top"/>
    </xf>
    <xf numFmtId="171" fontId="0" fillId="0" borderId="18" xfId="0" applyNumberFormat="1" applyBorder="1" applyAlignment="1">
      <alignment horizontal="right" vertical="top"/>
    </xf>
    <xf numFmtId="3" fontId="0" fillId="0" borderId="17" xfId="0" applyNumberFormat="1" applyBorder="1" applyAlignment="1">
      <alignment horizontal="right" vertical="top"/>
    </xf>
    <xf numFmtId="3" fontId="0" fillId="0" borderId="18" xfId="0" applyNumberFormat="1" applyBorder="1" applyAlignment="1">
      <alignment horizontal="right" vertical="top"/>
    </xf>
    <xf numFmtId="0" fontId="17" fillId="5" borderId="29" xfId="0" applyFont="1" applyFill="1" applyBorder="1" applyAlignment="1">
      <alignment horizontal="left" vertical="top"/>
    </xf>
    <xf numFmtId="0" fontId="17" fillId="5" borderId="30" xfId="0" applyFont="1" applyFill="1" applyBorder="1" applyAlignment="1">
      <alignment horizontal="left" vertical="top"/>
    </xf>
    <xf numFmtId="0" fontId="17" fillId="5" borderId="31" xfId="0" applyFont="1" applyFill="1" applyBorder="1" applyAlignment="1">
      <alignment horizontal="left" vertical="top"/>
    </xf>
    <xf numFmtId="0" fontId="4" fillId="9" borderId="14" xfId="0" applyFont="1" applyFill="1" applyBorder="1" applyAlignment="1">
      <alignment horizontal="center" vertical="top"/>
    </xf>
    <xf numFmtId="0" fontId="4" fillId="9" borderId="15" xfId="0" applyFont="1" applyFill="1" applyBorder="1" applyAlignment="1">
      <alignment horizontal="center" vertical="top"/>
    </xf>
    <xf numFmtId="0" fontId="17" fillId="5" borderId="29" xfId="0" applyFont="1" applyFill="1" applyBorder="1" applyAlignment="1">
      <alignment horizontal="left" vertical="top" wrapText="1"/>
    </xf>
    <xf numFmtId="0" fontId="17" fillId="5" borderId="30" xfId="0" applyFont="1" applyFill="1" applyBorder="1" applyAlignment="1">
      <alignment horizontal="left" vertical="top" wrapText="1"/>
    </xf>
    <xf numFmtId="0" fontId="17" fillId="5" borderId="31" xfId="0" applyFont="1" applyFill="1" applyBorder="1" applyAlignment="1">
      <alignment horizontal="left" vertical="top" wrapText="1"/>
    </xf>
    <xf numFmtId="0" fontId="4" fillId="0" borderId="17" xfId="0" applyFont="1" applyBorder="1" applyAlignment="1">
      <alignment horizontal="right" vertical="top"/>
    </xf>
    <xf numFmtId="0" fontId="4" fillId="0" borderId="18" xfId="0" applyFont="1" applyBorder="1" applyAlignment="1">
      <alignment horizontal="right" vertical="top"/>
    </xf>
    <xf numFmtId="0" fontId="39" fillId="0" borderId="0" xfId="0" applyFont="1" applyAlignment="1">
      <alignment horizontal="left" vertical="top" wrapText="1"/>
    </xf>
    <xf numFmtId="0" fontId="17" fillId="5" borderId="20" xfId="0" applyFont="1" applyFill="1" applyBorder="1" applyAlignment="1">
      <alignment horizontal="left" vertical="center"/>
    </xf>
    <xf numFmtId="0" fontId="17" fillId="5" borderId="0" xfId="0" applyFont="1" applyFill="1" applyAlignment="1">
      <alignment horizontal="left" vertical="center"/>
    </xf>
    <xf numFmtId="0" fontId="17" fillId="5" borderId="32" xfId="0" applyFont="1" applyFill="1" applyBorder="1" applyAlignment="1">
      <alignment horizontal="left" vertical="center"/>
    </xf>
    <xf numFmtId="9" fontId="21" fillId="0" borderId="10" xfId="2" applyFont="1" applyBorder="1" applyAlignment="1">
      <alignment horizontal="center" vertical="top"/>
    </xf>
    <xf numFmtId="0" fontId="17" fillId="5" borderId="17" xfId="0" applyFont="1" applyFill="1" applyBorder="1" applyAlignment="1">
      <alignment horizontal="left" vertical="center" wrapText="1"/>
    </xf>
    <xf numFmtId="0" fontId="17" fillId="5" borderId="8" xfId="0" applyFont="1" applyFill="1" applyBorder="1" applyAlignment="1">
      <alignment horizontal="left" vertical="center" wrapText="1"/>
    </xf>
    <xf numFmtId="0" fontId="17" fillId="5" borderId="18" xfId="0" applyFont="1" applyFill="1" applyBorder="1" applyAlignment="1">
      <alignment horizontal="left" vertical="center" wrapText="1"/>
    </xf>
    <xf numFmtId="0" fontId="2" fillId="5" borderId="0" xfId="0" applyFont="1" applyFill="1" applyAlignment="1">
      <alignment horizontal="left" vertical="top"/>
    </xf>
    <xf numFmtId="0" fontId="0" fillId="0" borderId="16"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11" fillId="6" borderId="10" xfId="0" applyFont="1" applyFill="1" applyBorder="1" applyAlignment="1">
      <alignment horizontal="left" vertical="center"/>
    </xf>
    <xf numFmtId="0" fontId="0" fillId="0" borderId="0" xfId="0" applyAlignment="1">
      <alignment horizontal="left" vertical="top" wrapText="1"/>
    </xf>
    <xf numFmtId="0" fontId="2" fillId="5" borderId="10" xfId="0" applyFont="1" applyFill="1" applyBorder="1" applyAlignment="1">
      <alignment horizontal="left" vertical="center"/>
    </xf>
    <xf numFmtId="0" fontId="0" fillId="0" borderId="0" xfId="0" applyAlignment="1">
      <alignment horizontal="left"/>
    </xf>
    <xf numFmtId="0" fontId="48" fillId="11" borderId="34" xfId="0" applyFont="1" applyFill="1" applyBorder="1" applyAlignment="1">
      <alignment horizontal="left" vertical="top" wrapText="1"/>
    </xf>
    <xf numFmtId="0" fontId="49" fillId="6" borderId="38" xfId="0" applyFont="1" applyFill="1" applyBorder="1" applyAlignment="1">
      <alignment horizontal="center" vertical="center" wrapText="1"/>
    </xf>
    <xf numFmtId="0" fontId="0" fillId="3" borderId="16" xfId="0" applyFill="1" applyBorder="1" applyAlignment="1">
      <alignment wrapText="1"/>
    </xf>
    <xf numFmtId="0" fontId="0" fillId="3" borderId="13" xfId="0" applyFill="1" applyBorder="1" applyAlignment="1">
      <alignment wrapText="1"/>
    </xf>
    <xf numFmtId="0" fontId="49" fillId="6" borderId="37" xfId="0" applyFont="1" applyFill="1" applyBorder="1" applyAlignment="1">
      <alignment horizontal="center" vertical="center" wrapText="1"/>
    </xf>
    <xf numFmtId="0" fontId="48" fillId="11" borderId="33" xfId="0" applyFont="1" applyFill="1" applyBorder="1" applyAlignment="1">
      <alignment horizontal="left" vertical="top" wrapText="1"/>
    </xf>
    <xf numFmtId="0" fontId="48" fillId="11" borderId="35" xfId="0" applyFont="1" applyFill="1" applyBorder="1" applyAlignment="1">
      <alignment horizontal="left" vertical="top" wrapText="1"/>
    </xf>
    <xf numFmtId="0" fontId="48" fillId="11" borderId="36" xfId="0" applyFont="1" applyFill="1" applyBorder="1" applyAlignment="1">
      <alignment horizontal="left" vertical="top" wrapText="1"/>
    </xf>
  </cellXfs>
  <cellStyles count="7">
    <cellStyle name="Comma" xfId="1" builtinId="3"/>
    <cellStyle name="Comma 3 2 2 2" xfId="4" xr:uid="{3B6868F9-584E-4BFE-AE81-E18582FB455E}"/>
    <cellStyle name="Hyperlink" xfId="3" builtinId="8"/>
    <cellStyle name="Normal" xfId="0" builtinId="0"/>
    <cellStyle name="Normal 111" xfId="6" xr:uid="{DAB3A2BB-2FCB-4C51-A599-F76A4F330A92}"/>
    <cellStyle name="Normal 2 3 3 2" xfId="5" xr:uid="{20BDA4B6-9886-4A33-BA05-349AC152AEB1}"/>
    <cellStyle name="Percent" xfId="2" builtinId="5"/>
  </cellStyles>
  <dxfs count="0"/>
  <tableStyles count="0" defaultTableStyle="TableStyleMedium2" defaultPivotStyle="PivotStyleLight16"/>
  <colors>
    <mruColors>
      <color rgb="FF8D004C"/>
      <color rgb="FF0C3F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4124325</xdr:colOff>
      <xdr:row>2</xdr:row>
      <xdr:rowOff>85725</xdr:rowOff>
    </xdr:from>
    <xdr:to>
      <xdr:col>0</xdr:col>
      <xdr:colOff>8191500</xdr:colOff>
      <xdr:row>2</xdr:row>
      <xdr:rowOff>2825541</xdr:rowOff>
    </xdr:to>
    <xdr:pic>
      <xdr:nvPicPr>
        <xdr:cNvPr id="2" name="Picture 1">
          <a:extLst>
            <a:ext uri="{FF2B5EF4-FFF2-40B4-BE49-F238E27FC236}">
              <a16:creationId xmlns:a16="http://schemas.microsoft.com/office/drawing/2014/main" id="{8B7BA29B-6F4C-405D-9E57-6D0347B05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3495675"/>
          <a:ext cx="4067175" cy="2739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xdr:row>
      <xdr:rowOff>0</xdr:rowOff>
    </xdr:from>
    <xdr:to>
      <xdr:col>9</xdr:col>
      <xdr:colOff>376518</xdr:colOff>
      <xdr:row>40</xdr:row>
      <xdr:rowOff>54355</xdr:rowOff>
    </xdr:to>
    <xdr:pic>
      <xdr:nvPicPr>
        <xdr:cNvPr id="3" name="Picture 2">
          <a:extLst>
            <a:ext uri="{FF2B5EF4-FFF2-40B4-BE49-F238E27FC236}">
              <a16:creationId xmlns:a16="http://schemas.microsoft.com/office/drawing/2014/main" id="{3E0FC4A9-51B7-47F0-8470-3F963F08C1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30825" y="14916150"/>
          <a:ext cx="4034118" cy="2721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510988</xdr:colOff>
      <xdr:row>26</xdr:row>
      <xdr:rowOff>1</xdr:rowOff>
    </xdr:from>
    <xdr:to>
      <xdr:col>16</xdr:col>
      <xdr:colOff>165847</xdr:colOff>
      <xdr:row>39</xdr:row>
      <xdr:rowOff>169263</xdr:rowOff>
    </xdr:to>
    <xdr:pic>
      <xdr:nvPicPr>
        <xdr:cNvPr id="4" name="Picture 3">
          <a:extLst>
            <a:ext uri="{FF2B5EF4-FFF2-40B4-BE49-F238E27FC236}">
              <a16:creationId xmlns:a16="http://schemas.microsoft.com/office/drawing/2014/main" id="{41875683-547A-41E9-978D-8BEAAC981C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199413" y="14916151"/>
          <a:ext cx="3922059" cy="2645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85725</xdr:rowOff>
    </xdr:from>
    <xdr:to>
      <xdr:col>0</xdr:col>
      <xdr:colOff>4034118</xdr:colOff>
      <xdr:row>2</xdr:row>
      <xdr:rowOff>2807080</xdr:rowOff>
    </xdr:to>
    <xdr:pic>
      <xdr:nvPicPr>
        <xdr:cNvPr id="5" name="Picture 4">
          <a:extLst>
            <a:ext uri="{FF2B5EF4-FFF2-40B4-BE49-F238E27FC236}">
              <a16:creationId xmlns:a16="http://schemas.microsoft.com/office/drawing/2014/main" id="{32CB2FB6-0408-42B2-B173-7DB1338145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95675"/>
          <a:ext cx="4034118" cy="2721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11906</xdr:colOff>
      <xdr:row>2</xdr:row>
      <xdr:rowOff>250029</xdr:rowOff>
    </xdr:from>
    <xdr:to>
      <xdr:col>1</xdr:col>
      <xdr:colOff>3533892</xdr:colOff>
      <xdr:row>2</xdr:row>
      <xdr:rowOff>577917</xdr:rowOff>
    </xdr:to>
    <xdr:grpSp>
      <xdr:nvGrpSpPr>
        <xdr:cNvPr id="2" name="Group 31">
          <a:extLst>
            <a:ext uri="{FF2B5EF4-FFF2-40B4-BE49-F238E27FC236}">
              <a16:creationId xmlns:a16="http://schemas.microsoft.com/office/drawing/2014/main" id="{451EC87E-1EDB-4DA9-804E-A87F6159A581}"/>
            </a:ext>
          </a:extLst>
        </xdr:cNvPr>
        <xdr:cNvGrpSpPr/>
      </xdr:nvGrpSpPr>
      <xdr:grpSpPr>
        <a:xfrm>
          <a:off x="11906" y="682984"/>
          <a:ext cx="3902986" cy="327888"/>
          <a:chOff x="190500" y="1437409"/>
          <a:chExt cx="3445421" cy="327888"/>
        </a:xfrm>
      </xdr:grpSpPr>
      <xdr:sp macro="" textlink="">
        <xdr:nvSpPr>
          <xdr:cNvPr id="3" name="TextBox 32">
            <a:extLst>
              <a:ext uri="{FF2B5EF4-FFF2-40B4-BE49-F238E27FC236}">
                <a16:creationId xmlns:a16="http://schemas.microsoft.com/office/drawing/2014/main" id="{71CB632B-84AA-41A7-E543-E2469A3B4AB1}"/>
              </a:ext>
            </a:extLst>
          </xdr:cNvPr>
          <xdr:cNvSpPr txBox="1"/>
        </xdr:nvSpPr>
        <xdr:spPr>
          <a:xfrm>
            <a:off x="225840" y="1465852"/>
            <a:ext cx="796585" cy="29944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RT_Vickerman" panose="020B0503020103020204" pitchFamily="34" charset="0"/>
                <a:ea typeface="+mn-ea"/>
                <a:cs typeface="+mn-cs"/>
              </a:rPr>
              <a:t>  </a:t>
            </a: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Meets</a:t>
            </a:r>
          </a:p>
        </xdr:txBody>
      </xdr:sp>
      <xdr:pic>
        <xdr:nvPicPr>
          <xdr:cNvPr id="4" name="Picture 33">
            <a:extLst>
              <a:ext uri="{FF2B5EF4-FFF2-40B4-BE49-F238E27FC236}">
                <a16:creationId xmlns:a16="http://schemas.microsoft.com/office/drawing/2014/main" id="{07329FF0-AB41-C2F8-8BE0-5CD49787466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0500" y="1473473"/>
            <a:ext cx="144000" cy="144000"/>
          </a:xfrm>
          <a:prstGeom prst="rect">
            <a:avLst/>
          </a:prstGeom>
          <a:noFill/>
        </xdr:spPr>
      </xdr:pic>
      <xdr:sp macro="" textlink="">
        <xdr:nvSpPr>
          <xdr:cNvPr id="5" name="TextBox 34">
            <a:extLst>
              <a:ext uri="{FF2B5EF4-FFF2-40B4-BE49-F238E27FC236}">
                <a16:creationId xmlns:a16="http://schemas.microsoft.com/office/drawing/2014/main" id="{986B956F-6FE9-B607-6B8D-7E9F7237F06A}"/>
              </a:ext>
            </a:extLst>
          </xdr:cNvPr>
          <xdr:cNvSpPr txBox="1"/>
        </xdr:nvSpPr>
        <xdr:spPr>
          <a:xfrm>
            <a:off x="850594" y="1455268"/>
            <a:ext cx="845306" cy="26888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Partially meets</a:t>
            </a:r>
          </a:p>
        </xdr:txBody>
      </xdr:sp>
      <xdr:pic>
        <xdr:nvPicPr>
          <xdr:cNvPr id="6" name="Picture 35">
            <a:extLst>
              <a:ext uri="{FF2B5EF4-FFF2-40B4-BE49-F238E27FC236}">
                <a16:creationId xmlns:a16="http://schemas.microsoft.com/office/drawing/2014/main" id="{0124307C-68AC-6A87-DF26-6078B45F991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66228" y="1483702"/>
            <a:ext cx="144000" cy="144000"/>
          </a:xfrm>
          <a:prstGeom prst="rect">
            <a:avLst/>
          </a:prstGeom>
        </xdr:spPr>
      </xdr:pic>
      <xdr:sp macro="" textlink="">
        <xdr:nvSpPr>
          <xdr:cNvPr id="7" name="TextBox 36">
            <a:extLst>
              <a:ext uri="{FF2B5EF4-FFF2-40B4-BE49-F238E27FC236}">
                <a16:creationId xmlns:a16="http://schemas.microsoft.com/office/drawing/2014/main" id="{625869BB-E276-11D4-575F-13D04AA69BBF}"/>
              </a:ext>
            </a:extLst>
          </xdr:cNvPr>
          <xdr:cNvSpPr txBox="1"/>
        </xdr:nvSpPr>
        <xdr:spPr>
          <a:xfrm>
            <a:off x="1735184" y="1465853"/>
            <a:ext cx="783833" cy="19049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Does not meet</a:t>
            </a:r>
          </a:p>
        </xdr:txBody>
      </xdr:sp>
      <xdr:sp macro="" textlink="">
        <xdr:nvSpPr>
          <xdr:cNvPr id="8" name="TextBox 37">
            <a:extLst>
              <a:ext uri="{FF2B5EF4-FFF2-40B4-BE49-F238E27FC236}">
                <a16:creationId xmlns:a16="http://schemas.microsoft.com/office/drawing/2014/main" id="{50C7844A-50AB-D690-F250-EE100F7478A3}"/>
              </a:ext>
            </a:extLst>
          </xdr:cNvPr>
          <xdr:cNvSpPr txBox="1"/>
        </xdr:nvSpPr>
        <xdr:spPr>
          <a:xfrm>
            <a:off x="2642912" y="1476436"/>
            <a:ext cx="993009" cy="2188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Not applicable</a:t>
            </a:r>
          </a:p>
        </xdr:txBody>
      </xdr:sp>
      <xdr:pic>
        <xdr:nvPicPr>
          <xdr:cNvPr id="9" name="Picture 38">
            <a:extLst>
              <a:ext uri="{FF2B5EF4-FFF2-40B4-BE49-F238E27FC236}">
                <a16:creationId xmlns:a16="http://schemas.microsoft.com/office/drawing/2014/main" id="{A90ED65F-0E70-AC54-D8A0-67F58FF12EC5}"/>
              </a:ext>
            </a:extLst>
          </xdr:cNvPr>
          <xdr:cNvPicPr>
            <a:picLocks noChangeAspect="1"/>
          </xdr:cNvPicPr>
        </xdr:nvPicPr>
        <xdr:blipFill>
          <a:blip xmlns:r="http://schemas.openxmlformats.org/officeDocument/2006/relationships" r:embed="rId3"/>
          <a:stretch>
            <a:fillRect/>
          </a:stretch>
        </xdr:blipFill>
        <xdr:spPr>
          <a:xfrm>
            <a:off x="2494354" y="1437409"/>
            <a:ext cx="231805" cy="224988"/>
          </a:xfrm>
          <a:prstGeom prst="rect">
            <a:avLst/>
          </a:prstGeom>
        </xdr:spPr>
      </xdr:pic>
      <xdr:sp macro="" textlink="">
        <xdr:nvSpPr>
          <xdr:cNvPr id="10" name="Oval 39">
            <a:extLst>
              <a:ext uri="{FF2B5EF4-FFF2-40B4-BE49-F238E27FC236}">
                <a16:creationId xmlns:a16="http://schemas.microsoft.com/office/drawing/2014/main" id="{555ABEB3-D2B0-6406-BFDD-DD9D78147FCD}"/>
              </a:ext>
            </a:extLst>
          </xdr:cNvPr>
          <xdr:cNvSpPr/>
        </xdr:nvSpPr>
        <xdr:spPr>
          <a:xfrm>
            <a:off x="1643061" y="1490988"/>
            <a:ext cx="142881" cy="134540"/>
          </a:xfrm>
          <a:prstGeom prst="ellipse">
            <a:avLst/>
          </a:prstGeom>
          <a:noFill/>
          <a:ln w="12700" cap="flat" cmpd="sng" algn="ctr">
            <a:solidFill>
              <a:srgbClr val="4472C4">
                <a:lumMod val="60000"/>
                <a:lumOff val="4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0</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2</xdr:row>
      <xdr:rowOff>257175</xdr:rowOff>
    </xdr:from>
    <xdr:to>
      <xdr:col>2</xdr:col>
      <xdr:colOff>2445661</xdr:colOff>
      <xdr:row>2</xdr:row>
      <xdr:rowOff>585063</xdr:rowOff>
    </xdr:to>
    <xdr:grpSp>
      <xdr:nvGrpSpPr>
        <xdr:cNvPr id="20" name="Group 31">
          <a:extLst>
            <a:ext uri="{FF2B5EF4-FFF2-40B4-BE49-F238E27FC236}">
              <a16:creationId xmlns:a16="http://schemas.microsoft.com/office/drawing/2014/main" id="{0AC40DE0-AC54-4BF9-8EF0-059987BFF2A1}"/>
            </a:ext>
          </a:extLst>
        </xdr:cNvPr>
        <xdr:cNvGrpSpPr/>
      </xdr:nvGrpSpPr>
      <xdr:grpSpPr>
        <a:xfrm>
          <a:off x="57150" y="685800"/>
          <a:ext cx="3902986" cy="327888"/>
          <a:chOff x="190500" y="1437409"/>
          <a:chExt cx="3445421" cy="327888"/>
        </a:xfrm>
      </xdr:grpSpPr>
      <xdr:sp macro="" textlink="">
        <xdr:nvSpPr>
          <xdr:cNvPr id="21" name="TextBox 32">
            <a:extLst>
              <a:ext uri="{FF2B5EF4-FFF2-40B4-BE49-F238E27FC236}">
                <a16:creationId xmlns:a16="http://schemas.microsoft.com/office/drawing/2014/main" id="{A6ACD95D-1CE6-986F-8AA4-0BD4823EBF50}"/>
              </a:ext>
            </a:extLst>
          </xdr:cNvPr>
          <xdr:cNvSpPr txBox="1"/>
        </xdr:nvSpPr>
        <xdr:spPr>
          <a:xfrm>
            <a:off x="225840" y="1465852"/>
            <a:ext cx="796585" cy="29944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RT_Vickerman" panose="020B0503020103020204" pitchFamily="34" charset="0"/>
                <a:ea typeface="+mn-ea"/>
                <a:cs typeface="+mn-cs"/>
              </a:rPr>
              <a:t>  </a:t>
            </a: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Meets</a:t>
            </a:r>
          </a:p>
        </xdr:txBody>
      </xdr:sp>
      <xdr:pic>
        <xdr:nvPicPr>
          <xdr:cNvPr id="22" name="Picture 33">
            <a:extLst>
              <a:ext uri="{FF2B5EF4-FFF2-40B4-BE49-F238E27FC236}">
                <a16:creationId xmlns:a16="http://schemas.microsoft.com/office/drawing/2014/main" id="{131A844F-D988-C8DF-34C6-EDF7FB93E9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0500" y="1473473"/>
            <a:ext cx="144000" cy="144000"/>
          </a:xfrm>
          <a:prstGeom prst="rect">
            <a:avLst/>
          </a:prstGeom>
          <a:noFill/>
        </xdr:spPr>
      </xdr:pic>
      <xdr:sp macro="" textlink="">
        <xdr:nvSpPr>
          <xdr:cNvPr id="23" name="TextBox 34">
            <a:extLst>
              <a:ext uri="{FF2B5EF4-FFF2-40B4-BE49-F238E27FC236}">
                <a16:creationId xmlns:a16="http://schemas.microsoft.com/office/drawing/2014/main" id="{FC6BAC20-14F9-33CF-29A9-B1DDB9F6D3BF}"/>
              </a:ext>
            </a:extLst>
          </xdr:cNvPr>
          <xdr:cNvSpPr txBox="1"/>
        </xdr:nvSpPr>
        <xdr:spPr>
          <a:xfrm>
            <a:off x="850594" y="1455268"/>
            <a:ext cx="845306" cy="26888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Partially meets</a:t>
            </a:r>
          </a:p>
        </xdr:txBody>
      </xdr:sp>
      <xdr:pic>
        <xdr:nvPicPr>
          <xdr:cNvPr id="24" name="Picture 35">
            <a:extLst>
              <a:ext uri="{FF2B5EF4-FFF2-40B4-BE49-F238E27FC236}">
                <a16:creationId xmlns:a16="http://schemas.microsoft.com/office/drawing/2014/main" id="{C7BC68B1-8928-BD01-653A-109686E7584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66228" y="1483702"/>
            <a:ext cx="144000" cy="144000"/>
          </a:xfrm>
          <a:prstGeom prst="rect">
            <a:avLst/>
          </a:prstGeom>
        </xdr:spPr>
      </xdr:pic>
      <xdr:sp macro="" textlink="">
        <xdr:nvSpPr>
          <xdr:cNvPr id="25" name="TextBox 36">
            <a:extLst>
              <a:ext uri="{FF2B5EF4-FFF2-40B4-BE49-F238E27FC236}">
                <a16:creationId xmlns:a16="http://schemas.microsoft.com/office/drawing/2014/main" id="{EEF87250-DFB5-2BE3-DA0E-86BB0C41335A}"/>
              </a:ext>
            </a:extLst>
          </xdr:cNvPr>
          <xdr:cNvSpPr txBox="1"/>
        </xdr:nvSpPr>
        <xdr:spPr>
          <a:xfrm>
            <a:off x="1735184" y="1465853"/>
            <a:ext cx="783833" cy="19049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Does not meet</a:t>
            </a:r>
          </a:p>
        </xdr:txBody>
      </xdr:sp>
      <xdr:sp macro="" textlink="">
        <xdr:nvSpPr>
          <xdr:cNvPr id="26" name="TextBox 37">
            <a:extLst>
              <a:ext uri="{FF2B5EF4-FFF2-40B4-BE49-F238E27FC236}">
                <a16:creationId xmlns:a16="http://schemas.microsoft.com/office/drawing/2014/main" id="{7E288E77-1DE0-6D27-31A7-79D903186D59}"/>
              </a:ext>
            </a:extLst>
          </xdr:cNvPr>
          <xdr:cNvSpPr txBox="1"/>
        </xdr:nvSpPr>
        <xdr:spPr>
          <a:xfrm>
            <a:off x="2642912" y="1476436"/>
            <a:ext cx="993009" cy="2188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700" b="0" i="0" u="none" strike="noStrike" kern="0" cap="none" spc="0" normalizeH="0" baseline="0" noProof="0">
                <a:ln>
                  <a:noFill/>
                </a:ln>
                <a:solidFill>
                  <a:sysClr val="windowText" lastClr="000000"/>
                </a:solidFill>
                <a:effectLst/>
                <a:uLnTx/>
                <a:uFillTx/>
                <a:latin typeface="Calibri Light" panose="020F0302020204030204"/>
                <a:ea typeface="+mn-ea"/>
                <a:cs typeface="+mn-cs"/>
              </a:rPr>
              <a:t>Not applicable</a:t>
            </a:r>
          </a:p>
        </xdr:txBody>
      </xdr:sp>
      <xdr:pic>
        <xdr:nvPicPr>
          <xdr:cNvPr id="27" name="Picture 38">
            <a:extLst>
              <a:ext uri="{FF2B5EF4-FFF2-40B4-BE49-F238E27FC236}">
                <a16:creationId xmlns:a16="http://schemas.microsoft.com/office/drawing/2014/main" id="{49D5760D-FA01-306F-2718-C6959EAEFC55}"/>
              </a:ext>
            </a:extLst>
          </xdr:cNvPr>
          <xdr:cNvPicPr>
            <a:picLocks noChangeAspect="1"/>
          </xdr:cNvPicPr>
        </xdr:nvPicPr>
        <xdr:blipFill>
          <a:blip xmlns:r="http://schemas.openxmlformats.org/officeDocument/2006/relationships" r:embed="rId3"/>
          <a:stretch>
            <a:fillRect/>
          </a:stretch>
        </xdr:blipFill>
        <xdr:spPr>
          <a:xfrm>
            <a:off x="2494354" y="1437409"/>
            <a:ext cx="231805" cy="224988"/>
          </a:xfrm>
          <a:prstGeom prst="rect">
            <a:avLst/>
          </a:prstGeom>
        </xdr:spPr>
      </xdr:pic>
      <xdr:sp macro="" textlink="">
        <xdr:nvSpPr>
          <xdr:cNvPr id="28" name="Oval 39">
            <a:extLst>
              <a:ext uri="{FF2B5EF4-FFF2-40B4-BE49-F238E27FC236}">
                <a16:creationId xmlns:a16="http://schemas.microsoft.com/office/drawing/2014/main" id="{0FED9245-47B3-0BB9-98BB-382AD1EFF09C}"/>
              </a:ext>
            </a:extLst>
          </xdr:cNvPr>
          <xdr:cNvSpPr/>
        </xdr:nvSpPr>
        <xdr:spPr>
          <a:xfrm>
            <a:off x="1643061" y="1490988"/>
            <a:ext cx="142881" cy="134540"/>
          </a:xfrm>
          <a:prstGeom prst="ellipse">
            <a:avLst/>
          </a:prstGeom>
          <a:noFill/>
          <a:ln w="12700" cap="flat" cmpd="sng" algn="ctr">
            <a:solidFill>
              <a:srgbClr val="4472C4">
                <a:lumMod val="60000"/>
                <a:lumOff val="4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0</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www.glencore.com/sustainability/esg-a-z/safety"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A4E93-3A49-4EC9-8492-02EDF5C1E280}">
  <sheetPr>
    <tabColor rgb="FF0C3F6C"/>
  </sheetPr>
  <dimension ref="A1:M25"/>
  <sheetViews>
    <sheetView showGridLines="0" tabSelected="1" view="pageBreakPreview" zoomScaleNormal="115" zoomScaleSheetLayoutView="100" workbookViewId="0">
      <pane ySplit="2" topLeftCell="A3" activePane="bottomLeft" state="frozen"/>
      <selection activeCell="A6" sqref="A6:D6"/>
      <selection pane="bottomLeft" activeCell="F8" sqref="F8"/>
    </sheetView>
  </sheetViews>
  <sheetFormatPr defaultColWidth="9.140625" defaultRowHeight="15" x14ac:dyDescent="0.25"/>
  <cols>
    <col min="1" max="1" width="182" customWidth="1"/>
    <col min="2" max="2" width="9.140625" customWidth="1"/>
  </cols>
  <sheetData>
    <row r="1" spans="1:13" ht="23.25" customHeight="1" x14ac:dyDescent="0.25">
      <c r="A1" s="1" t="s">
        <v>0</v>
      </c>
    </row>
    <row r="2" spans="1:13" ht="18.75" x14ac:dyDescent="0.25">
      <c r="A2" s="1"/>
    </row>
    <row r="3" spans="1:13" ht="36.75" customHeight="1" x14ac:dyDescent="0.25">
      <c r="A3" s="2" t="s">
        <v>1</v>
      </c>
    </row>
    <row r="5" spans="1:13" ht="15" customHeight="1" x14ac:dyDescent="0.25">
      <c r="A5" s="3" t="s">
        <v>2</v>
      </c>
      <c r="H5" s="3"/>
      <c r="I5" s="4"/>
    </row>
    <row r="6" spans="1:13" ht="66.75" customHeight="1" x14ac:dyDescent="0.25">
      <c r="A6" s="2" t="s">
        <v>1242</v>
      </c>
      <c r="H6" s="3"/>
      <c r="I6" s="4"/>
    </row>
    <row r="7" spans="1:13" ht="65.25" customHeight="1" x14ac:dyDescent="0.25">
      <c r="A7" s="2" t="s">
        <v>1243</v>
      </c>
      <c r="B7" s="2"/>
      <c r="C7" s="2"/>
      <c r="D7" s="2"/>
      <c r="E7" s="2"/>
      <c r="F7" s="2"/>
      <c r="G7" s="2"/>
      <c r="H7" s="2"/>
      <c r="I7" s="2"/>
      <c r="J7" s="2"/>
      <c r="K7" s="2"/>
      <c r="L7" s="2"/>
      <c r="M7" s="2"/>
    </row>
    <row r="8" spans="1:13" ht="169.5" customHeight="1" x14ac:dyDescent="0.25">
      <c r="A8" s="2" t="s">
        <v>3</v>
      </c>
      <c r="B8" s="2"/>
      <c r="C8" s="2"/>
      <c r="D8" s="2"/>
      <c r="E8" s="544"/>
      <c r="F8" s="2"/>
      <c r="G8" s="2"/>
      <c r="H8" s="2"/>
      <c r="I8" s="2"/>
      <c r="J8" s="2"/>
      <c r="K8" s="2"/>
      <c r="L8" s="2"/>
      <c r="M8" s="2"/>
    </row>
    <row r="9" spans="1:13" ht="16.5" customHeight="1" x14ac:dyDescent="0.25">
      <c r="A9" s="2"/>
      <c r="B9" s="2"/>
      <c r="C9" s="2"/>
      <c r="D9" s="2"/>
      <c r="E9" s="2"/>
      <c r="F9" s="2"/>
      <c r="G9" s="2"/>
      <c r="H9" s="2"/>
      <c r="I9" s="2"/>
      <c r="J9" s="2"/>
      <c r="K9" s="2"/>
      <c r="L9" s="2"/>
      <c r="M9" s="2"/>
    </row>
    <row r="10" spans="1:13" x14ac:dyDescent="0.25">
      <c r="A10" t="s">
        <v>4</v>
      </c>
      <c r="H10" s="3"/>
      <c r="I10" s="4"/>
    </row>
    <row r="11" spans="1:13" x14ac:dyDescent="0.25">
      <c r="A11" t="s">
        <v>5</v>
      </c>
      <c r="H11" s="3"/>
      <c r="I11" s="4"/>
    </row>
    <row r="12" spans="1:13" x14ac:dyDescent="0.25">
      <c r="A12" t="s">
        <v>6</v>
      </c>
      <c r="H12" s="3"/>
      <c r="I12" s="4"/>
    </row>
    <row r="13" spans="1:13" x14ac:dyDescent="0.25">
      <c r="A13" t="s">
        <v>7</v>
      </c>
      <c r="H13" s="3"/>
      <c r="I13" s="4"/>
    </row>
    <row r="14" spans="1:13" x14ac:dyDescent="0.25">
      <c r="A14" s="5" t="s">
        <v>8</v>
      </c>
      <c r="H14" s="3"/>
      <c r="I14" s="4"/>
    </row>
    <row r="15" spans="1:13" x14ac:dyDescent="0.25">
      <c r="A15" t="s">
        <v>9</v>
      </c>
      <c r="H15" s="3"/>
      <c r="I15" s="4"/>
    </row>
    <row r="16" spans="1:13" x14ac:dyDescent="0.25">
      <c r="A16" t="s">
        <v>1244</v>
      </c>
      <c r="H16" s="3"/>
      <c r="I16" s="4"/>
    </row>
    <row r="18" spans="1:1" x14ac:dyDescent="0.25">
      <c r="A18" s="3" t="s">
        <v>10</v>
      </c>
    </row>
    <row r="19" spans="1:1" x14ac:dyDescent="0.25">
      <c r="A19" s="6" t="s">
        <v>1246</v>
      </c>
    </row>
    <row r="25" spans="1:1" x14ac:dyDescent="0.25">
      <c r="A25" s="7"/>
    </row>
  </sheetData>
  <printOptions horizontalCentered="1"/>
  <pageMargins left="0.23622047244094491" right="0.23622047244094491" top="0.74803149606299213" bottom="0.74803149606299213" header="0.31496062992125984" footer="0.31496062992125984"/>
  <pageSetup paperSize="9" orientation="landscape" r:id="rId1"/>
  <headerFooter>
    <oddHeader>&amp;L&amp;G</oddHeader>
    <oddFooter>&amp;C&amp;P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F8B2-58DA-43E7-8071-4379A9DF845A}">
  <sheetPr>
    <tabColor rgb="FF0C3F6C"/>
    <outlinePr summaryBelow="0"/>
    <pageSetUpPr fitToPage="1"/>
  </sheetPr>
  <dimension ref="A1:O404"/>
  <sheetViews>
    <sheetView showGridLines="0" view="pageBreakPreview" zoomScaleNormal="100" zoomScaleSheetLayoutView="100" workbookViewId="0">
      <pane xSplit="1" ySplit="7" topLeftCell="B8" activePane="bottomRight" state="frozen"/>
      <selection activeCell="A6" sqref="A6:D6"/>
      <selection pane="topRight" activeCell="A6" sqref="A6:D6"/>
      <selection pane="bottomLeft" activeCell="A6" sqref="A6:D6"/>
      <selection pane="bottomRight" activeCell="P1" sqref="P1"/>
    </sheetView>
  </sheetViews>
  <sheetFormatPr defaultColWidth="8.85546875" defaultRowHeight="15" outlineLevelRow="1" x14ac:dyDescent="0.25"/>
  <cols>
    <col min="1" max="1" width="2.85546875" customWidth="1"/>
    <col min="2" max="2" width="14.42578125" customWidth="1"/>
    <col min="3" max="3" width="16" customWidth="1"/>
    <col min="4" max="4" width="25.42578125" customWidth="1"/>
    <col min="5" max="5" width="36.42578125" customWidth="1"/>
    <col min="6" max="6" width="17.140625" customWidth="1"/>
    <col min="7" max="7" width="2.140625" customWidth="1"/>
    <col min="8" max="8" width="17.140625" customWidth="1"/>
    <col min="9" max="9" width="2.140625" customWidth="1"/>
    <col min="10" max="10" width="19.28515625" customWidth="1"/>
    <col min="11" max="11" width="2.140625" customWidth="1"/>
    <col min="12" max="13" width="10.85546875" customWidth="1"/>
    <col min="14" max="14" width="26.42578125" customWidth="1"/>
    <col min="15" max="15" width="56.85546875" customWidth="1"/>
    <col min="16" max="16" width="12.7109375" customWidth="1"/>
    <col min="17" max="18" width="47.140625" customWidth="1"/>
    <col min="19" max="19" width="14.42578125" customWidth="1"/>
    <col min="20" max="20" width="16" customWidth="1"/>
    <col min="21" max="21" width="24.42578125" customWidth="1"/>
    <col min="22" max="22" width="47.7109375" customWidth="1"/>
    <col min="23" max="23" width="36.42578125" customWidth="1"/>
    <col min="24" max="25" width="17.140625" customWidth="1"/>
    <col min="26" max="26" width="19.28515625" customWidth="1"/>
    <col min="27" max="27" width="2.140625" customWidth="1"/>
    <col min="28" max="29" width="10.85546875" customWidth="1"/>
    <col min="30" max="30" width="26.42578125" customWidth="1"/>
    <col min="31" max="31" width="57" customWidth="1"/>
    <col min="33" max="33" width="23.42578125" customWidth="1"/>
    <col min="34" max="34" width="20.42578125" customWidth="1"/>
    <col min="35" max="35" width="24" customWidth="1"/>
    <col min="36" max="36" width="20.85546875" customWidth="1"/>
  </cols>
  <sheetData>
    <row r="1" spans="1:15" ht="18.75" x14ac:dyDescent="0.25">
      <c r="A1" s="8"/>
      <c r="B1" s="9" t="s">
        <v>11</v>
      </c>
      <c r="C1" s="10"/>
      <c r="D1" s="11"/>
      <c r="E1" s="11"/>
      <c r="F1" s="12"/>
      <c r="G1" s="13"/>
      <c r="H1" s="12"/>
      <c r="I1" s="13"/>
      <c r="J1" s="14"/>
      <c r="K1" s="13"/>
      <c r="M1" s="15"/>
      <c r="N1" s="16"/>
      <c r="O1" s="14"/>
    </row>
    <row r="2" spans="1:15" ht="18.75" x14ac:dyDescent="0.25">
      <c r="A2" s="8"/>
      <c r="B2" s="9"/>
      <c r="C2" s="10"/>
      <c r="D2" s="11"/>
      <c r="E2" s="11"/>
      <c r="F2" s="19"/>
      <c r="G2" s="20"/>
      <c r="H2" s="12"/>
      <c r="I2" s="13"/>
      <c r="J2" s="14"/>
      <c r="K2" s="13"/>
      <c r="L2" s="12"/>
      <c r="M2" s="15"/>
      <c r="N2" s="16"/>
      <c r="O2" s="17"/>
    </row>
    <row r="3" spans="1:15" ht="18.75" x14ac:dyDescent="0.25">
      <c r="A3" s="8"/>
      <c r="B3" s="9" t="s">
        <v>12</v>
      </c>
      <c r="C3" s="10"/>
      <c r="D3" s="11"/>
      <c r="E3" s="11"/>
      <c r="F3" s="12"/>
      <c r="G3" s="13"/>
      <c r="H3" s="12"/>
      <c r="I3" s="13"/>
      <c r="J3" s="14"/>
      <c r="K3" s="13"/>
      <c r="L3" s="12"/>
      <c r="M3" s="15"/>
      <c r="N3" s="16"/>
      <c r="O3" s="17"/>
    </row>
    <row r="4" spans="1:15" x14ac:dyDescent="0.25">
      <c r="A4" s="8"/>
      <c r="B4" s="556" t="s">
        <v>13</v>
      </c>
      <c r="C4" s="556"/>
      <c r="D4" s="557" t="s">
        <v>14</v>
      </c>
      <c r="E4" s="557"/>
      <c r="F4" s="557"/>
      <c r="G4" s="557"/>
      <c r="H4" s="557"/>
      <c r="I4" s="557"/>
      <c r="J4" s="558"/>
      <c r="K4" s="557"/>
      <c r="L4" s="557"/>
      <c r="M4" s="557"/>
      <c r="N4" s="557"/>
      <c r="O4" s="557"/>
    </row>
    <row r="5" spans="1:15" x14ac:dyDescent="0.25">
      <c r="A5" s="8"/>
      <c r="B5" s="556" t="s">
        <v>15</v>
      </c>
      <c r="C5" s="556"/>
      <c r="D5" s="557" t="s">
        <v>16</v>
      </c>
      <c r="E5" s="557"/>
      <c r="F5" s="557"/>
      <c r="G5" s="557"/>
      <c r="H5" s="557"/>
      <c r="I5" s="557"/>
      <c r="J5" s="558"/>
      <c r="K5" s="557"/>
      <c r="L5" s="557"/>
      <c r="M5" s="557"/>
      <c r="N5" s="557"/>
      <c r="O5" s="557"/>
    </row>
    <row r="6" spans="1:15" ht="34.5" customHeight="1" x14ac:dyDescent="0.25">
      <c r="A6" s="8"/>
      <c r="B6" s="550"/>
      <c r="C6" s="550"/>
      <c r="D6" s="551" t="s">
        <v>17</v>
      </c>
      <c r="E6" s="551"/>
      <c r="F6" s="551"/>
      <c r="G6" s="551"/>
      <c r="H6" s="551"/>
      <c r="I6" s="551"/>
      <c r="J6" s="552"/>
      <c r="K6" s="551"/>
      <c r="L6" s="551"/>
      <c r="M6" s="551"/>
      <c r="N6" s="551"/>
      <c r="O6" s="551"/>
    </row>
    <row r="7" spans="1:15" ht="40.5" customHeight="1" x14ac:dyDescent="0.25">
      <c r="A7" s="540"/>
      <c r="B7" s="22" t="s">
        <v>18</v>
      </c>
      <c r="C7" s="23" t="s">
        <v>19</v>
      </c>
      <c r="D7" s="24" t="s">
        <v>20</v>
      </c>
      <c r="E7" s="25" t="s">
        <v>21</v>
      </c>
      <c r="F7" s="553">
        <v>2021</v>
      </c>
      <c r="G7" s="554"/>
      <c r="H7" s="553">
        <v>2022</v>
      </c>
      <c r="I7" s="554"/>
      <c r="J7" s="553">
        <v>2023</v>
      </c>
      <c r="K7" s="555"/>
      <c r="L7" s="26" t="s">
        <v>22</v>
      </c>
      <c r="M7" s="27" t="s">
        <v>23</v>
      </c>
      <c r="N7" s="23" t="s">
        <v>24</v>
      </c>
      <c r="O7" s="28" t="s">
        <v>25</v>
      </c>
    </row>
    <row r="8" spans="1:15" ht="15.75" customHeight="1" x14ac:dyDescent="0.25">
      <c r="A8" s="540"/>
      <c r="B8" s="30" t="s">
        <v>26</v>
      </c>
      <c r="C8" s="31"/>
      <c r="D8" s="31"/>
      <c r="E8" s="31"/>
      <c r="F8" s="31"/>
      <c r="G8" s="32"/>
      <c r="H8" s="31"/>
      <c r="I8" s="32"/>
      <c r="J8" s="31"/>
      <c r="K8" s="32"/>
      <c r="L8" s="32"/>
      <c r="M8" s="32"/>
      <c r="N8" s="32"/>
      <c r="O8" s="33"/>
    </row>
    <row r="9" spans="1:15" ht="355.5" customHeight="1" outlineLevel="1" x14ac:dyDescent="0.25">
      <c r="A9" s="540"/>
      <c r="B9" s="34" t="s">
        <v>27</v>
      </c>
      <c r="C9" s="35" t="s">
        <v>28</v>
      </c>
      <c r="D9" s="35" t="s">
        <v>29</v>
      </c>
      <c r="E9" s="36" t="s">
        <v>30</v>
      </c>
      <c r="F9" s="37"/>
      <c r="G9" s="38"/>
      <c r="H9" s="37"/>
      <c r="I9" s="38"/>
      <c r="J9" s="39"/>
      <c r="K9" s="40"/>
      <c r="L9" s="41"/>
      <c r="M9" s="41"/>
      <c r="N9" s="41"/>
      <c r="O9" s="34"/>
    </row>
    <row r="10" spans="1:15" ht="153.75" customHeight="1" outlineLevel="1" x14ac:dyDescent="0.25">
      <c r="A10" s="540"/>
      <c r="B10" s="34" t="s">
        <v>27</v>
      </c>
      <c r="C10" s="35" t="s">
        <v>31</v>
      </c>
      <c r="D10" s="42" t="s">
        <v>32</v>
      </c>
      <c r="E10" s="36" t="s">
        <v>33</v>
      </c>
      <c r="F10" s="37"/>
      <c r="G10" s="38"/>
      <c r="H10" s="37"/>
      <c r="I10" s="38"/>
      <c r="J10" s="39"/>
      <c r="K10" s="40"/>
      <c r="L10" s="41"/>
      <c r="M10" s="41"/>
      <c r="N10" s="41"/>
      <c r="O10" s="44"/>
    </row>
    <row r="11" spans="1:15" ht="123" customHeight="1" outlineLevel="1" x14ac:dyDescent="0.25">
      <c r="A11" s="540"/>
      <c r="B11" s="34" t="s">
        <v>27</v>
      </c>
      <c r="C11" s="35" t="s">
        <v>34</v>
      </c>
      <c r="D11" s="42" t="s">
        <v>35</v>
      </c>
      <c r="E11" s="36" t="s">
        <v>1245</v>
      </c>
      <c r="F11" s="37"/>
      <c r="G11" s="38"/>
      <c r="H11" s="37"/>
      <c r="I11" s="38"/>
      <c r="J11" s="39"/>
      <c r="K11" s="40"/>
      <c r="L11" s="41"/>
      <c r="M11" s="41"/>
      <c r="N11" s="41"/>
      <c r="O11" s="34"/>
    </row>
    <row r="12" spans="1:15" ht="110.25" customHeight="1" outlineLevel="1" x14ac:dyDescent="0.25">
      <c r="A12" s="540"/>
      <c r="B12" s="34" t="s">
        <v>27</v>
      </c>
      <c r="C12" s="35" t="s">
        <v>36</v>
      </c>
      <c r="D12" s="42" t="s">
        <v>37</v>
      </c>
      <c r="E12" s="36" t="s">
        <v>38</v>
      </c>
      <c r="F12" s="37"/>
      <c r="G12" s="38"/>
      <c r="H12" s="37"/>
      <c r="I12" s="38"/>
      <c r="J12" s="39"/>
      <c r="K12" s="40"/>
      <c r="L12" s="41"/>
      <c r="M12" s="41"/>
      <c r="N12" s="41"/>
      <c r="O12" s="44" t="s">
        <v>39</v>
      </c>
    </row>
    <row r="13" spans="1:15" ht="85.5" customHeight="1" outlineLevel="1" x14ac:dyDescent="0.25">
      <c r="A13" s="540"/>
      <c r="B13" s="34" t="s">
        <v>27</v>
      </c>
      <c r="C13" s="35" t="s">
        <v>40</v>
      </c>
      <c r="D13" s="42" t="s">
        <v>41</v>
      </c>
      <c r="E13" s="36" t="s">
        <v>1232</v>
      </c>
      <c r="F13" s="37"/>
      <c r="G13" s="38"/>
      <c r="H13" s="37"/>
      <c r="I13" s="38"/>
      <c r="J13" s="39"/>
      <c r="K13" s="40"/>
      <c r="L13" s="41"/>
      <c r="M13" s="41"/>
      <c r="N13" s="41"/>
      <c r="O13" s="34"/>
    </row>
    <row r="14" spans="1:15" ht="202.5" customHeight="1" outlineLevel="1" x14ac:dyDescent="0.25">
      <c r="A14" s="540"/>
      <c r="B14" s="34" t="s">
        <v>27</v>
      </c>
      <c r="C14" s="35" t="s">
        <v>42</v>
      </c>
      <c r="D14" s="42" t="s">
        <v>43</v>
      </c>
      <c r="E14" s="36" t="s">
        <v>44</v>
      </c>
      <c r="F14" s="37"/>
      <c r="G14" s="38"/>
      <c r="H14" s="37"/>
      <c r="I14" s="38"/>
      <c r="J14" s="39"/>
      <c r="K14" s="40"/>
      <c r="L14" s="41"/>
      <c r="M14" s="41"/>
      <c r="N14" s="41" t="s">
        <v>45</v>
      </c>
      <c r="O14" s="44" t="s">
        <v>46</v>
      </c>
    </row>
    <row r="15" spans="1:15" ht="114" customHeight="1" outlineLevel="1" x14ac:dyDescent="0.25">
      <c r="A15" s="540"/>
      <c r="B15" s="34" t="s">
        <v>27</v>
      </c>
      <c r="C15" s="46" t="s">
        <v>47</v>
      </c>
      <c r="D15" s="42" t="s">
        <v>48</v>
      </c>
      <c r="E15" s="36" t="s">
        <v>49</v>
      </c>
      <c r="F15" s="37"/>
      <c r="G15" s="38"/>
      <c r="H15" s="37"/>
      <c r="I15" s="38"/>
      <c r="J15" s="39"/>
      <c r="K15" s="40"/>
      <c r="L15" s="41"/>
      <c r="M15" s="41"/>
      <c r="N15" s="560" t="s">
        <v>50</v>
      </c>
      <c r="O15" s="559" t="s">
        <v>51</v>
      </c>
    </row>
    <row r="16" spans="1:15" ht="213.75" customHeight="1" outlineLevel="1" x14ac:dyDescent="0.25">
      <c r="A16" s="540"/>
      <c r="B16" s="34" t="s">
        <v>27</v>
      </c>
      <c r="C16" s="35" t="s">
        <v>52</v>
      </c>
      <c r="D16" s="42" t="s">
        <v>53</v>
      </c>
      <c r="E16" s="36" t="s">
        <v>49</v>
      </c>
      <c r="F16" s="37"/>
      <c r="G16" s="38"/>
      <c r="H16" s="37"/>
      <c r="I16" s="38"/>
      <c r="J16" s="39"/>
      <c r="K16" s="40"/>
      <c r="L16" s="41"/>
      <c r="M16" s="41"/>
      <c r="N16" s="563"/>
      <c r="O16" s="564"/>
    </row>
    <row r="17" spans="1:15" ht="126" customHeight="1" outlineLevel="1" x14ac:dyDescent="0.25">
      <c r="A17" s="540"/>
      <c r="B17" s="34" t="s">
        <v>27</v>
      </c>
      <c r="C17" s="35" t="s">
        <v>54</v>
      </c>
      <c r="D17" s="42" t="s">
        <v>55</v>
      </c>
      <c r="E17" s="50" t="s">
        <v>56</v>
      </c>
      <c r="F17" s="37"/>
      <c r="G17" s="38"/>
      <c r="H17" s="37"/>
      <c r="I17" s="38"/>
      <c r="J17" s="39"/>
      <c r="K17" s="40"/>
      <c r="L17" s="41"/>
      <c r="M17" s="41"/>
      <c r="N17" s="41"/>
      <c r="O17" s="34"/>
    </row>
    <row r="18" spans="1:15" ht="51.75" customHeight="1" outlineLevel="1" x14ac:dyDescent="0.25">
      <c r="A18" s="540"/>
      <c r="B18" s="34" t="s">
        <v>27</v>
      </c>
      <c r="C18" s="35" t="s">
        <v>57</v>
      </c>
      <c r="D18" s="42" t="s">
        <v>58</v>
      </c>
      <c r="E18" s="36" t="s">
        <v>59</v>
      </c>
      <c r="F18" s="37"/>
      <c r="G18" s="38"/>
      <c r="H18" s="37"/>
      <c r="I18" s="38"/>
      <c r="J18" s="39"/>
      <c r="K18" s="40"/>
      <c r="L18" s="41"/>
      <c r="M18" s="41"/>
      <c r="N18" s="41"/>
      <c r="O18" s="34"/>
    </row>
    <row r="19" spans="1:15" ht="54" customHeight="1" outlineLevel="1" x14ac:dyDescent="0.25">
      <c r="A19" s="540"/>
      <c r="B19" s="34" t="s">
        <v>27</v>
      </c>
      <c r="C19" s="35" t="s">
        <v>60</v>
      </c>
      <c r="D19" s="42" t="s">
        <v>61</v>
      </c>
      <c r="E19" s="36" t="s">
        <v>59</v>
      </c>
      <c r="F19" s="37"/>
      <c r="G19" s="38"/>
      <c r="H19" s="37"/>
      <c r="I19" s="38"/>
      <c r="J19" s="39"/>
      <c r="K19" s="40"/>
      <c r="L19" s="41"/>
      <c r="M19" s="41"/>
      <c r="N19" s="41"/>
      <c r="O19" s="34"/>
    </row>
    <row r="20" spans="1:15" ht="204.75" customHeight="1" outlineLevel="1" x14ac:dyDescent="0.25">
      <c r="A20" s="540"/>
      <c r="B20" s="34" t="s">
        <v>27</v>
      </c>
      <c r="C20" s="35" t="s">
        <v>62</v>
      </c>
      <c r="D20" s="42" t="s">
        <v>63</v>
      </c>
      <c r="E20" s="36" t="s">
        <v>64</v>
      </c>
      <c r="F20" s="37"/>
      <c r="G20" s="38"/>
      <c r="H20" s="37"/>
      <c r="I20" s="38"/>
      <c r="J20" s="39"/>
      <c r="K20" s="40"/>
      <c r="L20" s="41"/>
      <c r="M20" s="41"/>
      <c r="N20" s="41"/>
      <c r="O20" s="34"/>
    </row>
    <row r="21" spans="1:15" ht="174" customHeight="1" outlineLevel="1" x14ac:dyDescent="0.25">
      <c r="A21" s="540"/>
      <c r="B21" s="34" t="s">
        <v>27</v>
      </c>
      <c r="C21" s="35" t="s">
        <v>65</v>
      </c>
      <c r="D21" s="42" t="s">
        <v>66</v>
      </c>
      <c r="E21" s="36" t="s">
        <v>67</v>
      </c>
      <c r="F21" s="37"/>
      <c r="G21" s="38"/>
      <c r="H21" s="37"/>
      <c r="I21" s="38"/>
      <c r="J21" s="39"/>
      <c r="K21" s="40"/>
      <c r="L21" s="41"/>
      <c r="M21" s="41"/>
      <c r="N21" s="41"/>
      <c r="O21" s="34"/>
    </row>
    <row r="22" spans="1:15" ht="189.75" customHeight="1" outlineLevel="1" x14ac:dyDescent="0.25">
      <c r="A22" s="540"/>
      <c r="B22" s="34" t="s">
        <v>27</v>
      </c>
      <c r="C22" s="35" t="s">
        <v>68</v>
      </c>
      <c r="D22" s="42" t="s">
        <v>69</v>
      </c>
      <c r="E22" s="50" t="s">
        <v>70</v>
      </c>
      <c r="F22" s="37"/>
      <c r="G22" s="38"/>
      <c r="H22" s="37"/>
      <c r="I22" s="38"/>
      <c r="J22" s="39"/>
      <c r="K22" s="40"/>
      <c r="L22" s="41"/>
      <c r="M22" s="41"/>
      <c r="N22" s="41"/>
      <c r="O22" s="34"/>
    </row>
    <row r="23" spans="1:15" ht="131.25" customHeight="1" outlineLevel="1" x14ac:dyDescent="0.25">
      <c r="A23" s="540"/>
      <c r="B23" s="34" t="s">
        <v>27</v>
      </c>
      <c r="C23" s="35" t="s">
        <v>71</v>
      </c>
      <c r="D23" s="42" t="s">
        <v>72</v>
      </c>
      <c r="E23" s="36" t="s">
        <v>73</v>
      </c>
      <c r="F23" s="37"/>
      <c r="G23" s="38"/>
      <c r="H23" s="37"/>
      <c r="I23" s="38"/>
      <c r="J23" s="39"/>
      <c r="K23" s="40"/>
      <c r="L23" s="41"/>
      <c r="M23" s="41"/>
      <c r="N23" s="41"/>
      <c r="O23" s="34"/>
    </row>
    <row r="24" spans="1:15" ht="201.75" customHeight="1" outlineLevel="1" x14ac:dyDescent="0.25">
      <c r="A24" s="540"/>
      <c r="B24" s="34" t="s">
        <v>27</v>
      </c>
      <c r="C24" s="35" t="s">
        <v>74</v>
      </c>
      <c r="D24" s="42" t="s">
        <v>75</v>
      </c>
      <c r="E24" s="36" t="s">
        <v>76</v>
      </c>
      <c r="F24" s="37"/>
      <c r="G24" s="38"/>
      <c r="H24" s="37"/>
      <c r="I24" s="38"/>
      <c r="J24" s="39"/>
      <c r="K24" s="40"/>
      <c r="L24" s="41"/>
      <c r="M24" s="41"/>
      <c r="N24" s="49"/>
      <c r="O24" s="51" t="s">
        <v>77</v>
      </c>
    </row>
    <row r="25" spans="1:15" ht="79.5" customHeight="1" outlineLevel="1" x14ac:dyDescent="0.25">
      <c r="A25" s="540"/>
      <c r="B25" s="34" t="s">
        <v>27</v>
      </c>
      <c r="C25" s="35" t="s">
        <v>78</v>
      </c>
      <c r="D25" s="42" t="s">
        <v>79</v>
      </c>
      <c r="E25" s="36" t="s">
        <v>80</v>
      </c>
      <c r="F25" s="37"/>
      <c r="G25" s="38"/>
      <c r="H25" s="37"/>
      <c r="I25" s="38"/>
      <c r="J25" s="39"/>
      <c r="K25" s="40"/>
      <c r="L25" s="41"/>
      <c r="M25" s="41"/>
      <c r="N25" s="49"/>
      <c r="O25" s="51"/>
    </row>
    <row r="26" spans="1:15" ht="54" customHeight="1" outlineLevel="1" x14ac:dyDescent="0.25">
      <c r="A26" s="540"/>
      <c r="B26" s="34" t="s">
        <v>27</v>
      </c>
      <c r="C26" s="35" t="s">
        <v>81</v>
      </c>
      <c r="D26" s="42" t="s">
        <v>82</v>
      </c>
      <c r="E26" s="36" t="s">
        <v>83</v>
      </c>
      <c r="F26" s="37"/>
      <c r="G26" s="38"/>
      <c r="H26" s="37"/>
      <c r="I26" s="38"/>
      <c r="J26" s="39"/>
      <c r="K26" s="40"/>
      <c r="L26" s="41"/>
      <c r="M26" s="41"/>
      <c r="N26" s="41"/>
      <c r="O26" s="34"/>
    </row>
    <row r="27" spans="1:15" ht="57.75" customHeight="1" outlineLevel="1" x14ac:dyDescent="0.25">
      <c r="A27" s="540"/>
      <c r="B27" s="34" t="s">
        <v>27</v>
      </c>
      <c r="C27" s="35" t="s">
        <v>84</v>
      </c>
      <c r="D27" s="42" t="s">
        <v>85</v>
      </c>
      <c r="E27" s="36" t="s">
        <v>86</v>
      </c>
      <c r="F27" s="37"/>
      <c r="G27" s="38"/>
      <c r="H27" s="37"/>
      <c r="I27" s="38"/>
      <c r="J27" s="39"/>
      <c r="K27" s="40"/>
      <c r="L27" s="41"/>
      <c r="M27" s="41"/>
      <c r="N27" s="41"/>
      <c r="O27" s="34"/>
    </row>
    <row r="28" spans="1:15" ht="54" customHeight="1" outlineLevel="1" x14ac:dyDescent="0.25">
      <c r="A28" s="540"/>
      <c r="B28" s="34" t="s">
        <v>27</v>
      </c>
      <c r="C28" s="35" t="s">
        <v>87</v>
      </c>
      <c r="D28" s="42" t="s">
        <v>88</v>
      </c>
      <c r="E28" s="36" t="s">
        <v>86</v>
      </c>
      <c r="F28" s="37"/>
      <c r="G28" s="38"/>
      <c r="H28" s="37"/>
      <c r="I28" s="38"/>
      <c r="J28" s="39"/>
      <c r="K28" s="40"/>
      <c r="L28" s="41"/>
      <c r="M28" s="41"/>
      <c r="N28" s="41"/>
      <c r="O28" s="34"/>
    </row>
    <row r="29" spans="1:15" ht="67.5" customHeight="1" outlineLevel="1" x14ac:dyDescent="0.25">
      <c r="A29" s="540"/>
      <c r="B29" s="34" t="s">
        <v>27</v>
      </c>
      <c r="C29" s="35" t="s">
        <v>89</v>
      </c>
      <c r="D29" s="42" t="s">
        <v>90</v>
      </c>
      <c r="E29" s="36" t="s">
        <v>86</v>
      </c>
      <c r="F29" s="37"/>
      <c r="G29" s="38"/>
      <c r="H29" s="37"/>
      <c r="I29" s="38"/>
      <c r="J29" s="39"/>
      <c r="K29" s="40"/>
      <c r="L29" s="41"/>
      <c r="M29" s="41"/>
      <c r="N29" s="41"/>
      <c r="O29" s="34" t="s">
        <v>91</v>
      </c>
    </row>
    <row r="30" spans="1:15" ht="54" customHeight="1" outlineLevel="1" x14ac:dyDescent="0.25">
      <c r="A30" s="540"/>
      <c r="B30" s="34" t="s">
        <v>27</v>
      </c>
      <c r="C30" s="35" t="s">
        <v>92</v>
      </c>
      <c r="D30" s="42" t="s">
        <v>93</v>
      </c>
      <c r="E30" s="36" t="s">
        <v>94</v>
      </c>
      <c r="F30" s="37"/>
      <c r="G30" s="38"/>
      <c r="H30" s="37"/>
      <c r="I30" s="38"/>
      <c r="J30" s="39"/>
      <c r="K30" s="40"/>
      <c r="L30" s="41"/>
      <c r="M30" s="41"/>
      <c r="N30" s="41"/>
      <c r="O30" s="34"/>
    </row>
    <row r="31" spans="1:15" ht="137.25" customHeight="1" outlineLevel="1" x14ac:dyDescent="0.25">
      <c r="A31" s="540"/>
      <c r="B31" s="34" t="s">
        <v>27</v>
      </c>
      <c r="C31" s="35" t="s">
        <v>95</v>
      </c>
      <c r="D31" s="42" t="s">
        <v>96</v>
      </c>
      <c r="E31" s="52" t="s">
        <v>97</v>
      </c>
      <c r="F31" s="37"/>
      <c r="G31" s="38"/>
      <c r="H31" s="37"/>
      <c r="I31" s="38"/>
      <c r="J31" s="39"/>
      <c r="K31" s="40"/>
      <c r="L31" s="41"/>
      <c r="M31" s="41"/>
      <c r="N31" s="41" t="s">
        <v>98</v>
      </c>
      <c r="O31" s="34"/>
    </row>
    <row r="32" spans="1:15" ht="141" customHeight="1" outlineLevel="1" x14ac:dyDescent="0.25">
      <c r="A32" s="540"/>
      <c r="B32" s="34" t="s">
        <v>27</v>
      </c>
      <c r="C32" s="35" t="s">
        <v>99</v>
      </c>
      <c r="D32" s="42" t="s">
        <v>100</v>
      </c>
      <c r="E32" s="52" t="s">
        <v>101</v>
      </c>
      <c r="F32" s="37"/>
      <c r="G32" s="38"/>
      <c r="H32" s="37"/>
      <c r="I32" s="38"/>
      <c r="J32" s="39"/>
      <c r="K32" s="40"/>
      <c r="L32" s="41"/>
      <c r="M32" s="41"/>
      <c r="N32" s="41"/>
      <c r="O32" s="34"/>
    </row>
    <row r="33" spans="1:15" ht="230.25" customHeight="1" outlineLevel="1" x14ac:dyDescent="0.25">
      <c r="A33" s="540"/>
      <c r="B33" s="34" t="s">
        <v>27</v>
      </c>
      <c r="C33" s="35" t="s">
        <v>102</v>
      </c>
      <c r="D33" s="42" t="s">
        <v>103</v>
      </c>
      <c r="E33" s="36" t="s">
        <v>104</v>
      </c>
      <c r="F33" s="37"/>
      <c r="G33" s="38"/>
      <c r="H33" s="37"/>
      <c r="I33" s="38"/>
      <c r="J33" s="39"/>
      <c r="K33" s="40"/>
      <c r="L33" s="41"/>
      <c r="M33" s="41"/>
      <c r="N33" s="41"/>
      <c r="O33" s="34" t="s">
        <v>105</v>
      </c>
    </row>
    <row r="34" spans="1:15" ht="176.25" customHeight="1" outlineLevel="1" x14ac:dyDescent="0.25">
      <c r="A34" s="540"/>
      <c r="B34" s="34" t="s">
        <v>27</v>
      </c>
      <c r="C34" s="35" t="s">
        <v>106</v>
      </c>
      <c r="D34" s="42" t="s">
        <v>107</v>
      </c>
      <c r="E34" s="36" t="s">
        <v>108</v>
      </c>
      <c r="F34" s="37"/>
      <c r="G34" s="38"/>
      <c r="H34" s="37"/>
      <c r="I34" s="38"/>
      <c r="J34" s="39"/>
      <c r="K34" s="40"/>
      <c r="L34" s="41"/>
      <c r="M34" s="41"/>
      <c r="N34" s="41"/>
      <c r="O34" s="34"/>
    </row>
    <row r="35" spans="1:15" ht="247.5" customHeight="1" outlineLevel="1" x14ac:dyDescent="0.25">
      <c r="A35" s="540"/>
      <c r="B35" s="560" t="s">
        <v>27</v>
      </c>
      <c r="C35" s="561" t="s">
        <v>109</v>
      </c>
      <c r="D35" s="559" t="s">
        <v>110</v>
      </c>
      <c r="E35" s="50" t="s">
        <v>111</v>
      </c>
      <c r="F35" s="37"/>
      <c r="G35" s="38"/>
      <c r="H35" s="37"/>
      <c r="I35" s="38"/>
      <c r="J35" s="39"/>
      <c r="K35" s="40"/>
      <c r="L35" s="41"/>
      <c r="M35" s="41"/>
      <c r="N35" s="41"/>
      <c r="O35" s="34" t="s">
        <v>112</v>
      </c>
    </row>
    <row r="36" spans="1:15" ht="139.5" customHeight="1" outlineLevel="1" x14ac:dyDescent="0.25">
      <c r="A36" s="540"/>
      <c r="B36" s="560"/>
      <c r="C36" s="561"/>
      <c r="D36" s="559"/>
      <c r="E36" s="42" t="s">
        <v>113</v>
      </c>
      <c r="F36" s="53">
        <v>55</v>
      </c>
      <c r="G36" s="54" t="s">
        <v>1229</v>
      </c>
      <c r="H36" s="53">
        <v>104</v>
      </c>
      <c r="I36" s="54" t="s">
        <v>1229</v>
      </c>
      <c r="J36" s="55">
        <v>34</v>
      </c>
      <c r="K36" s="56"/>
      <c r="L36" s="57">
        <v>7</v>
      </c>
      <c r="M36" s="57">
        <v>6</v>
      </c>
      <c r="N36" s="559" t="s">
        <v>114</v>
      </c>
      <c r="O36" s="58" t="s">
        <v>115</v>
      </c>
    </row>
    <row r="37" spans="1:15" ht="30.75" customHeight="1" outlineLevel="1" x14ac:dyDescent="0.25">
      <c r="A37" s="540"/>
      <c r="B37" s="560"/>
      <c r="C37" s="561"/>
      <c r="D37" s="559"/>
      <c r="E37" s="42" t="s">
        <v>116</v>
      </c>
      <c r="F37" s="53">
        <v>4829582.9170000004</v>
      </c>
      <c r="G37" s="54" t="s">
        <v>1229</v>
      </c>
      <c r="H37" s="53">
        <v>3814326.4169999999</v>
      </c>
      <c r="I37" s="54" t="s">
        <v>1229</v>
      </c>
      <c r="J37" s="55">
        <v>2337883.0049999999</v>
      </c>
      <c r="K37" s="56"/>
      <c r="L37" s="57">
        <v>7</v>
      </c>
      <c r="M37" s="57">
        <v>6</v>
      </c>
      <c r="N37" s="559"/>
      <c r="O37" s="58"/>
    </row>
    <row r="38" spans="1:15" ht="126" customHeight="1" outlineLevel="1" x14ac:dyDescent="0.25">
      <c r="A38" s="540"/>
      <c r="B38" s="560"/>
      <c r="C38" s="565"/>
      <c r="D38" s="559"/>
      <c r="E38" s="59" t="s">
        <v>117</v>
      </c>
      <c r="F38" s="60">
        <v>222</v>
      </c>
      <c r="G38" s="54" t="s">
        <v>1230</v>
      </c>
      <c r="H38" s="60">
        <v>325</v>
      </c>
      <c r="I38" s="54" t="s">
        <v>1230</v>
      </c>
      <c r="J38" s="61">
        <v>377</v>
      </c>
      <c r="K38" s="56"/>
      <c r="L38" s="57">
        <v>7</v>
      </c>
      <c r="M38" s="57">
        <v>6</v>
      </c>
      <c r="N38" s="559"/>
      <c r="O38" s="58" t="s">
        <v>118</v>
      </c>
    </row>
    <row r="39" spans="1:15" ht="176.25" customHeight="1" outlineLevel="1" x14ac:dyDescent="0.25">
      <c r="A39" s="540"/>
      <c r="B39" s="34" t="s">
        <v>27</v>
      </c>
      <c r="C39" s="35" t="s">
        <v>119</v>
      </c>
      <c r="D39" s="42" t="s">
        <v>120</v>
      </c>
      <c r="E39" s="36" t="s">
        <v>121</v>
      </c>
      <c r="F39" s="37"/>
      <c r="G39" s="38"/>
      <c r="H39" s="37"/>
      <c r="I39" s="38"/>
      <c r="J39" s="39"/>
      <c r="K39" s="40"/>
      <c r="L39" s="41"/>
      <c r="M39" s="41"/>
      <c r="N39" s="41"/>
      <c r="O39" s="34"/>
    </row>
    <row r="40" spans="1:15" ht="114.75" customHeight="1" outlineLevel="1" x14ac:dyDescent="0.25">
      <c r="A40" s="540"/>
      <c r="B40" s="34" t="s">
        <v>27</v>
      </c>
      <c r="C40" s="35" t="s">
        <v>122</v>
      </c>
      <c r="D40" s="42" t="s">
        <v>123</v>
      </c>
      <c r="E40" s="36" t="s">
        <v>124</v>
      </c>
      <c r="F40" s="37"/>
      <c r="G40" s="38"/>
      <c r="H40" s="37"/>
      <c r="I40" s="38"/>
      <c r="J40" s="39"/>
      <c r="K40" s="40"/>
      <c r="L40" s="41"/>
      <c r="M40" s="41"/>
      <c r="N40" s="41"/>
      <c r="O40" s="34"/>
    </row>
    <row r="41" spans="1:15" ht="36" customHeight="1" outlineLevel="1" x14ac:dyDescent="0.25">
      <c r="A41" s="540"/>
      <c r="B41" s="560" t="s">
        <v>27</v>
      </c>
      <c r="C41" s="561" t="s">
        <v>125</v>
      </c>
      <c r="D41" s="42" t="s">
        <v>126</v>
      </c>
      <c r="E41" s="64" t="s">
        <v>127</v>
      </c>
      <c r="F41" s="65"/>
      <c r="G41" s="66"/>
      <c r="H41" s="65"/>
      <c r="I41" s="66"/>
      <c r="J41" s="67"/>
      <c r="K41" s="68"/>
      <c r="L41" s="49"/>
      <c r="M41" s="49"/>
      <c r="N41" s="49"/>
      <c r="O41" s="560" t="s">
        <v>128</v>
      </c>
    </row>
    <row r="42" spans="1:15" ht="77.25" customHeight="1" outlineLevel="1" x14ac:dyDescent="0.25">
      <c r="A42" s="540"/>
      <c r="B42" s="560"/>
      <c r="C42" s="561"/>
      <c r="D42" s="48" t="s">
        <v>129</v>
      </c>
      <c r="E42" s="69" t="s">
        <v>130</v>
      </c>
      <c r="F42" s="70">
        <v>0.70710437244205315</v>
      </c>
      <c r="G42" s="71" t="s">
        <v>1229</v>
      </c>
      <c r="H42" s="70">
        <v>0.70778155826989453</v>
      </c>
      <c r="I42" s="71" t="s">
        <v>1229</v>
      </c>
      <c r="J42" s="72">
        <v>0.72733919881092224</v>
      </c>
      <c r="K42" s="73"/>
      <c r="L42" s="74">
        <v>3</v>
      </c>
      <c r="M42" s="74">
        <v>3</v>
      </c>
      <c r="N42" s="48" t="s">
        <v>131</v>
      </c>
      <c r="O42" s="562"/>
    </row>
    <row r="43" spans="1:15" ht="15.75" customHeight="1" x14ac:dyDescent="0.25">
      <c r="A43" s="540"/>
      <c r="B43" s="77" t="s">
        <v>132</v>
      </c>
      <c r="C43" s="78"/>
      <c r="D43" s="78"/>
      <c r="E43" s="78"/>
      <c r="F43" s="78"/>
      <c r="G43" s="79"/>
      <c r="H43" s="78"/>
      <c r="I43" s="79"/>
      <c r="J43" s="78"/>
      <c r="K43" s="79"/>
      <c r="L43" s="78"/>
      <c r="M43" s="78"/>
      <c r="N43" s="79"/>
      <c r="O43" s="80"/>
    </row>
    <row r="44" spans="1:15" ht="99" customHeight="1" outlineLevel="1" x14ac:dyDescent="0.25">
      <c r="A44" s="540"/>
      <c r="B44" s="562" t="s">
        <v>133</v>
      </c>
      <c r="C44" s="81" t="s">
        <v>134</v>
      </c>
      <c r="D44" s="41" t="s">
        <v>135</v>
      </c>
      <c r="E44" s="36" t="s">
        <v>136</v>
      </c>
      <c r="F44" s="37"/>
      <c r="G44" s="38"/>
      <c r="H44" s="37"/>
      <c r="I44" s="38"/>
      <c r="J44" s="39"/>
      <c r="K44" s="40"/>
      <c r="L44" s="83"/>
      <c r="M44" s="83"/>
      <c r="N44" s="41"/>
      <c r="O44" s="34"/>
    </row>
    <row r="45" spans="1:15" ht="105" outlineLevel="1" x14ac:dyDescent="0.25">
      <c r="A45" s="540"/>
      <c r="B45" s="562"/>
      <c r="C45" s="84" t="s">
        <v>137</v>
      </c>
      <c r="D45" s="41" t="s">
        <v>138</v>
      </c>
      <c r="E45" s="36" t="s">
        <v>136</v>
      </c>
      <c r="F45" s="37"/>
      <c r="G45" s="38"/>
      <c r="H45" s="37"/>
      <c r="I45" s="38"/>
      <c r="J45" s="39"/>
      <c r="K45" s="40"/>
      <c r="L45" s="83"/>
      <c r="M45" s="85"/>
      <c r="N45" s="49"/>
      <c r="O45" s="34"/>
    </row>
    <row r="46" spans="1:15" ht="35.25" customHeight="1" outlineLevel="1" x14ac:dyDescent="0.25">
      <c r="A46" s="540"/>
      <c r="B46" s="562"/>
      <c r="C46" s="86" t="s">
        <v>139</v>
      </c>
      <c r="D46" s="75" t="s">
        <v>140</v>
      </c>
      <c r="E46" s="88" t="s">
        <v>141</v>
      </c>
      <c r="F46" s="89"/>
      <c r="G46" s="21"/>
      <c r="H46" s="89"/>
      <c r="I46" s="21"/>
      <c r="J46" s="90"/>
      <c r="K46" s="91"/>
      <c r="L46" s="92"/>
      <c r="M46" s="93"/>
      <c r="N46" s="47"/>
      <c r="O46" s="76"/>
    </row>
    <row r="47" spans="1:15" ht="15.75" x14ac:dyDescent="0.25">
      <c r="A47" s="540"/>
      <c r="B47" s="94" t="s">
        <v>142</v>
      </c>
      <c r="C47" s="95"/>
      <c r="D47" s="95"/>
      <c r="E47" s="95"/>
      <c r="F47" s="95"/>
      <c r="G47" s="96"/>
      <c r="H47" s="95"/>
      <c r="I47" s="96"/>
      <c r="J47" s="95"/>
      <c r="K47" s="96"/>
      <c r="L47" s="95"/>
      <c r="M47" s="95"/>
      <c r="N47" s="96"/>
      <c r="O47" s="97"/>
    </row>
    <row r="48" spans="1:15" ht="25.5" customHeight="1" x14ac:dyDescent="0.25">
      <c r="A48" s="540"/>
      <c r="B48" s="99" t="s">
        <v>143</v>
      </c>
      <c r="C48" s="100"/>
      <c r="D48" s="100"/>
      <c r="E48" s="100"/>
      <c r="F48" s="101"/>
      <c r="G48" s="102"/>
      <c r="H48" s="101"/>
      <c r="I48" s="102"/>
      <c r="J48" s="101"/>
      <c r="K48" s="102"/>
      <c r="L48" s="103"/>
      <c r="M48" s="103"/>
      <c r="N48" s="102"/>
      <c r="O48" s="104"/>
    </row>
    <row r="49" spans="1:15" ht="89.25" customHeight="1" outlineLevel="1" x14ac:dyDescent="0.25">
      <c r="A49" s="540"/>
      <c r="B49" s="34" t="s">
        <v>144</v>
      </c>
      <c r="C49" s="34" t="s">
        <v>139</v>
      </c>
      <c r="D49" s="34" t="s">
        <v>145</v>
      </c>
      <c r="E49" s="37" t="s">
        <v>146</v>
      </c>
      <c r="F49" s="37"/>
      <c r="G49" s="38"/>
      <c r="H49" s="37"/>
      <c r="I49" s="38"/>
      <c r="J49" s="39"/>
      <c r="K49" s="40"/>
      <c r="L49" s="83"/>
      <c r="M49" s="92">
        <v>9</v>
      </c>
      <c r="N49" s="75"/>
      <c r="O49" s="34"/>
    </row>
    <row r="50" spans="1:15" ht="186.75" customHeight="1" outlineLevel="1" x14ac:dyDescent="0.25">
      <c r="A50" s="540"/>
      <c r="B50" s="559" t="s">
        <v>147</v>
      </c>
      <c r="C50" s="559" t="s">
        <v>148</v>
      </c>
      <c r="D50" s="48" t="s">
        <v>149</v>
      </c>
      <c r="E50" s="106" t="s">
        <v>150</v>
      </c>
      <c r="F50" s="65"/>
      <c r="G50" s="66"/>
      <c r="H50" s="65"/>
      <c r="I50" s="66"/>
      <c r="J50" s="67"/>
      <c r="K50" s="68"/>
      <c r="L50" s="57">
        <v>10</v>
      </c>
      <c r="M50" s="74">
        <v>9</v>
      </c>
      <c r="N50" s="48"/>
      <c r="O50" s="58"/>
    </row>
    <row r="51" spans="1:15" ht="87" customHeight="1" outlineLevel="1" x14ac:dyDescent="0.25">
      <c r="A51" s="540"/>
      <c r="B51" s="566"/>
      <c r="C51" s="566"/>
      <c r="D51" s="559" t="s">
        <v>151</v>
      </c>
      <c r="E51" s="108" t="s">
        <v>152</v>
      </c>
      <c r="F51" s="109" t="s">
        <v>153</v>
      </c>
      <c r="G51" s="110"/>
      <c r="H51" s="109" t="s">
        <v>153</v>
      </c>
      <c r="I51" s="110"/>
      <c r="J51" s="55">
        <v>62.091423042999999</v>
      </c>
      <c r="K51" s="111"/>
      <c r="L51" s="571">
        <v>10</v>
      </c>
      <c r="M51" s="573">
        <v>9</v>
      </c>
      <c r="N51" s="571"/>
      <c r="O51" s="559" t="s">
        <v>154</v>
      </c>
    </row>
    <row r="52" spans="1:15" ht="72.75" customHeight="1" outlineLevel="1" x14ac:dyDescent="0.25">
      <c r="A52" s="540"/>
      <c r="B52" s="570"/>
      <c r="C52" s="570"/>
      <c r="D52" s="570"/>
      <c r="E52" s="108" t="s">
        <v>155</v>
      </c>
      <c r="F52" s="109" t="s">
        <v>153</v>
      </c>
      <c r="G52" s="110"/>
      <c r="H52" s="109" t="s">
        <v>153</v>
      </c>
      <c r="I52" s="110"/>
      <c r="J52" s="55">
        <v>50.371770329999997</v>
      </c>
      <c r="K52" s="111"/>
      <c r="L52" s="572"/>
      <c r="M52" s="574"/>
      <c r="N52" s="572"/>
      <c r="O52" s="570"/>
    </row>
    <row r="53" spans="1:15" ht="205.5" customHeight="1" outlineLevel="1" x14ac:dyDescent="0.25">
      <c r="A53" s="540"/>
      <c r="B53" s="58" t="s">
        <v>147</v>
      </c>
      <c r="C53" s="58" t="s">
        <v>156</v>
      </c>
      <c r="D53" s="42" t="s">
        <v>157</v>
      </c>
      <c r="E53" s="106" t="s">
        <v>158</v>
      </c>
      <c r="F53" s="65"/>
      <c r="G53" s="66"/>
      <c r="H53" s="65"/>
      <c r="I53" s="66"/>
      <c r="J53" s="67"/>
      <c r="K53" s="68"/>
      <c r="L53" s="85">
        <v>9</v>
      </c>
      <c r="M53" s="57" t="s">
        <v>159</v>
      </c>
      <c r="N53" s="42" t="s">
        <v>160</v>
      </c>
      <c r="O53" s="58" t="s">
        <v>161</v>
      </c>
    </row>
    <row r="54" spans="1:15" ht="57.75" customHeight="1" outlineLevel="1" x14ac:dyDescent="0.25">
      <c r="A54" s="540"/>
      <c r="B54" s="107" t="s">
        <v>147</v>
      </c>
      <c r="C54" s="107" t="s">
        <v>162</v>
      </c>
      <c r="D54" s="48" t="s">
        <v>163</v>
      </c>
      <c r="E54" s="113" t="s">
        <v>164</v>
      </c>
      <c r="F54" s="114"/>
      <c r="G54" s="115"/>
      <c r="H54" s="114"/>
      <c r="I54" s="115"/>
      <c r="J54" s="116"/>
      <c r="K54" s="117"/>
      <c r="L54" s="74">
        <v>9</v>
      </c>
      <c r="M54" s="74" t="s">
        <v>159</v>
      </c>
      <c r="N54" s="48"/>
      <c r="O54" s="107"/>
    </row>
    <row r="55" spans="1:15" ht="15.75" x14ac:dyDescent="0.25">
      <c r="A55" s="540"/>
      <c r="B55" s="99" t="s">
        <v>165</v>
      </c>
      <c r="C55" s="118"/>
      <c r="D55" s="118"/>
      <c r="E55" s="118"/>
      <c r="F55" s="118"/>
      <c r="G55" s="119"/>
      <c r="H55" s="118"/>
      <c r="I55" s="119"/>
      <c r="J55" s="120"/>
      <c r="K55" s="121"/>
      <c r="L55" s="122"/>
      <c r="M55" s="122"/>
      <c r="N55" s="121"/>
      <c r="O55" s="123"/>
    </row>
    <row r="56" spans="1:15" ht="177" customHeight="1" outlineLevel="1" x14ac:dyDescent="0.25">
      <c r="A56" s="540"/>
      <c r="B56" s="34" t="s">
        <v>144</v>
      </c>
      <c r="C56" s="84" t="s">
        <v>139</v>
      </c>
      <c r="D56" s="41" t="s">
        <v>145</v>
      </c>
      <c r="E56" s="36" t="s">
        <v>166</v>
      </c>
      <c r="F56" s="37"/>
      <c r="G56" s="38"/>
      <c r="H56" s="37"/>
      <c r="I56" s="38"/>
      <c r="J56" s="39"/>
      <c r="K56" s="40"/>
      <c r="L56" s="83"/>
      <c r="M56" s="83">
        <v>9</v>
      </c>
      <c r="N56" s="41"/>
      <c r="O56" s="34"/>
    </row>
    <row r="57" spans="1:15" ht="204" customHeight="1" outlineLevel="1" x14ac:dyDescent="0.25">
      <c r="A57" s="540"/>
      <c r="B57" s="107" t="s">
        <v>167</v>
      </c>
      <c r="C57" s="107" t="s">
        <v>168</v>
      </c>
      <c r="D57" s="48" t="s">
        <v>169</v>
      </c>
      <c r="E57" s="128" t="s">
        <v>170</v>
      </c>
      <c r="F57" s="114"/>
      <c r="G57" s="115"/>
      <c r="H57" s="114"/>
      <c r="I57" s="115"/>
      <c r="J57" s="116"/>
      <c r="K57" s="117"/>
      <c r="L57" s="74"/>
      <c r="M57" s="74">
        <v>9</v>
      </c>
      <c r="N57" s="48"/>
      <c r="O57" s="107" t="s">
        <v>171</v>
      </c>
    </row>
    <row r="58" spans="1:15" ht="15.75" x14ac:dyDescent="0.25">
      <c r="A58" s="540"/>
      <c r="B58" s="99" t="s">
        <v>172</v>
      </c>
      <c r="C58" s="118"/>
      <c r="D58" s="118"/>
      <c r="E58" s="118"/>
      <c r="F58" s="118"/>
      <c r="G58" s="119"/>
      <c r="H58" s="118"/>
      <c r="I58" s="119"/>
      <c r="J58" s="120"/>
      <c r="K58" s="121"/>
      <c r="L58" s="118"/>
      <c r="M58" s="118"/>
      <c r="N58" s="119"/>
      <c r="O58" s="129"/>
    </row>
    <row r="59" spans="1:15" ht="175.5" customHeight="1" outlineLevel="1" x14ac:dyDescent="0.25">
      <c r="A59" s="540"/>
      <c r="B59" s="34" t="s">
        <v>144</v>
      </c>
      <c r="C59" s="84" t="s">
        <v>139</v>
      </c>
      <c r="D59" s="41" t="s">
        <v>145</v>
      </c>
      <c r="E59" s="36" t="s">
        <v>173</v>
      </c>
      <c r="F59" s="37"/>
      <c r="G59" s="38"/>
      <c r="H59" s="37"/>
      <c r="I59" s="38"/>
      <c r="J59" s="39"/>
      <c r="K59" s="40"/>
      <c r="L59" s="83"/>
      <c r="M59" s="83">
        <v>9</v>
      </c>
      <c r="N59" s="41"/>
      <c r="O59" s="34"/>
    </row>
    <row r="60" spans="1:15" ht="112.5" customHeight="1" outlineLevel="1" x14ac:dyDescent="0.25">
      <c r="A60" s="540"/>
      <c r="B60" s="58" t="s">
        <v>174</v>
      </c>
      <c r="C60" s="58" t="s">
        <v>175</v>
      </c>
      <c r="D60" s="42" t="s">
        <v>176</v>
      </c>
      <c r="E60" s="63" t="s">
        <v>177</v>
      </c>
      <c r="F60" s="65"/>
      <c r="G60" s="66"/>
      <c r="H60" s="65"/>
      <c r="I60" s="66"/>
      <c r="J60" s="67"/>
      <c r="K60" s="68"/>
      <c r="L60" s="57"/>
      <c r="M60" s="57">
        <v>9</v>
      </c>
      <c r="N60" s="42"/>
      <c r="O60" s="131" t="s">
        <v>178</v>
      </c>
    </row>
    <row r="61" spans="1:15" ht="71.25" customHeight="1" outlineLevel="1" x14ac:dyDescent="0.25">
      <c r="A61" s="540"/>
      <c r="B61" s="107" t="s">
        <v>174</v>
      </c>
      <c r="C61" s="107" t="s">
        <v>179</v>
      </c>
      <c r="D61" s="48" t="s">
        <v>180</v>
      </c>
      <c r="E61" s="132" t="s">
        <v>177</v>
      </c>
      <c r="F61" s="133"/>
      <c r="G61" s="134"/>
      <c r="H61" s="133"/>
      <c r="I61" s="134"/>
      <c r="J61" s="135"/>
      <c r="K61" s="136"/>
      <c r="L61" s="137"/>
      <c r="M61" s="74">
        <v>9</v>
      </c>
      <c r="N61" s="48"/>
      <c r="O61" s="138"/>
    </row>
    <row r="62" spans="1:15" ht="15.75" x14ac:dyDescent="0.25">
      <c r="A62" s="540"/>
      <c r="B62" s="139" t="s">
        <v>181</v>
      </c>
      <c r="C62" s="120"/>
      <c r="D62" s="120"/>
      <c r="E62" s="120"/>
      <c r="F62" s="120"/>
      <c r="G62" s="121"/>
      <c r="H62" s="120"/>
      <c r="I62" s="121"/>
      <c r="J62" s="120"/>
      <c r="K62" s="121"/>
      <c r="L62" s="122"/>
      <c r="M62" s="122"/>
      <c r="N62" s="121"/>
      <c r="O62" s="123"/>
    </row>
    <row r="63" spans="1:15" ht="179.25" customHeight="1" outlineLevel="1" x14ac:dyDescent="0.25">
      <c r="A63" s="540"/>
      <c r="B63" s="34" t="s">
        <v>144</v>
      </c>
      <c r="C63" s="84" t="s">
        <v>139</v>
      </c>
      <c r="D63" s="41" t="s">
        <v>145</v>
      </c>
      <c r="E63" s="36" t="s">
        <v>182</v>
      </c>
      <c r="F63" s="37"/>
      <c r="G63" s="38"/>
      <c r="H63" s="37"/>
      <c r="I63" s="38"/>
      <c r="J63" s="39"/>
      <c r="K63" s="40"/>
      <c r="L63" s="83"/>
      <c r="M63" s="83">
        <v>2</v>
      </c>
      <c r="N63" s="41"/>
      <c r="O63" s="34"/>
    </row>
    <row r="64" spans="1:15" ht="36.75" customHeight="1" outlineLevel="1" x14ac:dyDescent="0.25">
      <c r="A64" s="540"/>
      <c r="B64" s="559" t="s">
        <v>183</v>
      </c>
      <c r="C64" s="559" t="s">
        <v>184</v>
      </c>
      <c r="D64" s="560" t="s">
        <v>185</v>
      </c>
      <c r="E64" s="42" t="s">
        <v>186</v>
      </c>
      <c r="F64" s="140" t="s">
        <v>187</v>
      </c>
      <c r="G64" s="141"/>
      <c r="H64" s="140" t="s">
        <v>187</v>
      </c>
      <c r="I64" s="141"/>
      <c r="J64" s="142">
        <v>0.41614666407791051</v>
      </c>
      <c r="K64" s="143"/>
      <c r="L64" s="74"/>
      <c r="M64" s="74">
        <v>2</v>
      </c>
      <c r="N64" s="48"/>
      <c r="O64" s="559" t="s">
        <v>188</v>
      </c>
    </row>
    <row r="65" spans="1:15" ht="47.25" customHeight="1" outlineLevel="1" x14ac:dyDescent="0.25">
      <c r="A65" s="540"/>
      <c r="B65" s="566"/>
      <c r="C65" s="566"/>
      <c r="D65" s="562"/>
      <c r="E65" s="145" t="s">
        <v>189</v>
      </c>
      <c r="F65" s="109" t="s">
        <v>187</v>
      </c>
      <c r="G65" s="110"/>
      <c r="H65" s="109" t="s">
        <v>187</v>
      </c>
      <c r="I65" s="110"/>
      <c r="J65" s="55">
        <v>3686.7247770079998</v>
      </c>
      <c r="K65" s="111"/>
      <c r="L65" s="57"/>
      <c r="M65" s="74">
        <v>2</v>
      </c>
      <c r="N65" s="42"/>
      <c r="O65" s="566"/>
    </row>
    <row r="66" spans="1:15" ht="64.5" customHeight="1" outlineLevel="1" x14ac:dyDescent="0.25">
      <c r="A66" s="540"/>
      <c r="B66" s="566"/>
      <c r="C66" s="566"/>
      <c r="D66" s="562"/>
      <c r="E66" s="147" t="s">
        <v>190</v>
      </c>
      <c r="F66" s="140" t="s">
        <v>187</v>
      </c>
      <c r="G66" s="141"/>
      <c r="H66" s="140" t="s">
        <v>187</v>
      </c>
      <c r="I66" s="141"/>
      <c r="J66" s="148">
        <v>0.46768875766855295</v>
      </c>
      <c r="K66" s="143"/>
      <c r="L66" s="74"/>
      <c r="M66" s="74">
        <v>2</v>
      </c>
      <c r="N66" s="48"/>
      <c r="O66" s="566"/>
    </row>
    <row r="67" spans="1:15" ht="15.75" x14ac:dyDescent="0.25">
      <c r="A67" s="540"/>
      <c r="B67" s="139" t="s">
        <v>191</v>
      </c>
      <c r="C67" s="119"/>
      <c r="D67" s="119"/>
      <c r="E67" s="119"/>
      <c r="F67" s="119"/>
      <c r="G67" s="119"/>
      <c r="H67" s="119"/>
      <c r="I67" s="119"/>
      <c r="J67" s="119"/>
      <c r="K67" s="119"/>
      <c r="L67" s="119"/>
      <c r="M67" s="119"/>
      <c r="N67" s="119"/>
      <c r="O67" s="149"/>
    </row>
    <row r="68" spans="1:15" ht="235.5" customHeight="1" outlineLevel="1" x14ac:dyDescent="0.25">
      <c r="A68" s="540"/>
      <c r="B68" s="34" t="s">
        <v>144</v>
      </c>
      <c r="C68" s="84" t="s">
        <v>139</v>
      </c>
      <c r="D68" s="41" t="s">
        <v>145</v>
      </c>
      <c r="E68" s="36" t="s">
        <v>192</v>
      </c>
      <c r="F68" s="37"/>
      <c r="G68" s="38"/>
      <c r="H68" s="37"/>
      <c r="I68" s="38"/>
      <c r="J68" s="39"/>
      <c r="K68" s="40"/>
      <c r="L68" s="83">
        <v>10</v>
      </c>
      <c r="M68" s="83"/>
      <c r="N68" s="567" t="s">
        <v>193</v>
      </c>
      <c r="O68" s="34"/>
    </row>
    <row r="69" spans="1:15" ht="234" customHeight="1" outlineLevel="1" x14ac:dyDescent="0.25">
      <c r="A69" s="540"/>
      <c r="B69" s="560" t="s">
        <v>194</v>
      </c>
      <c r="C69" s="560" t="s">
        <v>195</v>
      </c>
      <c r="D69" s="560" t="s">
        <v>196</v>
      </c>
      <c r="E69" s="568" t="s">
        <v>197</v>
      </c>
      <c r="F69" s="575"/>
      <c r="G69" s="115"/>
      <c r="H69" s="575"/>
      <c r="I69" s="115"/>
      <c r="J69" s="577"/>
      <c r="K69" s="579"/>
      <c r="L69" s="560">
        <v>10</v>
      </c>
      <c r="M69" s="560">
        <v>1</v>
      </c>
      <c r="N69" s="562"/>
      <c r="O69" s="152" t="s">
        <v>198</v>
      </c>
    </row>
    <row r="70" spans="1:15" ht="231.75" customHeight="1" outlineLevel="1" x14ac:dyDescent="0.25">
      <c r="A70" s="540"/>
      <c r="B70" s="567"/>
      <c r="C70" s="567"/>
      <c r="D70" s="567"/>
      <c r="E70" s="569"/>
      <c r="F70" s="576"/>
      <c r="G70" s="38"/>
      <c r="H70" s="576"/>
      <c r="I70" s="38"/>
      <c r="J70" s="578"/>
      <c r="K70" s="580"/>
      <c r="L70" s="567"/>
      <c r="M70" s="567"/>
      <c r="N70" s="562"/>
      <c r="O70" s="45" t="s">
        <v>199</v>
      </c>
    </row>
    <row r="71" spans="1:15" ht="160.5" customHeight="1" outlineLevel="1" x14ac:dyDescent="0.25">
      <c r="A71" s="540"/>
      <c r="B71" s="144" t="s">
        <v>194</v>
      </c>
      <c r="C71" s="144" t="s">
        <v>200</v>
      </c>
      <c r="D71" s="47" t="s">
        <v>201</v>
      </c>
      <c r="E71" s="36" t="s">
        <v>202</v>
      </c>
      <c r="F71" s="154"/>
      <c r="G71" s="155"/>
      <c r="H71" s="154"/>
      <c r="I71" s="155"/>
      <c r="J71" s="156"/>
      <c r="K71" s="157"/>
      <c r="L71" s="85">
        <v>10</v>
      </c>
      <c r="M71" s="85">
        <v>1</v>
      </c>
      <c r="N71" s="562"/>
      <c r="O71" s="51" t="s">
        <v>203</v>
      </c>
    </row>
    <row r="72" spans="1:15" ht="144" customHeight="1" outlineLevel="1" x14ac:dyDescent="0.25">
      <c r="A72" s="540"/>
      <c r="B72" s="144" t="s">
        <v>194</v>
      </c>
      <c r="C72" s="144" t="s">
        <v>204</v>
      </c>
      <c r="D72" s="47" t="s">
        <v>205</v>
      </c>
      <c r="E72" s="158" t="s">
        <v>206</v>
      </c>
      <c r="F72" s="114"/>
      <c r="G72" s="115"/>
      <c r="H72" s="114"/>
      <c r="I72" s="115"/>
      <c r="J72" s="116"/>
      <c r="K72" s="117"/>
      <c r="L72" s="93">
        <v>10</v>
      </c>
      <c r="M72" s="93">
        <v>1</v>
      </c>
      <c r="N72" s="562"/>
      <c r="O72" s="47" t="s">
        <v>207</v>
      </c>
    </row>
    <row r="73" spans="1:15" ht="15.75" x14ac:dyDescent="0.25">
      <c r="A73" s="540"/>
      <c r="B73" s="139" t="s">
        <v>208</v>
      </c>
      <c r="C73" s="119"/>
      <c r="D73" s="119"/>
      <c r="E73" s="119"/>
      <c r="F73" s="119"/>
      <c r="G73" s="119"/>
      <c r="H73" s="119"/>
      <c r="I73" s="119"/>
      <c r="J73" s="119"/>
      <c r="K73" s="119"/>
      <c r="L73" s="119"/>
      <c r="M73" s="119"/>
      <c r="N73" s="119"/>
      <c r="O73" s="150"/>
    </row>
    <row r="74" spans="1:15" ht="192.75" customHeight="1" outlineLevel="1" x14ac:dyDescent="0.25">
      <c r="A74" s="540"/>
      <c r="B74" s="34" t="s">
        <v>144</v>
      </c>
      <c r="C74" s="84" t="s">
        <v>139</v>
      </c>
      <c r="D74" s="41" t="s">
        <v>145</v>
      </c>
      <c r="E74" s="36" t="s">
        <v>209</v>
      </c>
      <c r="F74" s="37"/>
      <c r="G74" s="38"/>
      <c r="H74" s="37"/>
      <c r="I74" s="38"/>
      <c r="J74" s="39"/>
      <c r="K74" s="40"/>
      <c r="L74" s="83"/>
      <c r="M74" s="83"/>
      <c r="N74" s="41"/>
      <c r="O74" s="41"/>
    </row>
    <row r="75" spans="1:15" ht="85.5" customHeight="1" outlineLevel="1" x14ac:dyDescent="0.25">
      <c r="A75" s="540"/>
      <c r="B75" s="159"/>
      <c r="C75" s="84" t="s">
        <v>210</v>
      </c>
      <c r="D75" s="41" t="s">
        <v>211</v>
      </c>
      <c r="E75" s="159" t="s">
        <v>212</v>
      </c>
      <c r="F75" s="89"/>
      <c r="G75" s="21"/>
      <c r="H75" s="89"/>
      <c r="I75" s="21"/>
      <c r="J75" s="90"/>
      <c r="K75" s="91"/>
      <c r="L75" s="92"/>
      <c r="M75" s="92"/>
      <c r="N75" s="75"/>
      <c r="O75" s="75"/>
    </row>
    <row r="76" spans="1:15" ht="141.75" customHeight="1" outlineLevel="1" x14ac:dyDescent="0.25">
      <c r="A76" s="540"/>
      <c r="B76" s="159"/>
      <c r="C76" s="51" t="s">
        <v>213</v>
      </c>
      <c r="D76" s="49" t="s">
        <v>214</v>
      </c>
      <c r="E76" s="64" t="s">
        <v>215</v>
      </c>
      <c r="F76" s="114"/>
      <c r="G76" s="115"/>
      <c r="H76" s="114"/>
      <c r="I76" s="115"/>
      <c r="J76" s="116"/>
      <c r="K76" s="117"/>
      <c r="L76" s="93"/>
      <c r="M76" s="93"/>
      <c r="N76" s="47"/>
      <c r="O76" s="47"/>
    </row>
    <row r="77" spans="1:15" ht="96.75" customHeight="1" outlineLevel="1" x14ac:dyDescent="0.25">
      <c r="A77" s="540"/>
      <c r="B77" s="159"/>
      <c r="C77" s="51" t="s">
        <v>216</v>
      </c>
      <c r="D77" s="49" t="s">
        <v>217</v>
      </c>
      <c r="E77" s="88" t="s">
        <v>218</v>
      </c>
      <c r="F77" s="114"/>
      <c r="G77" s="115"/>
      <c r="H77" s="114"/>
      <c r="I77" s="115"/>
      <c r="J77" s="116"/>
      <c r="K77" s="117"/>
      <c r="L77" s="93"/>
      <c r="M77" s="93"/>
      <c r="N77" s="47"/>
      <c r="O77" s="47"/>
    </row>
    <row r="78" spans="1:15" ht="79.5" customHeight="1" outlineLevel="1" x14ac:dyDescent="0.25">
      <c r="A78" s="540"/>
      <c r="B78" s="159"/>
      <c r="C78" s="144" t="s">
        <v>219</v>
      </c>
      <c r="D78" s="47" t="s">
        <v>220</v>
      </c>
      <c r="E78" s="158" t="s">
        <v>221</v>
      </c>
      <c r="F78" s="114"/>
      <c r="G78" s="115"/>
      <c r="H78" s="114"/>
      <c r="I78" s="115"/>
      <c r="J78" s="116"/>
      <c r="K78" s="117"/>
      <c r="L78" s="93"/>
      <c r="M78" s="93">
        <v>9</v>
      </c>
      <c r="N78" s="47"/>
      <c r="O78" s="48" t="s">
        <v>222</v>
      </c>
    </row>
    <row r="79" spans="1:15" ht="15.75" collapsed="1" x14ac:dyDescent="0.25">
      <c r="A79" s="540"/>
      <c r="B79" s="94" t="s">
        <v>223</v>
      </c>
      <c r="C79" s="162"/>
      <c r="D79" s="162"/>
      <c r="E79" s="162"/>
      <c r="F79" s="162"/>
      <c r="G79" s="163"/>
      <c r="H79" s="162"/>
      <c r="I79" s="163"/>
      <c r="J79" s="162"/>
      <c r="K79" s="163"/>
      <c r="L79" s="162"/>
      <c r="M79" s="162"/>
      <c r="N79" s="163"/>
      <c r="O79" s="164"/>
    </row>
    <row r="80" spans="1:15" ht="15.75" x14ac:dyDescent="0.25">
      <c r="A80" s="540"/>
      <c r="B80" s="99" t="s">
        <v>224</v>
      </c>
      <c r="C80" s="100"/>
      <c r="D80" s="100"/>
      <c r="E80" s="100"/>
      <c r="F80" s="100"/>
      <c r="G80" s="165"/>
      <c r="H80" s="100"/>
      <c r="I80" s="165"/>
      <c r="J80" s="100"/>
      <c r="K80" s="165"/>
      <c r="L80" s="100"/>
      <c r="M80" s="100"/>
      <c r="N80" s="100"/>
      <c r="O80" s="166"/>
    </row>
    <row r="81" spans="1:15" ht="45" outlineLevel="1" x14ac:dyDescent="0.25">
      <c r="A81" s="540"/>
      <c r="B81" s="34" t="s">
        <v>144</v>
      </c>
      <c r="C81" s="84" t="s">
        <v>139</v>
      </c>
      <c r="D81" s="41" t="s">
        <v>145</v>
      </c>
      <c r="E81" s="82" t="s">
        <v>225</v>
      </c>
      <c r="F81" s="38"/>
      <c r="G81" s="38"/>
      <c r="H81" s="38"/>
      <c r="I81" s="38"/>
      <c r="J81" s="153"/>
      <c r="K81" s="38"/>
      <c r="L81" s="83" t="s">
        <v>226</v>
      </c>
      <c r="M81" s="83">
        <v>6</v>
      </c>
      <c r="N81" s="41"/>
      <c r="O81" s="34"/>
    </row>
    <row r="82" spans="1:15" ht="42.75" customHeight="1" outlineLevel="1" x14ac:dyDescent="0.25">
      <c r="A82" s="540"/>
      <c r="B82" s="58" t="s">
        <v>227</v>
      </c>
      <c r="C82" s="58" t="s">
        <v>228</v>
      </c>
      <c r="D82" s="42" t="s">
        <v>229</v>
      </c>
      <c r="E82" s="42" t="s">
        <v>230</v>
      </c>
      <c r="F82" s="167">
        <v>295.00710472200007</v>
      </c>
      <c r="G82" s="54" t="s">
        <v>1229</v>
      </c>
      <c r="H82" s="168">
        <v>312</v>
      </c>
      <c r="I82" s="54" t="s">
        <v>1230</v>
      </c>
      <c r="J82" s="169">
        <v>316.25329757499992</v>
      </c>
      <c r="K82" s="111"/>
      <c r="L82" s="85">
        <v>8</v>
      </c>
      <c r="M82" s="57" t="s">
        <v>231</v>
      </c>
      <c r="N82" s="42"/>
      <c r="O82" s="58" t="s">
        <v>232</v>
      </c>
    </row>
    <row r="83" spans="1:15" ht="54.75" customHeight="1" outlineLevel="1" x14ac:dyDescent="0.25">
      <c r="A83" s="540"/>
      <c r="B83" s="107" t="s">
        <v>227</v>
      </c>
      <c r="C83" s="107" t="s">
        <v>233</v>
      </c>
      <c r="D83" s="48" t="s">
        <v>234</v>
      </c>
      <c r="E83" s="48" t="s">
        <v>235</v>
      </c>
      <c r="F83" s="170">
        <v>1.8845855611644155E-3</v>
      </c>
      <c r="G83" s="71" t="s">
        <v>1229</v>
      </c>
      <c r="H83" s="170">
        <v>2.5338737219247919E-3</v>
      </c>
      <c r="I83" s="71" t="s">
        <v>1229</v>
      </c>
      <c r="J83" s="171">
        <v>2.1897475704131405E-3</v>
      </c>
      <c r="K83" s="143"/>
      <c r="L83" s="74" t="s">
        <v>236</v>
      </c>
      <c r="M83" s="74" t="s">
        <v>231</v>
      </c>
      <c r="N83" s="48"/>
      <c r="O83" s="172"/>
    </row>
    <row r="84" spans="1:15" ht="15.75" x14ac:dyDescent="0.25">
      <c r="A84" s="540"/>
      <c r="B84" s="99" t="s">
        <v>237</v>
      </c>
      <c r="C84" s="120"/>
      <c r="D84" s="120"/>
      <c r="E84" s="120"/>
      <c r="F84" s="120"/>
      <c r="G84" s="121"/>
      <c r="H84" s="120"/>
      <c r="I84" s="121"/>
      <c r="J84" s="120"/>
      <c r="K84" s="121"/>
      <c r="L84" s="122"/>
      <c r="M84" s="122"/>
      <c r="N84" s="121"/>
      <c r="O84" s="124"/>
    </row>
    <row r="85" spans="1:15" ht="255" customHeight="1" outlineLevel="1" x14ac:dyDescent="0.25">
      <c r="A85" s="540"/>
      <c r="B85" s="34" t="s">
        <v>144</v>
      </c>
      <c r="C85" s="84" t="s">
        <v>139</v>
      </c>
      <c r="D85" s="41" t="s">
        <v>145</v>
      </c>
      <c r="E85" s="82" t="s">
        <v>238</v>
      </c>
      <c r="F85" s="37"/>
      <c r="G85" s="38"/>
      <c r="H85" s="37"/>
      <c r="I85" s="38"/>
      <c r="J85" s="39"/>
      <c r="K85" s="40"/>
      <c r="L85" s="83" t="s">
        <v>226</v>
      </c>
      <c r="M85" s="83">
        <v>6</v>
      </c>
      <c r="N85" s="41"/>
      <c r="O85" s="44" t="s">
        <v>239</v>
      </c>
    </row>
    <row r="86" spans="1:15" ht="15.75" customHeight="1" outlineLevel="1" x14ac:dyDescent="0.25">
      <c r="A86" s="541"/>
      <c r="B86" s="559" t="s">
        <v>240</v>
      </c>
      <c r="C86" s="583" t="s">
        <v>241</v>
      </c>
      <c r="D86" s="559" t="s">
        <v>242</v>
      </c>
      <c r="E86" s="42" t="s">
        <v>243</v>
      </c>
      <c r="F86" s="173">
        <v>98.296138999999997</v>
      </c>
      <c r="G86" s="54" t="s">
        <v>1230</v>
      </c>
      <c r="H86" s="173">
        <v>107.82535300000001</v>
      </c>
      <c r="I86" s="54" t="s">
        <v>1230</v>
      </c>
      <c r="J86" s="174">
        <v>124.98911699999999</v>
      </c>
      <c r="K86" s="56" t="s">
        <v>244</v>
      </c>
      <c r="L86" s="57"/>
      <c r="M86" s="57">
        <v>6</v>
      </c>
      <c r="N86" s="559" t="s">
        <v>245</v>
      </c>
      <c r="O86" s="559" t="s">
        <v>246</v>
      </c>
    </row>
    <row r="87" spans="1:15" ht="15.75" customHeight="1" outlineLevel="1" x14ac:dyDescent="0.25">
      <c r="A87" s="541"/>
      <c r="B87" s="559"/>
      <c r="C87" s="583"/>
      <c r="D87" s="559"/>
      <c r="E87" s="175" t="s">
        <v>247</v>
      </c>
      <c r="F87" s="109">
        <v>0.18228319727593775</v>
      </c>
      <c r="G87" s="54" t="s">
        <v>1230</v>
      </c>
      <c r="H87" s="109">
        <v>0.21301854876468618</v>
      </c>
      <c r="I87" s="54" t="s">
        <v>1230</v>
      </c>
      <c r="J87" s="176">
        <v>0.2077900190166157</v>
      </c>
      <c r="K87" s="111"/>
      <c r="L87" s="57"/>
      <c r="M87" s="57">
        <v>6</v>
      </c>
      <c r="N87" s="559"/>
      <c r="O87" s="566"/>
    </row>
    <row r="88" spans="1:15" ht="15.75" customHeight="1" outlineLevel="1" x14ac:dyDescent="0.25">
      <c r="A88" s="541"/>
      <c r="B88" s="559"/>
      <c r="C88" s="583"/>
      <c r="D88" s="559"/>
      <c r="E88" s="175" t="s">
        <v>248</v>
      </c>
      <c r="F88" s="109">
        <v>0.12601137536575605</v>
      </c>
      <c r="G88" s="54" t="s">
        <v>1230</v>
      </c>
      <c r="H88" s="109">
        <v>0.1209937731641368</v>
      </c>
      <c r="I88" s="54" t="s">
        <v>1230</v>
      </c>
      <c r="J88" s="176">
        <v>0.18937700938394275</v>
      </c>
      <c r="K88" s="111"/>
      <c r="L88" s="57"/>
      <c r="M88" s="57">
        <v>6</v>
      </c>
      <c r="N88" s="559"/>
      <c r="O88" s="566"/>
    </row>
    <row r="89" spans="1:15" ht="15.75" customHeight="1" outlineLevel="1" x14ac:dyDescent="0.25">
      <c r="A89" s="541"/>
      <c r="B89" s="559"/>
      <c r="C89" s="583"/>
      <c r="D89" s="559"/>
      <c r="E89" s="175" t="s">
        <v>249</v>
      </c>
      <c r="F89" s="109">
        <v>0.67497548661243234</v>
      </c>
      <c r="G89" s="54" t="s">
        <v>1230</v>
      </c>
      <c r="H89" s="109">
        <v>0.64956267886388475</v>
      </c>
      <c r="I89" s="54" t="s">
        <v>1230</v>
      </c>
      <c r="J89" s="176">
        <v>0.58447208184806976</v>
      </c>
      <c r="K89" s="111"/>
      <c r="L89" s="57"/>
      <c r="M89" s="57">
        <v>6</v>
      </c>
      <c r="N89" s="559"/>
      <c r="O89" s="566"/>
    </row>
    <row r="90" spans="1:15" ht="15.75" customHeight="1" outlineLevel="1" x14ac:dyDescent="0.25">
      <c r="A90" s="541"/>
      <c r="B90" s="559"/>
      <c r="C90" s="583"/>
      <c r="D90" s="559"/>
      <c r="E90" s="175" t="s">
        <v>250</v>
      </c>
      <c r="F90" s="109">
        <v>9.9282458822300013E-3</v>
      </c>
      <c r="G90" s="54" t="s">
        <v>1230</v>
      </c>
      <c r="H90" s="109">
        <v>8.8528610876254625E-3</v>
      </c>
      <c r="I90" s="54" t="s">
        <v>1230</v>
      </c>
      <c r="J90" s="176">
        <v>1.0359754065244552E-2</v>
      </c>
      <c r="K90" s="111"/>
      <c r="L90" s="57"/>
      <c r="M90" s="57">
        <v>6</v>
      </c>
      <c r="N90" s="559"/>
      <c r="O90" s="566"/>
    </row>
    <row r="91" spans="1:15" ht="15.75" customHeight="1" outlineLevel="1" x14ac:dyDescent="0.25">
      <c r="A91" s="541"/>
      <c r="B91" s="559"/>
      <c r="C91" s="583"/>
      <c r="D91" s="559"/>
      <c r="E91" s="175" t="s">
        <v>251</v>
      </c>
      <c r="F91" s="109">
        <v>6.8016951395698366E-3</v>
      </c>
      <c r="G91" s="54" t="s">
        <v>1229</v>
      </c>
      <c r="H91" s="109">
        <v>7.5721388526237597E-3</v>
      </c>
      <c r="I91" s="54" t="s">
        <v>1229</v>
      </c>
      <c r="J91" s="176">
        <v>8.0011329479051374E-3</v>
      </c>
      <c r="K91" s="111"/>
      <c r="L91" s="57"/>
      <c r="M91" s="57">
        <v>6</v>
      </c>
      <c r="N91" s="559"/>
      <c r="O91" s="566"/>
    </row>
    <row r="92" spans="1:15" ht="15.75" customHeight="1" outlineLevel="1" x14ac:dyDescent="0.25">
      <c r="A92" s="541"/>
      <c r="B92" s="559"/>
      <c r="C92" s="583"/>
      <c r="D92" s="559"/>
      <c r="E92" s="42" t="s">
        <v>252</v>
      </c>
      <c r="F92" s="177">
        <v>98.296139027123331</v>
      </c>
      <c r="G92" s="54" t="s">
        <v>1230</v>
      </c>
      <c r="H92" s="177">
        <v>107.82535308216103</v>
      </c>
      <c r="I92" s="54" t="s">
        <v>1230</v>
      </c>
      <c r="J92" s="178">
        <v>124.98911664695989</v>
      </c>
      <c r="K92" s="111"/>
      <c r="L92" s="57"/>
      <c r="M92" s="57">
        <v>6</v>
      </c>
      <c r="N92" s="559"/>
      <c r="O92" s="566"/>
    </row>
    <row r="93" spans="1:15" ht="15.75" customHeight="1" outlineLevel="1" x14ac:dyDescent="0.25">
      <c r="A93" s="541"/>
      <c r="B93" s="559"/>
      <c r="C93" s="583"/>
      <c r="D93" s="559"/>
      <c r="E93" s="175" t="s">
        <v>253</v>
      </c>
      <c r="F93" s="179">
        <v>5.8974027000000006E-4</v>
      </c>
      <c r="G93" s="54" t="s">
        <v>1230</v>
      </c>
      <c r="H93" s="179">
        <v>4.1588748599999999E-4</v>
      </c>
      <c r="I93" s="54" t="s">
        <v>1230</v>
      </c>
      <c r="J93" s="180">
        <v>5.1548080080000001E-4</v>
      </c>
      <c r="K93" s="56"/>
      <c r="L93" s="57"/>
      <c r="M93" s="57">
        <v>6</v>
      </c>
      <c r="N93" s="559"/>
      <c r="O93" s="566"/>
    </row>
    <row r="94" spans="1:15" ht="15.75" customHeight="1" outlineLevel="1" x14ac:dyDescent="0.25">
      <c r="A94" s="541"/>
      <c r="B94" s="559"/>
      <c r="C94" s="583"/>
      <c r="D94" s="559"/>
      <c r="E94" s="175" t="s">
        <v>254</v>
      </c>
      <c r="F94" s="173">
        <v>38.449082247104499</v>
      </c>
      <c r="G94" s="54" t="s">
        <v>1229</v>
      </c>
      <c r="H94" s="173">
        <v>38.752135662362505</v>
      </c>
      <c r="I94" s="54" t="s">
        <v>1229</v>
      </c>
      <c r="J94" s="174">
        <v>39.869910039812702</v>
      </c>
      <c r="K94" s="56"/>
      <c r="L94" s="57"/>
      <c r="M94" s="57">
        <v>6</v>
      </c>
      <c r="N94" s="559"/>
      <c r="O94" s="566"/>
    </row>
    <row r="95" spans="1:15" ht="15.75" customHeight="1" outlineLevel="1" x14ac:dyDescent="0.25">
      <c r="A95" s="541"/>
      <c r="B95" s="559"/>
      <c r="C95" s="583"/>
      <c r="D95" s="559"/>
      <c r="E95" s="175" t="s">
        <v>255</v>
      </c>
      <c r="F95" s="173">
        <v>13.3000683245033</v>
      </c>
      <c r="G95" s="54" t="s">
        <v>1229</v>
      </c>
      <c r="H95" s="173">
        <v>15.1516875883335</v>
      </c>
      <c r="I95" s="54" t="s">
        <v>1229</v>
      </c>
      <c r="J95" s="174">
        <v>16.2631613320311</v>
      </c>
      <c r="K95" s="56"/>
      <c r="L95" s="57"/>
      <c r="M95" s="57">
        <v>6</v>
      </c>
      <c r="N95" s="559"/>
      <c r="O95" s="566"/>
    </row>
    <row r="96" spans="1:15" ht="15.75" customHeight="1" outlineLevel="1" x14ac:dyDescent="0.25">
      <c r="A96" s="541"/>
      <c r="B96" s="559"/>
      <c r="C96" s="583"/>
      <c r="D96" s="559"/>
      <c r="E96" s="175" t="s">
        <v>256</v>
      </c>
      <c r="F96" s="173">
        <v>5.6821713733992301</v>
      </c>
      <c r="G96" s="54" t="s">
        <v>1229</v>
      </c>
      <c r="H96" s="173">
        <v>5.3564636132080201</v>
      </c>
      <c r="I96" s="54" t="s">
        <v>1229</v>
      </c>
      <c r="J96" s="174">
        <v>5.5428275144488799</v>
      </c>
      <c r="K96" s="56"/>
      <c r="L96" s="57"/>
      <c r="M96" s="57">
        <v>6</v>
      </c>
      <c r="N96" s="559"/>
      <c r="O96" s="566"/>
    </row>
    <row r="97" spans="1:15" ht="15.75" customHeight="1" outlineLevel="1" x14ac:dyDescent="0.25">
      <c r="A97" s="541"/>
      <c r="B97" s="559"/>
      <c r="C97" s="583"/>
      <c r="D97" s="559"/>
      <c r="E97" s="175" t="s">
        <v>257</v>
      </c>
      <c r="F97" s="173">
        <v>25.3683101031509</v>
      </c>
      <c r="G97" s="54" t="s">
        <v>1229</v>
      </c>
      <c r="H97" s="173">
        <v>31.200517551513901</v>
      </c>
      <c r="I97" s="54" t="s">
        <v>1229</v>
      </c>
      <c r="J97" s="174">
        <v>32.9069095742855</v>
      </c>
      <c r="K97" s="56"/>
      <c r="L97" s="57"/>
      <c r="M97" s="57">
        <v>6</v>
      </c>
      <c r="N97" s="559"/>
      <c r="O97" s="566"/>
    </row>
    <row r="98" spans="1:15" ht="15.75" customHeight="1" outlineLevel="1" x14ac:dyDescent="0.25">
      <c r="A98" s="541"/>
      <c r="B98" s="559"/>
      <c r="C98" s="583"/>
      <c r="D98" s="559"/>
      <c r="E98" s="175" t="s">
        <v>258</v>
      </c>
      <c r="F98" s="173">
        <v>0.53540225979159994</v>
      </c>
      <c r="G98" s="54" t="s">
        <v>1229</v>
      </c>
      <c r="H98" s="173">
        <v>1.6432152915136</v>
      </c>
      <c r="I98" s="54" t="s">
        <v>1229</v>
      </c>
      <c r="J98" s="174">
        <v>12.8719648134828</v>
      </c>
      <c r="K98" s="56"/>
      <c r="L98" s="57"/>
      <c r="M98" s="57">
        <v>6</v>
      </c>
      <c r="N98" s="559"/>
      <c r="O98" s="566"/>
    </row>
    <row r="99" spans="1:15" ht="15.75" customHeight="1" outlineLevel="1" x14ac:dyDescent="0.25">
      <c r="A99" s="541"/>
      <c r="B99" s="559"/>
      <c r="C99" s="583"/>
      <c r="D99" s="559"/>
      <c r="E99" s="175" t="s">
        <v>259</v>
      </c>
      <c r="F99" s="173">
        <v>14.960514978903799</v>
      </c>
      <c r="G99" s="54" t="s">
        <v>1230</v>
      </c>
      <c r="H99" s="173">
        <v>15.720917487743499</v>
      </c>
      <c r="I99" s="54" t="s">
        <v>1230</v>
      </c>
      <c r="J99" s="174">
        <v>17.533827892098099</v>
      </c>
      <c r="K99" s="56"/>
      <c r="L99" s="57"/>
      <c r="M99" s="57">
        <v>6</v>
      </c>
      <c r="N99" s="559"/>
      <c r="O99" s="566"/>
    </row>
    <row r="100" spans="1:15" ht="15.75" customHeight="1" outlineLevel="1" x14ac:dyDescent="0.25">
      <c r="A100" s="541"/>
      <c r="B100" s="559"/>
      <c r="C100" s="583"/>
      <c r="D100" s="559"/>
      <c r="E100" s="175" t="s">
        <v>260</v>
      </c>
      <c r="F100" s="177">
        <v>98.296139027123218</v>
      </c>
      <c r="G100" s="54" t="s">
        <v>1230</v>
      </c>
      <c r="H100" s="177">
        <v>107.82535308216109</v>
      </c>
      <c r="I100" s="54" t="s">
        <v>1230</v>
      </c>
      <c r="J100" s="178">
        <v>124.98911664696008</v>
      </c>
      <c r="K100" s="111"/>
      <c r="L100" s="57"/>
      <c r="M100" s="57">
        <v>6</v>
      </c>
      <c r="N100" s="559"/>
      <c r="O100" s="566"/>
    </row>
    <row r="101" spans="1:15" ht="15.75" customHeight="1" outlineLevel="1" x14ac:dyDescent="0.25">
      <c r="A101" s="541"/>
      <c r="B101" s="559"/>
      <c r="C101" s="583"/>
      <c r="D101" s="559"/>
      <c r="E101" s="175" t="s">
        <v>261</v>
      </c>
      <c r="F101" s="173">
        <v>12.3876814989371</v>
      </c>
      <c r="G101" s="54" t="s">
        <v>1229</v>
      </c>
      <c r="H101" s="173">
        <v>12.475508207838699</v>
      </c>
      <c r="I101" s="54" t="s">
        <v>1229</v>
      </c>
      <c r="J101" s="174">
        <v>25.376626619728803</v>
      </c>
      <c r="K101" s="56"/>
      <c r="L101" s="57"/>
      <c r="M101" s="57">
        <v>6</v>
      </c>
      <c r="N101" s="559"/>
      <c r="O101" s="566"/>
    </row>
    <row r="102" spans="1:15" ht="15.75" customHeight="1" outlineLevel="1" x14ac:dyDescent="0.25">
      <c r="A102" s="541"/>
      <c r="B102" s="559"/>
      <c r="C102" s="583"/>
      <c r="D102" s="559"/>
      <c r="E102" s="175" t="s">
        <v>262</v>
      </c>
      <c r="F102" s="173">
        <v>5.1002903747975799</v>
      </c>
      <c r="G102" s="54" t="s">
        <v>1230</v>
      </c>
      <c r="H102" s="173">
        <v>4.9868350084663602</v>
      </c>
      <c r="I102" s="54" t="s">
        <v>1230</v>
      </c>
      <c r="J102" s="174">
        <v>5.4774055920936204</v>
      </c>
      <c r="K102" s="56"/>
      <c r="L102" s="57"/>
      <c r="M102" s="57">
        <v>6</v>
      </c>
      <c r="N102" s="559"/>
      <c r="O102" s="566"/>
    </row>
    <row r="103" spans="1:15" ht="15.75" customHeight="1" outlineLevel="1" x14ac:dyDescent="0.25">
      <c r="A103" s="541"/>
      <c r="B103" s="559"/>
      <c r="C103" s="583"/>
      <c r="D103" s="559"/>
      <c r="E103" s="175" t="s">
        <v>263</v>
      </c>
      <c r="F103" s="173">
        <v>52.123487718465199</v>
      </c>
      <c r="G103" s="54" t="s">
        <v>1229</v>
      </c>
      <c r="H103" s="173">
        <v>59.165207776257795</v>
      </c>
      <c r="I103" s="54" t="s">
        <v>1229</v>
      </c>
      <c r="J103" s="174">
        <v>62.409981507228899</v>
      </c>
      <c r="K103" s="56"/>
      <c r="L103" s="57"/>
      <c r="M103" s="57">
        <v>6</v>
      </c>
      <c r="N103" s="559"/>
      <c r="O103" s="566"/>
    </row>
    <row r="104" spans="1:15" ht="15.75" customHeight="1" outlineLevel="1" x14ac:dyDescent="0.25">
      <c r="A104" s="541"/>
      <c r="B104" s="559"/>
      <c r="C104" s="583"/>
      <c r="D104" s="559"/>
      <c r="E104" s="175" t="s">
        <v>264</v>
      </c>
      <c r="F104" s="173">
        <v>1.98538540824581</v>
      </c>
      <c r="G104" s="54" t="s">
        <v>1229</v>
      </c>
      <c r="H104" s="173">
        <v>2.17627038687213</v>
      </c>
      <c r="I104" s="54" t="s">
        <v>1229</v>
      </c>
      <c r="J104" s="174">
        <v>1.7566033896293298</v>
      </c>
      <c r="K104" s="56"/>
      <c r="L104" s="57"/>
      <c r="M104" s="57">
        <v>6</v>
      </c>
      <c r="N104" s="559"/>
      <c r="O104" s="566"/>
    </row>
    <row r="105" spans="1:15" ht="15.75" customHeight="1" outlineLevel="1" x14ac:dyDescent="0.25">
      <c r="A105" s="541"/>
      <c r="B105" s="559"/>
      <c r="C105" s="583"/>
      <c r="D105" s="559"/>
      <c r="E105" s="175" t="s">
        <v>265</v>
      </c>
      <c r="F105" s="173">
        <v>7.0413716234310302</v>
      </c>
      <c r="G105" s="54" t="s">
        <v>1229</v>
      </c>
      <c r="H105" s="173">
        <v>6.8733816984140104</v>
      </c>
      <c r="I105" s="54" t="s">
        <v>1229</v>
      </c>
      <c r="J105" s="174">
        <v>7.2860894872238307</v>
      </c>
      <c r="K105" s="56"/>
      <c r="L105" s="57"/>
      <c r="M105" s="57">
        <v>6</v>
      </c>
      <c r="N105" s="559"/>
      <c r="O105" s="566"/>
    </row>
    <row r="106" spans="1:15" ht="15.75" customHeight="1" outlineLevel="1" x14ac:dyDescent="0.25">
      <c r="A106" s="541"/>
      <c r="B106" s="559"/>
      <c r="C106" s="583"/>
      <c r="D106" s="559"/>
      <c r="E106" s="175" t="s">
        <v>266</v>
      </c>
      <c r="F106" s="173">
        <v>19.657922403246499</v>
      </c>
      <c r="G106" s="54" t="s">
        <v>1229</v>
      </c>
      <c r="H106" s="173">
        <v>22.1481500043121</v>
      </c>
      <c r="I106" s="54" t="s">
        <v>1229</v>
      </c>
      <c r="J106" s="174">
        <v>22.682410051055598</v>
      </c>
      <c r="K106" s="56"/>
      <c r="L106" s="57"/>
      <c r="M106" s="57">
        <v>6</v>
      </c>
      <c r="N106" s="559"/>
      <c r="O106" s="570"/>
    </row>
    <row r="107" spans="1:15" ht="15.75" customHeight="1" outlineLevel="1" x14ac:dyDescent="0.25">
      <c r="A107" s="541"/>
      <c r="B107" s="559"/>
      <c r="C107" s="583"/>
      <c r="D107" s="559"/>
      <c r="E107" s="42" t="s">
        <v>267</v>
      </c>
      <c r="F107" s="173">
        <v>88.229574801445807</v>
      </c>
      <c r="G107" s="54" t="s">
        <v>1230</v>
      </c>
      <c r="H107" s="173">
        <v>85.781894686453001</v>
      </c>
      <c r="I107" s="54" t="s">
        <v>1230</v>
      </c>
      <c r="J107" s="174">
        <v>77.309499358476003</v>
      </c>
      <c r="K107" s="56"/>
      <c r="L107" s="57"/>
      <c r="M107" s="57">
        <v>6</v>
      </c>
      <c r="N107" s="559"/>
      <c r="O107" s="559" t="s">
        <v>268</v>
      </c>
    </row>
    <row r="108" spans="1:15" ht="15.75" customHeight="1" outlineLevel="1" x14ac:dyDescent="0.25">
      <c r="A108" s="541"/>
      <c r="B108" s="559"/>
      <c r="C108" s="583"/>
      <c r="D108" s="559"/>
      <c r="E108" s="175" t="s">
        <v>269</v>
      </c>
      <c r="F108" s="181">
        <v>0.82385058309027548</v>
      </c>
      <c r="G108" s="54" t="s">
        <v>1230</v>
      </c>
      <c r="H108" s="181">
        <v>0.83989023280150854</v>
      </c>
      <c r="I108" s="54" t="s">
        <v>1230</v>
      </c>
      <c r="J108" s="182">
        <v>0.87524467176201071</v>
      </c>
      <c r="K108" s="111"/>
      <c r="L108" s="74"/>
      <c r="M108" s="57">
        <v>6</v>
      </c>
      <c r="N108" s="559"/>
      <c r="O108" s="566"/>
    </row>
    <row r="109" spans="1:15" ht="21" customHeight="1" outlineLevel="1" x14ac:dyDescent="0.25">
      <c r="A109" s="541"/>
      <c r="B109" s="559"/>
      <c r="C109" s="583"/>
      <c r="D109" s="559"/>
      <c r="E109" s="175" t="s">
        <v>270</v>
      </c>
      <c r="F109" s="181">
        <v>0.17614941690972449</v>
      </c>
      <c r="G109" s="54" t="s">
        <v>1230</v>
      </c>
      <c r="H109" s="181">
        <v>0.16010976719849143</v>
      </c>
      <c r="I109" s="54" t="s">
        <v>1230</v>
      </c>
      <c r="J109" s="182">
        <v>0.12475532823798935</v>
      </c>
      <c r="K109" s="111"/>
      <c r="L109" s="74"/>
      <c r="M109" s="57">
        <v>6</v>
      </c>
      <c r="N109" s="559"/>
      <c r="O109" s="566"/>
    </row>
    <row r="110" spans="1:15" ht="15.75" customHeight="1" outlineLevel="1" x14ac:dyDescent="0.25">
      <c r="A110" s="541"/>
      <c r="B110" s="559"/>
      <c r="C110" s="583"/>
      <c r="D110" s="559"/>
      <c r="E110" s="42" t="s">
        <v>271</v>
      </c>
      <c r="F110" s="183">
        <v>88.229574801445835</v>
      </c>
      <c r="G110" s="54" t="s">
        <v>1230</v>
      </c>
      <c r="H110" s="183">
        <v>85.781894686453128</v>
      </c>
      <c r="I110" s="54" t="s">
        <v>1230</v>
      </c>
      <c r="J110" s="184">
        <v>77.309499358476103</v>
      </c>
      <c r="K110" s="111"/>
      <c r="L110" s="74"/>
      <c r="M110" s="57">
        <v>6</v>
      </c>
      <c r="N110" s="559"/>
      <c r="O110" s="566"/>
    </row>
    <row r="111" spans="1:15" ht="15.75" customHeight="1" outlineLevel="1" x14ac:dyDescent="0.25">
      <c r="A111" s="541"/>
      <c r="B111" s="559"/>
      <c r="C111" s="583"/>
      <c r="D111" s="559"/>
      <c r="E111" s="175" t="s">
        <v>253</v>
      </c>
      <c r="F111" s="173">
        <v>0</v>
      </c>
      <c r="G111" s="54" t="s">
        <v>1229</v>
      </c>
      <c r="H111" s="173">
        <v>0</v>
      </c>
      <c r="I111" s="54" t="s">
        <v>1229</v>
      </c>
      <c r="J111" s="174">
        <v>0</v>
      </c>
      <c r="K111" s="56"/>
      <c r="L111" s="74"/>
      <c r="M111" s="57">
        <v>6</v>
      </c>
      <c r="N111" s="559"/>
      <c r="O111" s="566"/>
    </row>
    <row r="112" spans="1:15" ht="15.75" customHeight="1" outlineLevel="1" x14ac:dyDescent="0.25">
      <c r="A112" s="541"/>
      <c r="B112" s="559"/>
      <c r="C112" s="583"/>
      <c r="D112" s="559"/>
      <c r="E112" s="175" t="s">
        <v>254</v>
      </c>
      <c r="F112" s="173">
        <v>5.6161825551223004</v>
      </c>
      <c r="G112" s="54" t="s">
        <v>1229</v>
      </c>
      <c r="H112" s="173">
        <v>5.76968198759569</v>
      </c>
      <c r="I112" s="54" t="s">
        <v>1229</v>
      </c>
      <c r="J112" s="174">
        <v>5.5366029186442498</v>
      </c>
      <c r="K112" s="56"/>
      <c r="L112" s="74"/>
      <c r="M112" s="57">
        <v>6</v>
      </c>
      <c r="N112" s="559"/>
      <c r="O112" s="566"/>
    </row>
    <row r="113" spans="1:15" ht="15.75" customHeight="1" outlineLevel="1" x14ac:dyDescent="0.25">
      <c r="A113" s="541"/>
      <c r="B113" s="559"/>
      <c r="C113" s="583"/>
      <c r="D113" s="559"/>
      <c r="E113" s="175" t="s">
        <v>255</v>
      </c>
      <c r="F113" s="173">
        <v>14.4721057783094</v>
      </c>
      <c r="G113" s="54" t="s">
        <v>1230</v>
      </c>
      <c r="H113" s="173">
        <v>13.869385129424499</v>
      </c>
      <c r="I113" s="54" t="s">
        <v>1229</v>
      </c>
      <c r="J113" s="174">
        <v>13.0202565676259</v>
      </c>
      <c r="K113" s="56"/>
      <c r="L113" s="74"/>
      <c r="M113" s="57">
        <v>6</v>
      </c>
      <c r="N113" s="559"/>
      <c r="O113" s="566"/>
    </row>
    <row r="114" spans="1:15" ht="15.75" customHeight="1" outlineLevel="1" x14ac:dyDescent="0.25">
      <c r="A114" s="541"/>
      <c r="B114" s="559"/>
      <c r="C114" s="583"/>
      <c r="D114" s="559"/>
      <c r="E114" s="175" t="s">
        <v>256</v>
      </c>
      <c r="F114" s="173">
        <v>23.064069645791403</v>
      </c>
      <c r="G114" s="54" t="s">
        <v>1229</v>
      </c>
      <c r="H114" s="173">
        <v>23.969002572985598</v>
      </c>
      <c r="I114" s="54" t="s">
        <v>1229</v>
      </c>
      <c r="J114" s="174">
        <v>18.611036601798599</v>
      </c>
      <c r="K114" s="56"/>
      <c r="L114" s="74"/>
      <c r="M114" s="57">
        <v>6</v>
      </c>
      <c r="N114" s="559"/>
      <c r="O114" s="566"/>
    </row>
    <row r="115" spans="1:15" ht="15.75" customHeight="1" outlineLevel="1" x14ac:dyDescent="0.25">
      <c r="A115" s="541"/>
      <c r="B115" s="559"/>
      <c r="C115" s="583"/>
      <c r="D115" s="559"/>
      <c r="E115" s="175" t="s">
        <v>257</v>
      </c>
      <c r="F115" s="173">
        <v>5.0293616416187099</v>
      </c>
      <c r="G115" s="54" t="s">
        <v>1229</v>
      </c>
      <c r="H115" s="173">
        <v>4.8620011618705101</v>
      </c>
      <c r="I115" s="54" t="s">
        <v>1229</v>
      </c>
      <c r="J115" s="174">
        <v>4.9715542169963998</v>
      </c>
      <c r="K115" s="56"/>
      <c r="L115" s="74"/>
      <c r="M115" s="57">
        <v>6</v>
      </c>
      <c r="N115" s="559"/>
      <c r="O115" s="566"/>
    </row>
    <row r="116" spans="1:15" ht="15.75" customHeight="1" outlineLevel="1" x14ac:dyDescent="0.25">
      <c r="A116" s="541"/>
      <c r="B116" s="559"/>
      <c r="C116" s="583"/>
      <c r="D116" s="559"/>
      <c r="E116" s="175" t="s">
        <v>258</v>
      </c>
      <c r="F116" s="185">
        <v>9.7708007194244995E-2</v>
      </c>
      <c r="G116" s="54" t="s">
        <v>1229</v>
      </c>
      <c r="H116" s="185">
        <v>9.2416392086330998E-2</v>
      </c>
      <c r="I116" s="54" t="s">
        <v>1229</v>
      </c>
      <c r="J116" s="186">
        <v>0.50190779856115197</v>
      </c>
      <c r="K116" s="56"/>
      <c r="L116" s="74"/>
      <c r="M116" s="57">
        <v>6</v>
      </c>
      <c r="N116" s="559"/>
      <c r="O116" s="566"/>
    </row>
    <row r="117" spans="1:15" ht="15.75" customHeight="1" outlineLevel="1" x14ac:dyDescent="0.25">
      <c r="A117" s="541"/>
      <c r="B117" s="559"/>
      <c r="C117" s="583"/>
      <c r="D117" s="559"/>
      <c r="E117" s="175" t="s">
        <v>259</v>
      </c>
      <c r="F117" s="173">
        <v>39.950147173409796</v>
      </c>
      <c r="G117" s="54" t="s">
        <v>1230</v>
      </c>
      <c r="H117" s="173">
        <v>37.2194074424905</v>
      </c>
      <c r="I117" s="54" t="s">
        <v>1230</v>
      </c>
      <c r="J117" s="174">
        <v>34.6681412548498</v>
      </c>
      <c r="K117" s="56"/>
      <c r="L117" s="74"/>
      <c r="M117" s="57">
        <v>6</v>
      </c>
      <c r="N117" s="559"/>
      <c r="O117" s="566"/>
    </row>
    <row r="118" spans="1:15" ht="15.75" customHeight="1" outlineLevel="1" x14ac:dyDescent="0.25">
      <c r="A118" s="541"/>
      <c r="B118" s="559"/>
      <c r="C118" s="583"/>
      <c r="D118" s="559"/>
      <c r="E118" s="175" t="s">
        <v>272</v>
      </c>
      <c r="F118" s="183">
        <v>88.229574801445693</v>
      </c>
      <c r="G118" s="54" t="s">
        <v>1230</v>
      </c>
      <c r="H118" s="183">
        <v>85.781894686453043</v>
      </c>
      <c r="I118" s="54" t="s">
        <v>1230</v>
      </c>
      <c r="J118" s="184">
        <v>77.309499358475975</v>
      </c>
      <c r="K118" s="111"/>
      <c r="L118" s="74"/>
      <c r="M118" s="57">
        <v>6</v>
      </c>
      <c r="N118" s="559"/>
      <c r="O118" s="566"/>
    </row>
    <row r="119" spans="1:15" ht="15.75" customHeight="1" outlineLevel="1" x14ac:dyDescent="0.25">
      <c r="A119" s="541"/>
      <c r="B119" s="559"/>
      <c r="C119" s="583"/>
      <c r="D119" s="559"/>
      <c r="E119" s="175" t="s">
        <v>261</v>
      </c>
      <c r="F119" s="173">
        <v>28.472781487589902</v>
      </c>
      <c r="G119" s="54" t="s">
        <v>1229</v>
      </c>
      <c r="H119" s="173">
        <v>29.3283624848921</v>
      </c>
      <c r="I119" s="54" t="s">
        <v>1229</v>
      </c>
      <c r="J119" s="174">
        <v>23.961224001834498</v>
      </c>
      <c r="K119" s="56"/>
      <c r="L119" s="74"/>
      <c r="M119" s="57">
        <v>6</v>
      </c>
      <c r="N119" s="559"/>
      <c r="O119" s="566"/>
    </row>
    <row r="120" spans="1:15" ht="15.75" customHeight="1" outlineLevel="1" x14ac:dyDescent="0.25">
      <c r="A120" s="541"/>
      <c r="B120" s="559"/>
      <c r="C120" s="583"/>
      <c r="D120" s="559"/>
      <c r="E120" s="175" t="s">
        <v>262</v>
      </c>
      <c r="F120" s="173">
        <v>16.480065537366599</v>
      </c>
      <c r="G120" s="54" t="s">
        <v>1230</v>
      </c>
      <c r="H120" s="173">
        <v>16.2144113843969</v>
      </c>
      <c r="I120" s="54" t="s">
        <v>1230</v>
      </c>
      <c r="J120" s="174">
        <v>16.0499389819424</v>
      </c>
      <c r="K120" s="56"/>
      <c r="L120" s="74"/>
      <c r="M120" s="57">
        <v>6</v>
      </c>
      <c r="N120" s="559"/>
      <c r="O120" s="566"/>
    </row>
    <row r="121" spans="1:15" ht="15.75" customHeight="1" outlineLevel="1" x14ac:dyDescent="0.25">
      <c r="A121" s="541"/>
      <c r="B121" s="559"/>
      <c r="C121" s="583"/>
      <c r="D121" s="559"/>
      <c r="E121" s="175" t="s">
        <v>263</v>
      </c>
      <c r="F121" s="173">
        <v>9.1034861582985585</v>
      </c>
      <c r="G121" s="54" t="s">
        <v>1230</v>
      </c>
      <c r="H121" s="173">
        <v>8.9109383082179914</v>
      </c>
      <c r="I121" s="54" t="s">
        <v>1229</v>
      </c>
      <c r="J121" s="174">
        <v>8.1329959946334487</v>
      </c>
      <c r="K121" s="56"/>
      <c r="L121" s="74"/>
      <c r="M121" s="57">
        <v>6</v>
      </c>
      <c r="N121" s="559"/>
      <c r="O121" s="566"/>
    </row>
    <row r="122" spans="1:15" ht="15.75" customHeight="1" outlineLevel="1" x14ac:dyDescent="0.25">
      <c r="A122" s="541"/>
      <c r="B122" s="559"/>
      <c r="C122" s="583"/>
      <c r="D122" s="559"/>
      <c r="E122" s="175" t="s">
        <v>264</v>
      </c>
      <c r="F122" s="173">
        <v>14.279367615107901</v>
      </c>
      <c r="G122" s="54" t="s">
        <v>1229</v>
      </c>
      <c r="H122" s="173">
        <v>12.242649556115101</v>
      </c>
      <c r="I122" s="54" t="s">
        <v>1229</v>
      </c>
      <c r="J122" s="174">
        <v>10.473079737410101</v>
      </c>
      <c r="K122" s="56"/>
      <c r="L122" s="74"/>
      <c r="M122" s="57">
        <v>6</v>
      </c>
      <c r="N122" s="559"/>
      <c r="O122" s="566"/>
    </row>
    <row r="123" spans="1:15" ht="15.75" customHeight="1" outlineLevel="1" x14ac:dyDescent="0.25">
      <c r="A123" s="541"/>
      <c r="B123" s="559"/>
      <c r="C123" s="583"/>
      <c r="D123" s="559"/>
      <c r="E123" s="175" t="s">
        <v>265</v>
      </c>
      <c r="F123" s="173">
        <v>10.556570429748199</v>
      </c>
      <c r="G123" s="54" t="s">
        <v>1229</v>
      </c>
      <c r="H123" s="173">
        <v>9.5949686892086383</v>
      </c>
      <c r="I123" s="54" t="s">
        <v>1229</v>
      </c>
      <c r="J123" s="174">
        <v>9.5540543920863303</v>
      </c>
      <c r="K123" s="56"/>
      <c r="L123" s="74"/>
      <c r="M123" s="57">
        <v>6</v>
      </c>
      <c r="N123" s="559"/>
      <c r="O123" s="566"/>
    </row>
    <row r="124" spans="1:15" ht="15.75" customHeight="1" outlineLevel="1" x14ac:dyDescent="0.25">
      <c r="A124" s="541"/>
      <c r="B124" s="559"/>
      <c r="C124" s="583"/>
      <c r="D124" s="559"/>
      <c r="E124" s="175" t="s">
        <v>266</v>
      </c>
      <c r="F124" s="173">
        <v>9.3373035733345304</v>
      </c>
      <c r="G124" s="54" t="s">
        <v>1229</v>
      </c>
      <c r="H124" s="173">
        <v>9.4905642636223</v>
      </c>
      <c r="I124" s="54" t="s">
        <v>1229</v>
      </c>
      <c r="J124" s="174">
        <v>9.1382062505692012</v>
      </c>
      <c r="K124" s="56"/>
      <c r="L124" s="74"/>
      <c r="M124" s="57">
        <v>6</v>
      </c>
      <c r="N124" s="559"/>
      <c r="O124" s="570"/>
    </row>
    <row r="125" spans="1:15" ht="45.75" customHeight="1" outlineLevel="1" x14ac:dyDescent="0.25">
      <c r="A125" s="541"/>
      <c r="B125" s="559"/>
      <c r="C125" s="583"/>
      <c r="D125" s="559"/>
      <c r="E125" s="175" t="s">
        <v>273</v>
      </c>
      <c r="F125" s="187">
        <v>8.8553454929622355E-2</v>
      </c>
      <c r="G125" s="54" t="s">
        <v>1230</v>
      </c>
      <c r="H125" s="187">
        <v>7.5870517412715027E-2</v>
      </c>
      <c r="I125" s="54" t="s">
        <v>1230</v>
      </c>
      <c r="J125" s="188">
        <v>5.4076635256108292E-2</v>
      </c>
      <c r="K125" s="111"/>
      <c r="L125" s="74"/>
      <c r="M125" s="57">
        <v>6</v>
      </c>
      <c r="N125" s="559"/>
      <c r="O125" s="107" t="s">
        <v>274</v>
      </c>
    </row>
    <row r="126" spans="1:15" ht="48" customHeight="1" outlineLevel="1" x14ac:dyDescent="0.25">
      <c r="A126" s="541"/>
      <c r="B126" s="559"/>
      <c r="C126" s="584"/>
      <c r="D126" s="564"/>
      <c r="E126" s="175" t="s">
        <v>275</v>
      </c>
      <c r="F126" s="187">
        <v>0.17614941690972449</v>
      </c>
      <c r="G126" s="54" t="s">
        <v>1230</v>
      </c>
      <c r="H126" s="181">
        <v>0.16010976719849146</v>
      </c>
      <c r="I126" s="54" t="s">
        <v>1230</v>
      </c>
      <c r="J126" s="182">
        <v>0.12475532823798935</v>
      </c>
      <c r="K126" s="111"/>
      <c r="L126" s="74"/>
      <c r="M126" s="57">
        <v>6</v>
      </c>
      <c r="N126" s="564"/>
      <c r="O126" s="107" t="s">
        <v>274</v>
      </c>
    </row>
    <row r="127" spans="1:15" ht="53.25" customHeight="1" outlineLevel="1" x14ac:dyDescent="0.25">
      <c r="A127" s="540"/>
      <c r="B127" s="559"/>
      <c r="C127" s="126" t="s">
        <v>276</v>
      </c>
      <c r="D127" s="69" t="s">
        <v>277</v>
      </c>
      <c r="E127" s="189"/>
      <c r="F127" s="190" t="s">
        <v>153</v>
      </c>
      <c r="G127" s="191"/>
      <c r="H127" s="190" t="s">
        <v>153</v>
      </c>
      <c r="I127" s="191"/>
      <c r="J127" s="192" t="s">
        <v>153</v>
      </c>
      <c r="K127" s="143"/>
      <c r="L127" s="74"/>
      <c r="M127" s="74"/>
      <c r="N127" s="69"/>
      <c r="O127" s="107" t="s">
        <v>278</v>
      </c>
    </row>
    <row r="128" spans="1:15" ht="71.25" customHeight="1" outlineLevel="1" x14ac:dyDescent="0.25">
      <c r="A128" s="541"/>
      <c r="B128" s="559"/>
      <c r="C128" s="559" t="s">
        <v>279</v>
      </c>
      <c r="D128" s="559" t="s">
        <v>280</v>
      </c>
      <c r="E128" s="193" t="s">
        <v>281</v>
      </c>
      <c r="F128" s="194">
        <v>44.747689951234833</v>
      </c>
      <c r="G128" s="54" t="s">
        <v>1230</v>
      </c>
      <c r="H128" s="194">
        <v>49.623471180179116</v>
      </c>
      <c r="I128" s="54" t="s">
        <v>1230</v>
      </c>
      <c r="J128" s="195">
        <v>52.087183970672804</v>
      </c>
      <c r="K128" s="196"/>
      <c r="L128" s="74"/>
      <c r="M128" s="197"/>
      <c r="N128" s="559"/>
      <c r="O128" s="581" t="s">
        <v>282</v>
      </c>
    </row>
    <row r="129" spans="1:15" ht="71.25" customHeight="1" outlineLevel="1" x14ac:dyDescent="0.25">
      <c r="A129" s="541"/>
      <c r="B129" s="559"/>
      <c r="C129" s="559"/>
      <c r="D129" s="559"/>
      <c r="E129" s="193" t="s">
        <v>283</v>
      </c>
      <c r="F129" s="194">
        <v>32.410464588131312</v>
      </c>
      <c r="G129" s="54" t="s">
        <v>1230</v>
      </c>
      <c r="H129" s="194">
        <v>32.977759655643418</v>
      </c>
      <c r="I129" s="54" t="s">
        <v>1230</v>
      </c>
      <c r="J129" s="195">
        <v>30.152373496016946</v>
      </c>
      <c r="K129" s="196"/>
      <c r="L129" s="74"/>
      <c r="M129" s="197"/>
      <c r="N129" s="566"/>
      <c r="O129" s="581"/>
    </row>
    <row r="130" spans="1:15" ht="71.25" customHeight="1" outlineLevel="1" x14ac:dyDescent="0.25">
      <c r="A130" s="541"/>
      <c r="B130" s="559"/>
      <c r="C130" s="559"/>
      <c r="D130" s="559"/>
      <c r="E130" s="193" t="s">
        <v>284</v>
      </c>
      <c r="F130" s="194">
        <v>29.543711022333554</v>
      </c>
      <c r="G130" s="54" t="s">
        <v>1229</v>
      </c>
      <c r="H130" s="194">
        <v>31.65349735217071</v>
      </c>
      <c r="I130" s="54" t="s">
        <v>1229</v>
      </c>
      <c r="J130" s="195">
        <v>31.479713670281697</v>
      </c>
      <c r="K130" s="196"/>
      <c r="L130" s="74"/>
      <c r="M130" s="197"/>
      <c r="N130" s="566"/>
      <c r="O130" s="581"/>
    </row>
    <row r="131" spans="1:15" ht="135" customHeight="1" outlineLevel="1" x14ac:dyDescent="0.25">
      <c r="A131" s="541"/>
      <c r="B131" s="559"/>
      <c r="C131" s="559"/>
      <c r="D131" s="559"/>
      <c r="E131" s="193" t="s">
        <v>285</v>
      </c>
      <c r="F131" s="194">
        <v>0</v>
      </c>
      <c r="G131" s="54" t="s">
        <v>1229</v>
      </c>
      <c r="H131" s="194">
        <v>0</v>
      </c>
      <c r="I131" s="54" t="s">
        <v>1229</v>
      </c>
      <c r="J131" s="195">
        <v>86.669545837442172</v>
      </c>
      <c r="K131" s="198"/>
      <c r="L131" s="74"/>
      <c r="M131" s="197"/>
      <c r="N131" s="570"/>
      <c r="O131" s="582"/>
    </row>
    <row r="132" spans="1:15" ht="51" customHeight="1" outlineLevel="1" x14ac:dyDescent="0.25">
      <c r="A132" s="540"/>
      <c r="B132" s="559"/>
      <c r="C132" s="107" t="s">
        <v>286</v>
      </c>
      <c r="D132" s="48" t="s">
        <v>287</v>
      </c>
      <c r="E132" s="549" t="s">
        <v>288</v>
      </c>
      <c r="F132" s="585"/>
      <c r="G132" s="585"/>
      <c r="H132" s="585"/>
      <c r="I132" s="585"/>
      <c r="J132" s="585"/>
      <c r="K132" s="586"/>
      <c r="L132" s="74"/>
      <c r="M132" s="197"/>
      <c r="N132" s="42"/>
      <c r="O132" s="200"/>
    </row>
    <row r="133" spans="1:15" ht="15.75" x14ac:dyDescent="0.25">
      <c r="A133" s="540"/>
      <c r="B133" s="99" t="s">
        <v>289</v>
      </c>
      <c r="C133" s="120"/>
      <c r="D133" s="120"/>
      <c r="E133" s="120"/>
      <c r="F133" s="120"/>
      <c r="G133" s="121"/>
      <c r="H133" s="120"/>
      <c r="I133" s="121"/>
      <c r="J133" s="120"/>
      <c r="K133" s="121"/>
      <c r="L133" s="122"/>
      <c r="M133" s="122"/>
      <c r="N133" s="121"/>
      <c r="O133" s="124"/>
    </row>
    <row r="134" spans="1:15" ht="146.25" customHeight="1" outlineLevel="1" x14ac:dyDescent="0.25">
      <c r="A134" s="540"/>
      <c r="B134" s="34" t="s">
        <v>144</v>
      </c>
      <c r="C134" s="84" t="s">
        <v>139</v>
      </c>
      <c r="D134" s="41" t="s">
        <v>145</v>
      </c>
      <c r="E134" s="36" t="s">
        <v>290</v>
      </c>
      <c r="F134" s="37"/>
      <c r="G134" s="38"/>
      <c r="H134" s="37"/>
      <c r="I134" s="38"/>
      <c r="J134" s="39"/>
      <c r="K134" s="40"/>
      <c r="L134" s="83" t="s">
        <v>226</v>
      </c>
      <c r="M134" s="83">
        <v>6</v>
      </c>
      <c r="N134" s="562" t="s">
        <v>291</v>
      </c>
      <c r="O134" s="34"/>
    </row>
    <row r="135" spans="1:15" ht="30" outlineLevel="1" x14ac:dyDescent="0.25">
      <c r="A135" s="541"/>
      <c r="B135" s="560" t="s">
        <v>292</v>
      </c>
      <c r="C135" s="560" t="s">
        <v>293</v>
      </c>
      <c r="D135" s="49" t="s">
        <v>294</v>
      </c>
      <c r="E135" s="125"/>
      <c r="F135" s="37"/>
      <c r="G135" s="38"/>
      <c r="H135" s="37"/>
      <c r="I135" s="38"/>
      <c r="J135" s="39"/>
      <c r="K135" s="40"/>
      <c r="L135" s="83" t="s">
        <v>226</v>
      </c>
      <c r="M135" s="112">
        <v>6</v>
      </c>
      <c r="N135" s="562"/>
      <c r="O135" s="58"/>
    </row>
    <row r="136" spans="1:15" ht="132.75" customHeight="1" outlineLevel="1" x14ac:dyDescent="0.25">
      <c r="A136" s="541"/>
      <c r="B136" s="560"/>
      <c r="C136" s="560"/>
      <c r="D136" s="49" t="s">
        <v>295</v>
      </c>
      <c r="E136" s="51" t="s">
        <v>1231</v>
      </c>
      <c r="F136" s="109">
        <v>0.33</v>
      </c>
      <c r="G136" s="110"/>
      <c r="H136" s="109">
        <v>0.35</v>
      </c>
      <c r="I136" s="110"/>
      <c r="J136" s="176">
        <v>0.32</v>
      </c>
      <c r="K136" s="111"/>
      <c r="L136" s="83" t="s">
        <v>226</v>
      </c>
      <c r="M136" s="57">
        <v>6</v>
      </c>
      <c r="N136" s="562"/>
      <c r="O136" s="58" t="s">
        <v>296</v>
      </c>
    </row>
    <row r="137" spans="1:15" ht="72.75" customHeight="1" outlineLevel="1" x14ac:dyDescent="0.25">
      <c r="A137" s="540"/>
      <c r="B137" s="51" t="s">
        <v>292</v>
      </c>
      <c r="C137" s="51" t="s">
        <v>297</v>
      </c>
      <c r="D137" s="49" t="s">
        <v>298</v>
      </c>
      <c r="E137" s="36" t="s">
        <v>299</v>
      </c>
      <c r="F137" s="37"/>
      <c r="G137" s="38"/>
      <c r="H137" s="37"/>
      <c r="I137" s="38"/>
      <c r="J137" s="39"/>
      <c r="K137" s="40"/>
      <c r="L137" s="83" t="s">
        <v>226</v>
      </c>
      <c r="M137" s="112">
        <v>6</v>
      </c>
      <c r="N137" s="562"/>
      <c r="O137" s="58" t="s">
        <v>300</v>
      </c>
    </row>
    <row r="138" spans="1:15" ht="265.5" customHeight="1" outlineLevel="1" x14ac:dyDescent="0.25">
      <c r="A138" s="541"/>
      <c r="B138" s="559" t="s">
        <v>292</v>
      </c>
      <c r="C138" s="559" t="s">
        <v>301</v>
      </c>
      <c r="D138" s="559" t="s">
        <v>302</v>
      </c>
      <c r="E138" s="42" t="s">
        <v>303</v>
      </c>
      <c r="F138" s="201">
        <v>1003</v>
      </c>
      <c r="G138" s="54" t="s">
        <v>1230</v>
      </c>
      <c r="H138" s="201">
        <v>1080</v>
      </c>
      <c r="I138" s="54" t="s">
        <v>1230</v>
      </c>
      <c r="J138" s="202">
        <v>950</v>
      </c>
      <c r="K138" s="56" t="s">
        <v>244</v>
      </c>
      <c r="L138" s="571"/>
      <c r="M138" s="571">
        <v>6</v>
      </c>
      <c r="N138" s="559" t="s">
        <v>291</v>
      </c>
      <c r="O138" s="559" t="s">
        <v>304</v>
      </c>
    </row>
    <row r="139" spans="1:15" ht="15.75" outlineLevel="1" x14ac:dyDescent="0.25">
      <c r="A139" s="541"/>
      <c r="B139" s="559"/>
      <c r="C139" s="559"/>
      <c r="D139" s="559"/>
      <c r="E139" s="42" t="s">
        <v>305</v>
      </c>
      <c r="F139" s="201">
        <v>176.473083108</v>
      </c>
      <c r="G139" s="54" t="s">
        <v>1229</v>
      </c>
      <c r="H139" s="201">
        <v>162.296706798</v>
      </c>
      <c r="I139" s="54" t="s">
        <v>1229</v>
      </c>
      <c r="J139" s="202">
        <v>138.19264978200002</v>
      </c>
      <c r="K139" s="203"/>
      <c r="L139" s="587"/>
      <c r="M139" s="587"/>
      <c r="N139" s="559"/>
      <c r="O139" s="566"/>
    </row>
    <row r="140" spans="1:15" ht="15.75" outlineLevel="1" x14ac:dyDescent="0.25">
      <c r="A140" s="541"/>
      <c r="B140" s="559"/>
      <c r="C140" s="559"/>
      <c r="D140" s="559"/>
      <c r="E140" s="42" t="s">
        <v>306</v>
      </c>
      <c r="F140" s="201">
        <v>176.62373400000001</v>
      </c>
      <c r="G140" s="54" t="s">
        <v>1229</v>
      </c>
      <c r="H140" s="201">
        <v>165.99803600000001</v>
      </c>
      <c r="I140" s="54" t="s">
        <v>1229</v>
      </c>
      <c r="J140" s="202">
        <v>159.79995450000001</v>
      </c>
      <c r="K140" s="203"/>
      <c r="L140" s="587"/>
      <c r="M140" s="587"/>
      <c r="N140" s="559"/>
      <c r="O140" s="566"/>
    </row>
    <row r="141" spans="1:15" ht="15.75" outlineLevel="1" x14ac:dyDescent="0.25">
      <c r="A141" s="541"/>
      <c r="B141" s="559"/>
      <c r="C141" s="559"/>
      <c r="D141" s="559"/>
      <c r="E141" s="42" t="s">
        <v>307</v>
      </c>
      <c r="F141" s="201">
        <v>345.26100236600001</v>
      </c>
      <c r="G141" s="54" t="s">
        <v>1229</v>
      </c>
      <c r="H141" s="201">
        <v>341</v>
      </c>
      <c r="I141" s="54" t="s">
        <v>1230</v>
      </c>
      <c r="J141" s="202">
        <v>319.95404134899997</v>
      </c>
      <c r="K141" s="203"/>
      <c r="L141" s="587"/>
      <c r="M141" s="587"/>
      <c r="N141" s="559"/>
      <c r="O141" s="566"/>
    </row>
    <row r="142" spans="1:15" ht="15.75" outlineLevel="1" x14ac:dyDescent="0.25">
      <c r="A142" s="541"/>
      <c r="B142" s="559"/>
      <c r="C142" s="559"/>
      <c r="D142" s="559"/>
      <c r="E142" s="42" t="s">
        <v>308</v>
      </c>
      <c r="F142" s="201">
        <v>205.84011944800002</v>
      </c>
      <c r="G142" s="54" t="s">
        <v>1229</v>
      </c>
      <c r="H142" s="201">
        <v>320</v>
      </c>
      <c r="I142" s="54" t="s">
        <v>1230</v>
      </c>
      <c r="J142" s="202">
        <v>237.39646430799999</v>
      </c>
      <c r="K142" s="203"/>
      <c r="L142" s="587"/>
      <c r="M142" s="587"/>
      <c r="N142" s="559"/>
      <c r="O142" s="566"/>
    </row>
    <row r="143" spans="1:15" ht="15.75" outlineLevel="1" x14ac:dyDescent="0.25">
      <c r="A143" s="541"/>
      <c r="B143" s="559"/>
      <c r="C143" s="559"/>
      <c r="D143" s="559"/>
      <c r="E143" s="42" t="s">
        <v>309</v>
      </c>
      <c r="F143" s="201">
        <v>14.843548783999999</v>
      </c>
      <c r="G143" s="54" t="s">
        <v>1229</v>
      </c>
      <c r="H143" s="201">
        <v>14.699403349999999</v>
      </c>
      <c r="I143" s="54" t="s">
        <v>1230</v>
      </c>
      <c r="J143" s="202">
        <v>14.834080028000001</v>
      </c>
      <c r="K143" s="203"/>
      <c r="L143" s="587"/>
      <c r="M143" s="587"/>
      <c r="N143" s="559"/>
      <c r="O143" s="566"/>
    </row>
    <row r="144" spans="1:15" ht="15.75" outlineLevel="1" x14ac:dyDescent="0.25">
      <c r="A144" s="541"/>
      <c r="B144" s="559"/>
      <c r="C144" s="559"/>
      <c r="D144" s="559"/>
      <c r="E144" s="42" t="s">
        <v>310</v>
      </c>
      <c r="F144" s="201">
        <v>68.999899142000004</v>
      </c>
      <c r="G144" s="54" t="s">
        <v>1229</v>
      </c>
      <c r="H144" s="201">
        <v>60.846763000000003</v>
      </c>
      <c r="I144" s="54" t="s">
        <v>1229</v>
      </c>
      <c r="J144" s="202">
        <v>65.992071095</v>
      </c>
      <c r="K144" s="203"/>
      <c r="L144" s="587"/>
      <c r="M144" s="587"/>
      <c r="N144" s="559"/>
      <c r="O144" s="566"/>
    </row>
    <row r="145" spans="1:15" ht="15.75" outlineLevel="1" x14ac:dyDescent="0.25">
      <c r="A145" s="541"/>
      <c r="B145" s="559"/>
      <c r="C145" s="559"/>
      <c r="D145" s="559"/>
      <c r="E145" s="42" t="s">
        <v>311</v>
      </c>
      <c r="F145" s="201">
        <v>14.753424486</v>
      </c>
      <c r="G145" s="54" t="s">
        <v>1229</v>
      </c>
      <c r="H145" s="201">
        <v>14.646521784000003</v>
      </c>
      <c r="I145" s="54" t="s">
        <v>1229</v>
      </c>
      <c r="J145" s="202">
        <v>13.54597931</v>
      </c>
      <c r="K145" s="203"/>
      <c r="L145" s="572"/>
      <c r="M145" s="572"/>
      <c r="N145" s="559"/>
      <c r="O145" s="570"/>
    </row>
    <row r="146" spans="1:15" ht="289.5" customHeight="1" outlineLevel="1" x14ac:dyDescent="0.25">
      <c r="A146" s="541"/>
      <c r="B146" s="559" t="s">
        <v>292</v>
      </c>
      <c r="C146" s="559" t="s">
        <v>312</v>
      </c>
      <c r="D146" s="559" t="s">
        <v>313</v>
      </c>
      <c r="E146" s="42" t="s">
        <v>314</v>
      </c>
      <c r="F146" s="201">
        <v>621</v>
      </c>
      <c r="G146" s="54" t="s">
        <v>1230</v>
      </c>
      <c r="H146" s="201">
        <v>637</v>
      </c>
      <c r="I146" s="54" t="s">
        <v>1230</v>
      </c>
      <c r="J146" s="205">
        <v>558.24087799999995</v>
      </c>
      <c r="K146" s="56" t="s">
        <v>244</v>
      </c>
      <c r="L146" s="560"/>
      <c r="M146" s="571">
        <v>6</v>
      </c>
      <c r="N146" s="571"/>
      <c r="O146" s="559" t="s">
        <v>315</v>
      </c>
    </row>
    <row r="147" spans="1:15" ht="15.75" outlineLevel="1" x14ac:dyDescent="0.25">
      <c r="A147" s="541"/>
      <c r="B147" s="559"/>
      <c r="C147" s="559"/>
      <c r="D147" s="559"/>
      <c r="E147" s="206" t="s">
        <v>316</v>
      </c>
      <c r="F147" s="207">
        <v>400.64264091799998</v>
      </c>
      <c r="G147" s="54" t="s">
        <v>1229</v>
      </c>
      <c r="H147" s="207">
        <v>423.44213579400002</v>
      </c>
      <c r="I147" s="54" t="s">
        <v>1229</v>
      </c>
      <c r="J147" s="205">
        <v>358.58451294399998</v>
      </c>
      <c r="K147" s="56"/>
      <c r="L147" s="562"/>
      <c r="M147" s="587"/>
      <c r="N147" s="587"/>
      <c r="O147" s="566"/>
    </row>
    <row r="148" spans="1:15" ht="15.75" outlineLevel="1" x14ac:dyDescent="0.25">
      <c r="A148" s="541"/>
      <c r="B148" s="559"/>
      <c r="C148" s="559"/>
      <c r="D148" s="559"/>
      <c r="E148" s="206" t="s">
        <v>317</v>
      </c>
      <c r="F148" s="207">
        <v>181.04030043</v>
      </c>
      <c r="G148" s="54" t="s">
        <v>1229</v>
      </c>
      <c r="H148" s="207">
        <v>169.02650299999999</v>
      </c>
      <c r="I148" s="54" t="s">
        <v>1229</v>
      </c>
      <c r="J148" s="205">
        <v>163.36401437000001</v>
      </c>
      <c r="K148" s="56"/>
      <c r="L148" s="562"/>
      <c r="M148" s="587"/>
      <c r="N148" s="587"/>
      <c r="O148" s="566"/>
    </row>
    <row r="149" spans="1:15" ht="15.75" outlineLevel="1" x14ac:dyDescent="0.25">
      <c r="A149" s="541"/>
      <c r="B149" s="559"/>
      <c r="C149" s="559"/>
      <c r="D149" s="559"/>
      <c r="E149" s="206" t="s">
        <v>318</v>
      </c>
      <c r="F149" s="207">
        <v>5.1588224199999999</v>
      </c>
      <c r="G149" s="54" t="s">
        <v>1229</v>
      </c>
      <c r="H149" s="201">
        <v>3.6200560499999996</v>
      </c>
      <c r="I149" s="54" t="s">
        <v>1230</v>
      </c>
      <c r="J149" s="205">
        <v>3.6614209600000001</v>
      </c>
      <c r="K149" s="56"/>
      <c r="L149" s="562"/>
      <c r="M149" s="587"/>
      <c r="N149" s="587"/>
      <c r="O149" s="566"/>
    </row>
    <row r="150" spans="1:15" ht="30" outlineLevel="1" x14ac:dyDescent="0.25">
      <c r="A150" s="541"/>
      <c r="B150" s="559"/>
      <c r="C150" s="559"/>
      <c r="D150" s="559"/>
      <c r="E150" s="206" t="s">
        <v>319</v>
      </c>
      <c r="F150" s="207">
        <v>11.430578624000001</v>
      </c>
      <c r="G150" s="54" t="s">
        <v>1229</v>
      </c>
      <c r="H150" s="207">
        <v>10.844493861</v>
      </c>
      <c r="I150" s="54" t="s">
        <v>1229</v>
      </c>
      <c r="J150" s="205">
        <v>10.609729127</v>
      </c>
      <c r="K150" s="56"/>
      <c r="L150" s="562"/>
      <c r="M150" s="587"/>
      <c r="N150" s="587"/>
      <c r="O150" s="566"/>
    </row>
    <row r="151" spans="1:15" ht="15.75" outlineLevel="1" x14ac:dyDescent="0.25">
      <c r="A151" s="541"/>
      <c r="B151" s="559"/>
      <c r="C151" s="559"/>
      <c r="D151" s="559"/>
      <c r="E151" s="58" t="s">
        <v>320</v>
      </c>
      <c r="F151" s="207">
        <v>23.175102796000001</v>
      </c>
      <c r="G151" s="54" t="s">
        <v>1229</v>
      </c>
      <c r="H151" s="207">
        <v>30.114912199999999</v>
      </c>
      <c r="I151" s="54" t="s">
        <v>1229</v>
      </c>
      <c r="J151" s="205">
        <v>22.021200424</v>
      </c>
      <c r="K151" s="56"/>
      <c r="L151" s="567"/>
      <c r="M151" s="572"/>
      <c r="N151" s="572"/>
      <c r="O151" s="570"/>
    </row>
    <row r="152" spans="1:15" ht="62.25" customHeight="1" outlineLevel="1" x14ac:dyDescent="0.25">
      <c r="A152" s="541"/>
      <c r="B152" s="603" t="s">
        <v>292</v>
      </c>
      <c r="C152" s="559" t="s">
        <v>321</v>
      </c>
      <c r="D152" s="559" t="s">
        <v>322</v>
      </c>
      <c r="E152" s="48" t="s">
        <v>323</v>
      </c>
      <c r="F152" s="201">
        <v>367.51199259699996</v>
      </c>
      <c r="G152" s="54" t="s">
        <v>1230</v>
      </c>
      <c r="H152" s="168">
        <v>479.01435188399995</v>
      </c>
      <c r="I152" s="54" t="s">
        <v>1230</v>
      </c>
      <c r="J152" s="195">
        <v>486.0979831279999</v>
      </c>
      <c r="K152" s="143"/>
      <c r="L152" s="571"/>
      <c r="M152" s="571">
        <v>6</v>
      </c>
      <c r="N152" s="571"/>
      <c r="O152" s="598" t="s">
        <v>324</v>
      </c>
    </row>
    <row r="153" spans="1:15" ht="53.25" customHeight="1" outlineLevel="1" x14ac:dyDescent="0.25">
      <c r="A153" s="541"/>
      <c r="B153" s="604"/>
      <c r="C153" s="566"/>
      <c r="D153" s="566"/>
      <c r="E153" s="208" t="s">
        <v>325</v>
      </c>
      <c r="F153" s="201">
        <v>319.94487421999997</v>
      </c>
      <c r="G153" s="54" t="s">
        <v>1230</v>
      </c>
      <c r="H153" s="201">
        <v>433.81898199999995</v>
      </c>
      <c r="I153" s="54" t="s">
        <v>1230</v>
      </c>
      <c r="J153" s="209">
        <v>436.07254799999993</v>
      </c>
      <c r="K153" s="111"/>
      <c r="L153" s="587"/>
      <c r="M153" s="587"/>
      <c r="N153" s="587"/>
      <c r="O153" s="599"/>
    </row>
    <row r="154" spans="1:15" ht="87" customHeight="1" outlineLevel="1" x14ac:dyDescent="0.25">
      <c r="A154" s="541"/>
      <c r="B154" s="604"/>
      <c r="C154" s="566"/>
      <c r="D154" s="566"/>
      <c r="E154" s="208" t="s">
        <v>326</v>
      </c>
      <c r="F154" s="168">
        <v>47.567118377000007</v>
      </c>
      <c r="G154" s="54" t="s">
        <v>1230</v>
      </c>
      <c r="H154" s="168">
        <v>44.529109884</v>
      </c>
      <c r="I154" s="54" t="s">
        <v>1230</v>
      </c>
      <c r="J154" s="195">
        <v>48.689625127999996</v>
      </c>
      <c r="K154" s="143"/>
      <c r="L154" s="587"/>
      <c r="M154" s="587"/>
      <c r="N154" s="587"/>
      <c r="O154" s="600"/>
    </row>
    <row r="155" spans="1:15" ht="66.75" customHeight="1" outlineLevel="1" x14ac:dyDescent="0.25">
      <c r="A155" s="541"/>
      <c r="B155" s="604"/>
      <c r="C155" s="566"/>
      <c r="D155" s="566"/>
      <c r="E155" s="48" t="s">
        <v>327</v>
      </c>
      <c r="F155" s="211">
        <v>13.835374</v>
      </c>
      <c r="G155" s="71" t="s">
        <v>1229</v>
      </c>
      <c r="H155" s="211">
        <v>-35.343494</v>
      </c>
      <c r="I155" s="71" t="s">
        <v>1229</v>
      </c>
      <c r="J155" s="212">
        <v>-93.287811000000019</v>
      </c>
      <c r="K155" s="213"/>
      <c r="L155" s="587"/>
      <c r="M155" s="587"/>
      <c r="N155" s="587"/>
      <c r="O155" s="161" t="s">
        <v>328</v>
      </c>
    </row>
    <row r="156" spans="1:15" ht="19.899999999999999" customHeight="1" x14ac:dyDescent="0.25">
      <c r="A156" s="540"/>
      <c r="B156" s="99" t="s">
        <v>329</v>
      </c>
      <c r="C156" s="215"/>
      <c r="D156" s="215"/>
      <c r="E156" s="215"/>
      <c r="F156" s="215"/>
      <c r="G156" s="216"/>
      <c r="H156" s="215"/>
      <c r="I156" s="216"/>
      <c r="J156" s="215"/>
      <c r="K156" s="216"/>
      <c r="L156" s="215"/>
      <c r="M156" s="215"/>
      <c r="N156" s="216"/>
      <c r="O156" s="217"/>
    </row>
    <row r="157" spans="1:15" ht="159" customHeight="1" outlineLevel="1" x14ac:dyDescent="0.25">
      <c r="A157" s="540"/>
      <c r="B157" s="34" t="s">
        <v>144</v>
      </c>
      <c r="C157" s="84" t="s">
        <v>139</v>
      </c>
      <c r="D157" s="41" t="s">
        <v>145</v>
      </c>
      <c r="E157" s="82" t="s">
        <v>330</v>
      </c>
      <c r="F157" s="37"/>
      <c r="G157" s="38"/>
      <c r="H157" s="37"/>
      <c r="I157" s="38"/>
      <c r="J157" s="39"/>
      <c r="K157" s="40"/>
      <c r="L157" s="83" t="s">
        <v>226</v>
      </c>
      <c r="M157" s="83">
        <v>7</v>
      </c>
      <c r="N157" s="41" t="s">
        <v>331</v>
      </c>
      <c r="O157" s="34"/>
    </row>
    <row r="158" spans="1:15" ht="259.5" customHeight="1" outlineLevel="1" x14ac:dyDescent="0.25">
      <c r="A158" s="540"/>
      <c r="B158" s="58" t="s">
        <v>332</v>
      </c>
      <c r="C158" s="107" t="s">
        <v>333</v>
      </c>
      <c r="D158" s="48" t="s">
        <v>334</v>
      </c>
      <c r="E158" s="42" t="s">
        <v>335</v>
      </c>
      <c r="F158" s="53">
        <v>177.09919600000001</v>
      </c>
      <c r="G158" s="54" t="s">
        <v>1230</v>
      </c>
      <c r="H158" s="53">
        <v>204.62803600000001</v>
      </c>
      <c r="I158" s="54" t="s">
        <v>1230</v>
      </c>
      <c r="J158" s="55">
        <v>220.12980800000003</v>
      </c>
      <c r="K158" s="203"/>
      <c r="L158" s="83">
        <v>8</v>
      </c>
      <c r="M158" s="83">
        <v>7</v>
      </c>
      <c r="N158" s="41" t="s">
        <v>336</v>
      </c>
      <c r="O158" s="58" t="s">
        <v>1233</v>
      </c>
    </row>
    <row r="159" spans="1:15" ht="114" customHeight="1" outlineLevel="1" x14ac:dyDescent="0.25">
      <c r="A159" s="540"/>
      <c r="B159" s="58" t="s">
        <v>332</v>
      </c>
      <c r="C159" s="107" t="s">
        <v>337</v>
      </c>
      <c r="D159" s="42" t="s">
        <v>338</v>
      </c>
      <c r="E159" s="43" t="s">
        <v>339</v>
      </c>
      <c r="F159" s="65"/>
      <c r="G159" s="66"/>
      <c r="H159" s="65"/>
      <c r="I159" s="66"/>
      <c r="J159" s="67"/>
      <c r="K159" s="40"/>
      <c r="L159" s="112" t="s">
        <v>226</v>
      </c>
      <c r="M159" s="112">
        <v>7</v>
      </c>
      <c r="N159" s="59"/>
      <c r="O159" s="58"/>
    </row>
    <row r="160" spans="1:15" ht="47.25" customHeight="1" outlineLevel="1" x14ac:dyDescent="0.25">
      <c r="A160" s="541"/>
      <c r="B160" s="601" t="s">
        <v>340</v>
      </c>
      <c r="C160" s="601" t="s">
        <v>340</v>
      </c>
      <c r="D160" s="48" t="s">
        <v>341</v>
      </c>
      <c r="E160" s="63" t="s">
        <v>342</v>
      </c>
      <c r="F160" s="218">
        <v>2059.499595626</v>
      </c>
      <c r="G160" s="54" t="s">
        <v>1230</v>
      </c>
      <c r="H160" s="218">
        <v>2081.5999672859998</v>
      </c>
      <c r="I160" s="54" t="s">
        <v>1230</v>
      </c>
      <c r="J160" s="55">
        <v>2058.2831125920002</v>
      </c>
      <c r="K160" s="203"/>
      <c r="L160" s="571">
        <v>8</v>
      </c>
      <c r="M160" s="571">
        <v>7</v>
      </c>
      <c r="N160" s="571"/>
      <c r="O160" s="559" t="s">
        <v>343</v>
      </c>
    </row>
    <row r="161" spans="1:15" ht="49.5" customHeight="1" outlineLevel="1" x14ac:dyDescent="0.25">
      <c r="A161" s="541"/>
      <c r="B161" s="602"/>
      <c r="C161" s="602"/>
      <c r="D161" s="48" t="s">
        <v>344</v>
      </c>
      <c r="E161" s="63" t="s">
        <v>342</v>
      </c>
      <c r="F161" s="219">
        <v>91.839210000000008</v>
      </c>
      <c r="G161" s="54" t="s">
        <v>1230</v>
      </c>
      <c r="H161" s="219">
        <v>92.664251000000007</v>
      </c>
      <c r="I161" s="54" t="s">
        <v>1230</v>
      </c>
      <c r="J161" s="220">
        <v>103.606568</v>
      </c>
      <c r="K161" s="56"/>
      <c r="L161" s="587"/>
      <c r="M161" s="587"/>
      <c r="N161" s="587"/>
      <c r="O161" s="566"/>
    </row>
    <row r="162" spans="1:15" ht="49.5" customHeight="1" outlineLevel="1" x14ac:dyDescent="0.25">
      <c r="A162" s="541"/>
      <c r="B162" s="602"/>
      <c r="C162" s="602"/>
      <c r="D162" s="48" t="s">
        <v>345</v>
      </c>
      <c r="E162" s="63" t="s">
        <v>342</v>
      </c>
      <c r="F162" s="221">
        <v>2.281085</v>
      </c>
      <c r="G162" s="54" t="s">
        <v>1229</v>
      </c>
      <c r="H162" s="222">
        <v>2.8371060000000003</v>
      </c>
      <c r="I162" s="54" t="s">
        <v>1230</v>
      </c>
      <c r="J162" s="223">
        <v>4.8552550000000005</v>
      </c>
      <c r="K162" s="203"/>
      <c r="L162" s="587"/>
      <c r="M162" s="587"/>
      <c r="N162" s="587"/>
      <c r="O162" s="566"/>
    </row>
    <row r="163" spans="1:15" ht="64.5" customHeight="1" outlineLevel="1" x14ac:dyDescent="0.25">
      <c r="A163" s="541"/>
      <c r="B163" s="602"/>
      <c r="C163" s="602"/>
      <c r="D163" s="48" t="s">
        <v>346</v>
      </c>
      <c r="E163" s="63" t="s">
        <v>342</v>
      </c>
      <c r="F163" s="221">
        <v>1.4560435</v>
      </c>
      <c r="G163" s="54" t="s">
        <v>1229</v>
      </c>
      <c r="H163" s="222">
        <v>1.8031000239999999</v>
      </c>
      <c r="I163" s="54" t="s">
        <v>1230</v>
      </c>
      <c r="J163" s="223">
        <v>2.0652163620000001</v>
      </c>
      <c r="K163" s="203"/>
      <c r="L163" s="587"/>
      <c r="M163" s="587"/>
      <c r="N163" s="587"/>
      <c r="O163" s="566"/>
    </row>
    <row r="164" spans="1:15" ht="50.25" customHeight="1" outlineLevel="1" x14ac:dyDescent="0.25">
      <c r="A164" s="541"/>
      <c r="B164" s="602"/>
      <c r="C164" s="602"/>
      <c r="D164" s="48" t="s">
        <v>347</v>
      </c>
      <c r="E164" s="63" t="s">
        <v>342</v>
      </c>
      <c r="F164" s="219">
        <v>92.664251500000006</v>
      </c>
      <c r="G164" s="54" t="s">
        <v>1230</v>
      </c>
      <c r="H164" s="219">
        <v>93.69825697600001</v>
      </c>
      <c r="I164" s="54" t="s">
        <v>1230</v>
      </c>
      <c r="J164" s="220">
        <v>106.39660663799999</v>
      </c>
      <c r="K164" s="203"/>
      <c r="L164" s="587"/>
      <c r="M164" s="587"/>
      <c r="N164" s="572"/>
      <c r="O164" s="570"/>
    </row>
    <row r="165" spans="1:15" ht="129.75" customHeight="1" outlineLevel="1" x14ac:dyDescent="0.25">
      <c r="A165" s="540"/>
      <c r="B165" s="107" t="s">
        <v>348</v>
      </c>
      <c r="C165" s="107" t="s">
        <v>348</v>
      </c>
      <c r="D165" s="48" t="s">
        <v>349</v>
      </c>
      <c r="E165" s="48" t="s">
        <v>350</v>
      </c>
      <c r="F165" s="70">
        <v>0.95</v>
      </c>
      <c r="G165" s="224"/>
      <c r="H165" s="70">
        <v>0.967741935483871</v>
      </c>
      <c r="I165" s="224"/>
      <c r="J165" s="72">
        <v>1</v>
      </c>
      <c r="K165" s="225"/>
      <c r="L165" s="74">
        <v>8</v>
      </c>
      <c r="M165" s="74">
        <v>7</v>
      </c>
      <c r="N165" s="226" t="s">
        <v>331</v>
      </c>
      <c r="O165" s="107"/>
    </row>
    <row r="166" spans="1:15" ht="15.75" x14ac:dyDescent="0.25">
      <c r="A166" s="540"/>
      <c r="B166" s="99" t="s">
        <v>351</v>
      </c>
      <c r="C166" s="118"/>
      <c r="D166" s="118"/>
      <c r="E166" s="118"/>
      <c r="F166" s="118"/>
      <c r="G166" s="119"/>
      <c r="H166" s="118"/>
      <c r="I166" s="119"/>
      <c r="J166" s="118"/>
      <c r="K166" s="119"/>
      <c r="L166" s="118"/>
      <c r="M166" s="118"/>
      <c r="N166" s="119"/>
      <c r="O166" s="130"/>
    </row>
    <row r="167" spans="1:15" ht="292.5" customHeight="1" outlineLevel="1" x14ac:dyDescent="0.25">
      <c r="A167" s="540"/>
      <c r="B167" s="562" t="s">
        <v>144</v>
      </c>
      <c r="C167" s="605" t="s">
        <v>139</v>
      </c>
      <c r="D167" s="562" t="s">
        <v>145</v>
      </c>
      <c r="E167" s="607" t="s">
        <v>352</v>
      </c>
      <c r="F167" s="588"/>
      <c r="G167" s="588"/>
      <c r="H167" s="588"/>
      <c r="I167" s="588"/>
      <c r="J167" s="590"/>
      <c r="K167" s="591"/>
      <c r="L167" s="594" t="s">
        <v>226</v>
      </c>
      <c r="M167" s="594">
        <v>6</v>
      </c>
      <c r="N167" s="567" t="s">
        <v>353</v>
      </c>
      <c r="O167" s="545" t="s">
        <v>354</v>
      </c>
    </row>
    <row r="168" spans="1:15" ht="216" customHeight="1" outlineLevel="1" x14ac:dyDescent="0.25">
      <c r="A168" s="540"/>
      <c r="B168" s="567"/>
      <c r="C168" s="606"/>
      <c r="D168" s="567"/>
      <c r="E168" s="569"/>
      <c r="F168" s="589"/>
      <c r="G168" s="589"/>
      <c r="H168" s="589"/>
      <c r="I168" s="589"/>
      <c r="J168" s="592"/>
      <c r="K168" s="593"/>
      <c r="L168" s="595"/>
      <c r="M168" s="595"/>
      <c r="N168" s="562"/>
      <c r="O168" s="126" t="s">
        <v>355</v>
      </c>
    </row>
    <row r="169" spans="1:15" ht="30" customHeight="1" outlineLevel="1" x14ac:dyDescent="0.25">
      <c r="A169" s="541"/>
      <c r="B169" s="559" t="s">
        <v>356</v>
      </c>
      <c r="C169" s="559" t="s">
        <v>357</v>
      </c>
      <c r="D169" s="559" t="s">
        <v>358</v>
      </c>
      <c r="E169" s="42" t="s">
        <v>359</v>
      </c>
      <c r="F169" s="173">
        <v>15974.289483044</v>
      </c>
      <c r="G169" s="54" t="s">
        <v>1230</v>
      </c>
      <c r="H169" s="173">
        <v>16387.693117215</v>
      </c>
      <c r="I169" s="54" t="s">
        <v>1230</v>
      </c>
      <c r="J169" s="228">
        <v>16716.613192622</v>
      </c>
      <c r="K169" s="56" t="s">
        <v>244</v>
      </c>
      <c r="L169" s="571"/>
      <c r="M169" s="571">
        <v>6</v>
      </c>
      <c r="N169" s="562"/>
      <c r="O169" s="559" t="s">
        <v>360</v>
      </c>
    </row>
    <row r="170" spans="1:15" ht="33.75" customHeight="1" outlineLevel="1" x14ac:dyDescent="0.25">
      <c r="A170" s="541"/>
      <c r="B170" s="566"/>
      <c r="C170" s="566"/>
      <c r="D170" s="566"/>
      <c r="E170" s="42" t="s">
        <v>361</v>
      </c>
      <c r="F170" s="173">
        <v>15974.289483043001</v>
      </c>
      <c r="G170" s="54" t="s">
        <v>1230</v>
      </c>
      <c r="H170" s="173">
        <v>16387.693117215</v>
      </c>
      <c r="I170" s="54" t="s">
        <v>1230</v>
      </c>
      <c r="J170" s="228">
        <v>16716.613192623001</v>
      </c>
      <c r="K170" s="56"/>
      <c r="L170" s="587"/>
      <c r="M170" s="587"/>
      <c r="N170" s="562"/>
      <c r="O170" s="566"/>
    </row>
    <row r="171" spans="1:15" ht="15.75" outlineLevel="1" x14ac:dyDescent="0.25">
      <c r="A171" s="541"/>
      <c r="B171" s="566"/>
      <c r="C171" s="566"/>
      <c r="D171" s="566"/>
      <c r="E171" s="175" t="s">
        <v>253</v>
      </c>
      <c r="F171" s="229">
        <v>4.3697059000000003E-2</v>
      </c>
      <c r="G171" s="54" t="s">
        <v>1229</v>
      </c>
      <c r="H171" s="229">
        <v>3.0815361999999999E-2</v>
      </c>
      <c r="I171" s="54" t="s">
        <v>1230</v>
      </c>
      <c r="J171" s="230">
        <v>3.8194771000000002E-2</v>
      </c>
      <c r="K171" s="56"/>
      <c r="L171" s="587"/>
      <c r="M171" s="587"/>
      <c r="N171" s="562"/>
      <c r="O171" s="566"/>
    </row>
    <row r="172" spans="1:15" ht="29.25" customHeight="1" outlineLevel="1" x14ac:dyDescent="0.25">
      <c r="A172" s="541"/>
      <c r="B172" s="566"/>
      <c r="C172" s="566"/>
      <c r="D172" s="566"/>
      <c r="E172" s="175" t="s">
        <v>254</v>
      </c>
      <c r="F172" s="173">
        <v>6032.4907036889999</v>
      </c>
      <c r="G172" s="54" t="s">
        <v>1230</v>
      </c>
      <c r="H172" s="173">
        <v>5628.9093327789997</v>
      </c>
      <c r="I172" s="54" t="s">
        <v>1230</v>
      </c>
      <c r="J172" s="228">
        <v>5691.0343045910004</v>
      </c>
      <c r="K172" s="56"/>
      <c r="L172" s="587"/>
      <c r="M172" s="587"/>
      <c r="N172" s="562"/>
      <c r="O172" s="566"/>
    </row>
    <row r="173" spans="1:15" ht="15.75" outlineLevel="1" x14ac:dyDescent="0.25">
      <c r="A173" s="541"/>
      <c r="B173" s="566"/>
      <c r="C173" s="566"/>
      <c r="D173" s="566"/>
      <c r="E173" s="175" t="s">
        <v>255</v>
      </c>
      <c r="F173" s="173">
        <v>1047.3467737379999</v>
      </c>
      <c r="G173" s="54" t="s">
        <v>1230</v>
      </c>
      <c r="H173" s="173">
        <v>1167.3007923359999</v>
      </c>
      <c r="I173" s="54" t="s">
        <v>1230</v>
      </c>
      <c r="J173" s="228">
        <v>1238.538124663</v>
      </c>
      <c r="K173" s="56"/>
      <c r="L173" s="587"/>
      <c r="M173" s="587"/>
      <c r="N173" s="562"/>
      <c r="O173" s="566"/>
    </row>
    <row r="174" spans="1:15" ht="15.75" outlineLevel="1" x14ac:dyDescent="0.25">
      <c r="A174" s="541"/>
      <c r="B174" s="566"/>
      <c r="C174" s="566"/>
      <c r="D174" s="566"/>
      <c r="E174" s="175" t="s">
        <v>256</v>
      </c>
      <c r="F174" s="173">
        <v>4115.0504179890004</v>
      </c>
      <c r="G174" s="54" t="s">
        <v>1230</v>
      </c>
      <c r="H174" s="173">
        <v>4150.8156852410002</v>
      </c>
      <c r="I174" s="54" t="s">
        <v>1230</v>
      </c>
      <c r="J174" s="228">
        <v>3389.9009649270001</v>
      </c>
      <c r="K174" s="56"/>
      <c r="L174" s="587"/>
      <c r="M174" s="587"/>
      <c r="N174" s="562"/>
      <c r="O174" s="566"/>
    </row>
    <row r="175" spans="1:15" ht="15.75" outlineLevel="1" x14ac:dyDescent="0.25">
      <c r="A175" s="541"/>
      <c r="B175" s="566"/>
      <c r="C175" s="566"/>
      <c r="D175" s="566"/>
      <c r="E175" s="175" t="s">
        <v>257</v>
      </c>
      <c r="F175" s="173">
        <v>2392.1507984580003</v>
      </c>
      <c r="G175" s="54" t="s">
        <v>1229</v>
      </c>
      <c r="H175" s="173">
        <v>2993.4152884590003</v>
      </c>
      <c r="I175" s="54" t="s">
        <v>1229</v>
      </c>
      <c r="J175" s="228">
        <v>3172.1018397719999</v>
      </c>
      <c r="K175" s="56"/>
      <c r="L175" s="587"/>
      <c r="M175" s="587"/>
      <c r="N175" s="562"/>
      <c r="O175" s="566"/>
    </row>
    <row r="176" spans="1:15" ht="17.25" customHeight="1" outlineLevel="1" x14ac:dyDescent="0.25">
      <c r="A176" s="541"/>
      <c r="B176" s="566"/>
      <c r="C176" s="566"/>
      <c r="D176" s="566"/>
      <c r="E176" s="175" t="s">
        <v>258</v>
      </c>
      <c r="F176" s="173">
        <v>39.167154241999995</v>
      </c>
      <c r="G176" s="54" t="s">
        <v>1229</v>
      </c>
      <c r="H176" s="173">
        <v>123.340489809</v>
      </c>
      <c r="I176" s="54" t="s">
        <v>1229</v>
      </c>
      <c r="J176" s="228">
        <v>868.01391099600005</v>
      </c>
      <c r="K176" s="56"/>
      <c r="L176" s="587"/>
      <c r="M176" s="587"/>
      <c r="N176" s="562"/>
      <c r="O176" s="566"/>
    </row>
    <row r="177" spans="1:15" ht="15.75" outlineLevel="1" x14ac:dyDescent="0.25">
      <c r="A177" s="541"/>
      <c r="B177" s="566"/>
      <c r="C177" s="566"/>
      <c r="D177" s="566"/>
      <c r="E177" s="175" t="s">
        <v>259</v>
      </c>
      <c r="F177" s="173">
        <v>2348.0399378679999</v>
      </c>
      <c r="G177" s="54" t="s">
        <v>1230</v>
      </c>
      <c r="H177" s="173">
        <v>2323.8807132290003</v>
      </c>
      <c r="I177" s="54" t="s">
        <v>1230</v>
      </c>
      <c r="J177" s="228">
        <v>2356.9858529030003</v>
      </c>
      <c r="K177" s="56"/>
      <c r="L177" s="587"/>
      <c r="M177" s="587"/>
      <c r="N177" s="562"/>
      <c r="O177" s="566"/>
    </row>
    <row r="178" spans="1:15" ht="33" outlineLevel="1" x14ac:dyDescent="0.25">
      <c r="A178" s="541"/>
      <c r="B178" s="566"/>
      <c r="C178" s="566"/>
      <c r="D178" s="566"/>
      <c r="E178" s="42" t="s">
        <v>362</v>
      </c>
      <c r="F178" s="173">
        <v>15974.289483043001</v>
      </c>
      <c r="G178" s="54" t="s">
        <v>1230</v>
      </c>
      <c r="H178" s="173">
        <v>16387.693117215</v>
      </c>
      <c r="I178" s="54" t="s">
        <v>1230</v>
      </c>
      <c r="J178" s="228">
        <v>16716.613192622</v>
      </c>
      <c r="K178" s="56"/>
      <c r="L178" s="587"/>
      <c r="M178" s="587"/>
      <c r="N178" s="562"/>
      <c r="O178" s="566"/>
    </row>
    <row r="179" spans="1:15" ht="15.75" outlineLevel="1" x14ac:dyDescent="0.25">
      <c r="A179" s="541"/>
      <c r="B179" s="566"/>
      <c r="C179" s="566"/>
      <c r="D179" s="566"/>
      <c r="E179" s="175" t="s">
        <v>261</v>
      </c>
      <c r="F179" s="173">
        <v>4667.1297797339994</v>
      </c>
      <c r="G179" s="54" t="s">
        <v>1230</v>
      </c>
      <c r="H179" s="173">
        <v>4703.5849156349996</v>
      </c>
      <c r="I179" s="54" t="s">
        <v>1230</v>
      </c>
      <c r="J179" s="228">
        <v>4781.7074233740004</v>
      </c>
      <c r="K179" s="56"/>
      <c r="L179" s="587"/>
      <c r="M179" s="587"/>
      <c r="N179" s="562"/>
      <c r="O179" s="566"/>
    </row>
    <row r="180" spans="1:15" ht="15.75" outlineLevel="1" x14ac:dyDescent="0.25">
      <c r="A180" s="541"/>
      <c r="B180" s="566"/>
      <c r="C180" s="566"/>
      <c r="D180" s="566"/>
      <c r="E180" s="175" t="s">
        <v>262</v>
      </c>
      <c r="F180" s="173">
        <v>1284.95013051</v>
      </c>
      <c r="G180" s="54" t="s">
        <v>1229</v>
      </c>
      <c r="H180" s="173">
        <v>1227.473589872</v>
      </c>
      <c r="I180" s="54" t="s">
        <v>1230</v>
      </c>
      <c r="J180" s="228">
        <v>1244.110741042</v>
      </c>
      <c r="K180" s="56"/>
      <c r="L180" s="587"/>
      <c r="M180" s="587"/>
      <c r="N180" s="562"/>
      <c r="O180" s="566"/>
    </row>
    <row r="181" spans="1:15" ht="15.75" outlineLevel="1" x14ac:dyDescent="0.25">
      <c r="A181" s="541"/>
      <c r="B181" s="566"/>
      <c r="C181" s="566"/>
      <c r="D181" s="566"/>
      <c r="E181" s="175" t="s">
        <v>263</v>
      </c>
      <c r="F181" s="173">
        <v>7396.6280786570005</v>
      </c>
      <c r="G181" s="54" t="s">
        <v>1230</v>
      </c>
      <c r="H181" s="173">
        <v>7705.7827957830004</v>
      </c>
      <c r="I181" s="54" t="s">
        <v>1230</v>
      </c>
      <c r="J181" s="228">
        <v>7928.7608411290003</v>
      </c>
      <c r="K181" s="56"/>
      <c r="L181" s="587"/>
      <c r="M181" s="587"/>
      <c r="N181" s="562"/>
      <c r="O181" s="566"/>
    </row>
    <row r="182" spans="1:15" ht="15.75" outlineLevel="1" x14ac:dyDescent="0.25">
      <c r="A182" s="541"/>
      <c r="B182" s="566"/>
      <c r="C182" s="566"/>
      <c r="D182" s="566"/>
      <c r="E182" s="175" t="s">
        <v>264</v>
      </c>
      <c r="F182" s="173">
        <v>461.20510185299997</v>
      </c>
      <c r="G182" s="54" t="s">
        <v>1229</v>
      </c>
      <c r="H182" s="173">
        <v>447.33261946199997</v>
      </c>
      <c r="I182" s="54" t="s">
        <v>1229</v>
      </c>
      <c r="J182" s="228">
        <v>379.14688885300001</v>
      </c>
      <c r="K182" s="56"/>
      <c r="L182" s="587"/>
      <c r="M182" s="587"/>
      <c r="N182" s="562"/>
      <c r="O182" s="566"/>
    </row>
    <row r="183" spans="1:15" ht="15.75" outlineLevel="1" x14ac:dyDescent="0.25">
      <c r="A183" s="541"/>
      <c r="B183" s="566"/>
      <c r="C183" s="566"/>
      <c r="D183" s="566"/>
      <c r="E183" s="175" t="s">
        <v>265</v>
      </c>
      <c r="F183" s="173">
        <v>600.53882649299999</v>
      </c>
      <c r="G183" s="54" t="s">
        <v>1230</v>
      </c>
      <c r="H183" s="173">
        <v>574.85598356900005</v>
      </c>
      <c r="I183" s="54" t="s">
        <v>1229</v>
      </c>
      <c r="J183" s="228">
        <v>592.83945537600005</v>
      </c>
      <c r="K183" s="56"/>
      <c r="L183" s="587"/>
      <c r="M183" s="587"/>
      <c r="N183" s="562"/>
      <c r="O183" s="566"/>
    </row>
    <row r="184" spans="1:15" ht="15.75" outlineLevel="1" x14ac:dyDescent="0.25">
      <c r="A184" s="541"/>
      <c r="B184" s="566"/>
      <c r="C184" s="566"/>
      <c r="D184" s="566"/>
      <c r="E184" s="175" t="s">
        <v>266</v>
      </c>
      <c r="F184" s="173">
        <v>1563.837565796</v>
      </c>
      <c r="G184" s="54" t="s">
        <v>1230</v>
      </c>
      <c r="H184" s="173">
        <v>1728.663212894</v>
      </c>
      <c r="I184" s="54" t="s">
        <v>1230</v>
      </c>
      <c r="J184" s="228">
        <v>1790.0478428479998</v>
      </c>
      <c r="K184" s="56"/>
      <c r="L184" s="587"/>
      <c r="M184" s="587"/>
      <c r="N184" s="562"/>
      <c r="O184" s="570"/>
    </row>
    <row r="185" spans="1:15" ht="33" outlineLevel="1" x14ac:dyDescent="0.25">
      <c r="A185" s="541"/>
      <c r="B185" s="566"/>
      <c r="C185" s="566"/>
      <c r="D185" s="566"/>
      <c r="E185" s="42" t="s">
        <v>363</v>
      </c>
      <c r="F185" s="173">
        <v>15974.259122199999</v>
      </c>
      <c r="G185" s="54" t="s">
        <v>1230</v>
      </c>
      <c r="H185" s="173">
        <v>16387.578440861002</v>
      </c>
      <c r="I185" s="54" t="s">
        <v>1230</v>
      </c>
      <c r="J185" s="228">
        <v>16716.519854933998</v>
      </c>
      <c r="K185" s="56"/>
      <c r="L185" s="587"/>
      <c r="M185" s="587"/>
      <c r="N185" s="562"/>
      <c r="O185" s="58"/>
    </row>
    <row r="186" spans="1:15" ht="15.75" outlineLevel="1" x14ac:dyDescent="0.25">
      <c r="A186" s="541"/>
      <c r="B186" s="566"/>
      <c r="C186" s="566"/>
      <c r="D186" s="566"/>
      <c r="E186" s="175" t="s">
        <v>364</v>
      </c>
      <c r="F186" s="173">
        <v>7429.3790066419988</v>
      </c>
      <c r="G186" s="54" t="s">
        <v>1230</v>
      </c>
      <c r="H186" s="173">
        <v>8219.3605444019995</v>
      </c>
      <c r="I186" s="54" t="s">
        <v>1230</v>
      </c>
      <c r="J186" s="228">
        <v>9380.8490072719997</v>
      </c>
      <c r="K186" s="56"/>
      <c r="L186" s="587"/>
      <c r="M186" s="587"/>
      <c r="N186" s="562"/>
      <c r="O186" s="58"/>
    </row>
    <row r="187" spans="1:15" ht="34.5" customHeight="1" outlineLevel="1" x14ac:dyDescent="0.25">
      <c r="A187" s="541"/>
      <c r="B187" s="566"/>
      <c r="C187" s="566"/>
      <c r="D187" s="566"/>
      <c r="E187" s="175" t="s">
        <v>365</v>
      </c>
      <c r="F187" s="173">
        <v>1783.0151543330001</v>
      </c>
      <c r="G187" s="54" t="s">
        <v>1230</v>
      </c>
      <c r="H187" s="173">
        <v>2283.1366994909999</v>
      </c>
      <c r="I187" s="54" t="s">
        <v>1230</v>
      </c>
      <c r="J187" s="228">
        <v>2592.4487035749999</v>
      </c>
      <c r="K187" s="56"/>
      <c r="L187" s="587"/>
      <c r="M187" s="587"/>
      <c r="N187" s="562"/>
      <c r="O187" s="58" t="s">
        <v>366</v>
      </c>
    </row>
    <row r="188" spans="1:15" ht="33" customHeight="1" outlineLevel="1" x14ac:dyDescent="0.25">
      <c r="A188" s="541"/>
      <c r="B188" s="566"/>
      <c r="C188" s="566"/>
      <c r="D188" s="566"/>
      <c r="E188" s="175" t="s">
        <v>367</v>
      </c>
      <c r="F188" s="173">
        <v>4952.0705238819992</v>
      </c>
      <c r="G188" s="54" t="s">
        <v>1230</v>
      </c>
      <c r="H188" s="173">
        <v>5203.5747170430004</v>
      </c>
      <c r="I188" s="54" t="s">
        <v>1230</v>
      </c>
      <c r="J188" s="228">
        <v>5443.889818663999</v>
      </c>
      <c r="K188" s="56"/>
      <c r="L188" s="587"/>
      <c r="M188" s="587"/>
      <c r="N188" s="562"/>
      <c r="O188" s="58" t="s">
        <v>368</v>
      </c>
    </row>
    <row r="189" spans="1:15" ht="38.25" customHeight="1" outlineLevel="1" x14ac:dyDescent="0.25">
      <c r="A189" s="541"/>
      <c r="B189" s="566"/>
      <c r="C189" s="566"/>
      <c r="D189" s="566"/>
      <c r="E189" s="175" t="s">
        <v>369</v>
      </c>
      <c r="F189" s="173">
        <v>694.29332842700001</v>
      </c>
      <c r="G189" s="54" t="s">
        <v>1229</v>
      </c>
      <c r="H189" s="173">
        <v>732.64912786799994</v>
      </c>
      <c r="I189" s="54" t="s">
        <v>1230</v>
      </c>
      <c r="J189" s="228">
        <v>1344.5104850329999</v>
      </c>
      <c r="K189" s="56"/>
      <c r="L189" s="587"/>
      <c r="M189" s="587"/>
      <c r="N189" s="562"/>
      <c r="O189" s="58" t="s">
        <v>370</v>
      </c>
    </row>
    <row r="190" spans="1:15" ht="38.25" customHeight="1" outlineLevel="1" x14ac:dyDescent="0.25">
      <c r="A190" s="541"/>
      <c r="B190" s="566"/>
      <c r="C190" s="566"/>
      <c r="D190" s="566"/>
      <c r="E190" s="175" t="s">
        <v>371</v>
      </c>
      <c r="F190" s="173">
        <v>5049.2789845940006</v>
      </c>
      <c r="G190" s="54" t="s">
        <v>1230</v>
      </c>
      <c r="H190" s="173">
        <v>5051.737169613999</v>
      </c>
      <c r="I190" s="54" t="s">
        <v>1230</v>
      </c>
      <c r="J190" s="228">
        <v>4194.3846261769995</v>
      </c>
      <c r="K190" s="56"/>
      <c r="L190" s="587"/>
      <c r="M190" s="587"/>
      <c r="N190" s="562"/>
      <c r="O190" s="58" t="s">
        <v>372</v>
      </c>
    </row>
    <row r="191" spans="1:15" ht="129" customHeight="1" outlineLevel="1" x14ac:dyDescent="0.25">
      <c r="A191" s="541"/>
      <c r="B191" s="566"/>
      <c r="C191" s="566"/>
      <c r="D191" s="566"/>
      <c r="E191" s="175" t="s">
        <v>373</v>
      </c>
      <c r="F191" s="173">
        <v>3212.4575095609994</v>
      </c>
      <c r="G191" s="54" t="s">
        <v>1230</v>
      </c>
      <c r="H191" s="173">
        <v>2766.3429890740003</v>
      </c>
      <c r="I191" s="54" t="s">
        <v>1230</v>
      </c>
      <c r="J191" s="228">
        <v>2743.3970138619998</v>
      </c>
      <c r="K191" s="56"/>
      <c r="L191" s="587"/>
      <c r="M191" s="587"/>
      <c r="N191" s="562"/>
      <c r="O191" s="58" t="s">
        <v>374</v>
      </c>
    </row>
    <row r="192" spans="1:15" ht="36" customHeight="1" outlineLevel="1" x14ac:dyDescent="0.25">
      <c r="A192" s="541"/>
      <c r="B192" s="566"/>
      <c r="C192" s="566"/>
      <c r="D192" s="566"/>
      <c r="E192" s="175" t="s">
        <v>375</v>
      </c>
      <c r="F192" s="173">
        <v>1410.4894272709998</v>
      </c>
      <c r="G192" s="54" t="s">
        <v>1230</v>
      </c>
      <c r="H192" s="173">
        <v>1029.3836664140001</v>
      </c>
      <c r="I192" s="54" t="s">
        <v>1230</v>
      </c>
      <c r="J192" s="228">
        <v>1075.9227714829999</v>
      </c>
      <c r="K192" s="56"/>
      <c r="L192" s="587"/>
      <c r="M192" s="587"/>
      <c r="N192" s="562"/>
      <c r="O192" s="58" t="s">
        <v>376</v>
      </c>
    </row>
    <row r="193" spans="1:15" ht="33" customHeight="1" outlineLevel="1" x14ac:dyDescent="0.25">
      <c r="A193" s="541"/>
      <c r="B193" s="566"/>
      <c r="C193" s="566"/>
      <c r="D193" s="566"/>
      <c r="E193" s="175" t="s">
        <v>377</v>
      </c>
      <c r="F193" s="173">
        <v>1310.4222022899999</v>
      </c>
      <c r="G193" s="54" t="s">
        <v>1229</v>
      </c>
      <c r="H193" s="173">
        <v>1340.86923166</v>
      </c>
      <c r="I193" s="54" t="s">
        <v>1230</v>
      </c>
      <c r="J193" s="228">
        <v>1380.541632379</v>
      </c>
      <c r="K193" s="56"/>
      <c r="L193" s="587"/>
      <c r="M193" s="587"/>
      <c r="N193" s="562"/>
      <c r="O193" s="58" t="s">
        <v>378</v>
      </c>
    </row>
    <row r="194" spans="1:15" ht="15.75" outlineLevel="1" x14ac:dyDescent="0.25">
      <c r="A194" s="541"/>
      <c r="B194" s="566"/>
      <c r="C194" s="566"/>
      <c r="D194" s="566"/>
      <c r="E194" s="175" t="s">
        <v>379</v>
      </c>
      <c r="F194" s="173">
        <v>491.54588000000001</v>
      </c>
      <c r="G194" s="54" t="s">
        <v>1229</v>
      </c>
      <c r="H194" s="173">
        <v>396.09009100000003</v>
      </c>
      <c r="I194" s="54" t="s">
        <v>1229</v>
      </c>
      <c r="J194" s="228">
        <v>286.93261000000001</v>
      </c>
      <c r="K194" s="56"/>
      <c r="L194" s="587"/>
      <c r="M194" s="587"/>
      <c r="N194" s="562"/>
      <c r="O194" s="58" t="s">
        <v>380</v>
      </c>
    </row>
    <row r="195" spans="1:15" ht="33.75" customHeight="1" outlineLevel="1" x14ac:dyDescent="0.25">
      <c r="A195" s="541"/>
      <c r="B195" s="566"/>
      <c r="C195" s="566"/>
      <c r="D195" s="570"/>
      <c r="E195" s="175" t="s">
        <v>381</v>
      </c>
      <c r="F195" s="173">
        <v>283.14362140300005</v>
      </c>
      <c r="G195" s="54" t="s">
        <v>1230</v>
      </c>
      <c r="H195" s="173">
        <v>350.13773777099999</v>
      </c>
      <c r="I195" s="54" t="s">
        <v>1230</v>
      </c>
      <c r="J195" s="228">
        <v>397.889207623</v>
      </c>
      <c r="K195" s="56"/>
      <c r="L195" s="572"/>
      <c r="M195" s="572"/>
      <c r="N195" s="562"/>
      <c r="O195" s="58" t="s">
        <v>382</v>
      </c>
    </row>
    <row r="196" spans="1:15" ht="110.25" customHeight="1" outlineLevel="1" x14ac:dyDescent="0.25">
      <c r="A196" s="541"/>
      <c r="B196" s="566"/>
      <c r="C196" s="566"/>
      <c r="D196" s="42" t="s">
        <v>383</v>
      </c>
      <c r="E196" s="42" t="s">
        <v>384</v>
      </c>
      <c r="F196" s="173">
        <v>40.581577403000004</v>
      </c>
      <c r="G196" s="54" t="s">
        <v>1230</v>
      </c>
      <c r="H196" s="173">
        <v>40.971947405000009</v>
      </c>
      <c r="I196" s="54" t="s">
        <v>1230</v>
      </c>
      <c r="J196" s="228">
        <v>42.326548609999996</v>
      </c>
      <c r="K196" s="56"/>
      <c r="L196" s="57"/>
      <c r="M196" s="57">
        <v>6</v>
      </c>
      <c r="N196" s="562"/>
      <c r="O196" s="160" t="s">
        <v>385</v>
      </c>
    </row>
    <row r="197" spans="1:15" ht="33.75" customHeight="1" outlineLevel="1" x14ac:dyDescent="0.25">
      <c r="A197" s="540"/>
      <c r="B197" s="564" t="s">
        <v>356</v>
      </c>
      <c r="C197" s="583" t="s">
        <v>386</v>
      </c>
      <c r="D197" s="559" t="s">
        <v>387</v>
      </c>
      <c r="E197" s="42" t="s">
        <v>388</v>
      </c>
      <c r="F197" s="173">
        <v>12974.961634529</v>
      </c>
      <c r="G197" s="54" t="s">
        <v>1230</v>
      </c>
      <c r="H197" s="173">
        <v>12841.087325337001</v>
      </c>
      <c r="I197" s="54" t="s">
        <v>1230</v>
      </c>
      <c r="J197" s="228">
        <v>10331.408428398001</v>
      </c>
      <c r="K197" s="56" t="s">
        <v>244</v>
      </c>
      <c r="L197" s="571"/>
      <c r="M197" s="571">
        <v>6</v>
      </c>
      <c r="N197" s="571"/>
      <c r="O197" s="598" t="s">
        <v>389</v>
      </c>
    </row>
    <row r="198" spans="1:15" ht="33" outlineLevel="1" x14ac:dyDescent="0.25">
      <c r="A198" s="540"/>
      <c r="B198" s="564"/>
      <c r="C198" s="596"/>
      <c r="D198" s="566"/>
      <c r="E198" s="42" t="s">
        <v>390</v>
      </c>
      <c r="F198" s="173">
        <v>12974.961634528001</v>
      </c>
      <c r="G198" s="54" t="s">
        <v>1230</v>
      </c>
      <c r="H198" s="173">
        <v>12841.087325337001</v>
      </c>
      <c r="I198" s="54" t="s">
        <v>1230</v>
      </c>
      <c r="J198" s="228">
        <v>10331.408428397001</v>
      </c>
      <c r="K198" s="56"/>
      <c r="L198" s="587"/>
      <c r="M198" s="587"/>
      <c r="N198" s="587"/>
      <c r="O198" s="599"/>
    </row>
    <row r="199" spans="1:15" ht="15.75" outlineLevel="1" x14ac:dyDescent="0.25">
      <c r="A199" s="540"/>
      <c r="B199" s="564"/>
      <c r="C199" s="596"/>
      <c r="D199" s="566"/>
      <c r="E199" s="175" t="s">
        <v>253</v>
      </c>
      <c r="F199" s="173">
        <v>0</v>
      </c>
      <c r="G199" s="54" t="s">
        <v>1229</v>
      </c>
      <c r="H199" s="173">
        <v>0</v>
      </c>
      <c r="I199" s="54" t="s">
        <v>1229</v>
      </c>
      <c r="J199" s="228">
        <v>0</v>
      </c>
      <c r="K199" s="56"/>
      <c r="L199" s="587"/>
      <c r="M199" s="587"/>
      <c r="N199" s="587"/>
      <c r="O199" s="599"/>
    </row>
    <row r="200" spans="1:15" ht="15.75" outlineLevel="1" x14ac:dyDescent="0.25">
      <c r="A200" s="540"/>
      <c r="B200" s="564"/>
      <c r="C200" s="596"/>
      <c r="D200" s="566"/>
      <c r="E200" s="175" t="s">
        <v>254</v>
      </c>
      <c r="F200" s="173">
        <v>1164.17284309</v>
      </c>
      <c r="G200" s="54" t="s">
        <v>1229</v>
      </c>
      <c r="H200" s="173">
        <v>1102.6914640770001</v>
      </c>
      <c r="I200" s="54" t="s">
        <v>1230</v>
      </c>
      <c r="J200" s="228">
        <v>1155.4389832280001</v>
      </c>
      <c r="K200" s="56"/>
      <c r="L200" s="587"/>
      <c r="M200" s="587"/>
      <c r="N200" s="587"/>
      <c r="O200" s="599"/>
    </row>
    <row r="201" spans="1:15" ht="15.75" outlineLevel="1" x14ac:dyDescent="0.25">
      <c r="A201" s="540"/>
      <c r="B201" s="564"/>
      <c r="C201" s="596"/>
      <c r="D201" s="566"/>
      <c r="E201" s="175" t="s">
        <v>255</v>
      </c>
      <c r="F201" s="173">
        <v>647.57035902900009</v>
      </c>
      <c r="G201" s="54" t="s">
        <v>1230</v>
      </c>
      <c r="H201" s="173">
        <v>569.19137798199995</v>
      </c>
      <c r="I201" s="54" t="s">
        <v>1230</v>
      </c>
      <c r="J201" s="228">
        <v>304.13036469000002</v>
      </c>
      <c r="K201" s="56"/>
      <c r="L201" s="587"/>
      <c r="M201" s="587"/>
      <c r="N201" s="587"/>
      <c r="O201" s="599"/>
    </row>
    <row r="202" spans="1:15" ht="15.75" outlineLevel="1" x14ac:dyDescent="0.25">
      <c r="A202" s="540"/>
      <c r="B202" s="564"/>
      <c r="C202" s="596"/>
      <c r="D202" s="566"/>
      <c r="E202" s="175" t="s">
        <v>256</v>
      </c>
      <c r="F202" s="173">
        <v>6652.6785650310003</v>
      </c>
      <c r="G202" s="54" t="s">
        <v>1229</v>
      </c>
      <c r="H202" s="173">
        <v>6916.9775677500002</v>
      </c>
      <c r="I202" s="54" t="s">
        <v>1229</v>
      </c>
      <c r="J202" s="228">
        <v>5220.1150971930001</v>
      </c>
      <c r="K202" s="56"/>
      <c r="L202" s="587"/>
      <c r="M202" s="587"/>
      <c r="N202" s="587"/>
      <c r="O202" s="599"/>
    </row>
    <row r="203" spans="1:15" ht="15.75" outlineLevel="1" x14ac:dyDescent="0.25">
      <c r="A203" s="540"/>
      <c r="B203" s="564"/>
      <c r="C203" s="596"/>
      <c r="D203" s="566"/>
      <c r="E203" s="175" t="s">
        <v>257</v>
      </c>
      <c r="F203" s="173">
        <v>266.533277107</v>
      </c>
      <c r="G203" s="54" t="s">
        <v>1230</v>
      </c>
      <c r="H203" s="173">
        <v>237.14232568400001</v>
      </c>
      <c r="I203" s="54" t="s">
        <v>1230</v>
      </c>
      <c r="J203" s="228">
        <v>322.447142488</v>
      </c>
      <c r="K203" s="56"/>
      <c r="L203" s="587"/>
      <c r="M203" s="587"/>
      <c r="N203" s="587"/>
      <c r="O203" s="599"/>
    </row>
    <row r="204" spans="1:15" ht="15.75" outlineLevel="1" x14ac:dyDescent="0.25">
      <c r="A204" s="540"/>
      <c r="B204" s="564"/>
      <c r="C204" s="596"/>
      <c r="D204" s="566"/>
      <c r="E204" s="175" t="s">
        <v>258</v>
      </c>
      <c r="F204" s="173">
        <v>26.383338081999998</v>
      </c>
      <c r="G204" s="54" t="s">
        <v>1230</v>
      </c>
      <c r="H204" s="173">
        <v>24.8391938</v>
      </c>
      <c r="I204" s="54" t="s">
        <v>1230</v>
      </c>
      <c r="J204" s="228">
        <v>139.33542733800002</v>
      </c>
      <c r="K204" s="56"/>
      <c r="L204" s="587"/>
      <c r="M204" s="587"/>
      <c r="N204" s="587"/>
      <c r="O204" s="599"/>
    </row>
    <row r="205" spans="1:15" ht="15.75" outlineLevel="1" x14ac:dyDescent="0.25">
      <c r="A205" s="540"/>
      <c r="B205" s="564"/>
      <c r="C205" s="596"/>
      <c r="D205" s="566"/>
      <c r="E205" s="175" t="s">
        <v>259</v>
      </c>
      <c r="F205" s="173">
        <v>4217.6232521889997</v>
      </c>
      <c r="G205" s="54" t="s">
        <v>1230</v>
      </c>
      <c r="H205" s="173">
        <v>3990.2453960440002</v>
      </c>
      <c r="I205" s="54" t="s">
        <v>1230</v>
      </c>
      <c r="J205" s="228">
        <v>3189.9414134600001</v>
      </c>
      <c r="K205" s="56"/>
      <c r="L205" s="587"/>
      <c r="M205" s="587"/>
      <c r="N205" s="587"/>
      <c r="O205" s="599"/>
    </row>
    <row r="206" spans="1:15" ht="33" outlineLevel="1" x14ac:dyDescent="0.25">
      <c r="A206" s="540"/>
      <c r="B206" s="564"/>
      <c r="C206" s="596"/>
      <c r="D206" s="566"/>
      <c r="E206" s="42" t="s">
        <v>391</v>
      </c>
      <c r="F206" s="173">
        <v>12974.961634528001</v>
      </c>
      <c r="G206" s="54" t="s">
        <v>1230</v>
      </c>
      <c r="H206" s="173">
        <v>12841.087325337001</v>
      </c>
      <c r="I206" s="54" t="s">
        <v>1230</v>
      </c>
      <c r="J206" s="228">
        <v>10331.408428398001</v>
      </c>
      <c r="K206" s="56"/>
      <c r="L206" s="587"/>
      <c r="M206" s="587"/>
      <c r="N206" s="587"/>
      <c r="O206" s="599"/>
    </row>
    <row r="207" spans="1:15" ht="15.75" outlineLevel="1" x14ac:dyDescent="0.25">
      <c r="A207" s="540"/>
      <c r="B207" s="564"/>
      <c r="C207" s="596"/>
      <c r="D207" s="566"/>
      <c r="E207" s="175" t="s">
        <v>261</v>
      </c>
      <c r="F207" s="173">
        <v>6995.3517096549995</v>
      </c>
      <c r="G207" s="54" t="s">
        <v>1230</v>
      </c>
      <c r="H207" s="173">
        <v>7264.7059306840001</v>
      </c>
      <c r="I207" s="54" t="s">
        <v>1230</v>
      </c>
      <c r="J207" s="228">
        <v>5661.1775257680001</v>
      </c>
      <c r="K207" s="56"/>
      <c r="L207" s="587"/>
      <c r="M207" s="587"/>
      <c r="N207" s="587"/>
      <c r="O207" s="599"/>
    </row>
    <row r="208" spans="1:15" ht="15.75" outlineLevel="1" x14ac:dyDescent="0.25">
      <c r="A208" s="540"/>
      <c r="B208" s="564"/>
      <c r="C208" s="596"/>
      <c r="D208" s="566"/>
      <c r="E208" s="175" t="s">
        <v>262</v>
      </c>
      <c r="F208" s="173">
        <v>2735.7306148379998</v>
      </c>
      <c r="G208" s="54" t="s">
        <v>1230</v>
      </c>
      <c r="H208" s="173">
        <v>2672.2254346230002</v>
      </c>
      <c r="I208" s="54" t="s">
        <v>1230</v>
      </c>
      <c r="J208" s="228">
        <v>2271.7819614610003</v>
      </c>
      <c r="K208" s="56"/>
      <c r="L208" s="587"/>
      <c r="M208" s="587"/>
      <c r="N208" s="587"/>
      <c r="O208" s="599"/>
    </row>
    <row r="209" spans="1:15" ht="15.75" outlineLevel="1" x14ac:dyDescent="0.25">
      <c r="A209" s="540"/>
      <c r="B209" s="564"/>
      <c r="C209" s="596"/>
      <c r="D209" s="566"/>
      <c r="E209" s="175" t="s">
        <v>263</v>
      </c>
      <c r="F209" s="173">
        <v>1471.1918478770001</v>
      </c>
      <c r="G209" s="54" t="s">
        <v>1230</v>
      </c>
      <c r="H209" s="173">
        <v>1353.4200521079999</v>
      </c>
      <c r="I209" s="54" t="s">
        <v>1230</v>
      </c>
      <c r="J209" s="228">
        <v>1345.3321907850002</v>
      </c>
      <c r="K209" s="56"/>
      <c r="L209" s="587"/>
      <c r="M209" s="587"/>
      <c r="N209" s="587"/>
      <c r="O209" s="599"/>
    </row>
    <row r="210" spans="1:15" ht="15.75" outlineLevel="1" x14ac:dyDescent="0.25">
      <c r="A210" s="540"/>
      <c r="B210" s="564"/>
      <c r="C210" s="596"/>
      <c r="D210" s="566"/>
      <c r="E210" s="175" t="s">
        <v>264</v>
      </c>
      <c r="F210" s="173">
        <v>1206.320560114</v>
      </c>
      <c r="G210" s="54" t="s">
        <v>1229</v>
      </c>
      <c r="H210" s="173">
        <v>974.74893913799997</v>
      </c>
      <c r="I210" s="54" t="s">
        <v>1229</v>
      </c>
      <c r="J210" s="228">
        <v>751.08947002600007</v>
      </c>
      <c r="K210" s="56"/>
      <c r="L210" s="587"/>
      <c r="M210" s="587"/>
      <c r="N210" s="587"/>
      <c r="O210" s="599"/>
    </row>
    <row r="211" spans="1:15" ht="15.75" outlineLevel="1" x14ac:dyDescent="0.25">
      <c r="A211" s="540"/>
      <c r="B211" s="564"/>
      <c r="C211" s="596"/>
      <c r="D211" s="566"/>
      <c r="E211" s="175" t="s">
        <v>265</v>
      </c>
      <c r="F211" s="173">
        <v>35.913829826000004</v>
      </c>
      <c r="G211" s="54" t="s">
        <v>1230</v>
      </c>
      <c r="H211" s="173">
        <v>35.284095502999996</v>
      </c>
      <c r="I211" s="54" t="s">
        <v>1230</v>
      </c>
      <c r="J211" s="228">
        <v>37.138092137999998</v>
      </c>
      <c r="K211" s="56"/>
      <c r="L211" s="587"/>
      <c r="M211" s="587"/>
      <c r="N211" s="587"/>
      <c r="O211" s="599"/>
    </row>
    <row r="212" spans="1:15" ht="77.25" customHeight="1" outlineLevel="1" x14ac:dyDescent="0.25">
      <c r="A212" s="540"/>
      <c r="B212" s="564"/>
      <c r="C212" s="597"/>
      <c r="D212" s="570"/>
      <c r="E212" s="175" t="s">
        <v>266</v>
      </c>
      <c r="F212" s="173">
        <v>530.45307221799999</v>
      </c>
      <c r="G212" s="54" t="s">
        <v>1230</v>
      </c>
      <c r="H212" s="173">
        <v>540.70287328099994</v>
      </c>
      <c r="I212" s="54" t="s">
        <v>1230</v>
      </c>
      <c r="J212" s="228">
        <v>264.88918821999999</v>
      </c>
      <c r="K212" s="56"/>
      <c r="L212" s="572"/>
      <c r="M212" s="572"/>
      <c r="N212" s="572"/>
      <c r="O212" s="600"/>
    </row>
    <row r="213" spans="1:15" ht="96" customHeight="1" outlineLevel="1" x14ac:dyDescent="0.25">
      <c r="A213" s="540"/>
      <c r="B213" s="58" t="s">
        <v>356</v>
      </c>
      <c r="C213" s="58" t="s">
        <v>386</v>
      </c>
      <c r="D213" s="59" t="s">
        <v>392</v>
      </c>
      <c r="E213" s="42" t="s">
        <v>388</v>
      </c>
      <c r="F213" s="173">
        <v>11901.12045755</v>
      </c>
      <c r="G213" s="54" t="s">
        <v>1230</v>
      </c>
      <c r="H213" s="173">
        <v>11840.507190144001</v>
      </c>
      <c r="I213" s="54" t="s">
        <v>1230</v>
      </c>
      <c r="J213" s="228">
        <v>9663.1178028209997</v>
      </c>
      <c r="K213" s="56" t="s">
        <v>244</v>
      </c>
      <c r="L213" s="57"/>
      <c r="M213" s="57">
        <v>6</v>
      </c>
      <c r="N213" s="42"/>
      <c r="O213" s="231" t="s">
        <v>393</v>
      </c>
    </row>
    <row r="214" spans="1:15" ht="47.25" customHeight="1" outlineLevel="1" x14ac:dyDescent="0.25">
      <c r="A214" s="540"/>
      <c r="B214" s="559" t="s">
        <v>356</v>
      </c>
      <c r="C214" s="559" t="s">
        <v>394</v>
      </c>
      <c r="D214" s="44" t="s">
        <v>395</v>
      </c>
      <c r="E214" s="42" t="s">
        <v>396</v>
      </c>
      <c r="F214" s="173">
        <v>27875.409940592999</v>
      </c>
      <c r="G214" s="54" t="s">
        <v>1230</v>
      </c>
      <c r="H214" s="173">
        <v>28228.200307358999</v>
      </c>
      <c r="I214" s="54" t="s">
        <v>1230</v>
      </c>
      <c r="J214" s="232">
        <v>26379.730995443002</v>
      </c>
      <c r="K214" s="233"/>
      <c r="L214" s="57"/>
      <c r="M214" s="57">
        <v>6</v>
      </c>
      <c r="N214" s="42"/>
      <c r="O214" s="58" t="s">
        <v>397</v>
      </c>
    </row>
    <row r="215" spans="1:15" ht="248.25" customHeight="1" outlineLevel="1" x14ac:dyDescent="0.25">
      <c r="A215" s="540"/>
      <c r="B215" s="570"/>
      <c r="C215" s="570"/>
      <c r="D215" s="44" t="s">
        <v>399</v>
      </c>
      <c r="E215" s="42" t="s">
        <v>396</v>
      </c>
      <c r="F215" s="173">
        <v>28949.251117571999</v>
      </c>
      <c r="G215" s="54" t="s">
        <v>1230</v>
      </c>
      <c r="H215" s="173">
        <v>29228.780442552001</v>
      </c>
      <c r="I215" s="54" t="s">
        <v>1230</v>
      </c>
      <c r="J215" s="232">
        <v>27048.021621020001</v>
      </c>
      <c r="K215" s="233"/>
      <c r="L215" s="57"/>
      <c r="M215" s="57">
        <v>6</v>
      </c>
      <c r="N215" s="42"/>
      <c r="O215" s="58" t="s">
        <v>400</v>
      </c>
    </row>
    <row r="216" spans="1:15" ht="219.75" customHeight="1" outlineLevel="1" x14ac:dyDescent="0.25">
      <c r="A216" s="540"/>
      <c r="B216" s="583" t="s">
        <v>356</v>
      </c>
      <c r="C216" s="583" t="s">
        <v>401</v>
      </c>
      <c r="D216" s="42" t="s">
        <v>402</v>
      </c>
      <c r="E216" s="42" t="s">
        <v>396</v>
      </c>
      <c r="F216" s="218">
        <v>412898.29716757318</v>
      </c>
      <c r="G216" s="54" t="s">
        <v>1230</v>
      </c>
      <c r="H216" s="53">
        <v>368260.84890976385</v>
      </c>
      <c r="I216" s="54" t="s">
        <v>1230</v>
      </c>
      <c r="J216" s="234">
        <v>405760.13879395032</v>
      </c>
      <c r="K216" s="56"/>
      <c r="L216" s="57"/>
      <c r="M216" s="57">
        <v>6</v>
      </c>
      <c r="N216" s="42"/>
      <c r="O216" s="231" t="s">
        <v>403</v>
      </c>
    </row>
    <row r="217" spans="1:15" ht="216" customHeight="1" outlineLevel="1" x14ac:dyDescent="0.25">
      <c r="A217" s="540"/>
      <c r="B217" s="596"/>
      <c r="C217" s="596"/>
      <c r="D217" s="42" t="s">
        <v>404</v>
      </c>
      <c r="E217" s="42" t="s">
        <v>396</v>
      </c>
      <c r="F217" s="218">
        <v>14094.548655125694</v>
      </c>
      <c r="G217" s="54"/>
      <c r="H217" s="53">
        <v>14651.842517694698</v>
      </c>
      <c r="I217" s="54"/>
      <c r="J217" s="234">
        <v>16544.196471800977</v>
      </c>
      <c r="K217" s="56"/>
      <c r="L217" s="57"/>
      <c r="M217" s="57">
        <v>6</v>
      </c>
      <c r="N217" s="42"/>
      <c r="O217" s="58" t="s">
        <v>405</v>
      </c>
    </row>
    <row r="218" spans="1:15" ht="141.75" customHeight="1" outlineLevel="1" x14ac:dyDescent="0.25">
      <c r="A218" s="540"/>
      <c r="B218" s="596"/>
      <c r="C218" s="596"/>
      <c r="D218" s="42" t="s">
        <v>406</v>
      </c>
      <c r="E218" s="42" t="s">
        <v>398</v>
      </c>
      <c r="F218" s="218">
        <v>2033.9154735726606</v>
      </c>
      <c r="G218" s="54"/>
      <c r="H218" s="53">
        <v>1660.0058797417478</v>
      </c>
      <c r="I218" s="54"/>
      <c r="J218" s="234">
        <v>1925.9453313728411</v>
      </c>
      <c r="K218" s="56"/>
      <c r="L218" s="57"/>
      <c r="M218" s="57"/>
      <c r="N218" s="42"/>
      <c r="O218" s="58" t="s">
        <v>407</v>
      </c>
    </row>
    <row r="219" spans="1:15" ht="30.75" customHeight="1" outlineLevel="1" x14ac:dyDescent="0.25">
      <c r="A219" s="540"/>
      <c r="B219" s="596"/>
      <c r="C219" s="596"/>
      <c r="D219" s="42" t="s">
        <v>408</v>
      </c>
      <c r="E219" s="42" t="s">
        <v>396</v>
      </c>
      <c r="F219" s="53">
        <v>4611.0345614459538</v>
      </c>
      <c r="G219" s="54"/>
      <c r="H219" s="53">
        <v>4693.3043263998652</v>
      </c>
      <c r="I219" s="54"/>
      <c r="J219" s="234">
        <v>4525.7754099072145</v>
      </c>
      <c r="K219" s="56" t="s">
        <v>244</v>
      </c>
      <c r="L219" s="57"/>
      <c r="M219" s="57">
        <v>6</v>
      </c>
      <c r="N219" s="42"/>
      <c r="O219" s="559" t="s">
        <v>409</v>
      </c>
    </row>
    <row r="220" spans="1:15" ht="34.5" customHeight="1" outlineLevel="1" x14ac:dyDescent="0.25">
      <c r="A220" s="540"/>
      <c r="B220" s="596"/>
      <c r="C220" s="596"/>
      <c r="D220" s="236" t="s">
        <v>410</v>
      </c>
      <c r="E220" s="42" t="s">
        <v>396</v>
      </c>
      <c r="F220" s="53">
        <v>1545.6167299653587</v>
      </c>
      <c r="G220" s="54"/>
      <c r="H220" s="53">
        <v>1600.7691964999556</v>
      </c>
      <c r="I220" s="54"/>
      <c r="J220" s="234">
        <v>1890.070264279849</v>
      </c>
      <c r="K220" s="56"/>
      <c r="L220" s="57"/>
      <c r="M220" s="57"/>
      <c r="N220" s="42"/>
      <c r="O220" s="566"/>
    </row>
    <row r="221" spans="1:15" ht="32.25" customHeight="1" outlineLevel="1" x14ac:dyDescent="0.25">
      <c r="A221" s="540"/>
      <c r="B221" s="596"/>
      <c r="C221" s="596"/>
      <c r="D221" s="236" t="s">
        <v>411</v>
      </c>
      <c r="E221" s="42" t="s">
        <v>396</v>
      </c>
      <c r="F221" s="53">
        <v>1988.8403277599925</v>
      </c>
      <c r="G221" s="54"/>
      <c r="H221" s="53">
        <v>1936.2856945565463</v>
      </c>
      <c r="I221" s="54"/>
      <c r="J221" s="234">
        <v>1695.4171309036351</v>
      </c>
      <c r="K221" s="56"/>
      <c r="L221" s="57"/>
      <c r="M221" s="57"/>
      <c r="N221" s="42"/>
      <c r="O221" s="566"/>
    </row>
    <row r="222" spans="1:15" ht="35.25" customHeight="1" outlineLevel="1" x14ac:dyDescent="0.25">
      <c r="A222" s="540"/>
      <c r="B222" s="596"/>
      <c r="C222" s="596"/>
      <c r="D222" s="236" t="s">
        <v>412</v>
      </c>
      <c r="E222" s="42" t="s">
        <v>396</v>
      </c>
      <c r="F222" s="53">
        <v>1076.5775037206033</v>
      </c>
      <c r="G222" s="54" t="s">
        <v>1230</v>
      </c>
      <c r="H222" s="53">
        <v>1089.6008908878132</v>
      </c>
      <c r="I222" s="54" t="s">
        <v>1230</v>
      </c>
      <c r="J222" s="234">
        <v>886.26260830897468</v>
      </c>
      <c r="K222" s="56"/>
      <c r="L222" s="57"/>
      <c r="M222" s="57"/>
      <c r="N222" s="42"/>
      <c r="O222" s="566"/>
    </row>
    <row r="223" spans="1:15" ht="81" customHeight="1" outlineLevel="1" x14ac:dyDescent="0.25">
      <c r="A223" s="540"/>
      <c r="B223" s="596"/>
      <c r="C223" s="596"/>
      <c r="D223" s="236" t="s">
        <v>413</v>
      </c>
      <c r="E223" s="42" t="s">
        <v>396</v>
      </c>
      <c r="F223" s="53">
        <v>0</v>
      </c>
      <c r="G223" s="54" t="s">
        <v>1229</v>
      </c>
      <c r="H223" s="53">
        <v>66.638415819301713</v>
      </c>
      <c r="I223" s="54"/>
      <c r="J223" s="234">
        <v>54.025406414757704</v>
      </c>
      <c r="K223" s="203"/>
      <c r="L223" s="57"/>
      <c r="M223" s="57"/>
      <c r="N223" s="42"/>
      <c r="O223" s="570"/>
    </row>
    <row r="224" spans="1:15" ht="267.75" customHeight="1" outlineLevel="1" x14ac:dyDescent="0.25">
      <c r="A224" s="540"/>
      <c r="B224" s="596"/>
      <c r="C224" s="596"/>
      <c r="D224" s="42" t="s">
        <v>414</v>
      </c>
      <c r="E224" s="42" t="s">
        <v>396</v>
      </c>
      <c r="F224" s="53">
        <v>5087.0886867353456</v>
      </c>
      <c r="G224" s="54" t="s">
        <v>1230</v>
      </c>
      <c r="H224" s="53">
        <v>4957.3121620086758</v>
      </c>
      <c r="I224" s="54" t="s">
        <v>1230</v>
      </c>
      <c r="J224" s="234">
        <v>5385.6187356295641</v>
      </c>
      <c r="K224" s="56"/>
      <c r="L224" s="57"/>
      <c r="M224" s="57">
        <v>6</v>
      </c>
      <c r="N224" s="42"/>
      <c r="O224" s="237" t="s">
        <v>415</v>
      </c>
    </row>
    <row r="225" spans="1:15" ht="207" customHeight="1" outlineLevel="1" x14ac:dyDescent="0.25">
      <c r="A225" s="540"/>
      <c r="B225" s="596"/>
      <c r="C225" s="596"/>
      <c r="D225" s="42" t="s">
        <v>416</v>
      </c>
      <c r="E225" s="42" t="s">
        <v>396</v>
      </c>
      <c r="F225" s="53">
        <v>3092.304053615539</v>
      </c>
      <c r="G225" s="54" t="s">
        <v>1230</v>
      </c>
      <c r="H225" s="53">
        <v>2582.9615736327823</v>
      </c>
      <c r="I225" s="54" t="s">
        <v>1230</v>
      </c>
      <c r="J225" s="234">
        <v>2527.9611642183863</v>
      </c>
      <c r="K225" s="56"/>
      <c r="L225" s="57"/>
      <c r="M225" s="57">
        <v>6</v>
      </c>
      <c r="N225" s="42"/>
      <c r="O225" s="58" t="s">
        <v>417</v>
      </c>
    </row>
    <row r="226" spans="1:15" ht="191.25" customHeight="1" outlineLevel="1" x14ac:dyDescent="0.25">
      <c r="A226" s="540"/>
      <c r="B226" s="596"/>
      <c r="C226" s="596"/>
      <c r="D226" s="42" t="s">
        <v>418</v>
      </c>
      <c r="E226" s="42" t="s">
        <v>396</v>
      </c>
      <c r="F226" s="53">
        <v>20205.961286535075</v>
      </c>
      <c r="G226" s="54" t="s">
        <v>1230</v>
      </c>
      <c r="H226" s="53">
        <v>16426.122195539727</v>
      </c>
      <c r="I226" s="54" t="s">
        <v>1230</v>
      </c>
      <c r="J226" s="234">
        <v>17463.598653443758</v>
      </c>
      <c r="K226" s="56"/>
      <c r="L226" s="57"/>
      <c r="M226" s="57">
        <v>6</v>
      </c>
      <c r="N226" s="42"/>
      <c r="O226" s="58" t="s">
        <v>419</v>
      </c>
    </row>
    <row r="227" spans="1:15" ht="227.25" customHeight="1" outlineLevel="1" x14ac:dyDescent="0.25">
      <c r="A227" s="540"/>
      <c r="B227" s="596"/>
      <c r="C227" s="596"/>
      <c r="D227" s="42" t="s">
        <v>420</v>
      </c>
      <c r="E227" s="42" t="s">
        <v>396</v>
      </c>
      <c r="F227" s="53">
        <v>330987.75557394291</v>
      </c>
      <c r="G227" s="54" t="s">
        <v>1230</v>
      </c>
      <c r="H227" s="53">
        <v>293403.07846724632</v>
      </c>
      <c r="I227" s="54" t="s">
        <v>1230</v>
      </c>
      <c r="J227" s="235">
        <v>324404.58824377757</v>
      </c>
      <c r="K227" s="56" t="s">
        <v>244</v>
      </c>
      <c r="L227" s="57"/>
      <c r="M227" s="57">
        <v>6</v>
      </c>
      <c r="N227" s="42"/>
      <c r="O227" s="58" t="s">
        <v>421</v>
      </c>
    </row>
    <row r="228" spans="1:15" ht="188.25" customHeight="1" outlineLevel="1" x14ac:dyDescent="0.25">
      <c r="A228" s="540"/>
      <c r="B228" s="596"/>
      <c r="C228" s="596"/>
      <c r="D228" s="42" t="s">
        <v>422</v>
      </c>
      <c r="E228" s="42" t="s">
        <v>396</v>
      </c>
      <c r="F228" s="53">
        <v>32785.688876599997</v>
      </c>
      <c r="G228" s="54" t="s">
        <v>1230</v>
      </c>
      <c r="H228" s="53">
        <v>29886.221787500002</v>
      </c>
      <c r="I228" s="54" t="s">
        <v>1230</v>
      </c>
      <c r="J228" s="234">
        <v>32982.454783800007</v>
      </c>
      <c r="K228" s="56"/>
      <c r="L228" s="57"/>
      <c r="M228" s="57">
        <v>6</v>
      </c>
      <c r="N228" s="42"/>
      <c r="O228" s="58" t="s">
        <v>423</v>
      </c>
    </row>
    <row r="229" spans="1:15" ht="280.5" customHeight="1" outlineLevel="1" x14ac:dyDescent="0.25">
      <c r="A229" s="540"/>
      <c r="B229" s="597"/>
      <c r="C229" s="597"/>
      <c r="D229" s="42" t="s">
        <v>424</v>
      </c>
      <c r="E229" s="63"/>
      <c r="F229" s="238"/>
      <c r="G229" s="239"/>
      <c r="H229" s="238"/>
      <c r="I229" s="239"/>
      <c r="J229" s="240"/>
      <c r="K229" s="241"/>
      <c r="L229" s="57"/>
      <c r="M229" s="57">
        <v>6</v>
      </c>
      <c r="N229" s="42"/>
      <c r="O229" s="51" t="s">
        <v>425</v>
      </c>
    </row>
    <row r="230" spans="1:15" ht="105.75" customHeight="1" outlineLevel="1" x14ac:dyDescent="0.25">
      <c r="A230" s="540"/>
      <c r="B230" s="559" t="s">
        <v>356</v>
      </c>
      <c r="C230" s="559" t="s">
        <v>426</v>
      </c>
      <c r="D230" s="42" t="s">
        <v>427</v>
      </c>
      <c r="E230" s="42" t="s">
        <v>428</v>
      </c>
      <c r="F230" s="242">
        <v>4.5</v>
      </c>
      <c r="G230" s="54" t="s">
        <v>1230</v>
      </c>
      <c r="H230" s="242">
        <v>5</v>
      </c>
      <c r="I230" s="54" t="s">
        <v>1230</v>
      </c>
      <c r="J230" s="243">
        <v>4.9000000000000004</v>
      </c>
      <c r="K230" s="56"/>
      <c r="L230" s="571"/>
      <c r="M230" s="571">
        <v>6</v>
      </c>
      <c r="N230" s="571"/>
      <c r="O230" s="608" t="s">
        <v>429</v>
      </c>
    </row>
    <row r="231" spans="1:15" ht="105.75" customHeight="1" outlineLevel="1" x14ac:dyDescent="0.25">
      <c r="A231" s="540"/>
      <c r="B231" s="566"/>
      <c r="C231" s="566"/>
      <c r="D231" s="42" t="s">
        <v>430</v>
      </c>
      <c r="E231" s="42" t="s">
        <v>428</v>
      </c>
      <c r="F231" s="242">
        <v>7.5</v>
      </c>
      <c r="G231" s="54" t="s">
        <v>1230</v>
      </c>
      <c r="H231" s="242">
        <v>7.9</v>
      </c>
      <c r="I231" s="54" t="s">
        <v>1230</v>
      </c>
      <c r="J231" s="243">
        <v>6.4</v>
      </c>
      <c r="K231" s="56"/>
      <c r="L231" s="587"/>
      <c r="M231" s="587"/>
      <c r="N231" s="587"/>
      <c r="O231" s="609"/>
    </row>
    <row r="232" spans="1:15" ht="105.75" customHeight="1" outlineLevel="1" x14ac:dyDescent="0.25">
      <c r="A232" s="540"/>
      <c r="B232" s="566"/>
      <c r="C232" s="566"/>
      <c r="D232" s="42" t="s">
        <v>431</v>
      </c>
      <c r="E232" s="42" t="s">
        <v>428</v>
      </c>
      <c r="F232" s="242">
        <v>4.8</v>
      </c>
      <c r="G232" s="54" t="s">
        <v>1230</v>
      </c>
      <c r="H232" s="242">
        <v>4.8</v>
      </c>
      <c r="I232" s="54" t="s">
        <v>1230</v>
      </c>
      <c r="J232" s="243">
        <v>4.7</v>
      </c>
      <c r="K232" s="56"/>
      <c r="L232" s="587"/>
      <c r="M232" s="587"/>
      <c r="N232" s="587"/>
      <c r="O232" s="609"/>
    </row>
    <row r="233" spans="1:15" ht="204.75" customHeight="1" outlineLevel="1" x14ac:dyDescent="0.25">
      <c r="A233" s="540"/>
      <c r="B233" s="570"/>
      <c r="C233" s="570"/>
      <c r="D233" s="42" t="s">
        <v>432</v>
      </c>
      <c r="E233" s="42" t="s">
        <v>433</v>
      </c>
      <c r="F233" s="242">
        <v>0</v>
      </c>
      <c r="G233" s="54" t="s">
        <v>1229</v>
      </c>
      <c r="H233" s="242">
        <v>0</v>
      </c>
      <c r="I233" s="54" t="s">
        <v>1229</v>
      </c>
      <c r="J233" s="243">
        <v>6.5</v>
      </c>
      <c r="K233" s="56"/>
      <c r="L233" s="572"/>
      <c r="M233" s="572"/>
      <c r="N233" s="572"/>
      <c r="O233" s="610"/>
    </row>
    <row r="234" spans="1:15" ht="233.25" customHeight="1" outlineLevel="1" x14ac:dyDescent="0.25">
      <c r="A234" s="540"/>
      <c r="B234" s="107" t="s">
        <v>356</v>
      </c>
      <c r="C234" s="107" t="s">
        <v>434</v>
      </c>
      <c r="D234" s="42" t="s">
        <v>435</v>
      </c>
      <c r="E234" s="244" t="s">
        <v>436</v>
      </c>
      <c r="F234" s="65"/>
      <c r="G234" s="66"/>
      <c r="H234" s="65"/>
      <c r="I234" s="66"/>
      <c r="J234" s="67"/>
      <c r="K234" s="68"/>
      <c r="L234" s="74"/>
      <c r="M234" s="74"/>
      <c r="N234" s="48"/>
      <c r="O234" s="245" t="s">
        <v>437</v>
      </c>
    </row>
    <row r="235" spans="1:15" ht="55.5" customHeight="1" outlineLevel="1" x14ac:dyDescent="0.25">
      <c r="A235" s="541"/>
      <c r="B235" s="583" t="s">
        <v>356</v>
      </c>
      <c r="C235" s="583" t="s">
        <v>438</v>
      </c>
      <c r="D235" s="564" t="s">
        <v>439</v>
      </c>
      <c r="E235" s="42" t="s">
        <v>440</v>
      </c>
      <c r="F235" s="218">
        <v>9735.3904180000009</v>
      </c>
      <c r="G235" s="54" t="s">
        <v>1230</v>
      </c>
      <c r="H235" s="218">
        <v>9038.3116219999993</v>
      </c>
      <c r="I235" s="54" t="s">
        <v>1230</v>
      </c>
      <c r="J235" s="62">
        <v>9537.6912190000003</v>
      </c>
      <c r="K235" s="213"/>
      <c r="L235" s="571"/>
      <c r="M235" s="571">
        <v>6</v>
      </c>
      <c r="N235" s="559" t="s">
        <v>441</v>
      </c>
      <c r="O235" s="598" t="s">
        <v>442</v>
      </c>
    </row>
    <row r="236" spans="1:15" ht="34.5" customHeight="1" outlineLevel="1" x14ac:dyDescent="0.25">
      <c r="A236" s="541"/>
      <c r="B236" s="596"/>
      <c r="C236" s="596"/>
      <c r="D236" s="564"/>
      <c r="E236" s="42" t="s">
        <v>443</v>
      </c>
      <c r="F236" s="218">
        <v>58932.471123000003</v>
      </c>
      <c r="G236" s="54" t="s">
        <v>1230</v>
      </c>
      <c r="H236" s="218">
        <v>61601.077036000002</v>
      </c>
      <c r="I236" s="54" t="s">
        <v>1230</v>
      </c>
      <c r="J236" s="62">
        <v>66188.796954000005</v>
      </c>
      <c r="K236" s="56"/>
      <c r="L236" s="587"/>
      <c r="M236" s="587"/>
      <c r="N236" s="566"/>
      <c r="O236" s="599"/>
    </row>
    <row r="237" spans="1:15" ht="174.75" customHeight="1" outlineLevel="1" x14ac:dyDescent="0.25">
      <c r="A237" s="541"/>
      <c r="B237" s="596"/>
      <c r="C237" s="596"/>
      <c r="D237" s="559"/>
      <c r="E237" s="48" t="s">
        <v>444</v>
      </c>
      <c r="F237" s="246">
        <v>350026.982907</v>
      </c>
      <c r="G237" s="71" t="s">
        <v>1230</v>
      </c>
      <c r="H237" s="246">
        <v>341743.48889199999</v>
      </c>
      <c r="I237" s="71" t="s">
        <v>1230</v>
      </c>
      <c r="J237" s="247">
        <v>346402.23955</v>
      </c>
      <c r="K237" s="213"/>
      <c r="L237" s="587"/>
      <c r="M237" s="587"/>
      <c r="N237" s="566"/>
      <c r="O237" s="599"/>
    </row>
    <row r="238" spans="1:15" ht="15.75" x14ac:dyDescent="0.25">
      <c r="A238" s="540"/>
      <c r="B238" s="139" t="s">
        <v>445</v>
      </c>
      <c r="C238" s="119"/>
      <c r="D238" s="119"/>
      <c r="E238" s="119"/>
      <c r="F238" s="119"/>
      <c r="G238" s="119"/>
      <c r="H238" s="119"/>
      <c r="I238" s="119"/>
      <c r="J238" s="119"/>
      <c r="K238" s="119"/>
      <c r="L238" s="119"/>
      <c r="M238" s="119"/>
      <c r="N238" s="119"/>
      <c r="O238" s="150"/>
    </row>
    <row r="239" spans="1:15" ht="232.5" customHeight="1" outlineLevel="1" x14ac:dyDescent="0.25">
      <c r="A239" s="540"/>
      <c r="B239" s="34" t="s">
        <v>144</v>
      </c>
      <c r="C239" s="84" t="s">
        <v>139</v>
      </c>
      <c r="D239" s="41" t="s">
        <v>145</v>
      </c>
      <c r="E239" s="607" t="s">
        <v>446</v>
      </c>
      <c r="F239" s="21"/>
      <c r="G239" s="21"/>
      <c r="H239" s="249"/>
      <c r="I239" s="250"/>
      <c r="J239" s="251"/>
      <c r="K239" s="252"/>
      <c r="L239" s="594" t="s">
        <v>226</v>
      </c>
      <c r="M239" s="594">
        <v>6</v>
      </c>
      <c r="N239" s="562" t="s">
        <v>447</v>
      </c>
      <c r="O239" s="562"/>
    </row>
    <row r="240" spans="1:15" ht="52.5" customHeight="1" outlineLevel="1" x14ac:dyDescent="0.25">
      <c r="A240" s="540"/>
      <c r="B240" s="560" t="s">
        <v>448</v>
      </c>
      <c r="C240" s="51" t="s">
        <v>449</v>
      </c>
      <c r="D240" s="49" t="s">
        <v>450</v>
      </c>
      <c r="E240" s="607"/>
      <c r="F240" s="21"/>
      <c r="G240" s="21"/>
      <c r="H240" s="249"/>
      <c r="I240" s="250"/>
      <c r="J240" s="251"/>
      <c r="K240" s="252"/>
      <c r="L240" s="594"/>
      <c r="M240" s="594"/>
      <c r="N240" s="562"/>
      <c r="O240" s="562"/>
    </row>
    <row r="241" spans="1:15" ht="46.5" customHeight="1" outlineLevel="1" x14ac:dyDescent="0.25">
      <c r="A241" s="540"/>
      <c r="B241" s="562"/>
      <c r="C241" s="51" t="s">
        <v>451</v>
      </c>
      <c r="D241" s="49" t="s">
        <v>452</v>
      </c>
      <c r="E241" s="569"/>
      <c r="F241" s="38"/>
      <c r="G241" s="38"/>
      <c r="H241" s="253"/>
      <c r="I241" s="254"/>
      <c r="J241" s="255"/>
      <c r="K241" s="256"/>
      <c r="L241" s="595"/>
      <c r="M241" s="595"/>
      <c r="N241" s="567"/>
      <c r="O241" s="567"/>
    </row>
    <row r="242" spans="1:15" ht="20.25" customHeight="1" outlineLevel="1" x14ac:dyDescent="0.25">
      <c r="A242" s="540"/>
      <c r="B242" s="562"/>
      <c r="C242" s="583" t="s">
        <v>453</v>
      </c>
      <c r="D242" s="559" t="s">
        <v>454</v>
      </c>
      <c r="E242" s="42" t="s">
        <v>455</v>
      </c>
      <c r="F242" s="201">
        <v>1926.8805628628959</v>
      </c>
      <c r="G242" s="54" t="s">
        <v>1229</v>
      </c>
      <c r="H242" s="201">
        <v>2310.828383121172</v>
      </c>
      <c r="I242" s="54" t="s">
        <v>1229</v>
      </c>
      <c r="J242" s="209">
        <v>2239.208172721841</v>
      </c>
      <c r="K242" s="56"/>
      <c r="L242" s="613"/>
      <c r="M242" s="571" t="s">
        <v>231</v>
      </c>
      <c r="N242" s="58"/>
      <c r="O242" s="598" t="s">
        <v>456</v>
      </c>
    </row>
    <row r="243" spans="1:15" ht="48.75" customHeight="1" outlineLevel="1" x14ac:dyDescent="0.25">
      <c r="A243" s="540"/>
      <c r="B243" s="562"/>
      <c r="C243" s="596"/>
      <c r="D243" s="566"/>
      <c r="E243" s="42" t="s">
        <v>457</v>
      </c>
      <c r="F243" s="201">
        <v>161.56829895110602</v>
      </c>
      <c r="G243" s="54" t="s">
        <v>1229</v>
      </c>
      <c r="H243" s="201">
        <v>149.78553986263199</v>
      </c>
      <c r="I243" s="54" t="s">
        <v>1229</v>
      </c>
      <c r="J243" s="209">
        <v>142.33700766430101</v>
      </c>
      <c r="K243" s="56"/>
      <c r="L243" s="594"/>
      <c r="M243" s="587"/>
      <c r="N243" s="58" t="s">
        <v>458</v>
      </c>
      <c r="O243" s="599"/>
    </row>
    <row r="244" spans="1:15" ht="20.25" customHeight="1" outlineLevel="1" x14ac:dyDescent="0.25">
      <c r="A244" s="540"/>
      <c r="B244" s="562"/>
      <c r="C244" s="596"/>
      <c r="D244" s="566"/>
      <c r="E244" s="42" t="s">
        <v>459</v>
      </c>
      <c r="F244" s="201">
        <v>1765.3122639117898</v>
      </c>
      <c r="G244" s="54" t="s">
        <v>1229</v>
      </c>
      <c r="H244" s="201">
        <v>2161.04284325854</v>
      </c>
      <c r="I244" s="54" t="s">
        <v>1229</v>
      </c>
      <c r="J244" s="209">
        <v>2096.8711650575401</v>
      </c>
      <c r="K244" s="56"/>
      <c r="L244" s="594"/>
      <c r="M244" s="587"/>
      <c r="N244" s="58"/>
      <c r="O244" s="599"/>
    </row>
    <row r="245" spans="1:15" ht="14.25" customHeight="1" outlineLevel="1" x14ac:dyDescent="0.25">
      <c r="A245" s="540"/>
      <c r="B245" s="562"/>
      <c r="C245" s="596"/>
      <c r="D245" s="566"/>
      <c r="E245" s="42" t="s">
        <v>460</v>
      </c>
      <c r="F245" s="257">
        <v>7.3600857972778754E-3</v>
      </c>
      <c r="G245" s="54" t="s">
        <v>1229</v>
      </c>
      <c r="H245" s="257">
        <v>5.4303124767344519E-3</v>
      </c>
      <c r="I245" s="54" t="s">
        <v>1229</v>
      </c>
      <c r="J245" s="258">
        <v>5.3046212757301009E-3</v>
      </c>
      <c r="K245" s="111"/>
      <c r="L245" s="594"/>
      <c r="M245" s="587"/>
      <c r="N245" s="58"/>
      <c r="O245" s="600"/>
    </row>
    <row r="246" spans="1:15" ht="47.25" customHeight="1" outlineLevel="1" x14ac:dyDescent="0.25">
      <c r="A246" s="540"/>
      <c r="B246" s="562"/>
      <c r="C246" s="596"/>
      <c r="D246" s="566"/>
      <c r="E246" s="42" t="s">
        <v>461</v>
      </c>
      <c r="F246" s="201">
        <v>353.97745926900001</v>
      </c>
      <c r="G246" s="54" t="s">
        <v>1229</v>
      </c>
      <c r="H246" s="201">
        <v>341.06894801699997</v>
      </c>
      <c r="I246" s="54" t="s">
        <v>1229</v>
      </c>
      <c r="J246" s="209">
        <v>344.95201392300004</v>
      </c>
      <c r="K246" s="56"/>
      <c r="L246" s="594"/>
      <c r="M246" s="587"/>
      <c r="N246" s="58" t="s">
        <v>462</v>
      </c>
      <c r="O246" s="598" t="s">
        <v>463</v>
      </c>
    </row>
    <row r="247" spans="1:15" ht="20.25" customHeight="1" outlineLevel="1" x14ac:dyDescent="0.25">
      <c r="A247" s="540"/>
      <c r="B247" s="567"/>
      <c r="C247" s="597"/>
      <c r="D247" s="570"/>
      <c r="E247" s="42" t="s">
        <v>464</v>
      </c>
      <c r="F247" s="257">
        <v>0.33822590848649842</v>
      </c>
      <c r="G247" s="54" t="s">
        <v>1229</v>
      </c>
      <c r="H247" s="257">
        <v>0.34335403004252085</v>
      </c>
      <c r="I247" s="54" t="s">
        <v>1229</v>
      </c>
      <c r="J247" s="258">
        <v>0.33688147533163804</v>
      </c>
      <c r="K247" s="111"/>
      <c r="L247" s="595"/>
      <c r="M247" s="572"/>
      <c r="N247" s="58"/>
      <c r="O247" s="600"/>
    </row>
    <row r="248" spans="1:15" ht="98.25" customHeight="1" outlineLevel="1" x14ac:dyDescent="0.25">
      <c r="A248" s="540"/>
      <c r="B248" s="58" t="s">
        <v>465</v>
      </c>
      <c r="C248" s="58" t="s">
        <v>465</v>
      </c>
      <c r="D248" s="42" t="s">
        <v>466</v>
      </c>
      <c r="E248" s="42" t="s">
        <v>467</v>
      </c>
      <c r="F248" s="201">
        <v>1926.8805628628959</v>
      </c>
      <c r="G248" s="54" t="s">
        <v>1229</v>
      </c>
      <c r="H248" s="201">
        <v>2310.828383121172</v>
      </c>
      <c r="I248" s="54" t="s">
        <v>1229</v>
      </c>
      <c r="J248" s="209">
        <v>2239.208172721841</v>
      </c>
      <c r="K248" s="56"/>
      <c r="L248" s="85"/>
      <c r="M248" s="57">
        <v>6</v>
      </c>
      <c r="N248" s="42" t="s">
        <v>468</v>
      </c>
      <c r="O248" s="160" t="s">
        <v>469</v>
      </c>
    </row>
    <row r="249" spans="1:15" ht="190.5" customHeight="1" outlineLevel="1" x14ac:dyDescent="0.25">
      <c r="A249" s="540"/>
      <c r="B249" s="583" t="s">
        <v>448</v>
      </c>
      <c r="C249" s="583" t="s">
        <v>453</v>
      </c>
      <c r="D249" s="559" t="s">
        <v>470</v>
      </c>
      <c r="E249" s="42" t="s">
        <v>471</v>
      </c>
      <c r="F249" s="207">
        <v>1</v>
      </c>
      <c r="G249" s="54" t="s">
        <v>1229</v>
      </c>
      <c r="H249" s="207">
        <v>5</v>
      </c>
      <c r="I249" s="54" t="s">
        <v>1229</v>
      </c>
      <c r="J249" s="205">
        <v>7</v>
      </c>
      <c r="K249" s="56"/>
      <c r="L249" s="613"/>
      <c r="M249" s="571">
        <v>6</v>
      </c>
      <c r="N249" s="559" t="s">
        <v>472</v>
      </c>
      <c r="O249" s="598" t="s">
        <v>473</v>
      </c>
    </row>
    <row r="250" spans="1:15" ht="18" customHeight="1" outlineLevel="1" x14ac:dyDescent="0.25">
      <c r="A250" s="540"/>
      <c r="B250" s="596"/>
      <c r="C250" s="596"/>
      <c r="D250" s="566"/>
      <c r="E250" s="48" t="s">
        <v>474</v>
      </c>
      <c r="F250" s="211">
        <v>0</v>
      </c>
      <c r="G250" s="71" t="s">
        <v>1229</v>
      </c>
      <c r="H250" s="211">
        <v>29.454999999999998</v>
      </c>
      <c r="I250" s="71" t="s">
        <v>1229</v>
      </c>
      <c r="J250" s="214">
        <v>1373.04</v>
      </c>
      <c r="K250" s="213"/>
      <c r="L250" s="594"/>
      <c r="M250" s="587"/>
      <c r="N250" s="566"/>
      <c r="O250" s="599"/>
    </row>
    <row r="251" spans="1:15" ht="15.75" x14ac:dyDescent="0.25">
      <c r="A251" s="540"/>
      <c r="B251" s="139" t="s">
        <v>475</v>
      </c>
      <c r="C251" s="119"/>
      <c r="D251" s="119"/>
      <c r="E251" s="119"/>
      <c r="F251" s="119"/>
      <c r="G251" s="119"/>
      <c r="H251" s="119"/>
      <c r="I251" s="119"/>
      <c r="J251" s="119"/>
      <c r="K251" s="119"/>
      <c r="L251" s="119"/>
      <c r="M251" s="119"/>
      <c r="N251" s="119"/>
      <c r="O251" s="150"/>
    </row>
    <row r="252" spans="1:15" ht="115.5" customHeight="1" outlineLevel="1" x14ac:dyDescent="0.25">
      <c r="A252" s="540"/>
      <c r="B252" s="34" t="s">
        <v>144</v>
      </c>
      <c r="C252" s="84" t="s">
        <v>139</v>
      </c>
      <c r="D252" s="41" t="s">
        <v>145</v>
      </c>
      <c r="E252" s="82" t="s">
        <v>476</v>
      </c>
      <c r="F252" s="37"/>
      <c r="G252" s="38"/>
      <c r="H252" s="37"/>
      <c r="I252" s="38"/>
      <c r="J252" s="39"/>
      <c r="K252" s="40"/>
      <c r="L252" s="83" t="s">
        <v>226</v>
      </c>
      <c r="M252" s="83" t="s">
        <v>231</v>
      </c>
      <c r="N252" s="41"/>
      <c r="O252" s="34"/>
    </row>
    <row r="253" spans="1:15" ht="56.25" customHeight="1" outlineLevel="1" x14ac:dyDescent="0.25">
      <c r="A253" s="540"/>
      <c r="B253" s="107" t="s">
        <v>477</v>
      </c>
      <c r="C253" s="107" t="s">
        <v>478</v>
      </c>
      <c r="D253" s="48" t="s">
        <v>479</v>
      </c>
      <c r="E253" s="48" t="s">
        <v>480</v>
      </c>
      <c r="F253" s="140">
        <v>0.67514813523875916</v>
      </c>
      <c r="G253" s="71" t="s">
        <v>1229</v>
      </c>
      <c r="H253" s="140">
        <v>0.60194465220643234</v>
      </c>
      <c r="I253" s="71" t="s">
        <v>1229</v>
      </c>
      <c r="J253" s="142">
        <v>0.65031719015936873</v>
      </c>
      <c r="K253" s="143"/>
      <c r="L253" s="74">
        <v>8</v>
      </c>
      <c r="M253" s="74">
        <v>6</v>
      </c>
      <c r="N253" s="48"/>
      <c r="O253" s="107"/>
    </row>
    <row r="254" spans="1:15" ht="15.75" collapsed="1" x14ac:dyDescent="0.25">
      <c r="A254" s="540"/>
      <c r="B254" s="260" t="s">
        <v>481</v>
      </c>
      <c r="C254" s="261"/>
      <c r="D254" s="262"/>
      <c r="E254" s="262"/>
      <c r="F254" s="262"/>
      <c r="G254" s="262"/>
      <c r="H254" s="262"/>
      <c r="I254" s="262"/>
      <c r="J254" s="262"/>
      <c r="K254" s="262"/>
      <c r="L254" s="263"/>
      <c r="M254" s="263"/>
      <c r="N254" s="262"/>
      <c r="O254" s="264"/>
    </row>
    <row r="255" spans="1:15" ht="15.75" x14ac:dyDescent="0.25">
      <c r="A255" s="540"/>
      <c r="B255" s="99" t="s">
        <v>482</v>
      </c>
      <c r="C255" s="118"/>
      <c r="D255" s="118"/>
      <c r="E255" s="118"/>
      <c r="F255" s="118"/>
      <c r="G255" s="119"/>
      <c r="H255" s="118"/>
      <c r="I255" s="119"/>
      <c r="J255" s="118"/>
      <c r="K255" s="119"/>
      <c r="L255" s="118"/>
      <c r="M255" s="118"/>
      <c r="N255" s="119"/>
      <c r="O255" s="130"/>
    </row>
    <row r="256" spans="1:15" ht="160.5" customHeight="1" outlineLevel="1" x14ac:dyDescent="0.25">
      <c r="A256" s="540"/>
      <c r="B256" s="34" t="s">
        <v>144</v>
      </c>
      <c r="C256" s="84" t="s">
        <v>139</v>
      </c>
      <c r="D256" s="41" t="s">
        <v>145</v>
      </c>
      <c r="E256" s="82" t="s">
        <v>483</v>
      </c>
      <c r="F256" s="37"/>
      <c r="G256" s="38"/>
      <c r="H256" s="37"/>
      <c r="I256" s="38"/>
      <c r="J256" s="39"/>
      <c r="K256" s="40"/>
      <c r="L256" s="83" t="s">
        <v>484</v>
      </c>
      <c r="M256" s="83"/>
      <c r="N256" s="41"/>
      <c r="O256" s="34"/>
    </row>
    <row r="257" spans="1:15" ht="16.5" customHeight="1" outlineLevel="1" x14ac:dyDescent="0.25">
      <c r="A257" s="540"/>
      <c r="B257" s="584" t="s">
        <v>485</v>
      </c>
      <c r="C257" s="584" t="s">
        <v>486</v>
      </c>
      <c r="D257" s="559" t="s">
        <v>487</v>
      </c>
      <c r="E257" s="265" t="s">
        <v>488</v>
      </c>
      <c r="F257" s="614"/>
      <c r="G257" s="614"/>
      <c r="H257" s="614"/>
      <c r="I257" s="614"/>
      <c r="J257" s="615"/>
      <c r="K257" s="68"/>
      <c r="L257" s="571"/>
      <c r="M257" s="571"/>
      <c r="N257" s="571"/>
      <c r="O257" s="611" t="s">
        <v>489</v>
      </c>
    </row>
    <row r="258" spans="1:15" ht="15.75" outlineLevel="1" x14ac:dyDescent="0.25">
      <c r="A258" s="540"/>
      <c r="B258" s="584"/>
      <c r="C258" s="584"/>
      <c r="D258" s="566"/>
      <c r="E258" s="199" t="s">
        <v>490</v>
      </c>
      <c r="F258" s="266">
        <v>8000</v>
      </c>
      <c r="G258" s="54" t="s">
        <v>1229</v>
      </c>
      <c r="H258" s="266">
        <v>6990</v>
      </c>
      <c r="I258" s="54" t="s">
        <v>1229</v>
      </c>
      <c r="J258" s="267">
        <v>6766</v>
      </c>
      <c r="K258" s="268"/>
      <c r="L258" s="587"/>
      <c r="M258" s="587"/>
      <c r="N258" s="587"/>
      <c r="O258" s="612"/>
    </row>
    <row r="259" spans="1:15" ht="15.75" outlineLevel="1" x14ac:dyDescent="0.25">
      <c r="A259" s="540"/>
      <c r="B259" s="584"/>
      <c r="C259" s="584"/>
      <c r="D259" s="566"/>
      <c r="E259" s="199" t="s">
        <v>491</v>
      </c>
      <c r="F259" s="269">
        <v>9.1093347908268993E-2</v>
      </c>
      <c r="G259" s="54" t="s">
        <v>1229</v>
      </c>
      <c r="H259" s="269">
        <v>8.599478372127356E-2</v>
      </c>
      <c r="I259" s="54" t="s">
        <v>1229</v>
      </c>
      <c r="J259" s="270">
        <v>8.2809096027219545E-2</v>
      </c>
      <c r="K259" s="268"/>
      <c r="L259" s="587"/>
      <c r="M259" s="587"/>
      <c r="N259" s="587"/>
      <c r="O259" s="612"/>
    </row>
    <row r="260" spans="1:15" ht="15.75" outlineLevel="1" x14ac:dyDescent="0.25">
      <c r="A260" s="540"/>
      <c r="B260" s="584"/>
      <c r="C260" s="584"/>
      <c r="D260" s="566"/>
      <c r="E260" s="199" t="s">
        <v>492</v>
      </c>
      <c r="F260" s="269"/>
      <c r="G260" s="54" t="s">
        <v>1229</v>
      </c>
      <c r="H260" s="269"/>
      <c r="I260" s="54" t="s">
        <v>1229</v>
      </c>
      <c r="J260" s="270"/>
      <c r="K260" s="268"/>
      <c r="L260" s="587"/>
      <c r="M260" s="587"/>
      <c r="N260" s="587"/>
      <c r="O260" s="612"/>
    </row>
    <row r="261" spans="1:15" ht="15.75" outlineLevel="1" x14ac:dyDescent="0.25">
      <c r="A261" s="540"/>
      <c r="B261" s="584"/>
      <c r="C261" s="584"/>
      <c r="D261" s="566"/>
      <c r="E261" s="271" t="s">
        <v>261</v>
      </c>
      <c r="F261" s="269">
        <v>1.800870123386349E-2</v>
      </c>
      <c r="G261" s="54" t="s">
        <v>1229</v>
      </c>
      <c r="H261" s="269">
        <v>3.0952484458548885E-2</v>
      </c>
      <c r="I261" s="54" t="s">
        <v>1229</v>
      </c>
      <c r="J261" s="270">
        <v>4.1346334145884116E-2</v>
      </c>
      <c r="K261" s="268"/>
      <c r="L261" s="587"/>
      <c r="M261" s="587"/>
      <c r="N261" s="587"/>
      <c r="O261" s="612"/>
    </row>
    <row r="262" spans="1:15" ht="15.75" outlineLevel="1" x14ac:dyDescent="0.25">
      <c r="A262" s="540"/>
      <c r="B262" s="584"/>
      <c r="C262" s="584"/>
      <c r="D262" s="566"/>
      <c r="E262" s="271" t="s">
        <v>262</v>
      </c>
      <c r="F262" s="269">
        <v>8.408749829460184E-2</v>
      </c>
      <c r="G262" s="54" t="s">
        <v>1229</v>
      </c>
      <c r="H262" s="269">
        <v>7.6857348443964746E-2</v>
      </c>
      <c r="I262" s="54" t="s">
        <v>1229</v>
      </c>
      <c r="J262" s="270">
        <v>8.4361213649050151E-2</v>
      </c>
      <c r="K262" s="268"/>
      <c r="L262" s="587"/>
      <c r="M262" s="587"/>
      <c r="N262" s="587"/>
      <c r="O262" s="612"/>
    </row>
    <row r="263" spans="1:15" ht="15.75" outlineLevel="1" x14ac:dyDescent="0.25">
      <c r="A263" s="540"/>
      <c r="B263" s="584"/>
      <c r="C263" s="584"/>
      <c r="D263" s="566"/>
      <c r="E263" s="271" t="s">
        <v>493</v>
      </c>
      <c r="F263" s="269">
        <v>0.12155417338554865</v>
      </c>
      <c r="G263" s="54" t="s">
        <v>1229</v>
      </c>
      <c r="H263" s="269">
        <v>0.14834506514901902</v>
      </c>
      <c r="I263" s="54" t="s">
        <v>1229</v>
      </c>
      <c r="J263" s="270">
        <v>0.14102564102564102</v>
      </c>
      <c r="K263" s="268"/>
      <c r="L263" s="587"/>
      <c r="M263" s="587"/>
      <c r="N263" s="587"/>
      <c r="O263" s="612"/>
    </row>
    <row r="264" spans="1:15" ht="15.75" outlineLevel="1" x14ac:dyDescent="0.25">
      <c r="A264" s="540"/>
      <c r="B264" s="584"/>
      <c r="C264" s="584"/>
      <c r="D264" s="566"/>
      <c r="E264" s="271" t="s">
        <v>264</v>
      </c>
      <c r="F264" s="269">
        <v>6.7342342342342348E-2</v>
      </c>
      <c r="G264" s="54" t="s">
        <v>1229</v>
      </c>
      <c r="H264" s="269">
        <v>5.9331414655744964E-2</v>
      </c>
      <c r="I264" s="54" t="s">
        <v>1229</v>
      </c>
      <c r="J264" s="270">
        <v>6.9401284441682198E-2</v>
      </c>
      <c r="K264" s="268"/>
      <c r="L264" s="587"/>
      <c r="M264" s="587"/>
      <c r="N264" s="587"/>
      <c r="O264" s="612"/>
    </row>
    <row r="265" spans="1:15" ht="15.75" outlineLevel="1" x14ac:dyDescent="0.25">
      <c r="A265" s="540"/>
      <c r="B265" s="584"/>
      <c r="C265" s="584"/>
      <c r="D265" s="566"/>
      <c r="E265" s="271" t="s">
        <v>265</v>
      </c>
      <c r="F265" s="269">
        <v>0.15494955863808324</v>
      </c>
      <c r="G265" s="54" t="s">
        <v>1229</v>
      </c>
      <c r="H265" s="269">
        <v>0.15433733063385766</v>
      </c>
      <c r="I265" s="54" t="s">
        <v>1229</v>
      </c>
      <c r="J265" s="270">
        <v>9.8813586868194372E-2</v>
      </c>
      <c r="K265" s="268"/>
      <c r="L265" s="587"/>
      <c r="M265" s="587"/>
      <c r="N265" s="587"/>
      <c r="O265" s="612"/>
    </row>
    <row r="266" spans="1:15" ht="15.75" outlineLevel="1" x14ac:dyDescent="0.25">
      <c r="A266" s="540"/>
      <c r="B266" s="584"/>
      <c r="C266" s="584"/>
      <c r="D266" s="566"/>
      <c r="E266" s="271" t="s">
        <v>266</v>
      </c>
      <c r="F266" s="269">
        <v>0.19887013729977115</v>
      </c>
      <c r="G266" s="54" t="s">
        <v>1229</v>
      </c>
      <c r="H266" s="269">
        <v>0.11307751212456395</v>
      </c>
      <c r="I266" s="54" t="s">
        <v>1229</v>
      </c>
      <c r="J266" s="270">
        <v>8.7491264849755418E-2</v>
      </c>
      <c r="K266" s="268"/>
      <c r="L266" s="587"/>
      <c r="M266" s="587"/>
      <c r="N266" s="587"/>
      <c r="O266" s="612"/>
    </row>
    <row r="267" spans="1:15" ht="15.75" outlineLevel="1" x14ac:dyDescent="0.25">
      <c r="A267" s="540"/>
      <c r="B267" s="584"/>
      <c r="C267" s="584"/>
      <c r="D267" s="566"/>
      <c r="E267" s="272" t="s">
        <v>494</v>
      </c>
      <c r="F267" s="614"/>
      <c r="G267" s="614"/>
      <c r="H267" s="614"/>
      <c r="I267" s="614"/>
      <c r="J267" s="615"/>
      <c r="K267" s="68"/>
      <c r="L267" s="587"/>
      <c r="M267" s="587"/>
      <c r="N267" s="587"/>
      <c r="O267" s="612"/>
    </row>
    <row r="268" spans="1:15" ht="15.75" outlineLevel="1" x14ac:dyDescent="0.25">
      <c r="A268" s="540"/>
      <c r="B268" s="584"/>
      <c r="C268" s="584"/>
      <c r="D268" s="566"/>
      <c r="E268" s="273" t="s">
        <v>495</v>
      </c>
      <c r="F268" s="266">
        <v>9646</v>
      </c>
      <c r="G268" s="54" t="s">
        <v>1229</v>
      </c>
      <c r="H268" s="266">
        <v>11383</v>
      </c>
      <c r="I268" s="54" t="s">
        <v>1229</v>
      </c>
      <c r="J268" s="267">
        <v>11051</v>
      </c>
      <c r="K268" s="268"/>
      <c r="L268" s="587"/>
      <c r="M268" s="587"/>
      <c r="N268" s="587"/>
      <c r="O268" s="612"/>
    </row>
    <row r="269" spans="1:15" ht="15.75" outlineLevel="1" x14ac:dyDescent="0.25">
      <c r="A269" s="540"/>
      <c r="B269" s="583"/>
      <c r="C269" s="583"/>
      <c r="D269" s="566"/>
      <c r="E269" s="274" t="s">
        <v>496</v>
      </c>
      <c r="F269" s="140">
        <v>0.10983580424039535</v>
      </c>
      <c r="G269" s="71" t="s">
        <v>1229</v>
      </c>
      <c r="H269" s="140">
        <v>0.14003986024309828</v>
      </c>
      <c r="I269" s="71" t="s">
        <v>1229</v>
      </c>
      <c r="J269" s="142">
        <v>0.13525322497735784</v>
      </c>
      <c r="K269" s="143"/>
      <c r="L269" s="587"/>
      <c r="M269" s="587"/>
      <c r="N269" s="587"/>
      <c r="O269" s="612"/>
    </row>
    <row r="270" spans="1:15" ht="15.75" x14ac:dyDescent="0.25">
      <c r="A270" s="540"/>
      <c r="B270" s="99" t="s">
        <v>497</v>
      </c>
      <c r="C270" s="118"/>
      <c r="D270" s="118"/>
      <c r="E270" s="118"/>
      <c r="F270" s="118"/>
      <c r="G270" s="119"/>
      <c r="H270" s="118"/>
      <c r="I270" s="119"/>
      <c r="J270" s="118"/>
      <c r="K270" s="119"/>
      <c r="L270" s="118"/>
      <c r="M270" s="118"/>
      <c r="N270" s="119"/>
      <c r="O270" s="130"/>
    </row>
    <row r="271" spans="1:15" ht="97.5" customHeight="1" outlineLevel="1" x14ac:dyDescent="0.25">
      <c r="A271" s="540"/>
      <c r="B271" s="34" t="s">
        <v>144</v>
      </c>
      <c r="C271" s="84" t="s">
        <v>139</v>
      </c>
      <c r="D271" s="41" t="s">
        <v>145</v>
      </c>
      <c r="E271" s="82" t="s">
        <v>498</v>
      </c>
      <c r="F271" s="37"/>
      <c r="G271" s="38"/>
      <c r="H271" s="37"/>
      <c r="I271" s="38"/>
      <c r="J271" s="39"/>
      <c r="K271" s="40"/>
      <c r="L271" s="83" t="s">
        <v>484</v>
      </c>
      <c r="M271" s="83"/>
      <c r="N271" s="41"/>
      <c r="O271" s="34"/>
    </row>
    <row r="272" spans="1:15" ht="51.75" customHeight="1" outlineLevel="1" x14ac:dyDescent="0.25">
      <c r="A272" s="540"/>
      <c r="B272" s="58" t="s">
        <v>499</v>
      </c>
      <c r="C272" s="44" t="s">
        <v>500</v>
      </c>
      <c r="D272" s="59" t="s">
        <v>501</v>
      </c>
      <c r="E272" s="276"/>
      <c r="F272" s="65"/>
      <c r="G272" s="66"/>
      <c r="H272" s="65"/>
      <c r="I272" s="66"/>
      <c r="J272" s="67"/>
      <c r="K272" s="68"/>
      <c r="L272" s="57"/>
      <c r="M272" s="57">
        <v>3</v>
      </c>
      <c r="N272" s="42"/>
      <c r="O272" s="160" t="s">
        <v>502</v>
      </c>
    </row>
    <row r="273" spans="1:15" ht="33.75" customHeight="1" outlineLevel="1" x14ac:dyDescent="0.25">
      <c r="A273" s="540"/>
      <c r="B273" s="583" t="s">
        <v>503</v>
      </c>
      <c r="C273" s="583" t="s">
        <v>503</v>
      </c>
      <c r="D273" s="559" t="s">
        <v>504</v>
      </c>
      <c r="E273" s="59" t="s">
        <v>505</v>
      </c>
      <c r="F273" s="218">
        <v>2</v>
      </c>
      <c r="G273" s="54" t="s">
        <v>1229</v>
      </c>
      <c r="H273" s="218">
        <v>4</v>
      </c>
      <c r="I273" s="54" t="s">
        <v>1229</v>
      </c>
      <c r="J273" s="62">
        <v>0</v>
      </c>
      <c r="K273" s="56"/>
      <c r="L273" s="571"/>
      <c r="M273" s="571">
        <v>3</v>
      </c>
      <c r="N273" s="559" t="s">
        <v>506</v>
      </c>
      <c r="O273" s="58"/>
    </row>
    <row r="274" spans="1:15" ht="36" customHeight="1" outlineLevel="1" x14ac:dyDescent="0.25">
      <c r="A274" s="540"/>
      <c r="B274" s="596"/>
      <c r="C274" s="596"/>
      <c r="D274" s="566"/>
      <c r="E274" s="48" t="s">
        <v>507</v>
      </c>
      <c r="F274" s="246">
        <v>2</v>
      </c>
      <c r="G274" s="71" t="s">
        <v>1229</v>
      </c>
      <c r="H274" s="246">
        <v>0</v>
      </c>
      <c r="I274" s="71" t="s">
        <v>1229</v>
      </c>
      <c r="J274" s="247">
        <v>1</v>
      </c>
      <c r="K274" s="213"/>
      <c r="L274" s="587"/>
      <c r="M274" s="587"/>
      <c r="N274" s="566"/>
      <c r="O274" s="161" t="s">
        <v>508</v>
      </c>
    </row>
    <row r="275" spans="1:15" ht="15.75" x14ac:dyDescent="0.25">
      <c r="A275" s="540"/>
      <c r="B275" s="99" t="s">
        <v>509</v>
      </c>
      <c r="C275" s="118"/>
      <c r="D275" s="118"/>
      <c r="E275" s="118"/>
      <c r="F275" s="118"/>
      <c r="G275" s="119"/>
      <c r="H275" s="118"/>
      <c r="I275" s="119"/>
      <c r="J275" s="118"/>
      <c r="K275" s="119"/>
      <c r="L275" s="118"/>
      <c r="M275" s="118"/>
      <c r="N275" s="119"/>
      <c r="O275" s="130"/>
    </row>
    <row r="276" spans="1:15" ht="158.25" customHeight="1" outlineLevel="1" x14ac:dyDescent="0.25">
      <c r="A276" s="540"/>
      <c r="B276" s="34" t="s">
        <v>144</v>
      </c>
      <c r="C276" s="84" t="s">
        <v>139</v>
      </c>
      <c r="D276" s="41" t="s">
        <v>145</v>
      </c>
      <c r="E276" s="82" t="s">
        <v>510</v>
      </c>
      <c r="F276" s="37"/>
      <c r="G276" s="38"/>
      <c r="H276" s="37"/>
      <c r="I276" s="38"/>
      <c r="J276" s="39"/>
      <c r="K276" s="40"/>
      <c r="L276" s="83"/>
      <c r="M276" s="83">
        <v>5</v>
      </c>
      <c r="N276" s="41"/>
      <c r="O276" s="277" t="s">
        <v>511</v>
      </c>
    </row>
    <row r="277" spans="1:15" ht="252.75" customHeight="1" outlineLevel="1" x14ac:dyDescent="0.25">
      <c r="A277" s="540"/>
      <c r="B277" s="58" t="s">
        <v>512</v>
      </c>
      <c r="C277" s="58" t="s">
        <v>513</v>
      </c>
      <c r="D277" s="59" t="s">
        <v>514</v>
      </c>
      <c r="E277" s="82" t="s">
        <v>515</v>
      </c>
      <c r="F277" s="37"/>
      <c r="G277" s="38"/>
      <c r="H277" s="37"/>
      <c r="I277" s="38"/>
      <c r="J277" s="39"/>
      <c r="K277" s="40"/>
      <c r="L277" s="112"/>
      <c r="M277" s="112">
        <v>5</v>
      </c>
      <c r="N277" s="59"/>
      <c r="O277" s="45" t="s">
        <v>516</v>
      </c>
    </row>
    <row r="278" spans="1:15" ht="178.5" customHeight="1" outlineLevel="1" x14ac:dyDescent="0.25">
      <c r="A278" s="540"/>
      <c r="B278" s="58" t="s">
        <v>512</v>
      </c>
      <c r="C278" s="58" t="s">
        <v>517</v>
      </c>
      <c r="D278" s="59" t="s">
        <v>518</v>
      </c>
      <c r="E278" s="82" t="s">
        <v>519</v>
      </c>
      <c r="F278" s="37"/>
      <c r="G278" s="38"/>
      <c r="H278" s="37"/>
      <c r="I278" s="38"/>
      <c r="J278" s="39"/>
      <c r="K278" s="40"/>
      <c r="L278" s="112"/>
      <c r="M278" s="112">
        <v>5</v>
      </c>
      <c r="N278" s="59"/>
      <c r="O278" s="160" t="s">
        <v>520</v>
      </c>
    </row>
    <row r="279" spans="1:15" ht="159" customHeight="1" outlineLevel="1" x14ac:dyDescent="0.25">
      <c r="A279" s="540"/>
      <c r="B279" s="58" t="s">
        <v>512</v>
      </c>
      <c r="C279" s="107" t="s">
        <v>521</v>
      </c>
      <c r="D279" s="59" t="s">
        <v>522</v>
      </c>
      <c r="E279" s="82" t="s">
        <v>523</v>
      </c>
      <c r="F279" s="37"/>
      <c r="G279" s="38"/>
      <c r="H279" s="37"/>
      <c r="I279" s="38"/>
      <c r="J279" s="39"/>
      <c r="K279" s="40"/>
      <c r="L279" s="112"/>
      <c r="M279" s="112">
        <v>5</v>
      </c>
      <c r="N279" s="59"/>
      <c r="O279" s="45" t="s">
        <v>524</v>
      </c>
    </row>
    <row r="280" spans="1:15" ht="97.5" customHeight="1" outlineLevel="1" x14ac:dyDescent="0.25">
      <c r="A280" s="540"/>
      <c r="B280" s="58" t="s">
        <v>512</v>
      </c>
      <c r="C280" s="107" t="s">
        <v>525</v>
      </c>
      <c r="D280" s="59" t="s">
        <v>526</v>
      </c>
      <c r="E280" s="43" t="s">
        <v>527</v>
      </c>
      <c r="F280" s="257">
        <v>0.79411764705882348</v>
      </c>
      <c r="G280" s="54" t="s">
        <v>1229</v>
      </c>
      <c r="H280" s="257">
        <v>0.83720930232558144</v>
      </c>
      <c r="I280" s="54" t="s">
        <v>1229</v>
      </c>
      <c r="J280" s="258">
        <v>0.84297520661157022</v>
      </c>
      <c r="K280" s="56"/>
      <c r="L280" s="112"/>
      <c r="M280" s="112">
        <v>5</v>
      </c>
      <c r="N280" s="59"/>
      <c r="O280" s="45" t="s">
        <v>528</v>
      </c>
    </row>
    <row r="281" spans="1:15" ht="160.5" customHeight="1" outlineLevel="1" x14ac:dyDescent="0.25">
      <c r="A281" s="540"/>
      <c r="B281" s="58" t="s">
        <v>512</v>
      </c>
      <c r="C281" s="107" t="s">
        <v>529</v>
      </c>
      <c r="D281" s="59" t="s">
        <v>530</v>
      </c>
      <c r="E281" s="43" t="s">
        <v>531</v>
      </c>
      <c r="F281" s="37"/>
      <c r="G281" s="38"/>
      <c r="H281" s="37"/>
      <c r="I281" s="38"/>
      <c r="J281" s="39"/>
      <c r="K281" s="38"/>
      <c r="L281" s="112"/>
      <c r="M281" s="112">
        <v>5</v>
      </c>
      <c r="N281" s="59" t="s">
        <v>532</v>
      </c>
      <c r="O281" s="45" t="s">
        <v>533</v>
      </c>
    </row>
    <row r="282" spans="1:15" ht="145.5" customHeight="1" outlineLevel="1" x14ac:dyDescent="0.25">
      <c r="A282" s="540"/>
      <c r="B282" s="58" t="s">
        <v>512</v>
      </c>
      <c r="C282" s="107" t="s">
        <v>534</v>
      </c>
      <c r="D282" s="59" t="s">
        <v>535</v>
      </c>
      <c r="E282" s="82" t="s">
        <v>536</v>
      </c>
      <c r="F282" s="37"/>
      <c r="G282" s="38"/>
      <c r="H282" s="37"/>
      <c r="I282" s="38"/>
      <c r="J282" s="39"/>
      <c r="K282" s="38"/>
      <c r="L282" s="112"/>
      <c r="M282" s="112">
        <v>5</v>
      </c>
      <c r="N282" s="59"/>
      <c r="O282" s="45" t="s">
        <v>537</v>
      </c>
    </row>
    <row r="283" spans="1:15" ht="111" customHeight="1" outlineLevel="1" x14ac:dyDescent="0.25">
      <c r="A283" s="540"/>
      <c r="B283" s="58" t="s">
        <v>512</v>
      </c>
      <c r="C283" s="107" t="s">
        <v>538</v>
      </c>
      <c r="D283" s="59" t="s">
        <v>539</v>
      </c>
      <c r="E283" s="82" t="s">
        <v>540</v>
      </c>
      <c r="F283" s="37"/>
      <c r="G283" s="38"/>
      <c r="H283" s="37"/>
      <c r="I283" s="38"/>
      <c r="J283" s="39"/>
      <c r="K283" s="38"/>
      <c r="L283" s="112"/>
      <c r="M283" s="112">
        <v>5</v>
      </c>
      <c r="N283" s="59"/>
      <c r="O283" s="278" t="s">
        <v>541</v>
      </c>
    </row>
    <row r="284" spans="1:15" ht="63.75" customHeight="1" outlineLevel="1" x14ac:dyDescent="0.25">
      <c r="A284" s="540"/>
      <c r="B284" s="559" t="s">
        <v>512</v>
      </c>
      <c r="C284" s="559" t="s">
        <v>542</v>
      </c>
      <c r="D284" s="559" t="s">
        <v>543</v>
      </c>
      <c r="E284" s="82" t="s">
        <v>544</v>
      </c>
      <c r="F284" s="109">
        <v>0.62367843606622786</v>
      </c>
      <c r="G284" s="54" t="s">
        <v>1229</v>
      </c>
      <c r="H284" s="109">
        <v>0.68475972010159702</v>
      </c>
      <c r="I284" s="54" t="s">
        <v>1229</v>
      </c>
      <c r="J284" s="258">
        <v>0.92281401872851554</v>
      </c>
      <c r="K284" s="56"/>
      <c r="L284" s="571"/>
      <c r="M284" s="571">
        <v>5</v>
      </c>
      <c r="N284" s="571"/>
      <c r="O284" s="598" t="s">
        <v>545</v>
      </c>
    </row>
    <row r="285" spans="1:15" ht="76.5" customHeight="1" outlineLevel="1" x14ac:dyDescent="0.25">
      <c r="A285" s="540"/>
      <c r="B285" s="566"/>
      <c r="C285" s="566"/>
      <c r="D285" s="566"/>
      <c r="E285" s="82" t="s">
        <v>546</v>
      </c>
      <c r="F285" s="109">
        <v>0.50253187865396121</v>
      </c>
      <c r="G285" s="54" t="s">
        <v>1229</v>
      </c>
      <c r="H285" s="109">
        <v>0.61178207289804842</v>
      </c>
      <c r="I285" s="54" t="s">
        <v>1229</v>
      </c>
      <c r="J285" s="258">
        <v>0.85842322230563572</v>
      </c>
      <c r="K285" s="56"/>
      <c r="L285" s="587"/>
      <c r="M285" s="587"/>
      <c r="N285" s="587"/>
      <c r="O285" s="599"/>
    </row>
    <row r="286" spans="1:15" ht="96" customHeight="1" outlineLevel="1" x14ac:dyDescent="0.25">
      <c r="A286" s="540"/>
      <c r="B286" s="566"/>
      <c r="C286" s="566"/>
      <c r="D286" s="570"/>
      <c r="E286" s="82" t="s">
        <v>547</v>
      </c>
      <c r="F286" s="109">
        <v>0.29507894857984623</v>
      </c>
      <c r="G286" s="54" t="s">
        <v>1229</v>
      </c>
      <c r="H286" s="109">
        <v>0.39394180602490719</v>
      </c>
      <c r="I286" s="54" t="s">
        <v>1229</v>
      </c>
      <c r="J286" s="258">
        <v>0.52432599733954988</v>
      </c>
      <c r="K286" s="56"/>
      <c r="L286" s="572"/>
      <c r="M286" s="572"/>
      <c r="N286" s="572"/>
      <c r="O286" s="600"/>
    </row>
    <row r="287" spans="1:15" ht="145.5" customHeight="1" outlineLevel="1" x14ac:dyDescent="0.25">
      <c r="A287" s="542"/>
      <c r="B287" s="583" t="s">
        <v>512</v>
      </c>
      <c r="C287" s="583" t="s">
        <v>548</v>
      </c>
      <c r="D287" s="42" t="s">
        <v>549</v>
      </c>
      <c r="E287" s="82" t="s">
        <v>550</v>
      </c>
      <c r="F287" s="37"/>
      <c r="G287" s="38"/>
      <c r="H287" s="37"/>
      <c r="I287" s="38"/>
      <c r="J287" s="39"/>
      <c r="K287" s="38"/>
      <c r="L287" s="112"/>
      <c r="M287" s="112"/>
      <c r="N287" s="559" t="s">
        <v>532</v>
      </c>
      <c r="O287" s="58" t="s">
        <v>551</v>
      </c>
    </row>
    <row r="288" spans="1:15" ht="38.25" customHeight="1" outlineLevel="1" x14ac:dyDescent="0.25">
      <c r="A288" s="542"/>
      <c r="B288" s="596"/>
      <c r="C288" s="596"/>
      <c r="D288" s="42" t="s">
        <v>552</v>
      </c>
      <c r="E288" s="42" t="s">
        <v>553</v>
      </c>
      <c r="F288" s="53">
        <v>4</v>
      </c>
      <c r="G288" s="54" t="s">
        <v>1229</v>
      </c>
      <c r="H288" s="53">
        <v>4</v>
      </c>
      <c r="I288" s="54" t="s">
        <v>1229</v>
      </c>
      <c r="J288" s="55">
        <v>4</v>
      </c>
      <c r="K288" s="56" t="s">
        <v>244</v>
      </c>
      <c r="L288" s="571"/>
      <c r="M288" s="571">
        <v>5</v>
      </c>
      <c r="N288" s="566"/>
      <c r="O288" s="559" t="s">
        <v>554</v>
      </c>
    </row>
    <row r="289" spans="1:15" ht="30" outlineLevel="1" x14ac:dyDescent="0.25">
      <c r="A289" s="542"/>
      <c r="B289" s="596"/>
      <c r="C289" s="596"/>
      <c r="D289" s="48" t="s">
        <v>555</v>
      </c>
      <c r="E289" s="59" t="s">
        <v>556</v>
      </c>
      <c r="F289" s="53">
        <v>4</v>
      </c>
      <c r="G289" s="54" t="s">
        <v>1229</v>
      </c>
      <c r="H289" s="53">
        <v>3</v>
      </c>
      <c r="I289" s="54" t="s">
        <v>1229</v>
      </c>
      <c r="J289" s="279">
        <v>0</v>
      </c>
      <c r="K289" s="203"/>
      <c r="L289" s="587"/>
      <c r="M289" s="587"/>
      <c r="N289" s="566"/>
      <c r="O289" s="566"/>
    </row>
    <row r="290" spans="1:15" ht="30" outlineLevel="1" x14ac:dyDescent="0.25">
      <c r="A290" s="542"/>
      <c r="B290" s="596"/>
      <c r="C290" s="596"/>
      <c r="D290" s="42" t="s">
        <v>557</v>
      </c>
      <c r="E290" s="59" t="s">
        <v>558</v>
      </c>
      <c r="F290" s="53">
        <v>0</v>
      </c>
      <c r="G290" s="54" t="s">
        <v>1229</v>
      </c>
      <c r="H290" s="53">
        <v>1</v>
      </c>
      <c r="I290" s="54" t="s">
        <v>1229</v>
      </c>
      <c r="J290" s="279">
        <v>4</v>
      </c>
      <c r="K290" s="203"/>
      <c r="L290" s="587"/>
      <c r="M290" s="587"/>
      <c r="N290" s="566"/>
      <c r="O290" s="566"/>
    </row>
    <row r="291" spans="1:15" ht="15.75" outlineLevel="1" x14ac:dyDescent="0.25">
      <c r="A291" s="542"/>
      <c r="B291" s="596"/>
      <c r="C291" s="596"/>
      <c r="D291" s="566" t="s">
        <v>559</v>
      </c>
      <c r="E291" s="59" t="s">
        <v>560</v>
      </c>
      <c r="F291" s="53">
        <v>3</v>
      </c>
      <c r="G291" s="54" t="s">
        <v>1229</v>
      </c>
      <c r="H291" s="53">
        <v>0</v>
      </c>
      <c r="I291" s="54" t="s">
        <v>1229</v>
      </c>
      <c r="J291" s="279">
        <v>2</v>
      </c>
      <c r="K291" s="203"/>
      <c r="L291" s="587"/>
      <c r="M291" s="587"/>
      <c r="N291" s="566"/>
      <c r="O291" s="566"/>
    </row>
    <row r="292" spans="1:15" ht="15.75" outlineLevel="1" x14ac:dyDescent="0.25">
      <c r="A292" s="542"/>
      <c r="B292" s="596"/>
      <c r="C292" s="596"/>
      <c r="D292" s="566"/>
      <c r="E292" s="59" t="s">
        <v>561</v>
      </c>
      <c r="F292" s="53">
        <v>0</v>
      </c>
      <c r="G292" s="54" t="s">
        <v>1229</v>
      </c>
      <c r="H292" s="53">
        <v>0</v>
      </c>
      <c r="I292" s="54" t="s">
        <v>1229</v>
      </c>
      <c r="J292" s="55">
        <v>0</v>
      </c>
      <c r="K292" s="56"/>
      <c r="L292" s="587"/>
      <c r="M292" s="587"/>
      <c r="N292" s="566"/>
      <c r="O292" s="566"/>
    </row>
    <row r="293" spans="1:15" ht="15.75" outlineLevel="1" x14ac:dyDescent="0.25">
      <c r="A293" s="542"/>
      <c r="B293" s="596"/>
      <c r="C293" s="596"/>
      <c r="D293" s="566"/>
      <c r="E293" s="59" t="s">
        <v>562</v>
      </c>
      <c r="F293" s="53">
        <v>0</v>
      </c>
      <c r="G293" s="54" t="s">
        <v>1229</v>
      </c>
      <c r="H293" s="53">
        <v>0</v>
      </c>
      <c r="I293" s="54" t="s">
        <v>1229</v>
      </c>
      <c r="J293" s="55">
        <v>0</v>
      </c>
      <c r="K293" s="56"/>
      <c r="L293" s="587"/>
      <c r="M293" s="587"/>
      <c r="N293" s="566"/>
      <c r="O293" s="566"/>
    </row>
    <row r="294" spans="1:15" ht="15.75" outlineLevel="1" x14ac:dyDescent="0.25">
      <c r="A294" s="542"/>
      <c r="B294" s="596"/>
      <c r="C294" s="596"/>
      <c r="D294" s="566"/>
      <c r="E294" s="59" t="s">
        <v>563</v>
      </c>
      <c r="F294" s="53">
        <v>1</v>
      </c>
      <c r="G294" s="54" t="s">
        <v>1229</v>
      </c>
      <c r="H294" s="53">
        <v>1</v>
      </c>
      <c r="I294" s="54" t="s">
        <v>1229</v>
      </c>
      <c r="J294" s="55">
        <v>1</v>
      </c>
      <c r="K294" s="56"/>
      <c r="L294" s="587"/>
      <c r="M294" s="587"/>
      <c r="N294" s="566"/>
      <c r="O294" s="566"/>
    </row>
    <row r="295" spans="1:15" ht="15.75" outlineLevel="1" x14ac:dyDescent="0.25">
      <c r="A295" s="542"/>
      <c r="B295" s="596"/>
      <c r="C295" s="596"/>
      <c r="D295" s="570"/>
      <c r="E295" s="59" t="s">
        <v>564</v>
      </c>
      <c r="F295" s="53">
        <v>0</v>
      </c>
      <c r="G295" s="54" t="s">
        <v>1229</v>
      </c>
      <c r="H295" s="53">
        <v>3</v>
      </c>
      <c r="I295" s="54" t="s">
        <v>1229</v>
      </c>
      <c r="J295" s="55">
        <v>1</v>
      </c>
      <c r="K295" s="56"/>
      <c r="L295" s="587"/>
      <c r="M295" s="587"/>
      <c r="N295" s="566"/>
      <c r="O295" s="566"/>
    </row>
    <row r="296" spans="1:15" ht="15.75" outlineLevel="1" x14ac:dyDescent="0.25">
      <c r="A296" s="540"/>
      <c r="B296" s="596"/>
      <c r="C296" s="596"/>
      <c r="D296" s="559" t="s">
        <v>565</v>
      </c>
      <c r="E296" s="59" t="s">
        <v>560</v>
      </c>
      <c r="F296" s="53">
        <v>3</v>
      </c>
      <c r="G296" s="54" t="s">
        <v>1229</v>
      </c>
      <c r="H296" s="53">
        <v>0</v>
      </c>
      <c r="I296" s="54" t="s">
        <v>1229</v>
      </c>
      <c r="J296" s="55">
        <v>0</v>
      </c>
      <c r="K296" s="56"/>
      <c r="L296" s="587"/>
      <c r="M296" s="587"/>
      <c r="N296" s="566"/>
      <c r="O296" s="566"/>
    </row>
    <row r="297" spans="1:15" ht="15.75" outlineLevel="1" x14ac:dyDescent="0.25">
      <c r="A297" s="540"/>
      <c r="B297" s="596"/>
      <c r="C297" s="596"/>
      <c r="D297" s="566"/>
      <c r="E297" s="59" t="s">
        <v>561</v>
      </c>
      <c r="F297" s="53">
        <v>0</v>
      </c>
      <c r="G297" s="54" t="s">
        <v>1229</v>
      </c>
      <c r="H297" s="53">
        <v>0</v>
      </c>
      <c r="I297" s="54" t="s">
        <v>1229</v>
      </c>
      <c r="J297" s="55">
        <v>0</v>
      </c>
      <c r="K297" s="56"/>
      <c r="L297" s="587"/>
      <c r="M297" s="587"/>
      <c r="N297" s="566"/>
      <c r="O297" s="566"/>
    </row>
    <row r="298" spans="1:15" ht="15.75" outlineLevel="1" x14ac:dyDescent="0.25">
      <c r="A298" s="540"/>
      <c r="B298" s="596"/>
      <c r="C298" s="596"/>
      <c r="D298" s="566"/>
      <c r="E298" s="59" t="s">
        <v>562</v>
      </c>
      <c r="F298" s="53">
        <v>0</v>
      </c>
      <c r="G298" s="54" t="s">
        <v>1229</v>
      </c>
      <c r="H298" s="53">
        <v>0</v>
      </c>
      <c r="I298" s="54" t="s">
        <v>1229</v>
      </c>
      <c r="J298" s="55">
        <v>0</v>
      </c>
      <c r="K298" s="56"/>
      <c r="L298" s="587"/>
      <c r="M298" s="587"/>
      <c r="N298" s="566"/>
      <c r="O298" s="566"/>
    </row>
    <row r="299" spans="1:15" ht="15.75" outlineLevel="1" x14ac:dyDescent="0.25">
      <c r="A299" s="540"/>
      <c r="B299" s="596"/>
      <c r="C299" s="596"/>
      <c r="D299" s="566"/>
      <c r="E299" s="59" t="s">
        <v>563</v>
      </c>
      <c r="F299" s="53">
        <v>1</v>
      </c>
      <c r="G299" s="54" t="s">
        <v>1229</v>
      </c>
      <c r="H299" s="53">
        <v>1</v>
      </c>
      <c r="I299" s="54" t="s">
        <v>1229</v>
      </c>
      <c r="J299" s="55">
        <v>0</v>
      </c>
      <c r="K299" s="56"/>
      <c r="L299" s="587"/>
      <c r="M299" s="587"/>
      <c r="N299" s="566"/>
      <c r="O299" s="566"/>
    </row>
    <row r="300" spans="1:15" ht="15.75" outlineLevel="1" x14ac:dyDescent="0.25">
      <c r="A300" s="540"/>
      <c r="B300" s="596"/>
      <c r="C300" s="596"/>
      <c r="D300" s="570"/>
      <c r="E300" s="59" t="s">
        <v>564</v>
      </c>
      <c r="F300" s="53">
        <v>0</v>
      </c>
      <c r="G300" s="54" t="s">
        <v>1229</v>
      </c>
      <c r="H300" s="53">
        <v>2</v>
      </c>
      <c r="I300" s="54" t="s">
        <v>1229</v>
      </c>
      <c r="J300" s="55">
        <v>0</v>
      </c>
      <c r="K300" s="56"/>
      <c r="L300" s="587"/>
      <c r="M300" s="587"/>
      <c r="N300" s="566"/>
      <c r="O300" s="566"/>
    </row>
    <row r="301" spans="1:15" ht="15.75" customHeight="1" outlineLevel="1" x14ac:dyDescent="0.25">
      <c r="A301" s="540"/>
      <c r="B301" s="596"/>
      <c r="C301" s="596"/>
      <c r="D301" s="559" t="s">
        <v>566</v>
      </c>
      <c r="E301" s="42" t="s">
        <v>560</v>
      </c>
      <c r="F301" s="53">
        <v>0</v>
      </c>
      <c r="G301" s="54" t="s">
        <v>1229</v>
      </c>
      <c r="H301" s="53">
        <v>0</v>
      </c>
      <c r="I301" s="54" t="s">
        <v>1229</v>
      </c>
      <c r="J301" s="55">
        <v>2</v>
      </c>
      <c r="K301" s="56"/>
      <c r="L301" s="587"/>
      <c r="M301" s="587"/>
      <c r="N301" s="566"/>
      <c r="O301" s="566"/>
    </row>
    <row r="302" spans="1:15" ht="15.75" outlineLevel="1" x14ac:dyDescent="0.25">
      <c r="A302" s="540"/>
      <c r="B302" s="596"/>
      <c r="C302" s="596"/>
      <c r="D302" s="566"/>
      <c r="E302" s="59" t="s">
        <v>561</v>
      </c>
      <c r="F302" s="53">
        <v>0</v>
      </c>
      <c r="G302" s="54" t="s">
        <v>1229</v>
      </c>
      <c r="H302" s="53">
        <v>0</v>
      </c>
      <c r="I302" s="54" t="s">
        <v>1229</v>
      </c>
      <c r="J302" s="55">
        <v>0</v>
      </c>
      <c r="K302" s="56"/>
      <c r="L302" s="587"/>
      <c r="M302" s="587"/>
      <c r="N302" s="566"/>
      <c r="O302" s="566"/>
    </row>
    <row r="303" spans="1:15" ht="15.75" outlineLevel="1" x14ac:dyDescent="0.25">
      <c r="A303" s="540"/>
      <c r="B303" s="596"/>
      <c r="C303" s="596"/>
      <c r="D303" s="566"/>
      <c r="E303" s="59" t="s">
        <v>562</v>
      </c>
      <c r="F303" s="53">
        <v>0</v>
      </c>
      <c r="G303" s="54" t="s">
        <v>1229</v>
      </c>
      <c r="H303" s="53">
        <v>0</v>
      </c>
      <c r="I303" s="54" t="s">
        <v>1229</v>
      </c>
      <c r="J303" s="55">
        <v>0</v>
      </c>
      <c r="K303" s="56"/>
      <c r="L303" s="587"/>
      <c r="M303" s="587"/>
      <c r="N303" s="566"/>
      <c r="O303" s="566"/>
    </row>
    <row r="304" spans="1:15" ht="15.75" outlineLevel="1" x14ac:dyDescent="0.25">
      <c r="A304" s="540"/>
      <c r="B304" s="596"/>
      <c r="C304" s="596"/>
      <c r="D304" s="566"/>
      <c r="E304" s="59" t="s">
        <v>563</v>
      </c>
      <c r="F304" s="53">
        <v>0</v>
      </c>
      <c r="G304" s="54" t="s">
        <v>1229</v>
      </c>
      <c r="H304" s="53">
        <v>0</v>
      </c>
      <c r="I304" s="54" t="s">
        <v>1229</v>
      </c>
      <c r="J304" s="55">
        <v>1</v>
      </c>
      <c r="K304" s="56"/>
      <c r="L304" s="587"/>
      <c r="M304" s="587"/>
      <c r="N304" s="566"/>
      <c r="O304" s="566"/>
    </row>
    <row r="305" spans="1:15" ht="15.75" outlineLevel="1" x14ac:dyDescent="0.25">
      <c r="A305" s="540"/>
      <c r="B305" s="596"/>
      <c r="C305" s="596"/>
      <c r="D305" s="570"/>
      <c r="E305" s="42" t="s">
        <v>564</v>
      </c>
      <c r="F305" s="53">
        <v>0</v>
      </c>
      <c r="G305" s="54" t="s">
        <v>1229</v>
      </c>
      <c r="H305" s="53">
        <v>1</v>
      </c>
      <c r="I305" s="54" t="s">
        <v>1229</v>
      </c>
      <c r="J305" s="55">
        <v>1</v>
      </c>
      <c r="K305" s="56"/>
      <c r="L305" s="587"/>
      <c r="M305" s="587"/>
      <c r="N305" s="566"/>
      <c r="O305" s="570"/>
    </row>
    <row r="306" spans="1:15" ht="15.75" customHeight="1" outlineLevel="1" x14ac:dyDescent="0.25">
      <c r="A306" s="540"/>
      <c r="B306" s="596"/>
      <c r="C306" s="596"/>
      <c r="D306" s="559" t="s">
        <v>567</v>
      </c>
      <c r="E306" s="42" t="s">
        <v>568</v>
      </c>
      <c r="F306" s="280">
        <v>1.4209314269553599E-2</v>
      </c>
      <c r="G306" s="54" t="s">
        <v>1229</v>
      </c>
      <c r="H306" s="280">
        <v>1.293395146594759E-2</v>
      </c>
      <c r="I306" s="54" t="s">
        <v>1229</v>
      </c>
      <c r="J306" s="281">
        <v>1.3220733030451895E-2</v>
      </c>
      <c r="K306" s="268"/>
      <c r="L306" s="587"/>
      <c r="M306" s="587"/>
      <c r="N306" s="566"/>
      <c r="O306" s="598" t="s">
        <v>569</v>
      </c>
    </row>
    <row r="307" spans="1:15" ht="15.75" outlineLevel="1" x14ac:dyDescent="0.25">
      <c r="A307" s="540"/>
      <c r="B307" s="596"/>
      <c r="C307" s="596"/>
      <c r="D307" s="566"/>
      <c r="E307" s="59" t="s">
        <v>48</v>
      </c>
      <c r="F307" s="280">
        <v>2.7013307419019108E-2</v>
      </c>
      <c r="G307" s="54" t="s">
        <v>1229</v>
      </c>
      <c r="H307" s="280">
        <v>1.9233910649050046E-2</v>
      </c>
      <c r="I307" s="54" t="s">
        <v>1229</v>
      </c>
      <c r="J307" s="282">
        <v>0</v>
      </c>
      <c r="K307" s="283"/>
      <c r="L307" s="587"/>
      <c r="M307" s="587"/>
      <c r="N307" s="566"/>
      <c r="O307" s="599"/>
    </row>
    <row r="308" spans="1:15" ht="15.75" outlineLevel="1" x14ac:dyDescent="0.25">
      <c r="A308" s="540"/>
      <c r="B308" s="596"/>
      <c r="C308" s="596"/>
      <c r="D308" s="570"/>
      <c r="E308" s="42" t="s">
        <v>570</v>
      </c>
      <c r="F308" s="280">
        <v>0</v>
      </c>
      <c r="G308" s="54" t="s">
        <v>1229</v>
      </c>
      <c r="H308" s="280">
        <v>6.5236232377747731E-3</v>
      </c>
      <c r="I308" s="54" t="s">
        <v>1229</v>
      </c>
      <c r="J308" s="281">
        <v>2.6816139900731631E-2</v>
      </c>
      <c r="K308" s="268"/>
      <c r="L308" s="572"/>
      <c r="M308" s="572"/>
      <c r="N308" s="566"/>
      <c r="O308" s="600"/>
    </row>
    <row r="309" spans="1:15" ht="15.75" outlineLevel="1" x14ac:dyDescent="0.25">
      <c r="A309" s="540"/>
      <c r="B309" s="596"/>
      <c r="C309" s="596"/>
      <c r="D309" s="559" t="s">
        <v>571</v>
      </c>
      <c r="E309" s="42" t="s">
        <v>568</v>
      </c>
      <c r="F309" s="284">
        <v>2.3729550000000001</v>
      </c>
      <c r="G309" s="54" t="s">
        <v>1229</v>
      </c>
      <c r="H309" s="284">
        <v>2.22464</v>
      </c>
      <c r="I309" s="54" t="s">
        <v>1229</v>
      </c>
      <c r="J309" s="285">
        <v>2.164895</v>
      </c>
      <c r="K309" s="56" t="s">
        <v>244</v>
      </c>
      <c r="L309" s="571"/>
      <c r="M309" s="571">
        <v>5</v>
      </c>
      <c r="N309" s="566"/>
      <c r="O309" s="598" t="s">
        <v>569</v>
      </c>
    </row>
    <row r="310" spans="1:15" ht="15.75" outlineLevel="1" x14ac:dyDescent="0.25">
      <c r="A310" s="540"/>
      <c r="B310" s="596"/>
      <c r="C310" s="596"/>
      <c r="D310" s="566"/>
      <c r="E310" s="59" t="s">
        <v>48</v>
      </c>
      <c r="F310" s="284">
        <v>2.5460039999999999</v>
      </c>
      <c r="G310" s="54" t="s">
        <v>1229</v>
      </c>
      <c r="H310" s="286">
        <v>2.2247219999999999</v>
      </c>
      <c r="I310" s="54" t="s">
        <v>1230</v>
      </c>
      <c r="J310" s="287">
        <v>2.1057269999999999</v>
      </c>
      <c r="K310" s="56" t="s">
        <v>244</v>
      </c>
      <c r="L310" s="587"/>
      <c r="M310" s="587"/>
      <c r="N310" s="566"/>
      <c r="O310" s="599"/>
    </row>
    <row r="311" spans="1:15" ht="15.75" outlineLevel="1" x14ac:dyDescent="0.25">
      <c r="A311" s="540"/>
      <c r="B311" s="596"/>
      <c r="C311" s="596"/>
      <c r="D311" s="570"/>
      <c r="E311" s="42" t="s">
        <v>570</v>
      </c>
      <c r="F311" s="284">
        <v>2.180914</v>
      </c>
      <c r="G311" s="54" t="s">
        <v>1229</v>
      </c>
      <c r="H311" s="286">
        <v>2.2245560000000002</v>
      </c>
      <c r="I311" s="54" t="s">
        <v>1230</v>
      </c>
      <c r="J311" s="285">
        <v>2.2257400000000001</v>
      </c>
      <c r="K311" s="56" t="s">
        <v>244</v>
      </c>
      <c r="L311" s="572"/>
      <c r="M311" s="572"/>
      <c r="N311" s="566"/>
      <c r="O311" s="600"/>
    </row>
    <row r="312" spans="1:15" ht="15.75" outlineLevel="1" x14ac:dyDescent="0.25">
      <c r="A312" s="540"/>
      <c r="B312" s="596"/>
      <c r="C312" s="596"/>
      <c r="D312" s="559" t="s">
        <v>572</v>
      </c>
      <c r="E312" s="42" t="s">
        <v>568</v>
      </c>
      <c r="F312" s="284">
        <v>0.82413999999999998</v>
      </c>
      <c r="G312" s="54" t="s">
        <v>1229</v>
      </c>
      <c r="H312" s="284">
        <v>0.84070699999999998</v>
      </c>
      <c r="I312" s="54" t="s">
        <v>1229</v>
      </c>
      <c r="J312" s="285">
        <v>0.75688699999999998</v>
      </c>
      <c r="K312" s="56" t="s">
        <v>244</v>
      </c>
      <c r="L312" s="571"/>
      <c r="M312" s="571">
        <v>5</v>
      </c>
      <c r="N312" s="566"/>
      <c r="O312" s="598" t="s">
        <v>569</v>
      </c>
    </row>
    <row r="313" spans="1:15" ht="15.75" outlineLevel="1" x14ac:dyDescent="0.25">
      <c r="A313" s="540"/>
      <c r="B313" s="596"/>
      <c r="C313" s="596"/>
      <c r="D313" s="566"/>
      <c r="E313" s="59" t="s">
        <v>48</v>
      </c>
      <c r="F313" s="284">
        <v>0.99273900000000004</v>
      </c>
      <c r="G313" s="54" t="s">
        <v>1229</v>
      </c>
      <c r="H313" s="284">
        <v>0.99375199999999997</v>
      </c>
      <c r="I313" s="54" t="s">
        <v>1229</v>
      </c>
      <c r="J313" s="287">
        <v>0.85402599999999995</v>
      </c>
      <c r="K313" s="56" t="s">
        <v>244</v>
      </c>
      <c r="L313" s="587"/>
      <c r="M313" s="587"/>
      <c r="N313" s="566"/>
      <c r="O313" s="599"/>
    </row>
    <row r="314" spans="1:15" ht="15.75" outlineLevel="1" x14ac:dyDescent="0.25">
      <c r="A314" s="540"/>
      <c r="B314" s="596"/>
      <c r="C314" s="596"/>
      <c r="D314" s="570"/>
      <c r="E314" s="42" t="s">
        <v>570</v>
      </c>
      <c r="F314" s="284">
        <v>0.63703699999999996</v>
      </c>
      <c r="G314" s="54" t="s">
        <v>1229</v>
      </c>
      <c r="H314" s="286">
        <v>0.68498000000000003</v>
      </c>
      <c r="I314" s="54" t="s">
        <v>1230</v>
      </c>
      <c r="J314" s="285">
        <v>0.656995</v>
      </c>
      <c r="K314" s="56" t="s">
        <v>244</v>
      </c>
      <c r="L314" s="572"/>
      <c r="M314" s="572"/>
      <c r="N314" s="566"/>
      <c r="O314" s="600"/>
    </row>
    <row r="315" spans="1:15" ht="59.45" customHeight="1" outlineLevel="1" x14ac:dyDescent="0.25">
      <c r="A315" s="540"/>
      <c r="B315" s="596"/>
      <c r="C315" s="596"/>
      <c r="D315" s="59" t="s">
        <v>573</v>
      </c>
      <c r="E315" s="59" t="s">
        <v>568</v>
      </c>
      <c r="F315" s="288">
        <v>385</v>
      </c>
      <c r="G315" s="54" t="s">
        <v>1229</v>
      </c>
      <c r="H315" s="288">
        <v>464</v>
      </c>
      <c r="I315" s="54" t="s">
        <v>1229</v>
      </c>
      <c r="J315" s="289">
        <v>532</v>
      </c>
      <c r="K315" s="203"/>
      <c r="L315" s="112"/>
      <c r="M315" s="57">
        <v>5</v>
      </c>
      <c r="N315" s="566"/>
      <c r="O315" s="59" t="s">
        <v>574</v>
      </c>
    </row>
    <row r="316" spans="1:15" ht="32.25" customHeight="1" outlineLevel="1" x14ac:dyDescent="0.25">
      <c r="A316" s="540"/>
      <c r="B316" s="596"/>
      <c r="C316" s="596"/>
      <c r="D316" s="59" t="s">
        <v>575</v>
      </c>
      <c r="E316" s="59" t="s">
        <v>568</v>
      </c>
      <c r="F316" s="288">
        <v>84.431745389687464</v>
      </c>
      <c r="G316" s="54" t="s">
        <v>1229</v>
      </c>
      <c r="H316" s="290">
        <v>78.738663036799508</v>
      </c>
      <c r="I316" s="54" t="s">
        <v>1230</v>
      </c>
      <c r="J316" s="289">
        <v>61.651583304390719</v>
      </c>
      <c r="K316" s="283"/>
      <c r="L316" s="112"/>
      <c r="M316" s="112">
        <v>5</v>
      </c>
      <c r="N316" s="570"/>
      <c r="O316" s="145" t="s">
        <v>576</v>
      </c>
    </row>
    <row r="317" spans="1:15" ht="20.25" customHeight="1" outlineLevel="1" x14ac:dyDescent="0.25">
      <c r="A317" s="540"/>
      <c r="B317" s="596"/>
      <c r="C317" s="596"/>
      <c r="D317" s="559" t="s">
        <v>577</v>
      </c>
      <c r="E317" s="42" t="s">
        <v>568</v>
      </c>
      <c r="F317" s="218">
        <v>30</v>
      </c>
      <c r="G317" s="54" t="s">
        <v>1229</v>
      </c>
      <c r="H317" s="218">
        <v>24</v>
      </c>
      <c r="I317" s="54" t="s">
        <v>1229</v>
      </c>
      <c r="J317" s="62">
        <v>35</v>
      </c>
      <c r="K317" s="56"/>
      <c r="L317" s="571"/>
      <c r="M317" s="571">
        <v>5</v>
      </c>
      <c r="N317" s="559"/>
      <c r="O317" s="598" t="s">
        <v>578</v>
      </c>
    </row>
    <row r="318" spans="1:15" ht="15.75" outlineLevel="1" x14ac:dyDescent="0.25">
      <c r="A318" s="540"/>
      <c r="B318" s="596"/>
      <c r="C318" s="596"/>
      <c r="D318" s="566"/>
      <c r="E318" s="42" t="s">
        <v>48</v>
      </c>
      <c r="F318" s="218">
        <v>23</v>
      </c>
      <c r="G318" s="54" t="s">
        <v>1229</v>
      </c>
      <c r="H318" s="218">
        <v>16</v>
      </c>
      <c r="I318" s="54" t="s">
        <v>1229</v>
      </c>
      <c r="J318" s="62">
        <v>20</v>
      </c>
      <c r="K318" s="56"/>
      <c r="L318" s="587"/>
      <c r="M318" s="587"/>
      <c r="N318" s="566"/>
      <c r="O318" s="599"/>
    </row>
    <row r="319" spans="1:15" ht="15.75" outlineLevel="1" x14ac:dyDescent="0.25">
      <c r="A319" s="540"/>
      <c r="B319" s="596"/>
      <c r="C319" s="596"/>
      <c r="D319" s="570"/>
      <c r="E319" s="42" t="s">
        <v>570</v>
      </c>
      <c r="F319" s="218">
        <v>7</v>
      </c>
      <c r="G319" s="54" t="s">
        <v>1229</v>
      </c>
      <c r="H319" s="218">
        <v>8</v>
      </c>
      <c r="I319" s="54" t="s">
        <v>1229</v>
      </c>
      <c r="J319" s="62">
        <v>15</v>
      </c>
      <c r="K319" s="56"/>
      <c r="L319" s="572"/>
      <c r="M319" s="572"/>
      <c r="N319" s="570"/>
      <c r="O319" s="600"/>
    </row>
    <row r="320" spans="1:15" ht="18" customHeight="1" outlineLevel="1" x14ac:dyDescent="0.25">
      <c r="A320" s="540"/>
      <c r="B320" s="596"/>
      <c r="C320" s="596"/>
      <c r="D320" s="559" t="s">
        <v>579</v>
      </c>
      <c r="E320" s="42" t="s">
        <v>568</v>
      </c>
      <c r="F320" s="291">
        <v>0.10656985702165199</v>
      </c>
      <c r="G320" s="54" t="s">
        <v>1229</v>
      </c>
      <c r="H320" s="291">
        <v>7.7603708795685539E-2</v>
      </c>
      <c r="I320" s="54" t="s">
        <v>1229</v>
      </c>
      <c r="J320" s="292">
        <v>0.11568141401645407</v>
      </c>
      <c r="K320" s="56"/>
      <c r="L320" s="571"/>
      <c r="M320" s="571">
        <v>5</v>
      </c>
      <c r="N320" s="559"/>
      <c r="O320" s="598" t="s">
        <v>580</v>
      </c>
    </row>
    <row r="321" spans="1:15" ht="18" customHeight="1" outlineLevel="1" x14ac:dyDescent="0.25">
      <c r="A321" s="540"/>
      <c r="B321" s="596"/>
      <c r="C321" s="596"/>
      <c r="D321" s="566"/>
      <c r="E321" s="42" t="s">
        <v>48</v>
      </c>
      <c r="F321" s="291">
        <v>0.15532651765935987</v>
      </c>
      <c r="G321" s="54" t="s">
        <v>1229</v>
      </c>
      <c r="H321" s="291">
        <v>0.10258085679493359</v>
      </c>
      <c r="I321" s="54" t="s">
        <v>1229</v>
      </c>
      <c r="J321" s="292">
        <v>0.13038558901456659</v>
      </c>
      <c r="K321" s="56"/>
      <c r="L321" s="587"/>
      <c r="M321" s="587"/>
      <c r="N321" s="566"/>
      <c r="O321" s="599"/>
    </row>
    <row r="322" spans="1:15" ht="18" customHeight="1" outlineLevel="1" x14ac:dyDescent="0.25">
      <c r="A322" s="540"/>
      <c r="B322" s="596"/>
      <c r="C322" s="596"/>
      <c r="D322" s="570"/>
      <c r="E322" s="42" t="s">
        <v>570</v>
      </c>
      <c r="F322" s="291">
        <v>5.2461837308748198E-2</v>
      </c>
      <c r="G322" s="54" t="s">
        <v>1229</v>
      </c>
      <c r="H322" s="291">
        <v>5.2188985902198184E-2</v>
      </c>
      <c r="I322" s="54" t="s">
        <v>1229</v>
      </c>
      <c r="J322" s="292">
        <v>0.10056052462774362</v>
      </c>
      <c r="K322" s="56"/>
      <c r="L322" s="572"/>
      <c r="M322" s="572"/>
      <c r="N322" s="570"/>
      <c r="O322" s="600"/>
    </row>
    <row r="323" spans="1:15" ht="15.75" outlineLevel="1" x14ac:dyDescent="0.25">
      <c r="A323" s="540"/>
      <c r="B323" s="596"/>
      <c r="C323" s="596"/>
      <c r="D323" s="559" t="s">
        <v>581</v>
      </c>
      <c r="E323" s="42" t="s">
        <v>568</v>
      </c>
      <c r="F323" s="218">
        <v>281505491.68799996</v>
      </c>
      <c r="G323" s="54" t="s">
        <v>1230</v>
      </c>
      <c r="H323" s="218">
        <v>309263569.64699996</v>
      </c>
      <c r="I323" s="54" t="s">
        <v>1230</v>
      </c>
      <c r="J323" s="55">
        <v>302555084.56200004</v>
      </c>
      <c r="K323" s="56"/>
      <c r="L323" s="571"/>
      <c r="M323" s="571">
        <v>5</v>
      </c>
      <c r="N323" s="559"/>
      <c r="O323" s="598"/>
    </row>
    <row r="324" spans="1:15" ht="15.75" outlineLevel="1" x14ac:dyDescent="0.25">
      <c r="A324" s="540"/>
      <c r="B324" s="596"/>
      <c r="C324" s="596"/>
      <c r="D324" s="566"/>
      <c r="E324" s="42" t="s">
        <v>48</v>
      </c>
      <c r="F324" s="218">
        <v>148075166.72999999</v>
      </c>
      <c r="G324" s="54" t="s">
        <v>1230</v>
      </c>
      <c r="H324" s="218">
        <v>155974520.977</v>
      </c>
      <c r="I324" s="54" t="s">
        <v>1230</v>
      </c>
      <c r="J324" s="55">
        <v>153391184.95500001</v>
      </c>
      <c r="K324" s="56"/>
      <c r="L324" s="587"/>
      <c r="M324" s="587"/>
      <c r="N324" s="566"/>
      <c r="O324" s="599"/>
    </row>
    <row r="325" spans="1:15" ht="18" customHeight="1" outlineLevel="1" x14ac:dyDescent="0.25">
      <c r="A325" s="540"/>
      <c r="B325" s="596"/>
      <c r="C325" s="596"/>
      <c r="D325" s="570"/>
      <c r="E325" s="59" t="s">
        <v>570</v>
      </c>
      <c r="F325" s="218">
        <v>133430324.958</v>
      </c>
      <c r="G325" s="54" t="s">
        <v>1230</v>
      </c>
      <c r="H325" s="218">
        <v>153289048.66999999</v>
      </c>
      <c r="I325" s="54" t="s">
        <v>1230</v>
      </c>
      <c r="J325" s="279">
        <v>149163899.60699999</v>
      </c>
      <c r="K325" s="203"/>
      <c r="L325" s="572"/>
      <c r="M325" s="572"/>
      <c r="N325" s="570"/>
      <c r="O325" s="600"/>
    </row>
    <row r="326" spans="1:15" ht="46.5" customHeight="1" outlineLevel="1" x14ac:dyDescent="0.25">
      <c r="A326" s="540"/>
      <c r="B326" s="596"/>
      <c r="C326" s="596"/>
      <c r="D326" s="59" t="s">
        <v>582</v>
      </c>
      <c r="E326" s="59" t="s">
        <v>583</v>
      </c>
      <c r="F326" s="293">
        <v>9.5595712824465958E-4</v>
      </c>
      <c r="G326" s="54" t="s">
        <v>1229</v>
      </c>
      <c r="H326" s="293">
        <v>8.057193292144749E-4</v>
      </c>
      <c r="I326" s="54" t="s">
        <v>1229</v>
      </c>
      <c r="J326" s="294">
        <v>8.7232512138104657E-4</v>
      </c>
      <c r="K326" s="295"/>
      <c r="L326" s="204"/>
      <c r="M326" s="204">
        <v>5</v>
      </c>
      <c r="N326" s="69"/>
      <c r="O326" s="127" t="s">
        <v>584</v>
      </c>
    </row>
    <row r="327" spans="1:15" ht="32.25" customHeight="1" outlineLevel="1" x14ac:dyDescent="0.25">
      <c r="A327" s="540"/>
      <c r="B327" s="596"/>
      <c r="C327" s="596"/>
      <c r="D327" s="59" t="s">
        <v>585</v>
      </c>
      <c r="E327" s="59" t="s">
        <v>583</v>
      </c>
      <c r="F327" s="257">
        <v>4.6957429752472815E-2</v>
      </c>
      <c r="G327" s="54" t="s">
        <v>1229</v>
      </c>
      <c r="H327" s="257">
        <v>5.0573254350965657E-2</v>
      </c>
      <c r="I327" s="54" t="s">
        <v>1229</v>
      </c>
      <c r="J327" s="258">
        <v>4.9268808764653706E-2</v>
      </c>
      <c r="K327" s="111"/>
      <c r="L327" s="74"/>
      <c r="M327" s="74">
        <v>5</v>
      </c>
      <c r="N327" s="48"/>
      <c r="O327" s="161" t="s">
        <v>586</v>
      </c>
    </row>
    <row r="328" spans="1:15" ht="85.5" customHeight="1" outlineLevel="1" x14ac:dyDescent="0.25">
      <c r="A328" s="540"/>
      <c r="B328" s="617" t="s">
        <v>512</v>
      </c>
      <c r="C328" s="559" t="s">
        <v>587</v>
      </c>
      <c r="D328" s="42" t="s">
        <v>588</v>
      </c>
      <c r="E328" s="82" t="s">
        <v>589</v>
      </c>
      <c r="F328" s="37"/>
      <c r="G328" s="38"/>
      <c r="H328" s="37"/>
      <c r="I328" s="38"/>
      <c r="J328" s="39"/>
      <c r="K328" s="40"/>
      <c r="L328" s="57"/>
      <c r="M328" s="57">
        <v>5</v>
      </c>
      <c r="N328" s="42"/>
      <c r="O328" s="58" t="s">
        <v>590</v>
      </c>
    </row>
    <row r="329" spans="1:15" ht="15.75" customHeight="1" outlineLevel="1" x14ac:dyDescent="0.25">
      <c r="A329" s="540"/>
      <c r="B329" s="618"/>
      <c r="C329" s="566"/>
      <c r="D329" s="559" t="s">
        <v>591</v>
      </c>
      <c r="E329" s="42" t="s">
        <v>568</v>
      </c>
      <c r="F329" s="53">
        <v>0</v>
      </c>
      <c r="G329" s="54" t="s">
        <v>1229</v>
      </c>
      <c r="H329" s="53">
        <v>0</v>
      </c>
      <c r="I329" s="54" t="s">
        <v>1229</v>
      </c>
      <c r="J329" s="55">
        <v>0</v>
      </c>
      <c r="K329" s="56"/>
      <c r="L329" s="571"/>
      <c r="M329" s="571">
        <v>5</v>
      </c>
      <c r="N329" s="559"/>
      <c r="O329" s="559"/>
    </row>
    <row r="330" spans="1:15" ht="15.75" outlineLevel="1" x14ac:dyDescent="0.25">
      <c r="A330" s="540"/>
      <c r="B330" s="618"/>
      <c r="C330" s="566"/>
      <c r="D330" s="566"/>
      <c r="E330" s="42" t="s">
        <v>48</v>
      </c>
      <c r="F330" s="53">
        <v>0</v>
      </c>
      <c r="G330" s="54" t="s">
        <v>1229</v>
      </c>
      <c r="H330" s="53">
        <v>0</v>
      </c>
      <c r="I330" s="54" t="s">
        <v>1229</v>
      </c>
      <c r="J330" s="55">
        <v>0</v>
      </c>
      <c r="K330" s="56"/>
      <c r="L330" s="587"/>
      <c r="M330" s="587"/>
      <c r="N330" s="566"/>
      <c r="O330" s="566"/>
    </row>
    <row r="331" spans="1:15" ht="15.75" outlineLevel="1" x14ac:dyDescent="0.25">
      <c r="A331" s="540"/>
      <c r="B331" s="618"/>
      <c r="C331" s="566"/>
      <c r="D331" s="570"/>
      <c r="E331" s="42" t="s">
        <v>570</v>
      </c>
      <c r="F331" s="53">
        <v>0</v>
      </c>
      <c r="G331" s="54" t="s">
        <v>1229</v>
      </c>
      <c r="H331" s="53">
        <v>0</v>
      </c>
      <c r="I331" s="54" t="s">
        <v>1229</v>
      </c>
      <c r="J331" s="55">
        <v>0</v>
      </c>
      <c r="K331" s="203"/>
      <c r="L331" s="572"/>
      <c r="M331" s="572"/>
      <c r="N331" s="570"/>
      <c r="O331" s="570"/>
    </row>
    <row r="332" spans="1:15" ht="59.25" customHeight="1" outlineLevel="1" x14ac:dyDescent="0.25">
      <c r="A332" s="540"/>
      <c r="B332" s="618"/>
      <c r="C332" s="566"/>
      <c r="D332" s="566" t="s">
        <v>592</v>
      </c>
      <c r="E332" s="59" t="s">
        <v>568</v>
      </c>
      <c r="F332" s="291">
        <v>0.41207011381705438</v>
      </c>
      <c r="G332" s="54" t="s">
        <v>1230</v>
      </c>
      <c r="H332" s="291">
        <v>0.32658227451517663</v>
      </c>
      <c r="I332" s="54" t="s">
        <v>1230</v>
      </c>
      <c r="J332" s="296">
        <v>0.53543968773330164</v>
      </c>
      <c r="K332" s="248"/>
      <c r="L332" s="571"/>
      <c r="M332" s="571">
        <v>5</v>
      </c>
      <c r="N332" s="559"/>
      <c r="O332" s="566" t="s">
        <v>593</v>
      </c>
    </row>
    <row r="333" spans="1:15" ht="67.5" customHeight="1" outlineLevel="1" x14ac:dyDescent="0.25">
      <c r="A333" s="540"/>
      <c r="B333" s="618"/>
      <c r="C333" s="566"/>
      <c r="D333" s="566"/>
      <c r="E333" s="42" t="s">
        <v>48</v>
      </c>
      <c r="F333" s="291">
        <v>0.72260599999999997</v>
      </c>
      <c r="G333" s="54" t="s">
        <v>1230</v>
      </c>
      <c r="H333" s="291">
        <v>0.61548499999999995</v>
      </c>
      <c r="I333" s="54" t="s">
        <v>1230</v>
      </c>
      <c r="J333" s="297">
        <v>0.93877600000000005</v>
      </c>
      <c r="K333" s="213"/>
      <c r="L333" s="587"/>
      <c r="M333" s="587"/>
      <c r="N333" s="566"/>
      <c r="O333" s="616"/>
    </row>
    <row r="334" spans="1:15" ht="47.25" customHeight="1" outlineLevel="1" x14ac:dyDescent="0.25">
      <c r="A334" s="540"/>
      <c r="B334" s="618"/>
      <c r="C334" s="566"/>
      <c r="D334" s="566"/>
      <c r="E334" s="48" t="s">
        <v>570</v>
      </c>
      <c r="F334" s="298">
        <v>6.7450999999999997E-2</v>
      </c>
      <c r="G334" s="71" t="s">
        <v>1229</v>
      </c>
      <c r="H334" s="298">
        <v>3.2618000000000001E-2</v>
      </c>
      <c r="I334" s="71" t="s">
        <v>1229</v>
      </c>
      <c r="J334" s="299">
        <v>0.120673</v>
      </c>
      <c r="K334" s="213"/>
      <c r="L334" s="587"/>
      <c r="M334" s="587"/>
      <c r="N334" s="566"/>
      <c r="O334" s="566"/>
    </row>
    <row r="335" spans="1:15" ht="15.75" x14ac:dyDescent="0.25">
      <c r="A335" s="540"/>
      <c r="B335" s="99" t="s">
        <v>594</v>
      </c>
      <c r="C335" s="118"/>
      <c r="D335" s="118"/>
      <c r="E335" s="118"/>
      <c r="F335" s="118"/>
      <c r="G335" s="119"/>
      <c r="H335" s="118"/>
      <c r="I335" s="119"/>
      <c r="J335" s="118"/>
      <c r="K335" s="119"/>
      <c r="L335" s="118"/>
      <c r="M335" s="118"/>
      <c r="N335" s="119"/>
      <c r="O335" s="130"/>
    </row>
    <row r="336" spans="1:15" ht="113.25" customHeight="1" outlineLevel="1" x14ac:dyDescent="0.25">
      <c r="A336" s="540"/>
      <c r="B336" s="34" t="s">
        <v>144</v>
      </c>
      <c r="C336" s="84" t="s">
        <v>139</v>
      </c>
      <c r="D336" s="41" t="s">
        <v>145</v>
      </c>
      <c r="E336" s="82" t="s">
        <v>595</v>
      </c>
      <c r="F336" s="37"/>
      <c r="G336" s="38"/>
      <c r="H336" s="37"/>
      <c r="I336" s="38"/>
      <c r="J336" s="39"/>
      <c r="K336" s="40"/>
      <c r="L336" s="83">
        <v>6</v>
      </c>
      <c r="M336" s="83"/>
      <c r="N336" s="41"/>
      <c r="O336" s="34"/>
    </row>
    <row r="337" spans="1:15" ht="48" customHeight="1" outlineLevel="1" x14ac:dyDescent="0.25">
      <c r="A337" s="540"/>
      <c r="B337" s="559" t="s">
        <v>596</v>
      </c>
      <c r="C337" s="559" t="s">
        <v>597</v>
      </c>
      <c r="D337" s="107" t="s">
        <v>598</v>
      </c>
      <c r="E337" s="59" t="s">
        <v>599</v>
      </c>
      <c r="F337" s="290">
        <v>65.6549410735728</v>
      </c>
      <c r="G337" s="54" t="s">
        <v>1229</v>
      </c>
      <c r="H337" s="290">
        <v>55.521552614298329</v>
      </c>
      <c r="I337" s="54" t="s">
        <v>1229</v>
      </c>
      <c r="J337" s="300">
        <v>74.121411295501844</v>
      </c>
      <c r="K337" s="268"/>
      <c r="L337" s="571"/>
      <c r="M337" s="571">
        <v>2</v>
      </c>
      <c r="N337" s="571"/>
      <c r="O337" s="48" t="s">
        <v>600</v>
      </c>
    </row>
    <row r="338" spans="1:15" ht="19.5" customHeight="1" outlineLevel="1" x14ac:dyDescent="0.25">
      <c r="A338" s="540"/>
      <c r="B338" s="566"/>
      <c r="C338" s="566"/>
      <c r="D338" s="559" t="s">
        <v>601</v>
      </c>
      <c r="E338" s="59" t="s">
        <v>570</v>
      </c>
      <c r="F338" s="301">
        <v>47.544293305985462</v>
      </c>
      <c r="G338" s="54"/>
      <c r="H338" s="301">
        <v>32.20360319765016</v>
      </c>
      <c r="I338" s="54"/>
      <c r="J338" s="302">
        <v>44.266755762153785</v>
      </c>
      <c r="K338" s="111"/>
      <c r="L338" s="587"/>
      <c r="M338" s="587"/>
      <c r="N338" s="587"/>
      <c r="O338" s="42"/>
    </row>
    <row r="339" spans="1:15" ht="19.5" customHeight="1" outlineLevel="1" x14ac:dyDescent="0.25">
      <c r="A339" s="540"/>
      <c r="B339" s="566"/>
      <c r="C339" s="566"/>
      <c r="D339" s="566"/>
      <c r="E339" s="59" t="s">
        <v>602</v>
      </c>
      <c r="F339" s="301">
        <v>41.303177520071365</v>
      </c>
      <c r="G339" s="54"/>
      <c r="H339" s="301">
        <v>19.057602444284687</v>
      </c>
      <c r="I339" s="54"/>
      <c r="J339" s="302">
        <v>29.364231229690439</v>
      </c>
      <c r="K339" s="111"/>
      <c r="L339" s="587"/>
      <c r="M339" s="587"/>
      <c r="N339" s="587"/>
      <c r="O339" s="42"/>
    </row>
    <row r="340" spans="1:15" ht="19.5" customHeight="1" outlineLevel="1" x14ac:dyDescent="0.25">
      <c r="A340" s="540"/>
      <c r="B340" s="566"/>
      <c r="C340" s="566"/>
      <c r="D340" s="566"/>
      <c r="E340" s="42" t="s">
        <v>603</v>
      </c>
      <c r="F340" s="301">
        <v>51.936224354731962</v>
      </c>
      <c r="G340" s="54"/>
      <c r="H340" s="301">
        <v>35.507899102349732</v>
      </c>
      <c r="I340" s="54"/>
      <c r="J340" s="303">
        <v>69.443157211882607</v>
      </c>
      <c r="K340" s="143"/>
      <c r="L340" s="587"/>
      <c r="M340" s="587"/>
      <c r="N340" s="587"/>
      <c r="O340" s="48"/>
    </row>
    <row r="341" spans="1:15" ht="19.5" customHeight="1" outlineLevel="1" x14ac:dyDescent="0.25">
      <c r="A341" s="540"/>
      <c r="B341" s="566"/>
      <c r="C341" s="566"/>
      <c r="D341" s="570"/>
      <c r="E341" s="42" t="s">
        <v>604</v>
      </c>
      <c r="F341" s="301">
        <v>93.603397860318807</v>
      </c>
      <c r="G341" s="54"/>
      <c r="H341" s="301">
        <v>93.991372884528971</v>
      </c>
      <c r="I341" s="54"/>
      <c r="J341" s="302">
        <v>119.82763793072229</v>
      </c>
      <c r="K341" s="143"/>
      <c r="L341" s="587"/>
      <c r="M341" s="587"/>
      <c r="N341" s="587"/>
      <c r="O341" s="48"/>
    </row>
    <row r="342" spans="1:15" ht="51" customHeight="1" outlineLevel="1" x14ac:dyDescent="0.25">
      <c r="A342" s="540"/>
      <c r="B342" s="570"/>
      <c r="C342" s="570"/>
      <c r="D342" s="304" t="s">
        <v>605</v>
      </c>
      <c r="E342" s="59" t="s">
        <v>606</v>
      </c>
      <c r="F342" s="53">
        <v>870.3238584254309</v>
      </c>
      <c r="G342" s="54"/>
      <c r="H342" s="53">
        <v>1009.505603113131</v>
      </c>
      <c r="I342" s="54"/>
      <c r="J342" s="55">
        <v>515.39902923420766</v>
      </c>
      <c r="K342" s="143"/>
      <c r="L342" s="572"/>
      <c r="M342" s="572"/>
      <c r="N342" s="572"/>
      <c r="O342" s="48"/>
    </row>
    <row r="343" spans="1:15" ht="71.25" customHeight="1" outlineLevel="1" x14ac:dyDescent="0.25">
      <c r="A343" s="540"/>
      <c r="B343" s="144" t="s">
        <v>596</v>
      </c>
      <c r="C343" s="275" t="s">
        <v>607</v>
      </c>
      <c r="D343" s="47" t="s">
        <v>608</v>
      </c>
      <c r="E343" s="259"/>
      <c r="F343" s="114"/>
      <c r="G343" s="115"/>
      <c r="H343" s="114"/>
      <c r="I343" s="115"/>
      <c r="J343" s="116"/>
      <c r="K343" s="117"/>
      <c r="L343" s="93"/>
      <c r="M343" s="93"/>
      <c r="N343" s="47"/>
      <c r="O343" s="144" t="s">
        <v>609</v>
      </c>
    </row>
    <row r="344" spans="1:15" ht="15.75" x14ac:dyDescent="0.25">
      <c r="A344" s="540"/>
      <c r="B344" s="99" t="s">
        <v>610</v>
      </c>
      <c r="C344" s="118"/>
      <c r="D344" s="118"/>
      <c r="E344" s="118"/>
      <c r="F344" s="118"/>
      <c r="G344" s="119"/>
      <c r="H344" s="118"/>
      <c r="I344" s="119"/>
      <c r="J344" s="118"/>
      <c r="K344" s="119"/>
      <c r="L344" s="118"/>
      <c r="M344" s="118"/>
      <c r="N344" s="119"/>
      <c r="O344" s="130"/>
    </row>
    <row r="345" spans="1:15" ht="171.75" customHeight="1" outlineLevel="1" x14ac:dyDescent="0.25">
      <c r="A345" s="540"/>
      <c r="B345" s="34" t="s">
        <v>144</v>
      </c>
      <c r="C345" s="84" t="s">
        <v>139</v>
      </c>
      <c r="D345" s="41" t="s">
        <v>145</v>
      </c>
      <c r="E345" s="82" t="s">
        <v>611</v>
      </c>
      <c r="F345" s="37"/>
      <c r="G345" s="38"/>
      <c r="H345" s="37"/>
      <c r="I345" s="38"/>
      <c r="J345" s="39"/>
      <c r="K345" s="40"/>
      <c r="L345" s="83">
        <v>6</v>
      </c>
      <c r="M345" s="83"/>
      <c r="N345" s="41"/>
      <c r="O345" s="34"/>
    </row>
    <row r="346" spans="1:15" ht="53.25" customHeight="1" outlineLevel="1" x14ac:dyDescent="0.25">
      <c r="A346" s="540"/>
      <c r="B346" s="559" t="s">
        <v>612</v>
      </c>
      <c r="C346" s="559" t="s">
        <v>613</v>
      </c>
      <c r="D346" s="559" t="s">
        <v>614</v>
      </c>
      <c r="E346" s="620" t="s">
        <v>615</v>
      </c>
      <c r="F346" s="621"/>
      <c r="G346" s="621"/>
      <c r="H346" s="621"/>
      <c r="I346" s="621"/>
      <c r="J346" s="622"/>
      <c r="K346" s="68"/>
      <c r="L346" s="57">
        <v>6</v>
      </c>
      <c r="M346" s="57">
        <v>3</v>
      </c>
      <c r="N346" s="42"/>
      <c r="O346" s="58" t="s">
        <v>616</v>
      </c>
    </row>
    <row r="347" spans="1:15" ht="15.75" outlineLevel="1" x14ac:dyDescent="0.25">
      <c r="A347" s="540"/>
      <c r="B347" s="566"/>
      <c r="C347" s="566"/>
      <c r="D347" s="566"/>
      <c r="E347" s="42" t="s">
        <v>617</v>
      </c>
      <c r="F347" s="168">
        <v>13625</v>
      </c>
      <c r="G347" s="54" t="s">
        <v>1229</v>
      </c>
      <c r="H347" s="168">
        <v>13897</v>
      </c>
      <c r="I347" s="54" t="s">
        <v>1229</v>
      </c>
      <c r="J347" s="306">
        <v>15178</v>
      </c>
      <c r="K347" s="111"/>
      <c r="L347" s="571">
        <v>6</v>
      </c>
      <c r="M347" s="571">
        <v>3</v>
      </c>
      <c r="N347" s="559"/>
      <c r="O347" s="619" t="s">
        <v>618</v>
      </c>
    </row>
    <row r="348" spans="1:15" ht="15.75" outlineLevel="1" x14ac:dyDescent="0.25">
      <c r="A348" s="540"/>
      <c r="B348" s="566"/>
      <c r="C348" s="566"/>
      <c r="D348" s="566"/>
      <c r="E348" s="42" t="s">
        <v>619</v>
      </c>
      <c r="F348" s="269">
        <v>0.16762216426356971</v>
      </c>
      <c r="G348" s="54" t="s">
        <v>1229</v>
      </c>
      <c r="H348" s="269">
        <v>0.17008542824272391</v>
      </c>
      <c r="I348" s="54" t="s">
        <v>1229</v>
      </c>
      <c r="J348" s="270">
        <v>0.18193368973701243</v>
      </c>
      <c r="K348" s="268"/>
      <c r="L348" s="587"/>
      <c r="M348" s="587"/>
      <c r="N348" s="566"/>
      <c r="O348" s="619"/>
    </row>
    <row r="349" spans="1:15" ht="15.75" outlineLevel="1" x14ac:dyDescent="0.25">
      <c r="A349" s="540"/>
      <c r="B349" s="566"/>
      <c r="C349" s="566"/>
      <c r="D349" s="566"/>
      <c r="E349" s="42" t="s">
        <v>620</v>
      </c>
      <c r="F349" s="269">
        <v>0.19714540588760035</v>
      </c>
      <c r="G349" s="54" t="s">
        <v>1229</v>
      </c>
      <c r="H349" s="269">
        <v>0.20866283249460821</v>
      </c>
      <c r="I349" s="54" t="s">
        <v>1229</v>
      </c>
      <c r="J349" s="270">
        <v>0.22319138019497178</v>
      </c>
      <c r="K349" s="268"/>
      <c r="L349" s="587"/>
      <c r="M349" s="587"/>
      <c r="N349" s="566"/>
      <c r="O349" s="619"/>
    </row>
    <row r="350" spans="1:15" ht="48.75" customHeight="1" outlineLevel="1" x14ac:dyDescent="0.25">
      <c r="A350" s="540"/>
      <c r="B350" s="566"/>
      <c r="C350" s="566"/>
      <c r="D350" s="566"/>
      <c r="E350" s="42" t="s">
        <v>621</v>
      </c>
      <c r="F350" s="266">
        <v>3</v>
      </c>
      <c r="G350" s="54" t="s">
        <v>1229</v>
      </c>
      <c r="H350" s="266">
        <v>4</v>
      </c>
      <c r="I350" s="54" t="s">
        <v>1229</v>
      </c>
      <c r="J350" s="267">
        <v>4</v>
      </c>
      <c r="K350" s="268"/>
      <c r="L350" s="587"/>
      <c r="M350" s="587"/>
      <c r="N350" s="566"/>
      <c r="O350" s="58" t="s">
        <v>622</v>
      </c>
    </row>
    <row r="351" spans="1:15" ht="30" outlineLevel="1" x14ac:dyDescent="0.25">
      <c r="A351" s="540"/>
      <c r="B351" s="570"/>
      <c r="C351" s="570"/>
      <c r="D351" s="570"/>
      <c r="E351" s="42" t="s">
        <v>623</v>
      </c>
      <c r="F351" s="266">
        <v>376</v>
      </c>
      <c r="G351" s="54"/>
      <c r="H351" s="266">
        <v>396</v>
      </c>
      <c r="I351" s="54"/>
      <c r="J351" s="267">
        <v>402</v>
      </c>
      <c r="K351" s="268"/>
      <c r="L351" s="572"/>
      <c r="M351" s="572"/>
      <c r="N351" s="570"/>
      <c r="O351" s="107"/>
    </row>
    <row r="352" spans="1:15" ht="86.25" customHeight="1" outlineLevel="1" x14ac:dyDescent="0.25">
      <c r="A352" s="540"/>
      <c r="B352" s="107" t="s">
        <v>612</v>
      </c>
      <c r="C352" s="126" t="s">
        <v>624</v>
      </c>
      <c r="D352" s="48" t="s">
        <v>625</v>
      </c>
      <c r="E352" s="151" t="s">
        <v>626</v>
      </c>
      <c r="F352" s="114"/>
      <c r="G352" s="115"/>
      <c r="H352" s="114"/>
      <c r="I352" s="115"/>
      <c r="J352" s="116"/>
      <c r="K352" s="117"/>
      <c r="L352" s="74">
        <v>6</v>
      </c>
      <c r="M352" s="74">
        <v>3</v>
      </c>
      <c r="N352" s="48"/>
      <c r="O352" s="107" t="s">
        <v>627</v>
      </c>
    </row>
    <row r="353" spans="1:15" ht="15.75" x14ac:dyDescent="0.25">
      <c r="A353" s="540"/>
      <c r="B353" s="99" t="s">
        <v>628</v>
      </c>
      <c r="C353" s="118"/>
      <c r="D353" s="118"/>
      <c r="E353" s="100"/>
      <c r="F353" s="100"/>
      <c r="G353" s="165"/>
      <c r="H353" s="100"/>
      <c r="I353" s="165"/>
      <c r="J353" s="100"/>
      <c r="K353" s="165"/>
      <c r="L353" s="100"/>
      <c r="M353" s="100"/>
      <c r="N353" s="165"/>
      <c r="O353" s="166"/>
    </row>
    <row r="354" spans="1:15" ht="94.5" customHeight="1" outlineLevel="1" x14ac:dyDescent="0.25">
      <c r="A354" s="540"/>
      <c r="B354" s="34" t="s">
        <v>144</v>
      </c>
      <c r="C354" s="84" t="s">
        <v>139</v>
      </c>
      <c r="D354" s="41" t="s">
        <v>145</v>
      </c>
      <c r="E354" s="82" t="s">
        <v>629</v>
      </c>
      <c r="F354" s="37"/>
      <c r="G354" s="38"/>
      <c r="H354" s="37"/>
      <c r="I354" s="38"/>
      <c r="J354" s="39"/>
      <c r="K354" s="40"/>
      <c r="L354" s="83">
        <v>6</v>
      </c>
      <c r="M354" s="83"/>
      <c r="N354" s="41"/>
      <c r="O354" s="34"/>
    </row>
    <row r="355" spans="1:15" ht="67.5" customHeight="1" outlineLevel="1" x14ac:dyDescent="0.25">
      <c r="A355" s="540"/>
      <c r="B355" s="107" t="s">
        <v>630</v>
      </c>
      <c r="C355" s="107" t="s">
        <v>631</v>
      </c>
      <c r="D355" s="48" t="s">
        <v>632</v>
      </c>
      <c r="E355" s="48" t="s">
        <v>633</v>
      </c>
      <c r="F355" s="308">
        <v>0</v>
      </c>
      <c r="G355" s="71" t="s">
        <v>1229</v>
      </c>
      <c r="H355" s="308">
        <v>7</v>
      </c>
      <c r="I355" s="71" t="s">
        <v>1229</v>
      </c>
      <c r="J355" s="309">
        <v>1</v>
      </c>
      <c r="K355" s="213"/>
      <c r="L355" s="74">
        <v>6</v>
      </c>
      <c r="M355" s="74">
        <v>3</v>
      </c>
      <c r="N355" s="48"/>
      <c r="O355" s="107" t="s">
        <v>634</v>
      </c>
    </row>
    <row r="356" spans="1:15" ht="15.75" x14ac:dyDescent="0.25">
      <c r="A356" s="540"/>
      <c r="B356" s="99" t="s">
        <v>635</v>
      </c>
      <c r="C356" s="118"/>
      <c r="D356" s="118"/>
      <c r="E356" s="118"/>
      <c r="F356" s="118"/>
      <c r="G356" s="119"/>
      <c r="H356" s="118"/>
      <c r="I356" s="119"/>
      <c r="J356" s="118"/>
      <c r="K356" s="119"/>
      <c r="L356" s="118"/>
      <c r="M356" s="118"/>
      <c r="N356" s="119"/>
      <c r="O356" s="130"/>
    </row>
    <row r="357" spans="1:15" ht="173.25" customHeight="1" outlineLevel="1" x14ac:dyDescent="0.25">
      <c r="A357" s="540"/>
      <c r="B357" s="76" t="s">
        <v>144</v>
      </c>
      <c r="C357" s="86" t="s">
        <v>139</v>
      </c>
      <c r="D357" s="75" t="s">
        <v>145</v>
      </c>
      <c r="E357" s="87" t="s">
        <v>636</v>
      </c>
      <c r="F357" s="89"/>
      <c r="G357" s="21"/>
      <c r="H357" s="89"/>
      <c r="I357" s="21"/>
      <c r="J357" s="90"/>
      <c r="K357" s="91"/>
      <c r="L357" s="92">
        <v>3</v>
      </c>
      <c r="M357" s="92"/>
      <c r="N357" s="92"/>
      <c r="O357" s="76"/>
    </row>
    <row r="358" spans="1:15" ht="15.75" x14ac:dyDescent="0.25">
      <c r="A358" s="540"/>
      <c r="B358" s="99" t="s">
        <v>638</v>
      </c>
      <c r="C358" s="118"/>
      <c r="D358" s="118"/>
      <c r="E358" s="118"/>
      <c r="F358" s="118"/>
      <c r="G358" s="119"/>
      <c r="H358" s="118"/>
      <c r="I358" s="119"/>
      <c r="J358" s="118"/>
      <c r="K358" s="119"/>
      <c r="L358" s="118"/>
      <c r="M358" s="118"/>
      <c r="N358" s="119"/>
      <c r="O358" s="130"/>
    </row>
    <row r="359" spans="1:15" ht="214.5" customHeight="1" outlineLevel="1" x14ac:dyDescent="0.25">
      <c r="A359" s="540"/>
      <c r="B359" s="76" t="s">
        <v>144</v>
      </c>
      <c r="C359" s="86" t="s">
        <v>139</v>
      </c>
      <c r="D359" s="75" t="s">
        <v>145</v>
      </c>
      <c r="E359" s="87" t="s">
        <v>639</v>
      </c>
      <c r="F359" s="89"/>
      <c r="G359" s="21"/>
      <c r="H359" s="89"/>
      <c r="I359" s="21"/>
      <c r="J359" s="90"/>
      <c r="K359" s="91"/>
      <c r="L359" s="92">
        <v>5</v>
      </c>
      <c r="M359" s="92"/>
      <c r="N359" s="75"/>
      <c r="O359" s="76"/>
    </row>
    <row r="360" spans="1:15" ht="15.75" x14ac:dyDescent="0.25">
      <c r="A360" s="540"/>
      <c r="B360" s="99" t="s">
        <v>640</v>
      </c>
      <c r="C360" s="118"/>
      <c r="D360" s="118"/>
      <c r="E360" s="118"/>
      <c r="F360" s="118"/>
      <c r="G360" s="119"/>
      <c r="H360" s="118"/>
      <c r="I360" s="119"/>
      <c r="J360" s="118"/>
      <c r="K360" s="119"/>
      <c r="L360" s="118"/>
      <c r="M360" s="118"/>
      <c r="N360" s="119"/>
      <c r="O360" s="130"/>
    </row>
    <row r="361" spans="1:15" ht="185.25" customHeight="1" outlineLevel="1" x14ac:dyDescent="0.25">
      <c r="A361" s="540"/>
      <c r="B361" s="76" t="s">
        <v>144</v>
      </c>
      <c r="C361" s="86" t="s">
        <v>139</v>
      </c>
      <c r="D361" s="75" t="s">
        <v>145</v>
      </c>
      <c r="E361" s="87" t="s">
        <v>641</v>
      </c>
      <c r="F361" s="89"/>
      <c r="G361" s="21"/>
      <c r="H361" s="89"/>
      <c r="I361" s="21"/>
      <c r="J361" s="90"/>
      <c r="K361" s="91"/>
      <c r="L361" s="92">
        <v>4</v>
      </c>
      <c r="M361" s="92"/>
      <c r="N361" s="75"/>
      <c r="O361" s="76"/>
    </row>
    <row r="362" spans="1:15" ht="15.75" x14ac:dyDescent="0.25">
      <c r="A362" s="540"/>
      <c r="B362" s="99" t="s">
        <v>642</v>
      </c>
      <c r="C362" s="118"/>
      <c r="D362" s="118"/>
      <c r="E362" s="118"/>
      <c r="F362" s="118"/>
      <c r="G362" s="119"/>
      <c r="H362" s="118"/>
      <c r="I362" s="119"/>
      <c r="J362" s="118"/>
      <c r="K362" s="119"/>
      <c r="L362" s="118"/>
      <c r="M362" s="118"/>
      <c r="N362" s="119"/>
      <c r="O362" s="130"/>
    </row>
    <row r="363" spans="1:15" ht="138.75" customHeight="1" outlineLevel="1" x14ac:dyDescent="0.25">
      <c r="A363" s="540"/>
      <c r="B363" s="34" t="s">
        <v>144</v>
      </c>
      <c r="C363" s="84" t="s">
        <v>139</v>
      </c>
      <c r="D363" s="41" t="s">
        <v>145</v>
      </c>
      <c r="E363" s="82" t="s">
        <v>643</v>
      </c>
      <c r="F363" s="37"/>
      <c r="G363" s="38"/>
      <c r="H363" s="37"/>
      <c r="I363" s="38"/>
      <c r="J363" s="39"/>
      <c r="K363" s="40"/>
      <c r="L363" s="83" t="s">
        <v>644</v>
      </c>
      <c r="M363" s="83"/>
      <c r="N363" s="41"/>
      <c r="O363" s="34"/>
    </row>
    <row r="364" spans="1:15" ht="36.75" customHeight="1" outlineLevel="1" x14ac:dyDescent="0.25">
      <c r="A364" s="540"/>
      <c r="B364" s="559" t="s">
        <v>645</v>
      </c>
      <c r="C364" s="559" t="s">
        <v>646</v>
      </c>
      <c r="D364" s="559" t="s">
        <v>647</v>
      </c>
      <c r="E364" s="47" t="s">
        <v>648</v>
      </c>
      <c r="F364" s="313">
        <v>0.92988313856427374</v>
      </c>
      <c r="G364" s="54" t="s">
        <v>1229</v>
      </c>
      <c r="H364" s="313">
        <v>0.89128205128205129</v>
      </c>
      <c r="I364" s="54" t="s">
        <v>1229</v>
      </c>
      <c r="J364" s="314">
        <v>0.94262295081967218</v>
      </c>
      <c r="K364" s="213"/>
      <c r="L364" s="571" t="s">
        <v>644</v>
      </c>
      <c r="M364" s="571" t="s">
        <v>649</v>
      </c>
      <c r="N364" s="559"/>
      <c r="O364" s="559" t="s">
        <v>650</v>
      </c>
    </row>
    <row r="365" spans="1:15" ht="35.25" customHeight="1" outlineLevel="1" x14ac:dyDescent="0.25">
      <c r="A365" s="540"/>
      <c r="B365" s="566"/>
      <c r="C365" s="566"/>
      <c r="D365" s="566"/>
      <c r="E365" s="47" t="s">
        <v>651</v>
      </c>
      <c r="F365" s="315">
        <v>0.79790331974373907</v>
      </c>
      <c r="G365" s="71" t="s">
        <v>1229</v>
      </c>
      <c r="H365" s="315">
        <v>0.74208278096921487</v>
      </c>
      <c r="I365" s="71" t="s">
        <v>1229</v>
      </c>
      <c r="J365" s="314">
        <v>0.94611650485436893</v>
      </c>
      <c r="K365" s="213"/>
      <c r="L365" s="587"/>
      <c r="M365" s="587"/>
      <c r="N365" s="566"/>
      <c r="O365" s="566"/>
    </row>
    <row r="366" spans="1:15" ht="15.75" x14ac:dyDescent="0.25">
      <c r="A366" s="540"/>
      <c r="B366" s="99" t="s">
        <v>652</v>
      </c>
      <c r="C366" s="118"/>
      <c r="D366" s="118"/>
      <c r="E366" s="118"/>
      <c r="F366" s="100"/>
      <c r="G366" s="165"/>
      <c r="H366" s="100"/>
      <c r="I366" s="165"/>
      <c r="J366" s="100"/>
      <c r="K366" s="165"/>
      <c r="L366" s="100"/>
      <c r="M366" s="100"/>
      <c r="N366" s="165"/>
      <c r="O366" s="166"/>
    </row>
    <row r="367" spans="1:15" ht="161.25" customHeight="1" outlineLevel="1" x14ac:dyDescent="0.25">
      <c r="A367" s="540"/>
      <c r="B367" s="34" t="s">
        <v>144</v>
      </c>
      <c r="C367" s="84" t="s">
        <v>139</v>
      </c>
      <c r="D367" s="41" t="s">
        <v>145</v>
      </c>
      <c r="E367" s="82" t="s">
        <v>653</v>
      </c>
      <c r="F367" s="37"/>
      <c r="G367" s="38"/>
      <c r="H367" s="37"/>
      <c r="I367" s="38"/>
      <c r="J367" s="39"/>
      <c r="K367" s="40"/>
      <c r="L367" s="83" t="s">
        <v>644</v>
      </c>
      <c r="M367" s="83"/>
      <c r="N367" s="562" t="s">
        <v>654</v>
      </c>
      <c r="O367" s="34" t="s">
        <v>655</v>
      </c>
    </row>
    <row r="368" spans="1:15" ht="48.75" customHeight="1" outlineLevel="1" x14ac:dyDescent="0.25">
      <c r="A368" s="540"/>
      <c r="B368" s="58" t="s">
        <v>656</v>
      </c>
      <c r="C368" s="107" t="s">
        <v>657</v>
      </c>
      <c r="D368" s="42" t="s">
        <v>658</v>
      </c>
      <c r="E368" s="316"/>
      <c r="F368" s="317">
        <v>0</v>
      </c>
      <c r="G368" s="318" t="s">
        <v>1229</v>
      </c>
      <c r="H368" s="317">
        <v>0</v>
      </c>
      <c r="I368" s="318" t="s">
        <v>1229</v>
      </c>
      <c r="J368" s="319">
        <v>0</v>
      </c>
      <c r="K368" s="203"/>
      <c r="L368" s="57" t="s">
        <v>644</v>
      </c>
      <c r="M368" s="57">
        <v>3</v>
      </c>
      <c r="N368" s="562"/>
      <c r="O368" s="58" t="s">
        <v>659</v>
      </c>
    </row>
    <row r="369" spans="1:15" ht="48.75" customHeight="1" outlineLevel="1" x14ac:dyDescent="0.25">
      <c r="A369" s="540"/>
      <c r="B369" s="583" t="s">
        <v>660</v>
      </c>
      <c r="C369" s="583" t="s">
        <v>660</v>
      </c>
      <c r="D369" s="58" t="s">
        <v>661</v>
      </c>
      <c r="E369" s="320"/>
      <c r="F369" s="317">
        <v>40</v>
      </c>
      <c r="G369" s="318" t="s">
        <v>1229</v>
      </c>
      <c r="H369" s="317">
        <v>43</v>
      </c>
      <c r="I369" s="318" t="s">
        <v>1229</v>
      </c>
      <c r="J369" s="319">
        <v>42</v>
      </c>
      <c r="K369" s="203"/>
      <c r="L369" s="571" t="s">
        <v>644</v>
      </c>
      <c r="M369" s="571">
        <v>3</v>
      </c>
      <c r="N369" s="562"/>
      <c r="O369" s="559" t="s">
        <v>662</v>
      </c>
    </row>
    <row r="370" spans="1:15" ht="78" customHeight="1" outlineLevel="1" x14ac:dyDescent="0.25">
      <c r="A370" s="540"/>
      <c r="B370" s="596"/>
      <c r="C370" s="596"/>
      <c r="D370" s="107" t="s">
        <v>663</v>
      </c>
      <c r="E370" s="227"/>
      <c r="F370" s="308">
        <v>26</v>
      </c>
      <c r="G370" s="311" t="s">
        <v>1229</v>
      </c>
      <c r="H370" s="310">
        <v>30</v>
      </c>
      <c r="I370" s="311" t="s">
        <v>1229</v>
      </c>
      <c r="J370" s="312">
        <v>28</v>
      </c>
      <c r="K370" s="213"/>
      <c r="L370" s="587"/>
      <c r="M370" s="587"/>
      <c r="N370" s="562"/>
      <c r="O370" s="566"/>
    </row>
    <row r="371" spans="1:15" ht="15.75" collapsed="1" x14ac:dyDescent="0.25">
      <c r="A371" s="540"/>
      <c r="B371" s="260" t="s">
        <v>664</v>
      </c>
      <c r="C371" s="261"/>
      <c r="D371" s="262"/>
      <c r="E371" s="262"/>
      <c r="F371" s="262"/>
      <c r="G371" s="262"/>
      <c r="H371" s="262"/>
      <c r="I371" s="262"/>
      <c r="J371" s="262"/>
      <c r="K371" s="262"/>
      <c r="L371" s="263"/>
      <c r="M371" s="263"/>
      <c r="N371" s="262"/>
      <c r="O371" s="264"/>
    </row>
    <row r="372" spans="1:15" ht="15.75" x14ac:dyDescent="0.25">
      <c r="A372" s="540"/>
      <c r="B372" s="99" t="s">
        <v>665</v>
      </c>
      <c r="C372" s="118"/>
      <c r="D372" s="118"/>
      <c r="E372" s="118"/>
      <c r="F372" s="118"/>
      <c r="G372" s="119"/>
      <c r="H372" s="118"/>
      <c r="I372" s="119"/>
      <c r="J372" s="118"/>
      <c r="K372" s="119"/>
      <c r="L372" s="118"/>
      <c r="M372" s="118"/>
      <c r="N372" s="119"/>
      <c r="O372" s="130"/>
    </row>
    <row r="373" spans="1:15" ht="171.75" customHeight="1" outlineLevel="1" x14ac:dyDescent="0.25">
      <c r="A373" s="541"/>
      <c r="B373" s="562" t="s">
        <v>144</v>
      </c>
      <c r="C373" s="605" t="s">
        <v>139</v>
      </c>
      <c r="D373" s="562" t="s">
        <v>145</v>
      </c>
      <c r="E373" s="36" t="s">
        <v>666</v>
      </c>
      <c r="F373" s="321"/>
      <c r="G373" s="322"/>
      <c r="H373" s="321"/>
      <c r="I373" s="322"/>
      <c r="J373" s="323"/>
      <c r="K373" s="324"/>
      <c r="L373" s="83" t="s">
        <v>644</v>
      </c>
      <c r="M373" s="83"/>
      <c r="N373" s="41" t="s">
        <v>667</v>
      </c>
      <c r="O373" s="562" t="s">
        <v>668</v>
      </c>
    </row>
    <row r="374" spans="1:15" ht="21.75" customHeight="1" outlineLevel="1" x14ac:dyDescent="0.25">
      <c r="A374" s="541"/>
      <c r="B374" s="567"/>
      <c r="C374" s="606"/>
      <c r="D374" s="567"/>
      <c r="E374" s="305" t="s">
        <v>669</v>
      </c>
      <c r="F374" s="207">
        <v>1147</v>
      </c>
      <c r="G374" s="318" t="s">
        <v>1229</v>
      </c>
      <c r="H374" s="201">
        <v>1089</v>
      </c>
      <c r="I374" s="318" t="s">
        <v>1230</v>
      </c>
      <c r="J374" s="205">
        <v>1775</v>
      </c>
      <c r="K374" s="56"/>
      <c r="L374" s="57" t="s">
        <v>644</v>
      </c>
      <c r="M374" s="57">
        <v>3</v>
      </c>
      <c r="N374" s="42"/>
      <c r="O374" s="567"/>
    </row>
    <row r="375" spans="1:15" ht="171" customHeight="1" outlineLevel="1" x14ac:dyDescent="0.25">
      <c r="A375" s="540"/>
      <c r="B375" s="58" t="s">
        <v>670</v>
      </c>
      <c r="C375" s="58" t="s">
        <v>671</v>
      </c>
      <c r="D375" s="42" t="s">
        <v>672</v>
      </c>
      <c r="E375" s="125"/>
      <c r="F375" s="321"/>
      <c r="G375" s="322"/>
      <c r="H375" s="321"/>
      <c r="I375" s="322"/>
      <c r="J375" s="323"/>
      <c r="K375" s="325"/>
      <c r="L375" s="57" t="s">
        <v>644</v>
      </c>
      <c r="M375" s="57">
        <v>3</v>
      </c>
      <c r="N375" s="42"/>
      <c r="O375" s="58" t="s">
        <v>673</v>
      </c>
    </row>
    <row r="376" spans="1:15" ht="178.5" customHeight="1" outlineLevel="1" x14ac:dyDescent="0.25">
      <c r="A376" s="540"/>
      <c r="B376" s="58" t="s">
        <v>674</v>
      </c>
      <c r="C376" s="58" t="s">
        <v>674</v>
      </c>
      <c r="D376" s="42" t="s">
        <v>675</v>
      </c>
      <c r="E376" s="36" t="s">
        <v>676</v>
      </c>
      <c r="F376" s="317">
        <v>1</v>
      </c>
      <c r="G376" s="318" t="s">
        <v>1229</v>
      </c>
      <c r="H376" s="317">
        <v>1</v>
      </c>
      <c r="I376" s="318" t="s">
        <v>1229</v>
      </c>
      <c r="J376" s="326">
        <v>4</v>
      </c>
      <c r="K376" s="56"/>
      <c r="L376" s="57" t="s">
        <v>644</v>
      </c>
      <c r="M376" s="57">
        <v>3</v>
      </c>
      <c r="N376" s="559" t="s">
        <v>677</v>
      </c>
      <c r="O376" s="58" t="s">
        <v>678</v>
      </c>
    </row>
    <row r="377" spans="1:15" ht="219.75" customHeight="1" outlineLevel="1" x14ac:dyDescent="0.25">
      <c r="A377" s="540"/>
      <c r="B377" s="107" t="s">
        <v>679</v>
      </c>
      <c r="C377" s="107" t="s">
        <v>679</v>
      </c>
      <c r="D377" s="107" t="s">
        <v>680</v>
      </c>
      <c r="E377" s="36" t="s">
        <v>681</v>
      </c>
      <c r="F377" s="65"/>
      <c r="G377" s="66"/>
      <c r="H377" s="65"/>
      <c r="I377" s="66"/>
      <c r="J377" s="67"/>
      <c r="K377" s="325"/>
      <c r="L377" s="57" t="s">
        <v>644</v>
      </c>
      <c r="M377" s="57">
        <v>3</v>
      </c>
      <c r="N377" s="570"/>
      <c r="O377" s="107" t="s">
        <v>682</v>
      </c>
    </row>
    <row r="378" spans="1:15" ht="84.75" customHeight="1" outlineLevel="1" x14ac:dyDescent="0.25">
      <c r="A378" s="540"/>
      <c r="B378" s="583" t="s">
        <v>683</v>
      </c>
      <c r="C378" s="583" t="s">
        <v>683</v>
      </c>
      <c r="D378" s="559" t="s">
        <v>684</v>
      </c>
      <c r="E378" s="42" t="s">
        <v>637</v>
      </c>
      <c r="F378" s="317">
        <v>5</v>
      </c>
      <c r="G378" s="318" t="s">
        <v>1229</v>
      </c>
      <c r="H378" s="317">
        <v>2</v>
      </c>
      <c r="I378" s="318" t="s">
        <v>1229</v>
      </c>
      <c r="J378" s="326">
        <v>2</v>
      </c>
      <c r="K378" s="56"/>
      <c r="L378" s="571" t="s">
        <v>644</v>
      </c>
      <c r="M378" s="571"/>
      <c r="N378" s="571"/>
      <c r="O378" s="138" t="s">
        <v>685</v>
      </c>
    </row>
    <row r="379" spans="1:15" ht="89.25" customHeight="1" outlineLevel="1" x14ac:dyDescent="0.25">
      <c r="A379" s="540"/>
      <c r="B379" s="597"/>
      <c r="C379" s="597"/>
      <c r="D379" s="570"/>
      <c r="E379" s="42" t="s">
        <v>686</v>
      </c>
      <c r="F379" s="257">
        <v>5.1020408163265307E-2</v>
      </c>
      <c r="G379" s="318" t="s">
        <v>1229</v>
      </c>
      <c r="H379" s="257">
        <v>1.9417475728155338E-2</v>
      </c>
      <c r="I379" s="318" t="s">
        <v>1229</v>
      </c>
      <c r="J379" s="258">
        <v>2.0618556701030927E-2</v>
      </c>
      <c r="K379" s="111"/>
      <c r="L379" s="572"/>
      <c r="M379" s="572"/>
      <c r="N379" s="572"/>
      <c r="O379" s="138" t="s">
        <v>685</v>
      </c>
    </row>
    <row r="380" spans="1:15" ht="79.5" customHeight="1" outlineLevel="1" x14ac:dyDescent="0.25">
      <c r="A380" s="540"/>
      <c r="B380" s="583" t="s">
        <v>687</v>
      </c>
      <c r="C380" s="583" t="s">
        <v>687</v>
      </c>
      <c r="D380" s="559" t="s">
        <v>688</v>
      </c>
      <c r="E380" s="51" t="s">
        <v>689</v>
      </c>
      <c r="F380" s="317">
        <v>3</v>
      </c>
      <c r="G380" s="318" t="s">
        <v>1229</v>
      </c>
      <c r="H380" s="317">
        <v>0</v>
      </c>
      <c r="I380" s="318" t="s">
        <v>1229</v>
      </c>
      <c r="J380" s="326">
        <v>1</v>
      </c>
      <c r="K380" s="56"/>
      <c r="L380" s="571" t="s">
        <v>644</v>
      </c>
      <c r="M380" s="571"/>
      <c r="N380" s="559"/>
      <c r="O380" s="559" t="s">
        <v>690</v>
      </c>
    </row>
    <row r="381" spans="1:15" ht="15.75" outlineLevel="1" x14ac:dyDescent="0.25">
      <c r="A381" s="540"/>
      <c r="B381" s="597"/>
      <c r="C381" s="597"/>
      <c r="D381" s="570"/>
      <c r="E381" s="51" t="s">
        <v>691</v>
      </c>
      <c r="F381" s="317">
        <v>9</v>
      </c>
      <c r="G381" s="318" t="s">
        <v>1229</v>
      </c>
      <c r="H381" s="317">
        <v>0</v>
      </c>
      <c r="I381" s="318" t="s">
        <v>1229</v>
      </c>
      <c r="J381" s="326">
        <v>46</v>
      </c>
      <c r="K381" s="56"/>
      <c r="L381" s="572"/>
      <c r="M381" s="572"/>
      <c r="N381" s="570"/>
      <c r="O381" s="570"/>
    </row>
    <row r="382" spans="1:15" ht="117" customHeight="1" outlineLevel="1" x14ac:dyDescent="0.25">
      <c r="A382" s="540"/>
      <c r="B382" s="107" t="s">
        <v>692</v>
      </c>
      <c r="C382" s="107" t="s">
        <v>692</v>
      </c>
      <c r="D382" s="48" t="s">
        <v>693</v>
      </c>
      <c r="E382" s="48" t="s">
        <v>694</v>
      </c>
      <c r="F382" s="114"/>
      <c r="G382" s="115"/>
      <c r="H382" s="114"/>
      <c r="I382" s="115"/>
      <c r="J382" s="116"/>
      <c r="K382" s="117"/>
      <c r="L382" s="74" t="s">
        <v>644</v>
      </c>
      <c r="M382" s="74"/>
      <c r="N382" s="48"/>
      <c r="O382" s="107" t="s">
        <v>695</v>
      </c>
    </row>
    <row r="383" spans="1:15" ht="15.75" x14ac:dyDescent="0.25">
      <c r="A383" s="540"/>
      <c r="B383" s="99" t="s">
        <v>696</v>
      </c>
      <c r="C383" s="118"/>
      <c r="D383" s="118"/>
      <c r="E383" s="118"/>
      <c r="F383" s="120"/>
      <c r="G383" s="121"/>
      <c r="H383" s="120"/>
      <c r="I383" s="121"/>
      <c r="J383" s="120"/>
      <c r="K383" s="121"/>
      <c r="L383" s="122"/>
      <c r="M383" s="122"/>
      <c r="N383" s="121"/>
      <c r="O383" s="124"/>
    </row>
    <row r="384" spans="1:15" ht="110.25" customHeight="1" outlineLevel="1" x14ac:dyDescent="0.25">
      <c r="A384" s="540"/>
      <c r="B384" s="34" t="s">
        <v>144</v>
      </c>
      <c r="C384" s="84" t="s">
        <v>139</v>
      </c>
      <c r="D384" s="41" t="s">
        <v>145</v>
      </c>
      <c r="E384" s="327" t="s">
        <v>697</v>
      </c>
      <c r="F384" s="37"/>
      <c r="G384" s="38"/>
      <c r="H384" s="37"/>
      <c r="I384" s="38"/>
      <c r="J384" s="39"/>
      <c r="K384" s="40"/>
      <c r="L384" s="83" t="s">
        <v>698</v>
      </c>
      <c r="M384" s="83" t="s">
        <v>699</v>
      </c>
      <c r="N384" s="562" t="s">
        <v>700</v>
      </c>
      <c r="O384" s="34"/>
    </row>
    <row r="385" spans="1:15" ht="47.25" customHeight="1" outlineLevel="1" x14ac:dyDescent="0.25">
      <c r="A385" s="540"/>
      <c r="B385" s="107" t="s">
        <v>701</v>
      </c>
      <c r="C385" s="107" t="s">
        <v>702</v>
      </c>
      <c r="D385" s="48" t="s">
        <v>703</v>
      </c>
      <c r="E385" s="48" t="s">
        <v>704</v>
      </c>
      <c r="F385" s="140">
        <v>0.67003601719530614</v>
      </c>
      <c r="G385" s="311" t="s">
        <v>1229</v>
      </c>
      <c r="H385" s="140">
        <v>0.60603331832507878</v>
      </c>
      <c r="I385" s="311" t="s">
        <v>1229</v>
      </c>
      <c r="J385" s="142">
        <v>0.64366393315797621</v>
      </c>
      <c r="K385" s="143"/>
      <c r="L385" s="74" t="s">
        <v>698</v>
      </c>
      <c r="M385" s="74">
        <v>3</v>
      </c>
      <c r="N385" s="562"/>
      <c r="O385" s="107"/>
    </row>
    <row r="386" spans="1:15" ht="15.75" x14ac:dyDescent="0.25">
      <c r="A386" s="540"/>
      <c r="B386" s="99" t="s">
        <v>705</v>
      </c>
      <c r="C386" s="118"/>
      <c r="D386" s="118"/>
      <c r="E386" s="118"/>
      <c r="F386" s="118"/>
      <c r="G386" s="119"/>
      <c r="H386" s="118"/>
      <c r="I386" s="119"/>
      <c r="J386" s="118"/>
      <c r="K386" s="119"/>
      <c r="L386" s="118"/>
      <c r="M386" s="118"/>
      <c r="N386" s="119"/>
      <c r="O386" s="130"/>
    </row>
    <row r="387" spans="1:15" ht="192" customHeight="1" outlineLevel="1" x14ac:dyDescent="0.25">
      <c r="A387" s="540"/>
      <c r="B387" s="34" t="s">
        <v>144</v>
      </c>
      <c r="C387" s="84" t="s">
        <v>139</v>
      </c>
      <c r="D387" s="41" t="s">
        <v>145</v>
      </c>
      <c r="E387" s="159" t="s">
        <v>706</v>
      </c>
      <c r="F387" s="328"/>
      <c r="G387" s="13"/>
      <c r="H387" s="328"/>
      <c r="I387" s="13"/>
      <c r="J387" s="329"/>
      <c r="K387" s="330"/>
      <c r="L387" s="331">
        <v>10</v>
      </c>
      <c r="M387" s="92"/>
      <c r="N387" s="75"/>
      <c r="O387" s="126" t="s">
        <v>707</v>
      </c>
    </row>
    <row r="388" spans="1:15" ht="26.25" customHeight="1" outlineLevel="1" x14ac:dyDescent="0.25">
      <c r="A388" s="540"/>
      <c r="B388" s="107" t="s">
        <v>708</v>
      </c>
      <c r="C388" s="107" t="s">
        <v>709</v>
      </c>
      <c r="D388" s="47" t="s">
        <v>710</v>
      </c>
      <c r="E388" s="332"/>
      <c r="F388" s="333"/>
      <c r="G388" s="334"/>
      <c r="H388" s="333"/>
      <c r="I388" s="334"/>
      <c r="J388" s="335"/>
      <c r="K388" s="336"/>
      <c r="L388" s="337"/>
      <c r="M388" s="93"/>
      <c r="N388" s="47"/>
      <c r="O388" s="144"/>
    </row>
    <row r="389" spans="1:15" ht="15.75" collapsed="1" x14ac:dyDescent="0.25">
      <c r="A389" s="540"/>
      <c r="B389" s="94" t="s">
        <v>711</v>
      </c>
      <c r="C389" s="95"/>
      <c r="D389" s="95"/>
      <c r="E389" s="95"/>
      <c r="F389" s="95"/>
      <c r="G389" s="96"/>
      <c r="H389" s="95"/>
      <c r="I389" s="96"/>
      <c r="J389" s="95"/>
      <c r="K389" s="96"/>
      <c r="L389" s="95"/>
      <c r="M389" s="95"/>
      <c r="N389" s="96"/>
      <c r="O389" s="98"/>
    </row>
    <row r="390" spans="1:15" ht="24" customHeight="1" x14ac:dyDescent="0.25">
      <c r="A390" s="540"/>
      <c r="B390" s="99" t="s">
        <v>712</v>
      </c>
      <c r="C390" s="118"/>
      <c r="D390" s="118"/>
      <c r="E390" s="120"/>
      <c r="F390" s="120"/>
      <c r="G390" s="121"/>
      <c r="H390" s="120"/>
      <c r="I390" s="121"/>
      <c r="J390" s="120"/>
      <c r="K390" s="121"/>
      <c r="L390" s="122"/>
      <c r="M390" s="122"/>
      <c r="N390" s="121"/>
      <c r="O390" s="124"/>
    </row>
    <row r="391" spans="1:15" ht="91.5" customHeight="1" outlineLevel="1" x14ac:dyDescent="0.25">
      <c r="A391" s="540"/>
      <c r="B391" s="34" t="s">
        <v>144</v>
      </c>
      <c r="C391" s="84" t="s">
        <v>139</v>
      </c>
      <c r="D391" s="41" t="s">
        <v>145</v>
      </c>
      <c r="E391" s="82" t="s">
        <v>713</v>
      </c>
      <c r="F391" s="37"/>
      <c r="G391" s="38"/>
      <c r="H391" s="37"/>
      <c r="I391" s="38"/>
      <c r="J391" s="39"/>
      <c r="K391" s="40"/>
      <c r="L391" s="83" t="s">
        <v>714</v>
      </c>
      <c r="M391" s="83">
        <v>8</v>
      </c>
      <c r="N391" s="41"/>
      <c r="O391" s="34"/>
    </row>
    <row r="392" spans="1:15" ht="48" customHeight="1" outlineLevel="1" x14ac:dyDescent="0.25">
      <c r="A392" s="540"/>
      <c r="B392" s="58" t="s">
        <v>715</v>
      </c>
      <c r="C392" s="58" t="s">
        <v>715</v>
      </c>
      <c r="D392" s="42" t="s">
        <v>716</v>
      </c>
      <c r="E392" s="82" t="s">
        <v>717</v>
      </c>
      <c r="F392" s="65"/>
      <c r="G392" s="66"/>
      <c r="H392" s="65"/>
      <c r="I392" s="66"/>
      <c r="J392" s="67"/>
      <c r="K392" s="68"/>
      <c r="L392" s="85" t="s">
        <v>714</v>
      </c>
      <c r="M392" s="57">
        <v>8</v>
      </c>
      <c r="N392" s="42"/>
      <c r="O392" s="58" t="s">
        <v>718</v>
      </c>
    </row>
    <row r="393" spans="1:15" ht="81.75" customHeight="1" outlineLevel="1" x14ac:dyDescent="0.25">
      <c r="A393" s="540"/>
      <c r="B393" s="107" t="s">
        <v>719</v>
      </c>
      <c r="C393" s="107" t="s">
        <v>720</v>
      </c>
      <c r="D393" s="48" t="s">
        <v>721</v>
      </c>
      <c r="E393" s="543"/>
      <c r="F393" s="114"/>
      <c r="G393" s="115"/>
      <c r="H393" s="114"/>
      <c r="I393" s="115"/>
      <c r="J393" s="116"/>
      <c r="K393" s="117"/>
      <c r="L393" s="93" t="s">
        <v>714</v>
      </c>
      <c r="M393" s="74">
        <v>8</v>
      </c>
      <c r="N393" s="48"/>
      <c r="O393" s="107" t="s">
        <v>722</v>
      </c>
    </row>
    <row r="394" spans="1:15" ht="15.75" x14ac:dyDescent="0.25">
      <c r="A394" s="540"/>
      <c r="B394" s="99" t="s">
        <v>723</v>
      </c>
      <c r="C394" s="118"/>
      <c r="D394" s="118"/>
      <c r="E394" s="120"/>
      <c r="F394" s="101"/>
      <c r="G394" s="102"/>
      <c r="H394" s="101"/>
      <c r="I394" s="102"/>
      <c r="J394" s="101"/>
      <c r="K394" s="102"/>
      <c r="L394" s="103"/>
      <c r="M394" s="103"/>
      <c r="N394" s="102"/>
      <c r="O394" s="105"/>
    </row>
    <row r="395" spans="1:15" ht="204" customHeight="1" outlineLevel="1" x14ac:dyDescent="0.25">
      <c r="A395" s="540"/>
      <c r="B395" s="34" t="s">
        <v>724</v>
      </c>
      <c r="C395" s="34" t="s">
        <v>725</v>
      </c>
      <c r="D395" s="41" t="s">
        <v>726</v>
      </c>
      <c r="E395" s="82" t="s">
        <v>717</v>
      </c>
      <c r="F395" s="37"/>
      <c r="G395" s="38"/>
      <c r="H395" s="37"/>
      <c r="I395" s="38"/>
      <c r="J395" s="39"/>
      <c r="K395" s="40"/>
      <c r="L395" s="83">
        <v>7</v>
      </c>
      <c r="M395" s="83">
        <v>8</v>
      </c>
      <c r="N395" s="41"/>
      <c r="O395" s="34" t="s">
        <v>727</v>
      </c>
    </row>
    <row r="396" spans="1:15" ht="15.75" x14ac:dyDescent="0.25">
      <c r="A396" s="540"/>
      <c r="B396" s="623" t="s">
        <v>728</v>
      </c>
      <c r="C396" s="623"/>
      <c r="D396" s="623"/>
      <c r="E396" s="623"/>
      <c r="F396" s="623"/>
      <c r="G396" s="623"/>
      <c r="H396" s="623"/>
      <c r="I396" s="623"/>
      <c r="J396" s="624"/>
      <c r="K396" s="623"/>
      <c r="L396" s="623"/>
      <c r="M396" s="623"/>
      <c r="N396" s="623"/>
      <c r="O396" s="623"/>
    </row>
    <row r="397" spans="1:15" ht="30" customHeight="1" x14ac:dyDescent="0.25">
      <c r="A397" s="540"/>
      <c r="B397" s="625" t="s">
        <v>729</v>
      </c>
      <c r="C397" s="625"/>
      <c r="D397" s="625"/>
      <c r="E397" s="625"/>
      <c r="F397" s="625"/>
      <c r="G397" s="625"/>
      <c r="H397" s="625"/>
      <c r="I397" s="625"/>
      <c r="J397" s="626"/>
      <c r="K397" s="625"/>
      <c r="L397" s="625"/>
      <c r="M397" s="625"/>
      <c r="N397" s="625"/>
      <c r="O397" s="625"/>
    </row>
    <row r="398" spans="1:15" ht="15.75" x14ac:dyDescent="0.25">
      <c r="A398" s="540"/>
      <c r="B398" s="18" t="s">
        <v>730</v>
      </c>
      <c r="G398" s="4"/>
      <c r="I398" s="4"/>
      <c r="J398" s="3"/>
      <c r="K398" s="4"/>
    </row>
    <row r="404" ht="15.75" customHeight="1" x14ac:dyDescent="0.25"/>
  </sheetData>
  <autoFilter ref="A7:O7" xr:uid="{54B0F8B2-58DA-43E7-8071-4379A9DF845A}">
    <filterColumn colId="5" showButton="0"/>
    <filterColumn colId="7" showButton="0"/>
    <filterColumn colId="9" showButton="0"/>
  </autoFilter>
  <mergeCells count="258">
    <mergeCell ref="N384:N385"/>
    <mergeCell ref="B396:O396"/>
    <mergeCell ref="B397:O397"/>
    <mergeCell ref="M380:M381"/>
    <mergeCell ref="N380:N381"/>
    <mergeCell ref="O380:O381"/>
    <mergeCell ref="N378:N379"/>
    <mergeCell ref="B380:B381"/>
    <mergeCell ref="C380:C381"/>
    <mergeCell ref="D380:D381"/>
    <mergeCell ref="L380:L381"/>
    <mergeCell ref="B378:B379"/>
    <mergeCell ref="C378:C379"/>
    <mergeCell ref="D378:D379"/>
    <mergeCell ref="L378:L379"/>
    <mergeCell ref="M378:M379"/>
    <mergeCell ref="N376:N377"/>
    <mergeCell ref="B373:B374"/>
    <mergeCell ref="C373:C374"/>
    <mergeCell ref="D373:D374"/>
    <mergeCell ref="O373:O374"/>
    <mergeCell ref="B369:B370"/>
    <mergeCell ref="C369:C370"/>
    <mergeCell ref="L369:L370"/>
    <mergeCell ref="M369:M370"/>
    <mergeCell ref="O369:O370"/>
    <mergeCell ref="N367:N370"/>
    <mergeCell ref="N364:N365"/>
    <mergeCell ref="O364:O365"/>
    <mergeCell ref="B364:B365"/>
    <mergeCell ref="C364:C365"/>
    <mergeCell ref="D364:D365"/>
    <mergeCell ref="L364:L365"/>
    <mergeCell ref="M364:M365"/>
    <mergeCell ref="L347:L351"/>
    <mergeCell ref="M347:M351"/>
    <mergeCell ref="N347:N351"/>
    <mergeCell ref="O347:O349"/>
    <mergeCell ref="B346:B351"/>
    <mergeCell ref="C346:C351"/>
    <mergeCell ref="D346:D351"/>
    <mergeCell ref="E346:J346"/>
    <mergeCell ref="D338:D341"/>
    <mergeCell ref="B337:B342"/>
    <mergeCell ref="C337:C342"/>
    <mergeCell ref="L337:L342"/>
    <mergeCell ref="M337:M342"/>
    <mergeCell ref="N337:N342"/>
    <mergeCell ref="N329:N331"/>
    <mergeCell ref="O329:O331"/>
    <mergeCell ref="D332:D334"/>
    <mergeCell ref="L332:L334"/>
    <mergeCell ref="M332:M334"/>
    <mergeCell ref="N332:N334"/>
    <mergeCell ref="O332:O334"/>
    <mergeCell ref="B328:B334"/>
    <mergeCell ref="C328:C334"/>
    <mergeCell ref="D329:D331"/>
    <mergeCell ref="L329:L331"/>
    <mergeCell ref="M329:M331"/>
    <mergeCell ref="M317:M319"/>
    <mergeCell ref="N317:N319"/>
    <mergeCell ref="O317:O319"/>
    <mergeCell ref="D312:D314"/>
    <mergeCell ref="L312:L314"/>
    <mergeCell ref="M312:M314"/>
    <mergeCell ref="O312:O314"/>
    <mergeCell ref="D323:D325"/>
    <mergeCell ref="L323:L325"/>
    <mergeCell ref="M323:M325"/>
    <mergeCell ref="N323:N325"/>
    <mergeCell ref="O323:O325"/>
    <mergeCell ref="D320:D322"/>
    <mergeCell ref="L320:L322"/>
    <mergeCell ref="M320:M322"/>
    <mergeCell ref="N320:N322"/>
    <mergeCell ref="O320:O322"/>
    <mergeCell ref="B287:B327"/>
    <mergeCell ref="C287:C327"/>
    <mergeCell ref="N287:N316"/>
    <mergeCell ref="L288:L308"/>
    <mergeCell ref="N284:N286"/>
    <mergeCell ref="O284:O286"/>
    <mergeCell ref="B284:B286"/>
    <mergeCell ref="C284:C286"/>
    <mergeCell ref="D284:D286"/>
    <mergeCell ref="L284:L286"/>
    <mergeCell ref="M284:M286"/>
    <mergeCell ref="O306:O308"/>
    <mergeCell ref="D309:D311"/>
    <mergeCell ref="L309:L311"/>
    <mergeCell ref="M309:M311"/>
    <mergeCell ref="O309:O311"/>
    <mergeCell ref="M288:M308"/>
    <mergeCell ref="O288:O305"/>
    <mergeCell ref="D291:D295"/>
    <mergeCell ref="D296:D300"/>
    <mergeCell ref="D301:D305"/>
    <mergeCell ref="D306:D308"/>
    <mergeCell ref="D317:D319"/>
    <mergeCell ref="L317:L319"/>
    <mergeCell ref="F267:J267"/>
    <mergeCell ref="B273:B274"/>
    <mergeCell ref="C273:C274"/>
    <mergeCell ref="D273:D274"/>
    <mergeCell ref="L273:L274"/>
    <mergeCell ref="M273:M274"/>
    <mergeCell ref="N273:N274"/>
    <mergeCell ref="B257:B269"/>
    <mergeCell ref="C257:C269"/>
    <mergeCell ref="D257:D269"/>
    <mergeCell ref="F257:J257"/>
    <mergeCell ref="L257:L269"/>
    <mergeCell ref="M257:M269"/>
    <mergeCell ref="N257:N269"/>
    <mergeCell ref="B216:B229"/>
    <mergeCell ref="C216:C229"/>
    <mergeCell ref="O219:O223"/>
    <mergeCell ref="B214:B215"/>
    <mergeCell ref="O257:O269"/>
    <mergeCell ref="M249:M250"/>
    <mergeCell ref="N249:N250"/>
    <mergeCell ref="O249:O250"/>
    <mergeCell ref="O246:O247"/>
    <mergeCell ref="B249:B250"/>
    <mergeCell ref="C249:C250"/>
    <mergeCell ref="D249:D250"/>
    <mergeCell ref="L249:L250"/>
    <mergeCell ref="B240:B247"/>
    <mergeCell ref="C242:C247"/>
    <mergeCell ref="D242:D247"/>
    <mergeCell ref="L242:L247"/>
    <mergeCell ref="M242:M247"/>
    <mergeCell ref="O242:O245"/>
    <mergeCell ref="E239:E241"/>
    <mergeCell ref="L239:L241"/>
    <mergeCell ref="M239:M241"/>
    <mergeCell ref="N239:N241"/>
    <mergeCell ref="O239:O241"/>
    <mergeCell ref="M235:M237"/>
    <mergeCell ref="N235:N237"/>
    <mergeCell ref="O235:O237"/>
    <mergeCell ref="O230:O233"/>
    <mergeCell ref="B235:B237"/>
    <mergeCell ref="C235:C237"/>
    <mergeCell ref="D235:D237"/>
    <mergeCell ref="L235:L237"/>
    <mergeCell ref="B230:B233"/>
    <mergeCell ref="C230:C233"/>
    <mergeCell ref="L230:L233"/>
    <mergeCell ref="M230:M233"/>
    <mergeCell ref="N230:N233"/>
    <mergeCell ref="N197:N212"/>
    <mergeCell ref="O197:O212"/>
    <mergeCell ref="N152:N155"/>
    <mergeCell ref="O152:O154"/>
    <mergeCell ref="B160:B164"/>
    <mergeCell ref="C160:C164"/>
    <mergeCell ref="L160:L164"/>
    <mergeCell ref="M160:M164"/>
    <mergeCell ref="N160:N164"/>
    <mergeCell ref="O160:O164"/>
    <mergeCell ref="B152:B155"/>
    <mergeCell ref="C152:C155"/>
    <mergeCell ref="D152:D155"/>
    <mergeCell ref="L152:L155"/>
    <mergeCell ref="B169:B196"/>
    <mergeCell ref="C169:C196"/>
    <mergeCell ref="D169:D195"/>
    <mergeCell ref="L169:L195"/>
    <mergeCell ref="N167:N196"/>
    <mergeCell ref="O169:O184"/>
    <mergeCell ref="B167:B168"/>
    <mergeCell ref="C167:C168"/>
    <mergeCell ref="D167:D168"/>
    <mergeCell ref="E167:E168"/>
    <mergeCell ref="M152:M155"/>
    <mergeCell ref="M169:M195"/>
    <mergeCell ref="H167:I168"/>
    <mergeCell ref="J167:K168"/>
    <mergeCell ref="L167:L168"/>
    <mergeCell ref="M167:M168"/>
    <mergeCell ref="C214:C215"/>
    <mergeCell ref="B197:B212"/>
    <mergeCell ref="C197:C212"/>
    <mergeCell ref="D197:D212"/>
    <mergeCell ref="L197:L212"/>
    <mergeCell ref="M197:M212"/>
    <mergeCell ref="F167:G168"/>
    <mergeCell ref="N146:N151"/>
    <mergeCell ref="O146:O151"/>
    <mergeCell ref="N138:N145"/>
    <mergeCell ref="O138:O145"/>
    <mergeCell ref="B138:B145"/>
    <mergeCell ref="C138:C145"/>
    <mergeCell ref="D138:D145"/>
    <mergeCell ref="L138:L145"/>
    <mergeCell ref="M138:M145"/>
    <mergeCell ref="B146:B151"/>
    <mergeCell ref="C146:C151"/>
    <mergeCell ref="D146:D151"/>
    <mergeCell ref="L146:L151"/>
    <mergeCell ref="M146:M151"/>
    <mergeCell ref="N134:N137"/>
    <mergeCell ref="B135:B136"/>
    <mergeCell ref="C135:C136"/>
    <mergeCell ref="O107:O124"/>
    <mergeCell ref="C128:C131"/>
    <mergeCell ref="D128:D131"/>
    <mergeCell ref="N128:N131"/>
    <mergeCell ref="O128:O131"/>
    <mergeCell ref="B86:B132"/>
    <mergeCell ref="C86:C126"/>
    <mergeCell ref="D86:D126"/>
    <mergeCell ref="N86:N126"/>
    <mergeCell ref="O86:O106"/>
    <mergeCell ref="F132:K132"/>
    <mergeCell ref="O64:O66"/>
    <mergeCell ref="N68:N72"/>
    <mergeCell ref="B69:B70"/>
    <mergeCell ref="C69:C70"/>
    <mergeCell ref="D69:D70"/>
    <mergeCell ref="E69:E70"/>
    <mergeCell ref="B44:B46"/>
    <mergeCell ref="B50:B52"/>
    <mergeCell ref="C50:C52"/>
    <mergeCell ref="D51:D52"/>
    <mergeCell ref="L51:L52"/>
    <mergeCell ref="M51:M52"/>
    <mergeCell ref="N51:N52"/>
    <mergeCell ref="O51:O52"/>
    <mergeCell ref="F69:F70"/>
    <mergeCell ref="H69:H70"/>
    <mergeCell ref="J69:J70"/>
    <mergeCell ref="K69:K70"/>
    <mergeCell ref="L69:L70"/>
    <mergeCell ref="M69:M70"/>
    <mergeCell ref="B64:B66"/>
    <mergeCell ref="C64:C66"/>
    <mergeCell ref="D64:D66"/>
    <mergeCell ref="N36:N38"/>
    <mergeCell ref="B41:B42"/>
    <mergeCell ref="C41:C42"/>
    <mergeCell ref="O41:O42"/>
    <mergeCell ref="N15:N16"/>
    <mergeCell ref="O15:O16"/>
    <mergeCell ref="B35:B38"/>
    <mergeCell ref="C35:C38"/>
    <mergeCell ref="D35:D38"/>
    <mergeCell ref="B6:C6"/>
    <mergeCell ref="D6:O6"/>
    <mergeCell ref="F7:G7"/>
    <mergeCell ref="H7:I7"/>
    <mergeCell ref="J7:K7"/>
    <mergeCell ref="B4:C4"/>
    <mergeCell ref="D4:O4"/>
    <mergeCell ref="B5:C5"/>
    <mergeCell ref="D5:O5"/>
  </mergeCells>
  <hyperlinks>
    <hyperlink ref="O283" r:id="rId1" xr:uid="{6F8C77D4-3F5C-49CA-8001-C0093F0043F6}"/>
  </hyperlinks>
  <printOptions horizontalCentered="1"/>
  <pageMargins left="0.23622047244094491" right="0.23622047244094491" top="0.74803149606299213" bottom="0.74803149606299213" header="0.31496062992125984" footer="0.31496062992125984"/>
  <pageSetup paperSize="9" scale="55" fitToHeight="82" orientation="landscape" r:id="rId2"/>
  <headerFooter>
    <oddHeader>&amp;L&amp;G</oddHeader>
    <oddFooter>&amp;C&amp;10&amp;P of &amp;N</oddFooter>
  </headerFooter>
  <rowBreaks count="1" manualBreakCount="1">
    <brk id="398" min="1" max="15" man="1"/>
  </rowBreak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4FB2-D7E8-4729-A1FE-F4FF0EEA696F}">
  <sheetPr>
    <tabColor rgb="FF0C3F6C"/>
    <pageSetUpPr fitToPage="1"/>
  </sheetPr>
  <dimension ref="A1:X172"/>
  <sheetViews>
    <sheetView showGridLines="0" view="pageBreakPreview" zoomScaleNormal="100" zoomScaleSheetLayoutView="100" workbookViewId="0">
      <pane ySplit="3" topLeftCell="A143" activePane="bottomLeft" state="frozen"/>
      <selection activeCell="A6" sqref="A6:D6"/>
      <selection pane="bottomLeft" activeCell="I1" sqref="I1"/>
    </sheetView>
  </sheetViews>
  <sheetFormatPr defaultColWidth="9.140625" defaultRowHeight="15" x14ac:dyDescent="0.25"/>
  <cols>
    <col min="1" max="1" width="30.85546875" customWidth="1"/>
    <col min="2" max="2" width="24" customWidth="1"/>
    <col min="3" max="3" width="27.85546875" customWidth="1"/>
    <col min="4" max="4" width="26" customWidth="1"/>
    <col min="5" max="5" width="25.42578125" customWidth="1"/>
    <col min="6" max="6" width="25.5703125" customWidth="1"/>
    <col min="7" max="7" width="18.85546875" customWidth="1"/>
    <col min="8" max="8" width="2.5703125" style="8" customWidth="1"/>
    <col min="9" max="9" width="12.140625" style="8" customWidth="1"/>
    <col min="10" max="10" width="9.140625" style="8"/>
    <col min="11" max="12" width="9.140625" style="8" bestFit="1" customWidth="1"/>
    <col min="13" max="17" width="9.140625" style="8"/>
    <col min="18" max="24" width="9.140625" style="369"/>
    <col min="25" max="16384" width="9.140625" style="8"/>
  </cols>
  <sheetData>
    <row r="1" spans="1:11" ht="18.75" x14ac:dyDescent="0.25">
      <c r="A1" s="630" t="s">
        <v>731</v>
      </c>
      <c r="B1" s="630"/>
      <c r="C1" s="630"/>
      <c r="D1" s="630"/>
      <c r="E1" s="630"/>
      <c r="F1" s="630"/>
      <c r="G1" s="630"/>
      <c r="H1" s="630"/>
    </row>
    <row r="2" spans="1:11" ht="17.25" x14ac:dyDescent="0.25">
      <c r="A2" s="631" t="s">
        <v>732</v>
      </c>
      <c r="B2" s="631"/>
      <c r="C2" s="631"/>
      <c r="D2" s="631"/>
      <c r="E2" s="631"/>
      <c r="F2" s="631"/>
      <c r="G2" s="631"/>
      <c r="H2" s="631"/>
    </row>
    <row r="3" spans="1:11" x14ac:dyDescent="0.25">
      <c r="A3" s="631"/>
      <c r="B3" s="631"/>
      <c r="C3" s="631"/>
      <c r="D3" s="631"/>
      <c r="E3" s="631"/>
      <c r="F3" s="631"/>
      <c r="G3" s="631"/>
      <c r="H3" s="631"/>
    </row>
    <row r="4" spans="1:11" ht="154.5" customHeight="1" x14ac:dyDescent="0.25">
      <c r="A4" s="620" t="s">
        <v>733</v>
      </c>
      <c r="B4" s="621"/>
      <c r="C4" s="621"/>
      <c r="D4" s="621"/>
      <c r="E4" s="621"/>
      <c r="F4" s="621"/>
      <c r="G4" s="621"/>
      <c r="H4" s="632"/>
      <c r="I4"/>
    </row>
    <row r="5" spans="1:11" x14ac:dyDescent="0.25">
      <c r="A5" s="633"/>
      <c r="B5" s="633"/>
      <c r="C5" s="633"/>
      <c r="D5" s="633"/>
      <c r="E5" s="633"/>
      <c r="F5" s="633"/>
      <c r="G5" s="633"/>
      <c r="H5" s="633"/>
      <c r="I5"/>
    </row>
    <row r="6" spans="1:11" ht="25.5" customHeight="1" x14ac:dyDescent="0.25">
      <c r="A6" s="338" t="s">
        <v>20</v>
      </c>
      <c r="B6" s="339" t="s">
        <v>734</v>
      </c>
      <c r="C6" s="340" t="s">
        <v>735</v>
      </c>
      <c r="D6" s="340" t="s">
        <v>736</v>
      </c>
      <c r="E6" s="340" t="s">
        <v>737</v>
      </c>
      <c r="F6" s="340" t="s">
        <v>738</v>
      </c>
      <c r="G6" s="634">
        <v>2023</v>
      </c>
      <c r="H6" s="635"/>
    </row>
    <row r="7" spans="1:11" ht="30" x14ac:dyDescent="0.25">
      <c r="A7" s="566" t="s">
        <v>358</v>
      </c>
      <c r="B7" s="546" t="s">
        <v>359</v>
      </c>
      <c r="C7" s="341">
        <v>18991.592217092999</v>
      </c>
      <c r="D7" s="341">
        <v>15172.430917498999</v>
      </c>
      <c r="E7" s="341">
        <v>15974.289483044</v>
      </c>
      <c r="F7" s="341">
        <v>16387.693117215</v>
      </c>
      <c r="G7" s="341">
        <v>16716.613192622</v>
      </c>
      <c r="H7" s="342" t="s">
        <v>244</v>
      </c>
      <c r="I7"/>
      <c r="J7"/>
      <c r="K7"/>
    </row>
    <row r="8" spans="1:11" ht="48" x14ac:dyDescent="0.25">
      <c r="A8" s="566"/>
      <c r="B8" s="42" t="s">
        <v>361</v>
      </c>
      <c r="C8" s="341">
        <v>18991.592217092999</v>
      </c>
      <c r="D8" s="341">
        <v>15172.430917498999</v>
      </c>
      <c r="E8" s="341">
        <v>15974.289483043</v>
      </c>
      <c r="F8" s="341">
        <v>16387.693117215</v>
      </c>
      <c r="G8" s="341">
        <v>16716.613192623001</v>
      </c>
      <c r="H8" s="342"/>
      <c r="I8"/>
      <c r="J8"/>
      <c r="K8"/>
    </row>
    <row r="9" spans="1:11" x14ac:dyDescent="0.25">
      <c r="A9" s="566"/>
      <c r="B9" s="175" t="s">
        <v>253</v>
      </c>
      <c r="C9" s="343">
        <v>3.0964968999999998E-2</v>
      </c>
      <c r="D9" s="343">
        <v>1.2043471E-2</v>
      </c>
      <c r="E9" s="343">
        <v>4.3697059000000003E-2</v>
      </c>
      <c r="F9" s="343">
        <v>3.0815361999999999E-2</v>
      </c>
      <c r="G9" s="343">
        <v>3.8194771000000002E-2</v>
      </c>
      <c r="H9" s="344"/>
      <c r="I9"/>
      <c r="J9"/>
      <c r="K9"/>
    </row>
    <row r="10" spans="1:11" ht="15" customHeight="1" x14ac:dyDescent="0.25">
      <c r="A10" s="566"/>
      <c r="B10" s="175" t="s">
        <v>254</v>
      </c>
      <c r="C10" s="341">
        <v>7651.8432151679999</v>
      </c>
      <c r="D10" s="341">
        <v>6214.508482409</v>
      </c>
      <c r="E10" s="341">
        <v>6032.4907036889999</v>
      </c>
      <c r="F10" s="341">
        <v>5628.9093327789997</v>
      </c>
      <c r="G10" s="341">
        <v>5691.0343045910004</v>
      </c>
      <c r="H10" s="345"/>
      <c r="I10"/>
      <c r="J10"/>
      <c r="K10"/>
    </row>
    <row r="11" spans="1:11" x14ac:dyDescent="0.25">
      <c r="A11" s="566"/>
      <c r="B11" s="175" t="s">
        <v>255</v>
      </c>
      <c r="C11" s="341">
        <v>1214.5587781869999</v>
      </c>
      <c r="D11" s="341">
        <v>942.97525504299995</v>
      </c>
      <c r="E11" s="341">
        <v>1047.3467737379999</v>
      </c>
      <c r="F11" s="341">
        <v>1167.3007923359999</v>
      </c>
      <c r="G11" s="341">
        <v>1238.538124663</v>
      </c>
      <c r="H11" s="345"/>
      <c r="I11"/>
      <c r="J11"/>
      <c r="K11"/>
    </row>
    <row r="12" spans="1:11" x14ac:dyDescent="0.25">
      <c r="A12" s="566"/>
      <c r="B12" s="175" t="s">
        <v>256</v>
      </c>
      <c r="C12" s="341">
        <v>4114.1558519390001</v>
      </c>
      <c r="D12" s="341">
        <v>3048.8621073049999</v>
      </c>
      <c r="E12" s="341">
        <v>4115.0504179890004</v>
      </c>
      <c r="F12" s="341">
        <v>4150.8156852410002</v>
      </c>
      <c r="G12" s="341">
        <v>3389.9009649270001</v>
      </c>
      <c r="H12" s="345"/>
      <c r="I12"/>
      <c r="J12"/>
      <c r="K12"/>
    </row>
    <row r="13" spans="1:11" x14ac:dyDescent="0.25">
      <c r="A13" s="566"/>
      <c r="B13" s="175" t="s">
        <v>257</v>
      </c>
      <c r="C13" s="341">
        <v>2892.9717254259999</v>
      </c>
      <c r="D13" s="341">
        <v>2513.2830950339999</v>
      </c>
      <c r="E13" s="341">
        <v>2392.1507984580003</v>
      </c>
      <c r="F13" s="341">
        <v>2993.4152884590003</v>
      </c>
      <c r="G13" s="341">
        <v>3172.1018397719999</v>
      </c>
      <c r="H13" s="345"/>
      <c r="I13"/>
      <c r="J13"/>
      <c r="K13"/>
    </row>
    <row r="14" spans="1:11" x14ac:dyDescent="0.25">
      <c r="A14" s="566"/>
      <c r="B14" s="175" t="s">
        <v>258</v>
      </c>
      <c r="C14" s="341">
        <v>834.29702163299999</v>
      </c>
      <c r="D14" s="341">
        <v>145.90526906300002</v>
      </c>
      <c r="E14" s="341">
        <v>39.167154241999995</v>
      </c>
      <c r="F14" s="341">
        <v>123.340489809</v>
      </c>
      <c r="G14" s="341">
        <v>868.01391099600005</v>
      </c>
      <c r="H14" s="345"/>
      <c r="I14"/>
      <c r="J14"/>
      <c r="K14"/>
    </row>
    <row r="15" spans="1:11" x14ac:dyDescent="0.25">
      <c r="A15" s="566"/>
      <c r="B15" s="175" t="s">
        <v>259</v>
      </c>
      <c r="C15" s="341">
        <v>2283.7346597710002</v>
      </c>
      <c r="D15" s="341">
        <v>2306.884665174</v>
      </c>
      <c r="E15" s="341">
        <v>2348.0399378679999</v>
      </c>
      <c r="F15" s="341">
        <v>2323.8807132290003</v>
      </c>
      <c r="G15" s="341">
        <v>2356.9858529030003</v>
      </c>
      <c r="H15" s="345"/>
      <c r="I15"/>
      <c r="J15"/>
      <c r="K15"/>
    </row>
    <row r="16" spans="1:11" ht="48" x14ac:dyDescent="0.25">
      <c r="A16" s="566"/>
      <c r="B16" s="42" t="s">
        <v>362</v>
      </c>
      <c r="C16" s="341">
        <v>18991.592217092999</v>
      </c>
      <c r="D16" s="341">
        <v>15172.430917498001</v>
      </c>
      <c r="E16" s="341">
        <v>15974.289483043001</v>
      </c>
      <c r="F16" s="341">
        <v>16387.693117215</v>
      </c>
      <c r="G16" s="341">
        <v>16716.613192622</v>
      </c>
      <c r="H16" s="342"/>
      <c r="I16"/>
      <c r="J16"/>
      <c r="K16"/>
    </row>
    <row r="17" spans="1:11" x14ac:dyDescent="0.25">
      <c r="A17" s="566"/>
      <c r="B17" s="175" t="s">
        <v>261</v>
      </c>
      <c r="C17" s="341">
        <v>5479.2623744470002</v>
      </c>
      <c r="D17" s="341">
        <v>3726.783904547</v>
      </c>
      <c r="E17" s="341">
        <v>4667.1297797339994</v>
      </c>
      <c r="F17" s="341">
        <v>4703.5849156349996</v>
      </c>
      <c r="G17" s="341">
        <v>4781.7074233740004</v>
      </c>
      <c r="H17" s="345"/>
      <c r="I17"/>
      <c r="J17"/>
      <c r="K17"/>
    </row>
    <row r="18" spans="1:11" x14ac:dyDescent="0.25">
      <c r="A18" s="566"/>
      <c r="B18" s="175" t="s">
        <v>262</v>
      </c>
      <c r="C18" s="341">
        <v>1212.349248535</v>
      </c>
      <c r="D18" s="341">
        <v>1269.7471748879998</v>
      </c>
      <c r="E18" s="341">
        <v>1284.95013051</v>
      </c>
      <c r="F18" s="341">
        <v>1227.473589872</v>
      </c>
      <c r="G18" s="341">
        <v>1244.110741042</v>
      </c>
      <c r="H18" s="345"/>
      <c r="I18"/>
      <c r="J18"/>
      <c r="K18"/>
    </row>
    <row r="19" spans="1:11" x14ac:dyDescent="0.25">
      <c r="A19" s="566"/>
      <c r="B19" s="175" t="s">
        <v>263</v>
      </c>
      <c r="C19" s="341">
        <v>8541.8348001920003</v>
      </c>
      <c r="D19" s="341">
        <v>7888.3996266180002</v>
      </c>
      <c r="E19" s="341">
        <v>7396.6280786570005</v>
      </c>
      <c r="F19" s="341">
        <v>7705.7827957830004</v>
      </c>
      <c r="G19" s="341">
        <v>7928.7608411290003</v>
      </c>
      <c r="H19" s="345"/>
      <c r="I19"/>
      <c r="J19"/>
      <c r="K19"/>
    </row>
    <row r="20" spans="1:11" x14ac:dyDescent="0.25">
      <c r="A20" s="566"/>
      <c r="B20" s="175" t="s">
        <v>264</v>
      </c>
      <c r="C20" s="341">
        <v>456.63880756500004</v>
      </c>
      <c r="D20" s="341">
        <v>431.87026903499998</v>
      </c>
      <c r="E20" s="341">
        <v>461.20510185299997</v>
      </c>
      <c r="F20" s="341">
        <v>447.33261946199997</v>
      </c>
      <c r="G20" s="341">
        <v>379.14688885300001</v>
      </c>
      <c r="H20" s="345"/>
      <c r="I20"/>
      <c r="J20"/>
      <c r="K20"/>
    </row>
    <row r="21" spans="1:11" x14ac:dyDescent="0.25">
      <c r="A21" s="566"/>
      <c r="B21" s="175" t="s">
        <v>265</v>
      </c>
      <c r="C21" s="341">
        <v>772.35665049900001</v>
      </c>
      <c r="D21" s="341">
        <v>591.34754809499998</v>
      </c>
      <c r="E21" s="341">
        <v>600.53882649299999</v>
      </c>
      <c r="F21" s="341">
        <v>574.85598356900005</v>
      </c>
      <c r="G21" s="341">
        <v>592.83945537600005</v>
      </c>
      <c r="H21" s="345"/>
      <c r="I21"/>
      <c r="J21"/>
      <c r="K21"/>
    </row>
    <row r="22" spans="1:11" x14ac:dyDescent="0.25">
      <c r="A22" s="566"/>
      <c r="B22" s="175" t="s">
        <v>266</v>
      </c>
      <c r="C22" s="341">
        <v>2529.1503358550003</v>
      </c>
      <c r="D22" s="341">
        <v>1264.2823943149999</v>
      </c>
      <c r="E22" s="341">
        <v>1563.837565796</v>
      </c>
      <c r="F22" s="341">
        <v>1728.663212894</v>
      </c>
      <c r="G22" s="341">
        <v>1790.0478428479998</v>
      </c>
      <c r="H22" s="345"/>
      <c r="I22"/>
      <c r="J22"/>
      <c r="K22"/>
    </row>
    <row r="23" spans="1:11" ht="48" x14ac:dyDescent="0.25">
      <c r="A23" s="566"/>
      <c r="B23" s="42" t="s">
        <v>363</v>
      </c>
      <c r="C23" s="341">
        <v>18991.541198352999</v>
      </c>
      <c r="D23" s="341">
        <v>15172.400713157002</v>
      </c>
      <c r="E23" s="341">
        <v>15974.259122199999</v>
      </c>
      <c r="F23" s="341">
        <v>16387.578440861002</v>
      </c>
      <c r="G23" s="341">
        <v>16716.519854933998</v>
      </c>
      <c r="H23" s="342"/>
      <c r="I23"/>
      <c r="J23"/>
      <c r="K23"/>
    </row>
    <row r="24" spans="1:11" x14ac:dyDescent="0.25">
      <c r="A24" s="566"/>
      <c r="B24" s="175" t="s">
        <v>364</v>
      </c>
      <c r="C24" s="341">
        <v>9403.8649384769978</v>
      </c>
      <c r="D24" s="341">
        <v>7221.2139352520007</v>
      </c>
      <c r="E24" s="341">
        <v>7429.3790066419988</v>
      </c>
      <c r="F24" s="341">
        <v>8219.3605444019995</v>
      </c>
      <c r="G24" s="341">
        <v>9380.8490072719997</v>
      </c>
      <c r="H24" s="345"/>
      <c r="I24"/>
      <c r="J24"/>
      <c r="K24"/>
    </row>
    <row r="25" spans="1:11" x14ac:dyDescent="0.25">
      <c r="A25" s="566"/>
      <c r="B25" s="175" t="s">
        <v>365</v>
      </c>
      <c r="C25" s="341">
        <v>2327.3560113389999</v>
      </c>
      <c r="D25" s="341">
        <v>1916.616541483</v>
      </c>
      <c r="E25" s="341">
        <v>1783.0151543330001</v>
      </c>
      <c r="F25" s="341">
        <v>2283.1366994909999</v>
      </c>
      <c r="G25" s="341">
        <v>2592.4487035749999</v>
      </c>
      <c r="H25" s="345"/>
      <c r="I25"/>
      <c r="J25"/>
      <c r="K25"/>
    </row>
    <row r="26" spans="1:11" x14ac:dyDescent="0.25">
      <c r="A26" s="566"/>
      <c r="B26" s="175" t="s">
        <v>367</v>
      </c>
      <c r="C26" s="341">
        <v>5904.2465542789996</v>
      </c>
      <c r="D26" s="341">
        <v>4565.2218831020009</v>
      </c>
      <c r="E26" s="341">
        <v>4952.0705238819992</v>
      </c>
      <c r="F26" s="341">
        <v>5203.5747170430004</v>
      </c>
      <c r="G26" s="341">
        <v>5443.889818663999</v>
      </c>
      <c r="H26" s="345"/>
      <c r="I26"/>
      <c r="J26"/>
      <c r="K26"/>
    </row>
    <row r="27" spans="1:11" x14ac:dyDescent="0.25">
      <c r="A27" s="566"/>
      <c r="B27" s="175" t="s">
        <v>369</v>
      </c>
      <c r="C27" s="341">
        <v>1172.2623728589999</v>
      </c>
      <c r="D27" s="341">
        <v>739.37551066700007</v>
      </c>
      <c r="E27" s="341">
        <v>694.29332842700001</v>
      </c>
      <c r="F27" s="341">
        <v>732.64912786799994</v>
      </c>
      <c r="G27" s="341">
        <v>1344.5104850329999</v>
      </c>
      <c r="H27" s="345"/>
      <c r="I27"/>
      <c r="J27"/>
      <c r="K27"/>
    </row>
    <row r="28" spans="1:11" x14ac:dyDescent="0.25">
      <c r="A28" s="566"/>
      <c r="B28" s="175" t="s">
        <v>371</v>
      </c>
      <c r="C28" s="341">
        <v>5278.049007527</v>
      </c>
      <c r="D28" s="341">
        <v>4080.9038614190003</v>
      </c>
      <c r="E28" s="341">
        <v>5049.2789845940006</v>
      </c>
      <c r="F28" s="341">
        <v>5051.737169613999</v>
      </c>
      <c r="G28" s="341">
        <v>4194.3846261769995</v>
      </c>
      <c r="H28" s="345"/>
      <c r="I28"/>
      <c r="J28"/>
      <c r="K28"/>
    </row>
    <row r="29" spans="1:11" ht="30" x14ac:dyDescent="0.25">
      <c r="A29" s="566"/>
      <c r="B29" s="175" t="s">
        <v>373</v>
      </c>
      <c r="C29" s="341">
        <v>4017.7477397489997</v>
      </c>
      <c r="D29" s="341">
        <v>3580.376775486</v>
      </c>
      <c r="E29" s="341">
        <v>3212.4575095609994</v>
      </c>
      <c r="F29" s="341">
        <v>2766.3429890740003</v>
      </c>
      <c r="G29" s="341">
        <v>2743.3970138619998</v>
      </c>
      <c r="H29" s="345"/>
      <c r="I29"/>
      <c r="J29"/>
      <c r="K29"/>
    </row>
    <row r="30" spans="1:11" x14ac:dyDescent="0.25">
      <c r="A30" s="566"/>
      <c r="B30" s="175" t="s">
        <v>375</v>
      </c>
      <c r="C30" s="341">
        <v>1950.1415804210001</v>
      </c>
      <c r="D30" s="341">
        <v>1661.587444019</v>
      </c>
      <c r="E30" s="341">
        <v>1410.4894272709998</v>
      </c>
      <c r="F30" s="341">
        <v>1029.3836664140001</v>
      </c>
      <c r="G30" s="341">
        <v>1075.9227714829999</v>
      </c>
      <c r="H30" s="345"/>
      <c r="I30"/>
      <c r="J30"/>
      <c r="K30"/>
    </row>
    <row r="31" spans="1:11" x14ac:dyDescent="0.25">
      <c r="A31" s="566"/>
      <c r="B31" s="175" t="s">
        <v>377</v>
      </c>
      <c r="C31" s="341">
        <v>1650.487159328</v>
      </c>
      <c r="D31" s="341">
        <v>1300.632848467</v>
      </c>
      <c r="E31" s="341">
        <v>1310.4222022899999</v>
      </c>
      <c r="F31" s="341">
        <v>1340.86923166</v>
      </c>
      <c r="G31" s="341">
        <v>1380.541632379</v>
      </c>
      <c r="H31" s="345"/>
      <c r="I31"/>
      <c r="J31"/>
      <c r="K31"/>
    </row>
    <row r="32" spans="1:11" x14ac:dyDescent="0.25">
      <c r="A32" s="566"/>
      <c r="B32" s="175" t="s">
        <v>379</v>
      </c>
      <c r="C32" s="341">
        <v>417.11900000000003</v>
      </c>
      <c r="D32" s="341">
        <v>618.15648299999998</v>
      </c>
      <c r="E32" s="341">
        <v>491.54588000000001</v>
      </c>
      <c r="F32" s="341">
        <v>396.09009100000003</v>
      </c>
      <c r="G32" s="341">
        <v>286.93261000000001</v>
      </c>
      <c r="H32" s="345"/>
      <c r="I32"/>
      <c r="J32"/>
      <c r="K32"/>
    </row>
    <row r="33" spans="1:11" ht="33" x14ac:dyDescent="0.25">
      <c r="A33" s="570"/>
      <c r="B33" s="175" t="s">
        <v>381</v>
      </c>
      <c r="C33" s="341">
        <v>291.8795126</v>
      </c>
      <c r="D33" s="341">
        <v>289.90614099999999</v>
      </c>
      <c r="E33" s="341">
        <v>283.14362140300005</v>
      </c>
      <c r="F33" s="341">
        <v>350.13773777099999</v>
      </c>
      <c r="G33" s="341">
        <v>397.889207623</v>
      </c>
      <c r="H33" s="345"/>
      <c r="I33"/>
      <c r="J33"/>
      <c r="K33"/>
    </row>
    <row r="34" spans="1:11" ht="36" x14ac:dyDescent="0.25">
      <c r="A34" s="42" t="s">
        <v>383</v>
      </c>
      <c r="B34" s="42" t="s">
        <v>384</v>
      </c>
      <c r="C34" s="341">
        <v>5.8652813029999997</v>
      </c>
      <c r="D34" s="341">
        <v>11.112971675000001</v>
      </c>
      <c r="E34" s="341">
        <v>40.581577403000004</v>
      </c>
      <c r="F34" s="341">
        <v>40.971947405000009</v>
      </c>
      <c r="G34" s="341">
        <v>42.326548609999996</v>
      </c>
      <c r="H34" s="345"/>
      <c r="I34"/>
      <c r="J34"/>
      <c r="K34"/>
    </row>
    <row r="35" spans="1:11" ht="33" x14ac:dyDescent="0.25">
      <c r="A35" s="559" t="s">
        <v>387</v>
      </c>
      <c r="B35" s="42" t="s">
        <v>388</v>
      </c>
      <c r="C35" s="173">
        <v>13945.948621115002</v>
      </c>
      <c r="D35" s="173">
        <v>11598.445428951001</v>
      </c>
      <c r="E35" s="173">
        <v>12974.961634529</v>
      </c>
      <c r="F35" s="173">
        <v>12841.087325337001</v>
      </c>
      <c r="G35" s="173">
        <v>10331.408428398001</v>
      </c>
      <c r="H35" s="342" t="s">
        <v>244</v>
      </c>
      <c r="I35"/>
      <c r="J35"/>
      <c r="K35"/>
    </row>
    <row r="36" spans="1:11" ht="48" x14ac:dyDescent="0.25">
      <c r="A36" s="566"/>
      <c r="B36" s="42" t="s">
        <v>390</v>
      </c>
      <c r="C36" s="173">
        <v>13945.948621114001</v>
      </c>
      <c r="D36" s="173">
        <v>11598.445428952</v>
      </c>
      <c r="E36" s="173">
        <v>12974.961634528001</v>
      </c>
      <c r="F36" s="173">
        <v>12841.087325337001</v>
      </c>
      <c r="G36" s="173">
        <v>10331.408428397001</v>
      </c>
      <c r="H36" s="342"/>
      <c r="I36"/>
      <c r="J36"/>
      <c r="K36"/>
    </row>
    <row r="37" spans="1:11" x14ac:dyDescent="0.25">
      <c r="A37" s="566"/>
      <c r="B37" s="175" t="s">
        <v>253</v>
      </c>
      <c r="C37" s="173">
        <v>0</v>
      </c>
      <c r="D37" s="173">
        <v>0</v>
      </c>
      <c r="E37" s="173">
        <v>0</v>
      </c>
      <c r="F37" s="173">
        <v>0</v>
      </c>
      <c r="G37" s="173">
        <v>0</v>
      </c>
      <c r="H37" s="346"/>
      <c r="I37"/>
      <c r="J37"/>
      <c r="K37"/>
    </row>
    <row r="38" spans="1:11" x14ac:dyDescent="0.25">
      <c r="A38" s="566"/>
      <c r="B38" s="175" t="s">
        <v>254</v>
      </c>
      <c r="C38" s="173">
        <v>1208.101363498</v>
      </c>
      <c r="D38" s="173">
        <v>1193.1397117399999</v>
      </c>
      <c r="E38" s="173">
        <v>1164.17284309</v>
      </c>
      <c r="F38" s="173">
        <v>1102.6914640770001</v>
      </c>
      <c r="G38" s="173">
        <v>1155.4389832280001</v>
      </c>
      <c r="H38" s="346"/>
      <c r="I38"/>
      <c r="J38"/>
      <c r="K38"/>
    </row>
    <row r="39" spans="1:11" x14ac:dyDescent="0.25">
      <c r="A39" s="566"/>
      <c r="B39" s="175" t="s">
        <v>255</v>
      </c>
      <c r="C39" s="173">
        <v>1131.0580704610002</v>
      </c>
      <c r="D39" s="173">
        <v>932.34837323599993</v>
      </c>
      <c r="E39" s="173">
        <v>647.57035902900009</v>
      </c>
      <c r="F39" s="173">
        <v>569.19137798199995</v>
      </c>
      <c r="G39" s="173">
        <v>304.13036469000002</v>
      </c>
      <c r="H39" s="346"/>
      <c r="I39"/>
      <c r="J39"/>
      <c r="K39"/>
    </row>
    <row r="40" spans="1:11" x14ac:dyDescent="0.25">
      <c r="A40" s="566"/>
      <c r="B40" s="175" t="s">
        <v>256</v>
      </c>
      <c r="C40" s="173">
        <v>6515.614233534</v>
      </c>
      <c r="D40" s="173">
        <v>4872.6457082520001</v>
      </c>
      <c r="E40" s="173">
        <v>6652.6785650310003</v>
      </c>
      <c r="F40" s="173">
        <v>6916.9775677500002</v>
      </c>
      <c r="G40" s="173">
        <v>5220.1150971930001</v>
      </c>
      <c r="H40" s="346"/>
      <c r="I40"/>
      <c r="J40"/>
      <c r="K40"/>
    </row>
    <row r="41" spans="1:11" x14ac:dyDescent="0.25">
      <c r="A41" s="566"/>
      <c r="B41" s="175" t="s">
        <v>257</v>
      </c>
      <c r="C41" s="173">
        <v>265.79250099299998</v>
      </c>
      <c r="D41" s="173">
        <v>249.38271791100001</v>
      </c>
      <c r="E41" s="173">
        <v>266.533277107</v>
      </c>
      <c r="F41" s="173">
        <v>237.14232568400001</v>
      </c>
      <c r="G41" s="173">
        <v>322.447142488</v>
      </c>
      <c r="H41" s="346"/>
      <c r="I41"/>
      <c r="J41"/>
      <c r="K41"/>
    </row>
    <row r="42" spans="1:11" ht="15" customHeight="1" x14ac:dyDescent="0.25">
      <c r="A42" s="566"/>
      <c r="B42" s="175" t="s">
        <v>258</v>
      </c>
      <c r="C42" s="173">
        <v>161.10600808500001</v>
      </c>
      <c r="D42" s="173">
        <v>40.896783210999999</v>
      </c>
      <c r="E42" s="173">
        <v>26.383338081999998</v>
      </c>
      <c r="F42" s="173">
        <v>24.8391938</v>
      </c>
      <c r="G42" s="173">
        <v>139.33542733800002</v>
      </c>
      <c r="H42" s="346"/>
      <c r="I42"/>
      <c r="J42"/>
      <c r="K42"/>
    </row>
    <row r="43" spans="1:11" ht="15" customHeight="1" x14ac:dyDescent="0.25">
      <c r="A43" s="566"/>
      <c r="B43" s="175" t="s">
        <v>259</v>
      </c>
      <c r="C43" s="173">
        <v>4664.2764445430003</v>
      </c>
      <c r="D43" s="173">
        <v>4310.032134602</v>
      </c>
      <c r="E43" s="173">
        <v>4217.6232521889997</v>
      </c>
      <c r="F43" s="173">
        <v>3990.2453960440002</v>
      </c>
      <c r="G43" s="173">
        <v>3189.9414134600001</v>
      </c>
      <c r="H43" s="346"/>
      <c r="I43"/>
      <c r="J43"/>
      <c r="K43"/>
    </row>
    <row r="44" spans="1:11" ht="15" customHeight="1" x14ac:dyDescent="0.25">
      <c r="A44" s="566"/>
      <c r="B44" s="42" t="s">
        <v>391</v>
      </c>
      <c r="C44" s="173">
        <v>13945.948621115</v>
      </c>
      <c r="D44" s="173">
        <v>11598.445428951001</v>
      </c>
      <c r="E44" s="173">
        <v>12974.961634528001</v>
      </c>
      <c r="F44" s="173">
        <v>12841.087325337001</v>
      </c>
      <c r="G44" s="173">
        <v>10331.408428398001</v>
      </c>
      <c r="H44" s="342"/>
      <c r="I44"/>
      <c r="J44"/>
      <c r="K44"/>
    </row>
    <row r="45" spans="1:11" x14ac:dyDescent="0.25">
      <c r="A45" s="566"/>
      <c r="B45" s="175" t="s">
        <v>261</v>
      </c>
      <c r="C45" s="173">
        <v>7011.3539881450006</v>
      </c>
      <c r="D45" s="173">
        <v>5239.6306677840003</v>
      </c>
      <c r="E45" s="173">
        <v>6995.3517096549995</v>
      </c>
      <c r="F45" s="173">
        <v>7264.7059306840001</v>
      </c>
      <c r="G45" s="173">
        <v>5661.1775257680001</v>
      </c>
      <c r="H45" s="346"/>
      <c r="I45"/>
      <c r="J45"/>
      <c r="K45"/>
    </row>
    <row r="46" spans="1:11" x14ac:dyDescent="0.25">
      <c r="A46" s="566"/>
      <c r="B46" s="175" t="s">
        <v>262</v>
      </c>
      <c r="C46" s="173">
        <v>3066.7761968149998</v>
      </c>
      <c r="D46" s="173">
        <v>2873.516486811</v>
      </c>
      <c r="E46" s="173">
        <v>2735.7306148379998</v>
      </c>
      <c r="F46" s="173">
        <v>2672.2254346230002</v>
      </c>
      <c r="G46" s="173">
        <v>2271.7819614610003</v>
      </c>
      <c r="H46" s="346"/>
      <c r="I46"/>
      <c r="J46"/>
      <c r="K46"/>
    </row>
    <row r="47" spans="1:11" x14ac:dyDescent="0.25">
      <c r="A47" s="566"/>
      <c r="B47" s="175" t="s">
        <v>263</v>
      </c>
      <c r="C47" s="173">
        <v>1522.3160479850001</v>
      </c>
      <c r="D47" s="173">
        <v>1511.8304733470002</v>
      </c>
      <c r="E47" s="173">
        <v>1471.1918478770001</v>
      </c>
      <c r="F47" s="173">
        <v>1353.4200521079999</v>
      </c>
      <c r="G47" s="173">
        <v>1345.3321907850002</v>
      </c>
      <c r="H47" s="346"/>
      <c r="I47"/>
      <c r="J47"/>
      <c r="K47"/>
    </row>
    <row r="48" spans="1:11" x14ac:dyDescent="0.25">
      <c r="A48" s="566"/>
      <c r="B48" s="175" t="s">
        <v>264</v>
      </c>
      <c r="C48" s="173">
        <v>1261.1919917739999</v>
      </c>
      <c r="D48" s="173">
        <v>1225.9221092370001</v>
      </c>
      <c r="E48" s="173">
        <v>1206.320560114</v>
      </c>
      <c r="F48" s="173">
        <v>974.74893913799997</v>
      </c>
      <c r="G48" s="173">
        <v>751.08947002600007</v>
      </c>
      <c r="H48" s="346"/>
      <c r="I48"/>
      <c r="J48"/>
      <c r="K48"/>
    </row>
    <row r="49" spans="1:11" x14ac:dyDescent="0.25">
      <c r="A49" s="566"/>
      <c r="B49" s="175" t="s">
        <v>265</v>
      </c>
      <c r="C49" s="173">
        <v>61.144308015</v>
      </c>
      <c r="D49" s="173">
        <v>37.794487384</v>
      </c>
      <c r="E49" s="173">
        <v>35.913829826000004</v>
      </c>
      <c r="F49" s="173">
        <v>35.284095502999996</v>
      </c>
      <c r="G49" s="173">
        <v>37.138092137999998</v>
      </c>
      <c r="H49" s="346"/>
      <c r="I49"/>
      <c r="J49"/>
      <c r="K49"/>
    </row>
    <row r="50" spans="1:11" x14ac:dyDescent="0.25">
      <c r="A50" s="570"/>
      <c r="B50" s="175" t="s">
        <v>266</v>
      </c>
      <c r="C50" s="173">
        <v>1023.166088381</v>
      </c>
      <c r="D50" s="173">
        <v>709.75120438799991</v>
      </c>
      <c r="E50" s="173">
        <v>530.45307221799999</v>
      </c>
      <c r="F50" s="173">
        <v>540.70287328099994</v>
      </c>
      <c r="G50" s="173">
        <v>264.88918821999999</v>
      </c>
      <c r="H50" s="346"/>
      <c r="I50"/>
      <c r="J50"/>
      <c r="K50"/>
    </row>
    <row r="51" spans="1:11" ht="33" x14ac:dyDescent="0.25">
      <c r="A51" s="59" t="s">
        <v>392</v>
      </c>
      <c r="B51" s="42" t="s">
        <v>388</v>
      </c>
      <c r="C51" s="173">
        <v>13333.434736346999</v>
      </c>
      <c r="D51" s="173">
        <v>10389.141372679002</v>
      </c>
      <c r="E51" s="173">
        <v>11901.12045755</v>
      </c>
      <c r="F51" s="173">
        <v>11840.507190144001</v>
      </c>
      <c r="G51" s="173">
        <v>9663.1178028209997</v>
      </c>
      <c r="H51" s="342" t="s">
        <v>244</v>
      </c>
      <c r="I51"/>
      <c r="J51"/>
      <c r="K51"/>
    </row>
    <row r="52" spans="1:11" ht="33" x14ac:dyDescent="0.25">
      <c r="A52" s="44" t="s">
        <v>395</v>
      </c>
      <c r="B52" s="42" t="s">
        <v>396</v>
      </c>
      <c r="C52" s="173">
        <v>32325.026953439999</v>
      </c>
      <c r="D52" s="173">
        <v>25561.572290178003</v>
      </c>
      <c r="E52" s="173">
        <v>27875.409940592999</v>
      </c>
      <c r="F52" s="173">
        <v>28228.200307358999</v>
      </c>
      <c r="G52" s="173">
        <v>26379.730995443002</v>
      </c>
      <c r="H52" s="346"/>
      <c r="I52"/>
      <c r="J52"/>
      <c r="K52"/>
    </row>
    <row r="53" spans="1:11" ht="33" x14ac:dyDescent="0.25">
      <c r="A53" s="44" t="s">
        <v>399</v>
      </c>
      <c r="B53" s="42" t="s">
        <v>396</v>
      </c>
      <c r="C53" s="173">
        <v>32937.540838207999</v>
      </c>
      <c r="D53" s="173">
        <v>26770.876346449</v>
      </c>
      <c r="E53" s="173">
        <v>28949.251117571999</v>
      </c>
      <c r="F53" s="173">
        <v>29228.780442552001</v>
      </c>
      <c r="G53" s="173">
        <v>27048.021621020001</v>
      </c>
      <c r="H53" s="346"/>
      <c r="I53"/>
      <c r="J53"/>
      <c r="K53"/>
    </row>
    <row r="54" spans="1:11" ht="33" x14ac:dyDescent="0.25">
      <c r="A54" s="42" t="s">
        <v>402</v>
      </c>
      <c r="B54" s="42" t="s">
        <v>396</v>
      </c>
      <c r="C54" s="218">
        <v>520716.13766884315</v>
      </c>
      <c r="D54" s="218">
        <v>414021.1259209956</v>
      </c>
      <c r="E54" s="218">
        <v>412898.29716757318</v>
      </c>
      <c r="F54" s="218">
        <v>368260.84890976385</v>
      </c>
      <c r="G54" s="218">
        <v>405760.13879395032</v>
      </c>
      <c r="H54" s="347"/>
      <c r="I54"/>
      <c r="J54"/>
      <c r="K54"/>
    </row>
    <row r="55" spans="1:11" ht="33" x14ac:dyDescent="0.25">
      <c r="A55" s="42" t="s">
        <v>404</v>
      </c>
      <c r="B55" s="42" t="s">
        <v>396</v>
      </c>
      <c r="C55" s="218">
        <v>17803.12330721497</v>
      </c>
      <c r="D55" s="218">
        <v>12422.850028113993</v>
      </c>
      <c r="E55" s="218">
        <v>14094.548655125694</v>
      </c>
      <c r="F55" s="218">
        <v>14651.842517694698</v>
      </c>
      <c r="G55" s="218">
        <v>16544.196471800977</v>
      </c>
      <c r="H55" s="347"/>
      <c r="I55"/>
      <c r="J55"/>
      <c r="K55"/>
    </row>
    <row r="56" spans="1:11" ht="30" x14ac:dyDescent="0.25">
      <c r="A56" s="42" t="s">
        <v>406</v>
      </c>
      <c r="B56" s="42" t="s">
        <v>398</v>
      </c>
      <c r="C56" s="218">
        <v>2327.1645851802673</v>
      </c>
      <c r="D56" s="218">
        <v>1426.1963686605752</v>
      </c>
      <c r="E56" s="218">
        <v>2033.9154735726606</v>
      </c>
      <c r="F56" s="218">
        <v>1660.0058797417478</v>
      </c>
      <c r="G56" s="218">
        <v>1925.9453313728411</v>
      </c>
      <c r="H56" s="347"/>
      <c r="I56"/>
      <c r="J56"/>
      <c r="K56"/>
    </row>
    <row r="57" spans="1:11" ht="15" customHeight="1" x14ac:dyDescent="0.25">
      <c r="A57" s="42" t="s">
        <v>408</v>
      </c>
      <c r="B57" s="42" t="s">
        <v>396</v>
      </c>
      <c r="C57" s="218">
        <v>5088.8542478525897</v>
      </c>
      <c r="D57" s="218">
        <v>4237.8506441871641</v>
      </c>
      <c r="E57" s="218">
        <v>4611.0345614459538</v>
      </c>
      <c r="F57" s="218">
        <v>4693.3043263998652</v>
      </c>
      <c r="G57" s="218">
        <v>4525.7754099072145</v>
      </c>
      <c r="H57" s="342" t="s">
        <v>244</v>
      </c>
      <c r="I57"/>
      <c r="J57"/>
      <c r="K57"/>
    </row>
    <row r="58" spans="1:11" ht="15" customHeight="1" x14ac:dyDescent="0.25">
      <c r="A58" s="236" t="s">
        <v>410</v>
      </c>
      <c r="B58" s="42" t="s">
        <v>396</v>
      </c>
      <c r="C58" s="218">
        <v>1972.41028987762</v>
      </c>
      <c r="D58" s="218">
        <v>1458.3185535260166</v>
      </c>
      <c r="E58" s="218">
        <v>1545.6167299653587</v>
      </c>
      <c r="F58" s="218">
        <v>1600.7691964999556</v>
      </c>
      <c r="G58" s="218">
        <v>1890.070264279849</v>
      </c>
      <c r="H58" s="347"/>
      <c r="I58"/>
      <c r="J58"/>
      <c r="K58"/>
    </row>
    <row r="59" spans="1:11" ht="15" customHeight="1" x14ac:dyDescent="0.25">
      <c r="A59" s="236" t="s">
        <v>411</v>
      </c>
      <c r="B59" s="42" t="s">
        <v>396</v>
      </c>
      <c r="C59" s="218">
        <v>2023.6025610323647</v>
      </c>
      <c r="D59" s="218">
        <v>1881.6295186320592</v>
      </c>
      <c r="E59" s="218">
        <v>1988.8403277599925</v>
      </c>
      <c r="F59" s="218">
        <v>1936.2856945565463</v>
      </c>
      <c r="G59" s="218">
        <v>1695.4171309036351</v>
      </c>
      <c r="H59" s="347"/>
      <c r="I59"/>
      <c r="J59"/>
      <c r="K59"/>
    </row>
    <row r="60" spans="1:11" ht="33" x14ac:dyDescent="0.25">
      <c r="A60" s="236" t="s">
        <v>412</v>
      </c>
      <c r="B60" s="42" t="s">
        <v>396</v>
      </c>
      <c r="C60" s="218">
        <v>1092.8413969426033</v>
      </c>
      <c r="D60" s="218">
        <v>897.90257202908947</v>
      </c>
      <c r="E60" s="218">
        <v>1076.5775037206033</v>
      </c>
      <c r="F60" s="218">
        <v>1089.6008908878132</v>
      </c>
      <c r="G60" s="218">
        <v>886.26260830897468</v>
      </c>
      <c r="H60" s="347"/>
      <c r="I60"/>
      <c r="J60"/>
      <c r="K60"/>
    </row>
    <row r="61" spans="1:11" ht="45" x14ac:dyDescent="0.25">
      <c r="A61" s="236" t="s">
        <v>413</v>
      </c>
      <c r="B61" s="42" t="s">
        <v>396</v>
      </c>
      <c r="C61" s="218">
        <v>0</v>
      </c>
      <c r="D61" s="218">
        <v>0</v>
      </c>
      <c r="E61" s="218">
        <v>0</v>
      </c>
      <c r="F61" s="218">
        <v>66.638415819301713</v>
      </c>
      <c r="G61" s="218">
        <v>54.025406414757704</v>
      </c>
      <c r="H61" s="347"/>
      <c r="I61"/>
      <c r="J61"/>
      <c r="K61"/>
    </row>
    <row r="62" spans="1:11" ht="33" x14ac:dyDescent="0.25">
      <c r="A62" s="42" t="s">
        <v>414</v>
      </c>
      <c r="B62" s="42" t="s">
        <v>396</v>
      </c>
      <c r="C62" s="218">
        <v>5386.9149916290598</v>
      </c>
      <c r="D62" s="218">
        <v>4966.6487479587131</v>
      </c>
      <c r="E62" s="218">
        <v>5087.0886867353456</v>
      </c>
      <c r="F62" s="218">
        <v>4957.3121620086758</v>
      </c>
      <c r="G62" s="218">
        <v>5385.6187356295641</v>
      </c>
      <c r="H62" s="347"/>
      <c r="I62"/>
      <c r="J62"/>
      <c r="K62"/>
    </row>
    <row r="63" spans="1:11" ht="33" x14ac:dyDescent="0.25">
      <c r="A63" s="42" t="s">
        <v>416</v>
      </c>
      <c r="B63" s="42" t="s">
        <v>396</v>
      </c>
      <c r="C63" s="218">
        <v>3432.2078340247053</v>
      </c>
      <c r="D63" s="218">
        <v>2843.7947681167452</v>
      </c>
      <c r="E63" s="218">
        <v>3092.304053615539</v>
      </c>
      <c r="F63" s="218">
        <v>2582.9615736327823</v>
      </c>
      <c r="G63" s="218">
        <v>2527.9611642183863</v>
      </c>
      <c r="H63" s="347"/>
      <c r="I63"/>
      <c r="J63"/>
      <c r="K63"/>
    </row>
    <row r="64" spans="1:11" ht="33" x14ac:dyDescent="0.25">
      <c r="A64" s="42" t="s">
        <v>418</v>
      </c>
      <c r="B64" s="42" t="s">
        <v>396</v>
      </c>
      <c r="C64" s="218">
        <v>20326.893197817295</v>
      </c>
      <c r="D64" s="218">
        <v>19132.291344260149</v>
      </c>
      <c r="E64" s="218">
        <v>20205.961286535075</v>
      </c>
      <c r="F64" s="218">
        <v>16426.122195539727</v>
      </c>
      <c r="G64" s="218">
        <v>17463.598653443758</v>
      </c>
      <c r="H64" s="347"/>
      <c r="I64"/>
      <c r="J64"/>
      <c r="K64"/>
    </row>
    <row r="65" spans="1:11" ht="33" x14ac:dyDescent="0.25">
      <c r="A65" s="42" t="s">
        <v>420</v>
      </c>
      <c r="B65" s="42" t="s">
        <v>396</v>
      </c>
      <c r="C65" s="218">
        <v>431065.04658322426</v>
      </c>
      <c r="D65" s="218">
        <v>334032.68433129828</v>
      </c>
      <c r="E65" s="218">
        <v>330987.75557394291</v>
      </c>
      <c r="F65" s="218">
        <v>293403.07846724632</v>
      </c>
      <c r="G65" s="218">
        <v>324404.58824377757</v>
      </c>
      <c r="H65" s="342" t="s">
        <v>244</v>
      </c>
      <c r="I65"/>
      <c r="J65"/>
      <c r="K65"/>
    </row>
    <row r="66" spans="1:11" ht="33" x14ac:dyDescent="0.25">
      <c r="A66" s="42" t="s">
        <v>422</v>
      </c>
      <c r="B66" s="48" t="s">
        <v>396</v>
      </c>
      <c r="C66" s="218">
        <v>35285.932921899999</v>
      </c>
      <c r="D66" s="218">
        <v>34958.80968839999</v>
      </c>
      <c r="E66" s="218">
        <v>32785.688876599997</v>
      </c>
      <c r="F66" s="218">
        <v>29886.221787500002</v>
      </c>
      <c r="G66" s="218">
        <v>32982.454783800007</v>
      </c>
      <c r="H66" s="347"/>
      <c r="I66"/>
      <c r="J66"/>
      <c r="K66"/>
    </row>
    <row r="67" spans="1:11" x14ac:dyDescent="0.25">
      <c r="A67" s="63" t="s">
        <v>424</v>
      </c>
      <c r="B67" s="42"/>
      <c r="C67" s="348"/>
      <c r="D67" s="348"/>
      <c r="E67" s="348"/>
      <c r="F67" s="348"/>
      <c r="G67" s="349"/>
      <c r="H67" s="350"/>
      <c r="I67"/>
      <c r="J67"/>
      <c r="K67"/>
    </row>
    <row r="68" spans="1:11" ht="45" x14ac:dyDescent="0.25">
      <c r="A68" s="42" t="s">
        <v>427</v>
      </c>
      <c r="B68" s="59" t="s">
        <v>428</v>
      </c>
      <c r="C68" s="351">
        <v>4.3</v>
      </c>
      <c r="D68" s="351">
        <v>4.5</v>
      </c>
      <c r="E68" s="351">
        <v>4.5</v>
      </c>
      <c r="F68" s="351">
        <v>5</v>
      </c>
      <c r="G68" s="351">
        <v>4.9000000000000004</v>
      </c>
      <c r="H68" s="352"/>
      <c r="I68"/>
      <c r="J68"/>
      <c r="K68"/>
    </row>
    <row r="69" spans="1:11" ht="52.5" customHeight="1" x14ac:dyDescent="0.25">
      <c r="A69" s="42" t="s">
        <v>430</v>
      </c>
      <c r="B69" s="42" t="s">
        <v>428</v>
      </c>
      <c r="C69" s="351">
        <v>7.7</v>
      </c>
      <c r="D69" s="351">
        <v>6.2</v>
      </c>
      <c r="E69" s="351">
        <v>7.5</v>
      </c>
      <c r="F69" s="351">
        <v>7.9</v>
      </c>
      <c r="G69" s="351">
        <v>6.4</v>
      </c>
      <c r="H69" s="352"/>
      <c r="I69"/>
      <c r="J69"/>
      <c r="K69"/>
    </row>
    <row r="70" spans="1:11" ht="51" customHeight="1" x14ac:dyDescent="0.25">
      <c r="A70" s="42" t="s">
        <v>431</v>
      </c>
      <c r="B70" s="42" t="s">
        <v>428</v>
      </c>
      <c r="C70" s="351">
        <v>4.5999999999999996</v>
      </c>
      <c r="D70" s="351">
        <v>5.2</v>
      </c>
      <c r="E70" s="351">
        <v>4.8</v>
      </c>
      <c r="F70" s="351">
        <v>4.8</v>
      </c>
      <c r="G70" s="351">
        <v>4.7</v>
      </c>
      <c r="H70" s="352"/>
      <c r="I70"/>
      <c r="J70"/>
      <c r="K70"/>
    </row>
    <row r="71" spans="1:11" ht="63.75" customHeight="1" x14ac:dyDescent="0.25">
      <c r="A71" s="42" t="s">
        <v>432</v>
      </c>
      <c r="B71" s="42" t="s">
        <v>433</v>
      </c>
      <c r="C71" s="351">
        <v>6.3</v>
      </c>
      <c r="D71" s="351">
        <v>8.1999999999999993</v>
      </c>
      <c r="E71" s="351">
        <v>0</v>
      </c>
      <c r="F71" s="351">
        <v>0</v>
      </c>
      <c r="G71" s="351">
        <v>6.5</v>
      </c>
      <c r="H71" s="352"/>
      <c r="I71"/>
      <c r="J71"/>
      <c r="K71"/>
    </row>
    <row r="72" spans="1:11" ht="20.25" customHeight="1" x14ac:dyDescent="0.25">
      <c r="A72" s="636"/>
      <c r="B72" s="636"/>
      <c r="C72" s="636"/>
      <c r="D72" s="636"/>
      <c r="E72" s="636"/>
      <c r="F72" s="636"/>
      <c r="G72" s="636"/>
      <c r="H72" s="636"/>
      <c r="I72"/>
    </row>
    <row r="73" spans="1:11" ht="15.75" x14ac:dyDescent="0.25">
      <c r="A73" s="338" t="s">
        <v>739</v>
      </c>
      <c r="B73" s="31"/>
      <c r="C73" s="31"/>
      <c r="D73" s="31"/>
      <c r="E73" s="31"/>
      <c r="F73" s="31"/>
      <c r="G73" s="31"/>
      <c r="H73" s="353"/>
      <c r="I73"/>
    </row>
    <row r="74" spans="1:11" x14ac:dyDescent="0.25">
      <c r="A74" s="354" t="s">
        <v>740</v>
      </c>
      <c r="B74" s="355" t="s">
        <v>741</v>
      </c>
      <c r="C74" s="355" t="s">
        <v>742</v>
      </c>
      <c r="D74" s="355" t="s">
        <v>743</v>
      </c>
      <c r="E74" s="356" t="s">
        <v>744</v>
      </c>
      <c r="F74" s="637" t="s">
        <v>745</v>
      </c>
      <c r="G74" s="638"/>
      <c r="H74" s="639"/>
      <c r="I74"/>
    </row>
    <row r="75" spans="1:11" ht="15" customHeight="1" x14ac:dyDescent="0.25">
      <c r="A75" s="357" t="s">
        <v>746</v>
      </c>
      <c r="B75" s="358" t="s">
        <v>747</v>
      </c>
      <c r="C75" s="359" t="s">
        <v>748</v>
      </c>
      <c r="D75" s="360">
        <v>56100</v>
      </c>
      <c r="E75" s="357" t="s">
        <v>749</v>
      </c>
      <c r="F75" s="640" t="s">
        <v>750</v>
      </c>
      <c r="G75" s="641"/>
      <c r="H75" s="642"/>
      <c r="I75"/>
    </row>
    <row r="76" spans="1:11" x14ac:dyDescent="0.25">
      <c r="A76" s="357" t="s">
        <v>746</v>
      </c>
      <c r="B76" s="361" t="s">
        <v>747</v>
      </c>
      <c r="C76" s="357" t="s">
        <v>751</v>
      </c>
      <c r="D76" s="362">
        <v>5</v>
      </c>
      <c r="E76" s="357" t="s">
        <v>749</v>
      </c>
      <c r="F76" s="627"/>
      <c r="G76" s="628"/>
      <c r="H76" s="629"/>
      <c r="I76"/>
    </row>
    <row r="77" spans="1:11" x14ac:dyDescent="0.25">
      <c r="A77" s="357" t="s">
        <v>746</v>
      </c>
      <c r="B77" s="361" t="s">
        <v>747</v>
      </c>
      <c r="C77" s="357" t="s">
        <v>752</v>
      </c>
      <c r="D77" s="362">
        <v>0.1</v>
      </c>
      <c r="E77" s="357" t="s">
        <v>749</v>
      </c>
      <c r="F77" s="627"/>
      <c r="G77" s="628"/>
      <c r="H77" s="629"/>
      <c r="I77"/>
    </row>
    <row r="78" spans="1:11" x14ac:dyDescent="0.25">
      <c r="A78" s="357" t="s">
        <v>746</v>
      </c>
      <c r="B78" s="361" t="s">
        <v>753</v>
      </c>
      <c r="C78" s="357" t="s">
        <v>748</v>
      </c>
      <c r="D78" s="360">
        <v>3126.96</v>
      </c>
      <c r="E78" s="357" t="s">
        <v>754</v>
      </c>
      <c r="F78" s="627"/>
      <c r="G78" s="628"/>
      <c r="H78" s="629"/>
      <c r="I78"/>
    </row>
    <row r="79" spans="1:11" x14ac:dyDescent="0.25">
      <c r="A79" s="357" t="s">
        <v>746</v>
      </c>
      <c r="B79" s="361" t="s">
        <v>753</v>
      </c>
      <c r="C79" s="357" t="s">
        <v>751</v>
      </c>
      <c r="D79" s="362">
        <v>0.40400000000000003</v>
      </c>
      <c r="E79" s="357" t="s">
        <v>754</v>
      </c>
      <c r="F79" s="627"/>
      <c r="G79" s="628"/>
      <c r="H79" s="629"/>
      <c r="I79"/>
    </row>
    <row r="80" spans="1:11" x14ac:dyDescent="0.25">
      <c r="A80" s="357" t="s">
        <v>746</v>
      </c>
      <c r="B80" s="361" t="s">
        <v>753</v>
      </c>
      <c r="C80" s="357" t="s">
        <v>752</v>
      </c>
      <c r="D80" s="362">
        <v>2.4240000000000001E-2</v>
      </c>
      <c r="E80" s="357" t="s">
        <v>754</v>
      </c>
      <c r="F80" s="627"/>
      <c r="G80" s="628"/>
      <c r="H80" s="629"/>
      <c r="I80"/>
    </row>
    <row r="81" spans="1:9" x14ac:dyDescent="0.25">
      <c r="A81" s="357" t="s">
        <v>746</v>
      </c>
      <c r="B81" s="361" t="s">
        <v>755</v>
      </c>
      <c r="C81" s="357" t="s">
        <v>748</v>
      </c>
      <c r="D81" s="360">
        <v>2624.61</v>
      </c>
      <c r="E81" s="357" t="s">
        <v>754</v>
      </c>
      <c r="F81" s="627"/>
      <c r="G81" s="628"/>
      <c r="H81" s="629"/>
      <c r="I81"/>
    </row>
    <row r="82" spans="1:9" x14ac:dyDescent="0.25">
      <c r="A82" s="357" t="s">
        <v>746</v>
      </c>
      <c r="B82" s="361" t="s">
        <v>755</v>
      </c>
      <c r="C82" s="357" t="s">
        <v>751</v>
      </c>
      <c r="D82" s="362">
        <v>0.26700000000000002</v>
      </c>
      <c r="E82" s="357" t="s">
        <v>754</v>
      </c>
      <c r="F82" s="627"/>
      <c r="G82" s="628"/>
      <c r="H82" s="629"/>
      <c r="I82"/>
    </row>
    <row r="83" spans="1:9" x14ac:dyDescent="0.25">
      <c r="A83" s="357" t="s">
        <v>746</v>
      </c>
      <c r="B83" s="361" t="s">
        <v>755</v>
      </c>
      <c r="C83" s="357" t="s">
        <v>752</v>
      </c>
      <c r="D83" s="362">
        <v>4.0050000000000002E-2</v>
      </c>
      <c r="E83" s="357" t="s">
        <v>754</v>
      </c>
      <c r="F83" s="627"/>
      <c r="G83" s="628"/>
      <c r="H83" s="629"/>
      <c r="I83"/>
    </row>
    <row r="84" spans="1:9" x14ac:dyDescent="0.25">
      <c r="A84" s="357" t="s">
        <v>746</v>
      </c>
      <c r="B84" s="361" t="s">
        <v>756</v>
      </c>
      <c r="C84" s="357" t="s">
        <v>748</v>
      </c>
      <c r="D84" s="360">
        <v>3017.4</v>
      </c>
      <c r="E84" s="357" t="s">
        <v>754</v>
      </c>
      <c r="F84" s="627"/>
      <c r="G84" s="628"/>
      <c r="H84" s="629"/>
      <c r="I84"/>
    </row>
    <row r="85" spans="1:9" x14ac:dyDescent="0.25">
      <c r="A85" s="357" t="s">
        <v>746</v>
      </c>
      <c r="B85" s="361" t="s">
        <v>756</v>
      </c>
      <c r="C85" s="357" t="s">
        <v>751</v>
      </c>
      <c r="D85" s="362">
        <v>0.28199999999999997</v>
      </c>
      <c r="E85" s="357" t="s">
        <v>754</v>
      </c>
      <c r="F85" s="627"/>
      <c r="G85" s="628"/>
      <c r="H85" s="629"/>
      <c r="I85"/>
    </row>
    <row r="86" spans="1:9" x14ac:dyDescent="0.25">
      <c r="A86" s="357" t="s">
        <v>746</v>
      </c>
      <c r="B86" s="361" t="s">
        <v>756</v>
      </c>
      <c r="C86" s="357" t="s">
        <v>752</v>
      </c>
      <c r="D86" s="362">
        <v>4.2299999999999997E-2</v>
      </c>
      <c r="E86" s="357" t="s">
        <v>754</v>
      </c>
      <c r="F86" s="627"/>
      <c r="G86" s="628"/>
      <c r="H86" s="629"/>
    </row>
    <row r="87" spans="1:9" x14ac:dyDescent="0.25">
      <c r="A87" s="357" t="s">
        <v>746</v>
      </c>
      <c r="B87" s="361" t="s">
        <v>757</v>
      </c>
      <c r="C87" s="357" t="s">
        <v>748</v>
      </c>
      <c r="D87" s="362">
        <v>2.5193759999999998</v>
      </c>
      <c r="E87" s="357" t="s">
        <v>758</v>
      </c>
      <c r="F87" s="627"/>
      <c r="G87" s="628"/>
      <c r="H87" s="629"/>
    </row>
    <row r="88" spans="1:9" x14ac:dyDescent="0.25">
      <c r="A88" s="357" t="s">
        <v>746</v>
      </c>
      <c r="B88" s="361" t="s">
        <v>757</v>
      </c>
      <c r="C88" s="357" t="s">
        <v>751</v>
      </c>
      <c r="D88" s="362">
        <v>3.5040000000000001E-4</v>
      </c>
      <c r="E88" s="357" t="s">
        <v>758</v>
      </c>
      <c r="F88" s="627"/>
      <c r="G88" s="628"/>
      <c r="H88" s="629"/>
    </row>
    <row r="89" spans="1:9" x14ac:dyDescent="0.25">
      <c r="A89" s="357" t="s">
        <v>746</v>
      </c>
      <c r="B89" s="361" t="s">
        <v>757</v>
      </c>
      <c r="C89" s="357" t="s">
        <v>752</v>
      </c>
      <c r="D89" s="362">
        <v>2.1024000000000001E-5</v>
      </c>
      <c r="E89" s="357" t="s">
        <v>758</v>
      </c>
      <c r="F89" s="627"/>
      <c r="G89" s="628"/>
      <c r="H89" s="629"/>
    </row>
    <row r="90" spans="1:9" x14ac:dyDescent="0.25">
      <c r="A90" s="357" t="s">
        <v>746</v>
      </c>
      <c r="B90" s="361" t="s">
        <v>759</v>
      </c>
      <c r="C90" s="357" t="s">
        <v>748</v>
      </c>
      <c r="D90" s="362">
        <v>2.6764920000000001</v>
      </c>
      <c r="E90" s="357" t="s">
        <v>758</v>
      </c>
      <c r="F90" s="627"/>
      <c r="G90" s="628"/>
      <c r="H90" s="629"/>
    </row>
    <row r="91" spans="1:9" x14ac:dyDescent="0.25">
      <c r="A91" s="357" t="s">
        <v>746</v>
      </c>
      <c r="B91" s="361" t="s">
        <v>759</v>
      </c>
      <c r="C91" s="357" t="s">
        <v>751</v>
      </c>
      <c r="D91" s="362">
        <v>3.612E-4</v>
      </c>
      <c r="E91" s="357" t="s">
        <v>758</v>
      </c>
      <c r="F91" s="627"/>
      <c r="G91" s="628"/>
      <c r="H91" s="629"/>
    </row>
    <row r="92" spans="1:9" x14ac:dyDescent="0.25">
      <c r="A92" s="357" t="s">
        <v>746</v>
      </c>
      <c r="B92" s="361" t="s">
        <v>759</v>
      </c>
      <c r="C92" s="357" t="s">
        <v>752</v>
      </c>
      <c r="D92" s="362">
        <v>2.1671999999999999E-5</v>
      </c>
      <c r="E92" s="357" t="s">
        <v>758</v>
      </c>
      <c r="F92" s="627"/>
      <c r="G92" s="628"/>
      <c r="H92" s="629"/>
    </row>
    <row r="93" spans="1:9" x14ac:dyDescent="0.25">
      <c r="A93" s="357" t="s">
        <v>746</v>
      </c>
      <c r="B93" s="361" t="s">
        <v>760</v>
      </c>
      <c r="C93" s="357" t="s">
        <v>748</v>
      </c>
      <c r="D93" s="362">
        <v>2.5116244999999999</v>
      </c>
      <c r="E93" s="357" t="s">
        <v>758</v>
      </c>
      <c r="F93" s="627"/>
      <c r="G93" s="628"/>
      <c r="H93" s="629"/>
    </row>
    <row r="94" spans="1:9" x14ac:dyDescent="0.25">
      <c r="A94" s="357" t="s">
        <v>746</v>
      </c>
      <c r="B94" s="361" t="s">
        <v>760</v>
      </c>
      <c r="C94" s="357" t="s">
        <v>751</v>
      </c>
      <c r="D94" s="362">
        <v>3.4265000000000001E-4</v>
      </c>
      <c r="E94" s="357" t="s">
        <v>758</v>
      </c>
      <c r="F94" s="627"/>
      <c r="G94" s="628"/>
      <c r="H94" s="629"/>
    </row>
    <row r="95" spans="1:9" x14ac:dyDescent="0.25">
      <c r="A95" s="357" t="s">
        <v>746</v>
      </c>
      <c r="B95" s="361" t="s">
        <v>760</v>
      </c>
      <c r="C95" s="357" t="s">
        <v>752</v>
      </c>
      <c r="D95" s="362">
        <v>2.0559000000000001E-5</v>
      </c>
      <c r="E95" s="357" t="s">
        <v>758</v>
      </c>
      <c r="F95" s="627"/>
      <c r="G95" s="628"/>
      <c r="H95" s="629"/>
    </row>
    <row r="96" spans="1:9" x14ac:dyDescent="0.25">
      <c r="A96" s="357" t="s">
        <v>746</v>
      </c>
      <c r="B96" s="361" t="s">
        <v>761</v>
      </c>
      <c r="C96" s="357" t="s">
        <v>748</v>
      </c>
      <c r="D96" s="362">
        <v>1.6117002</v>
      </c>
      <c r="E96" s="357" t="s">
        <v>758</v>
      </c>
      <c r="F96" s="627"/>
      <c r="G96" s="628"/>
      <c r="H96" s="629"/>
    </row>
    <row r="97" spans="1:8" x14ac:dyDescent="0.25">
      <c r="A97" s="357" t="s">
        <v>746</v>
      </c>
      <c r="B97" s="361" t="s">
        <v>761</v>
      </c>
      <c r="C97" s="357" t="s">
        <v>751</v>
      </c>
      <c r="D97" s="362">
        <v>1.2771000000000001E-4</v>
      </c>
      <c r="E97" s="357" t="s">
        <v>758</v>
      </c>
      <c r="F97" s="627"/>
      <c r="G97" s="628"/>
      <c r="H97" s="629"/>
    </row>
    <row r="98" spans="1:8" x14ac:dyDescent="0.25">
      <c r="A98" s="357" t="s">
        <v>746</v>
      </c>
      <c r="B98" s="361" t="s">
        <v>761</v>
      </c>
      <c r="C98" s="357" t="s">
        <v>752</v>
      </c>
      <c r="D98" s="362">
        <v>2.5500000000000001E-6</v>
      </c>
      <c r="E98" s="357" t="s">
        <v>758</v>
      </c>
      <c r="F98" s="627"/>
      <c r="G98" s="628"/>
      <c r="H98" s="629"/>
    </row>
    <row r="99" spans="1:8" ht="15" customHeight="1" x14ac:dyDescent="0.25">
      <c r="A99" s="357" t="s">
        <v>746</v>
      </c>
      <c r="B99" s="361" t="s">
        <v>762</v>
      </c>
      <c r="C99" s="357" t="s">
        <v>748</v>
      </c>
      <c r="D99" s="362">
        <v>8.5987349910000006</v>
      </c>
      <c r="E99" s="357" t="s">
        <v>763</v>
      </c>
      <c r="F99" s="627" t="s">
        <v>764</v>
      </c>
      <c r="G99" s="628"/>
      <c r="H99" s="629"/>
    </row>
    <row r="100" spans="1:8" ht="30.75" customHeight="1" x14ac:dyDescent="0.25">
      <c r="A100" s="357" t="s">
        <v>746</v>
      </c>
      <c r="B100" s="361" t="s">
        <v>765</v>
      </c>
      <c r="C100" s="357" t="s">
        <v>748</v>
      </c>
      <c r="D100" s="362">
        <v>10.131</v>
      </c>
      <c r="E100" s="357" t="s">
        <v>763</v>
      </c>
      <c r="F100" s="627"/>
      <c r="G100" s="628"/>
      <c r="H100" s="629"/>
    </row>
    <row r="101" spans="1:8" ht="20.25" customHeight="1" x14ac:dyDescent="0.25">
      <c r="A101" s="357" t="s">
        <v>746</v>
      </c>
      <c r="B101" s="361" t="s">
        <v>766</v>
      </c>
      <c r="C101" s="357" t="s">
        <v>748</v>
      </c>
      <c r="D101" s="362">
        <v>11.125</v>
      </c>
      <c r="E101" s="357" t="s">
        <v>763</v>
      </c>
      <c r="F101" s="627"/>
      <c r="G101" s="628"/>
      <c r="H101" s="629"/>
    </row>
    <row r="102" spans="1:8" ht="54.75" customHeight="1" x14ac:dyDescent="0.25">
      <c r="A102" s="357" t="s">
        <v>746</v>
      </c>
      <c r="B102" s="361" t="s">
        <v>767</v>
      </c>
      <c r="C102" s="357" t="s">
        <v>748</v>
      </c>
      <c r="D102" s="362">
        <v>2.8101615569999998</v>
      </c>
      <c r="E102" s="357" t="s">
        <v>768</v>
      </c>
      <c r="F102" s="627" t="s">
        <v>769</v>
      </c>
      <c r="G102" s="628"/>
      <c r="H102" s="629"/>
    </row>
    <row r="103" spans="1:8" ht="36.75" customHeight="1" x14ac:dyDescent="0.25">
      <c r="A103" s="357" t="s">
        <v>746</v>
      </c>
      <c r="B103" s="361" t="s">
        <v>770</v>
      </c>
      <c r="C103" s="357" t="s">
        <v>771</v>
      </c>
      <c r="D103" s="362">
        <v>0.44</v>
      </c>
      <c r="E103" s="357" t="s">
        <v>772</v>
      </c>
      <c r="F103" s="627" t="s">
        <v>773</v>
      </c>
      <c r="G103" s="628"/>
      <c r="H103" s="629"/>
    </row>
    <row r="104" spans="1:8" x14ac:dyDescent="0.25">
      <c r="A104" s="643"/>
      <c r="B104" s="643"/>
      <c r="C104" s="643"/>
      <c r="D104" s="643"/>
      <c r="E104" s="643"/>
      <c r="F104" s="643"/>
      <c r="G104" s="643"/>
      <c r="H104" s="643"/>
    </row>
    <row r="105" spans="1:8" ht="15.75" x14ac:dyDescent="0.25">
      <c r="A105" s="338" t="s">
        <v>774</v>
      </c>
      <c r="B105" s="31"/>
      <c r="C105" s="31"/>
      <c r="D105" s="31"/>
      <c r="E105" s="31"/>
      <c r="F105" s="31"/>
      <c r="G105" s="31"/>
      <c r="H105" s="353"/>
    </row>
    <row r="106" spans="1:8" x14ac:dyDescent="0.25">
      <c r="A106" s="363" t="s">
        <v>740</v>
      </c>
      <c r="B106" s="354" t="s">
        <v>741</v>
      </c>
      <c r="C106" s="354" t="s">
        <v>742</v>
      </c>
      <c r="D106" s="354" t="s">
        <v>743</v>
      </c>
      <c r="E106" s="354" t="s">
        <v>744</v>
      </c>
      <c r="F106" s="637" t="s">
        <v>745</v>
      </c>
      <c r="G106" s="638"/>
      <c r="H106" s="639"/>
    </row>
    <row r="107" spans="1:8" ht="15" customHeight="1" x14ac:dyDescent="0.25">
      <c r="A107" s="357" t="s">
        <v>775</v>
      </c>
      <c r="B107" s="361" t="s">
        <v>776</v>
      </c>
      <c r="C107" s="357" t="s">
        <v>748</v>
      </c>
      <c r="D107" s="364">
        <v>660</v>
      </c>
      <c r="E107" s="365" t="s">
        <v>777</v>
      </c>
      <c r="F107" s="644" t="s">
        <v>778</v>
      </c>
      <c r="G107" s="645"/>
      <c r="H107" s="646"/>
    </row>
    <row r="108" spans="1:8" ht="15" customHeight="1" x14ac:dyDescent="0.25">
      <c r="A108" s="357" t="s">
        <v>775</v>
      </c>
      <c r="B108" s="361" t="s">
        <v>776</v>
      </c>
      <c r="C108" s="357" t="s">
        <v>751</v>
      </c>
      <c r="D108" s="364">
        <v>0.03</v>
      </c>
      <c r="E108" s="365" t="s">
        <v>777</v>
      </c>
      <c r="F108" s="644"/>
      <c r="G108" s="645"/>
      <c r="H108" s="646"/>
    </row>
    <row r="109" spans="1:8" ht="15" customHeight="1" x14ac:dyDescent="0.25">
      <c r="A109" s="357" t="s">
        <v>775</v>
      </c>
      <c r="B109" s="361" t="s">
        <v>776</v>
      </c>
      <c r="C109" s="357" t="s">
        <v>752</v>
      </c>
      <c r="D109" s="364">
        <v>0.01</v>
      </c>
      <c r="E109" s="365" t="s">
        <v>777</v>
      </c>
      <c r="F109" s="644"/>
      <c r="G109" s="645"/>
      <c r="H109" s="646"/>
    </row>
    <row r="110" spans="1:8" x14ac:dyDescent="0.25">
      <c r="A110" s="357" t="s">
        <v>779</v>
      </c>
      <c r="B110" s="361" t="s">
        <v>776</v>
      </c>
      <c r="C110" s="357" t="s">
        <v>748</v>
      </c>
      <c r="D110" s="366">
        <v>290</v>
      </c>
      <c r="E110" s="365" t="s">
        <v>777</v>
      </c>
      <c r="F110" s="644"/>
      <c r="G110" s="645"/>
      <c r="H110" s="646"/>
    </row>
    <row r="111" spans="1:8" x14ac:dyDescent="0.25">
      <c r="A111" s="357" t="s">
        <v>779</v>
      </c>
      <c r="B111" s="361" t="s">
        <v>776</v>
      </c>
      <c r="C111" s="357" t="s">
        <v>751</v>
      </c>
      <c r="D111" s="366">
        <v>0.02</v>
      </c>
      <c r="E111" s="365" t="s">
        <v>777</v>
      </c>
      <c r="F111" s="644"/>
      <c r="G111" s="645"/>
      <c r="H111" s="646"/>
    </row>
    <row r="112" spans="1:8" x14ac:dyDescent="0.25">
      <c r="A112" s="357" t="s">
        <v>779</v>
      </c>
      <c r="B112" s="361" t="s">
        <v>776</v>
      </c>
      <c r="C112" s="357" t="s">
        <v>752</v>
      </c>
      <c r="D112" s="366">
        <v>5.0000000000000001E-3</v>
      </c>
      <c r="E112" s="365" t="s">
        <v>777</v>
      </c>
      <c r="F112" s="644"/>
      <c r="G112" s="645"/>
      <c r="H112" s="646"/>
    </row>
    <row r="113" spans="1:8" x14ac:dyDescent="0.25">
      <c r="A113" s="357" t="s">
        <v>780</v>
      </c>
      <c r="B113" s="361" t="s">
        <v>776</v>
      </c>
      <c r="C113" s="357" t="s">
        <v>748</v>
      </c>
      <c r="D113" s="366">
        <v>1.3</v>
      </c>
      <c r="E113" s="365" t="s">
        <v>777</v>
      </c>
      <c r="F113" s="644"/>
      <c r="G113" s="645"/>
      <c r="H113" s="646"/>
    </row>
    <row r="114" spans="1:8" x14ac:dyDescent="0.25">
      <c r="A114" s="357" t="s">
        <v>780</v>
      </c>
      <c r="B114" s="361" t="s">
        <v>776</v>
      </c>
      <c r="C114" s="357" t="s">
        <v>751</v>
      </c>
      <c r="D114" s="366">
        <v>0</v>
      </c>
      <c r="E114" s="365" t="s">
        <v>777</v>
      </c>
      <c r="F114" s="644"/>
      <c r="G114" s="645"/>
      <c r="H114" s="646"/>
    </row>
    <row r="115" spans="1:8" x14ac:dyDescent="0.25">
      <c r="A115" s="357" t="s">
        <v>780</v>
      </c>
      <c r="B115" s="361" t="s">
        <v>776</v>
      </c>
      <c r="C115" s="357" t="s">
        <v>752</v>
      </c>
      <c r="D115" s="366">
        <v>0</v>
      </c>
      <c r="E115" s="365" t="s">
        <v>777</v>
      </c>
      <c r="F115" s="644"/>
      <c r="G115" s="645"/>
      <c r="H115" s="646"/>
    </row>
    <row r="116" spans="1:8" x14ac:dyDescent="0.25">
      <c r="A116" s="357" t="s">
        <v>781</v>
      </c>
      <c r="B116" s="361" t="s">
        <v>776</v>
      </c>
      <c r="C116" s="357" t="s">
        <v>748</v>
      </c>
      <c r="D116" s="366">
        <v>28</v>
      </c>
      <c r="E116" s="365" t="s">
        <v>777</v>
      </c>
      <c r="F116" s="644"/>
      <c r="G116" s="645"/>
      <c r="H116" s="646"/>
    </row>
    <row r="117" spans="1:8" x14ac:dyDescent="0.25">
      <c r="A117" s="357" t="s">
        <v>781</v>
      </c>
      <c r="B117" s="361" t="s">
        <v>776</v>
      </c>
      <c r="C117" s="357" t="s">
        <v>751</v>
      </c>
      <c r="D117" s="366">
        <v>7.0000000000000001E-3</v>
      </c>
      <c r="E117" s="365" t="s">
        <v>777</v>
      </c>
      <c r="F117" s="644"/>
      <c r="G117" s="645"/>
      <c r="H117" s="646"/>
    </row>
    <row r="118" spans="1:8" x14ac:dyDescent="0.25">
      <c r="A118" s="357" t="s">
        <v>781</v>
      </c>
      <c r="B118" s="361" t="s">
        <v>776</v>
      </c>
      <c r="C118" s="357" t="s">
        <v>752</v>
      </c>
      <c r="D118" s="366">
        <v>1E-3</v>
      </c>
      <c r="E118" s="365" t="s">
        <v>777</v>
      </c>
      <c r="F118" s="644"/>
      <c r="G118" s="645"/>
      <c r="H118" s="646"/>
    </row>
    <row r="119" spans="1:8" x14ac:dyDescent="0.25">
      <c r="A119" s="357" t="s">
        <v>782</v>
      </c>
      <c r="B119" s="361" t="s">
        <v>776</v>
      </c>
      <c r="C119" s="357" t="s">
        <v>748</v>
      </c>
      <c r="D119" s="367">
        <v>13</v>
      </c>
      <c r="E119" s="365" t="s">
        <v>777</v>
      </c>
      <c r="F119" s="644"/>
      <c r="G119" s="645"/>
      <c r="H119" s="646"/>
    </row>
    <row r="120" spans="1:8" x14ac:dyDescent="0.25">
      <c r="A120" s="357" t="s">
        <v>782</v>
      </c>
      <c r="B120" s="361" t="s">
        <v>776</v>
      </c>
      <c r="C120" s="357" t="s">
        <v>751</v>
      </c>
      <c r="D120" s="367">
        <v>1.6E-2</v>
      </c>
      <c r="E120" s="365" t="s">
        <v>777</v>
      </c>
      <c r="F120" s="644"/>
      <c r="G120" s="645"/>
      <c r="H120" s="646"/>
    </row>
    <row r="121" spans="1:8" x14ac:dyDescent="0.25">
      <c r="A121" s="357" t="s">
        <v>782</v>
      </c>
      <c r="B121" s="361" t="s">
        <v>776</v>
      </c>
      <c r="C121" s="357" t="s">
        <v>752</v>
      </c>
      <c r="D121" s="367">
        <v>1E-3</v>
      </c>
      <c r="E121" s="365" t="s">
        <v>777</v>
      </c>
      <c r="F121" s="644"/>
      <c r="G121" s="645"/>
      <c r="H121" s="646"/>
    </row>
    <row r="122" spans="1:8" ht="15" customHeight="1" x14ac:dyDescent="0.25">
      <c r="A122" s="357" t="s">
        <v>783</v>
      </c>
      <c r="B122" s="361" t="s">
        <v>776</v>
      </c>
      <c r="C122" s="357" t="s">
        <v>748</v>
      </c>
      <c r="D122" s="368">
        <v>813.55200000000002</v>
      </c>
      <c r="E122" s="365" t="s">
        <v>784</v>
      </c>
      <c r="F122" s="644" t="s">
        <v>785</v>
      </c>
      <c r="G122" s="645"/>
      <c r="H122" s="646"/>
    </row>
    <row r="123" spans="1:8" ht="15" customHeight="1" x14ac:dyDescent="0.25">
      <c r="A123" s="357" t="s">
        <v>783</v>
      </c>
      <c r="B123" s="361" t="s">
        <v>776</v>
      </c>
      <c r="C123" s="357" t="s">
        <v>751</v>
      </c>
      <c r="D123" s="368">
        <v>5.3999999999999999E-2</v>
      </c>
      <c r="E123" s="365" t="s">
        <v>784</v>
      </c>
      <c r="F123" s="644"/>
      <c r="G123" s="645"/>
      <c r="H123" s="646"/>
    </row>
    <row r="124" spans="1:8" ht="15" customHeight="1" x14ac:dyDescent="0.25">
      <c r="A124" s="357" t="s">
        <v>783</v>
      </c>
      <c r="B124" s="361" t="s">
        <v>776</v>
      </c>
      <c r="C124" s="357" t="s">
        <v>752</v>
      </c>
      <c r="D124" s="368">
        <v>8.0000000000000002E-3</v>
      </c>
      <c r="E124" s="365" t="s">
        <v>784</v>
      </c>
      <c r="F124" s="644"/>
      <c r="G124" s="645"/>
      <c r="H124" s="646"/>
    </row>
    <row r="125" spans="1:8" x14ac:dyDescent="0.25">
      <c r="A125" s="357" t="s">
        <v>786</v>
      </c>
      <c r="B125" s="361" t="s">
        <v>776</v>
      </c>
      <c r="C125" s="357" t="s">
        <v>748</v>
      </c>
      <c r="D125" s="366">
        <v>531.678</v>
      </c>
      <c r="E125" s="365" t="s">
        <v>784</v>
      </c>
      <c r="F125" s="644"/>
      <c r="G125" s="645"/>
      <c r="H125" s="646"/>
    </row>
    <row r="126" spans="1:8" x14ac:dyDescent="0.25">
      <c r="A126" s="357" t="s">
        <v>786</v>
      </c>
      <c r="B126" s="361" t="s">
        <v>776</v>
      </c>
      <c r="C126" s="357" t="s">
        <v>751</v>
      </c>
      <c r="D126" s="366">
        <v>3.1E-2</v>
      </c>
      <c r="E126" s="365" t="s">
        <v>784</v>
      </c>
      <c r="F126" s="644"/>
      <c r="G126" s="645"/>
      <c r="H126" s="646"/>
    </row>
    <row r="127" spans="1:8" x14ac:dyDescent="0.25">
      <c r="A127" s="357" t="s">
        <v>786</v>
      </c>
      <c r="B127" s="361" t="s">
        <v>776</v>
      </c>
      <c r="C127" s="357" t="s">
        <v>752</v>
      </c>
      <c r="D127" s="366">
        <v>4.0000000000000001E-3</v>
      </c>
      <c r="E127" s="365" t="s">
        <v>784</v>
      </c>
      <c r="F127" s="644"/>
      <c r="G127" s="645"/>
      <c r="H127" s="646"/>
    </row>
    <row r="128" spans="1:8" x14ac:dyDescent="0.25">
      <c r="A128" s="357" t="s">
        <v>787</v>
      </c>
      <c r="B128" s="361" t="s">
        <v>776</v>
      </c>
      <c r="C128" s="357" t="s">
        <v>748</v>
      </c>
      <c r="D128" s="366">
        <v>539.36699999999996</v>
      </c>
      <c r="E128" s="365" t="s">
        <v>784</v>
      </c>
      <c r="F128" s="644"/>
      <c r="G128" s="645"/>
      <c r="H128" s="646"/>
    </row>
    <row r="129" spans="1:8" x14ac:dyDescent="0.25">
      <c r="A129" s="357" t="s">
        <v>787</v>
      </c>
      <c r="B129" s="361" t="s">
        <v>776</v>
      </c>
      <c r="C129" s="357" t="s">
        <v>751</v>
      </c>
      <c r="D129" s="366">
        <v>7.1999999999999995E-2</v>
      </c>
      <c r="E129" s="365" t="s">
        <v>784</v>
      </c>
      <c r="F129" s="644"/>
      <c r="G129" s="645"/>
      <c r="H129" s="646"/>
    </row>
    <row r="130" spans="1:8" x14ac:dyDescent="0.25">
      <c r="A130" s="357" t="s">
        <v>787</v>
      </c>
      <c r="B130" s="361" t="s">
        <v>776</v>
      </c>
      <c r="C130" s="357" t="s">
        <v>752</v>
      </c>
      <c r="D130" s="366">
        <v>8.9999999999999993E-3</v>
      </c>
      <c r="E130" s="365" t="s">
        <v>784</v>
      </c>
      <c r="F130" s="644"/>
      <c r="G130" s="645"/>
      <c r="H130" s="646"/>
    </row>
    <row r="131" spans="1:8" x14ac:dyDescent="0.25">
      <c r="A131" s="357" t="s">
        <v>788</v>
      </c>
      <c r="B131" s="361" t="s">
        <v>776</v>
      </c>
      <c r="C131" s="357" t="s">
        <v>748</v>
      </c>
      <c r="D131" s="366">
        <v>634.59900000000005</v>
      </c>
      <c r="E131" s="365" t="s">
        <v>784</v>
      </c>
      <c r="F131" s="644"/>
      <c r="G131" s="645"/>
      <c r="H131" s="646"/>
    </row>
    <row r="132" spans="1:8" x14ac:dyDescent="0.25">
      <c r="A132" s="357" t="s">
        <v>788</v>
      </c>
      <c r="B132" s="361" t="s">
        <v>776</v>
      </c>
      <c r="C132" s="357" t="s">
        <v>751</v>
      </c>
      <c r="D132" s="366">
        <v>5.8000000000000003E-2</v>
      </c>
      <c r="E132" s="365" t="s">
        <v>784</v>
      </c>
      <c r="F132" s="644"/>
      <c r="G132" s="645"/>
      <c r="H132" s="646"/>
    </row>
    <row r="133" spans="1:8" x14ac:dyDescent="0.25">
      <c r="A133" s="357" t="s">
        <v>788</v>
      </c>
      <c r="B133" s="361" t="s">
        <v>776</v>
      </c>
      <c r="C133" s="357" t="s">
        <v>752</v>
      </c>
      <c r="D133" s="366">
        <v>8.0000000000000002E-3</v>
      </c>
      <c r="E133" s="365" t="s">
        <v>784</v>
      </c>
      <c r="F133" s="644"/>
      <c r="G133" s="645"/>
      <c r="H133" s="646"/>
    </row>
    <row r="134" spans="1:8" ht="15" customHeight="1" x14ac:dyDescent="0.25">
      <c r="A134" s="357" t="s">
        <v>789</v>
      </c>
      <c r="B134" s="361" t="s">
        <v>776</v>
      </c>
      <c r="C134" s="357" t="s">
        <v>748</v>
      </c>
      <c r="D134" s="366">
        <v>680</v>
      </c>
      <c r="E134" s="365" t="s">
        <v>777</v>
      </c>
      <c r="F134" s="644" t="s">
        <v>790</v>
      </c>
      <c r="G134" s="645"/>
      <c r="H134" s="646"/>
    </row>
    <row r="135" spans="1:8" x14ac:dyDescent="0.25">
      <c r="A135" s="357" t="s">
        <v>791</v>
      </c>
      <c r="B135" s="361" t="s">
        <v>776</v>
      </c>
      <c r="C135" s="357" t="s">
        <v>748</v>
      </c>
      <c r="D135" s="366">
        <v>730</v>
      </c>
      <c r="E135" s="365" t="s">
        <v>777</v>
      </c>
      <c r="F135" s="644"/>
      <c r="G135" s="645"/>
      <c r="H135" s="646"/>
    </row>
    <row r="136" spans="1:8" x14ac:dyDescent="0.25">
      <c r="A136" s="357" t="s">
        <v>792</v>
      </c>
      <c r="B136" s="361" t="s">
        <v>776</v>
      </c>
      <c r="C136" s="357" t="s">
        <v>748</v>
      </c>
      <c r="D136" s="366">
        <v>530</v>
      </c>
      <c r="E136" s="365" t="s">
        <v>777</v>
      </c>
      <c r="F136" s="644"/>
      <c r="G136" s="645"/>
      <c r="H136" s="646"/>
    </row>
    <row r="137" spans="1:8" ht="31.5" customHeight="1" x14ac:dyDescent="0.25">
      <c r="A137" s="357" t="s">
        <v>793</v>
      </c>
      <c r="B137" s="361" t="s">
        <v>776</v>
      </c>
      <c r="C137" s="357" t="s">
        <v>748</v>
      </c>
      <c r="D137" s="366">
        <v>540</v>
      </c>
      <c r="E137" s="365" t="s">
        <v>777</v>
      </c>
      <c r="F137" s="644"/>
      <c r="G137" s="645"/>
      <c r="H137" s="646"/>
    </row>
    <row r="138" spans="1:8" ht="63.75" customHeight="1" x14ac:dyDescent="0.25">
      <c r="A138" s="357" t="s">
        <v>794</v>
      </c>
      <c r="B138" s="361" t="s">
        <v>776</v>
      </c>
      <c r="C138" s="357" t="s">
        <v>748</v>
      </c>
      <c r="D138" s="366">
        <v>752</v>
      </c>
      <c r="E138" s="365" t="s">
        <v>777</v>
      </c>
      <c r="F138" s="644" t="s">
        <v>795</v>
      </c>
      <c r="G138" s="645"/>
      <c r="H138" s="646"/>
    </row>
    <row r="139" spans="1:8" ht="15" customHeight="1" x14ac:dyDescent="0.25">
      <c r="A139" s="357" t="s">
        <v>796</v>
      </c>
      <c r="B139" s="361" t="s">
        <v>776</v>
      </c>
      <c r="C139" s="357" t="s">
        <v>748</v>
      </c>
      <c r="D139" s="647" t="s">
        <v>797</v>
      </c>
      <c r="E139" s="365" t="s">
        <v>777</v>
      </c>
      <c r="F139" s="644" t="s">
        <v>798</v>
      </c>
      <c r="G139" s="645"/>
      <c r="H139" s="646"/>
    </row>
    <row r="140" spans="1:8" x14ac:dyDescent="0.25">
      <c r="A140" s="357" t="s">
        <v>799</v>
      </c>
      <c r="B140" s="361" t="s">
        <v>776</v>
      </c>
      <c r="C140" s="357" t="s">
        <v>748</v>
      </c>
      <c r="D140" s="648"/>
      <c r="E140" s="365" t="s">
        <v>777</v>
      </c>
      <c r="F140" s="644"/>
      <c r="G140" s="645"/>
      <c r="H140" s="646"/>
    </row>
    <row r="141" spans="1:8" x14ac:dyDescent="0.25">
      <c r="A141" s="357" t="s">
        <v>800</v>
      </c>
      <c r="B141" s="361" t="s">
        <v>776</v>
      </c>
      <c r="C141" s="357" t="s">
        <v>748</v>
      </c>
      <c r="D141" s="648"/>
      <c r="E141" s="365" t="s">
        <v>777</v>
      </c>
      <c r="F141" s="644"/>
      <c r="G141" s="645"/>
      <c r="H141" s="646"/>
    </row>
    <row r="142" spans="1:8" x14ac:dyDescent="0.25">
      <c r="A142" s="357" t="s">
        <v>801</v>
      </c>
      <c r="B142" s="361" t="s">
        <v>776</v>
      </c>
      <c r="C142" s="357" t="s">
        <v>748</v>
      </c>
      <c r="D142" s="648"/>
      <c r="E142" s="365" t="s">
        <v>777</v>
      </c>
      <c r="F142" s="644"/>
      <c r="G142" s="645"/>
      <c r="H142" s="646"/>
    </row>
    <row r="143" spans="1:8" x14ac:dyDescent="0.25">
      <c r="A143" s="357" t="s">
        <v>802</v>
      </c>
      <c r="B143" s="361" t="s">
        <v>776</v>
      </c>
      <c r="C143" s="357" t="s">
        <v>748</v>
      </c>
      <c r="D143" s="648"/>
      <c r="E143" s="365" t="s">
        <v>777</v>
      </c>
      <c r="F143" s="644"/>
      <c r="G143" s="645"/>
      <c r="H143" s="646"/>
    </row>
    <row r="144" spans="1:8" x14ac:dyDescent="0.25">
      <c r="A144" s="357" t="s">
        <v>803</v>
      </c>
      <c r="B144" s="361" t="s">
        <v>776</v>
      </c>
      <c r="C144" s="357" t="s">
        <v>748</v>
      </c>
      <c r="D144" s="648"/>
      <c r="E144" s="365" t="s">
        <v>777</v>
      </c>
      <c r="F144" s="644"/>
      <c r="G144" s="645"/>
      <c r="H144" s="646"/>
    </row>
    <row r="145" spans="1:24" x14ac:dyDescent="0.25">
      <c r="A145" s="357" t="s">
        <v>804</v>
      </c>
      <c r="B145" s="361" t="s">
        <v>776</v>
      </c>
      <c r="C145" s="357" t="s">
        <v>748</v>
      </c>
      <c r="D145" s="648"/>
      <c r="E145" s="365" t="s">
        <v>777</v>
      </c>
      <c r="F145" s="644"/>
      <c r="G145" s="645"/>
      <c r="H145" s="646"/>
    </row>
    <row r="146" spans="1:24" x14ac:dyDescent="0.25">
      <c r="A146" s="357" t="s">
        <v>805</v>
      </c>
      <c r="B146" s="361" t="s">
        <v>776</v>
      </c>
      <c r="C146" s="357" t="s">
        <v>748</v>
      </c>
      <c r="D146" s="648"/>
      <c r="E146" s="365" t="s">
        <v>777</v>
      </c>
      <c r="F146" s="644"/>
      <c r="G146" s="645"/>
      <c r="H146" s="646"/>
    </row>
    <row r="147" spans="1:24" x14ac:dyDescent="0.25">
      <c r="A147" s="357" t="s">
        <v>806</v>
      </c>
      <c r="B147" s="361" t="s">
        <v>776</v>
      </c>
      <c r="C147" s="357" t="s">
        <v>748</v>
      </c>
      <c r="D147" s="648"/>
      <c r="E147" s="365" t="s">
        <v>777</v>
      </c>
      <c r="F147" s="644"/>
      <c r="G147" s="645"/>
      <c r="H147" s="646"/>
    </row>
    <row r="148" spans="1:24" x14ac:dyDescent="0.25">
      <c r="A148" s="357" t="s">
        <v>807</v>
      </c>
      <c r="B148" s="361" t="s">
        <v>776</v>
      </c>
      <c r="C148" s="357" t="s">
        <v>748</v>
      </c>
      <c r="D148" s="648"/>
      <c r="E148" s="365" t="s">
        <v>777</v>
      </c>
      <c r="F148" s="644"/>
      <c r="G148" s="645"/>
      <c r="H148" s="646"/>
    </row>
    <row r="149" spans="1:24" x14ac:dyDescent="0.25">
      <c r="A149" s="357" t="s">
        <v>808</v>
      </c>
      <c r="B149" s="361" t="s">
        <v>776</v>
      </c>
      <c r="C149" s="357" t="s">
        <v>748</v>
      </c>
      <c r="D149" s="648"/>
      <c r="E149" s="365" t="s">
        <v>777</v>
      </c>
      <c r="F149" s="644"/>
      <c r="G149" s="645"/>
      <c r="H149" s="646"/>
    </row>
    <row r="150" spans="1:24" x14ac:dyDescent="0.25">
      <c r="A150" s="357" t="s">
        <v>809</v>
      </c>
      <c r="B150" s="361" t="s">
        <v>776</v>
      </c>
      <c r="C150" s="357" t="s">
        <v>748</v>
      </c>
      <c r="D150" s="648"/>
      <c r="E150" s="365" t="s">
        <v>777</v>
      </c>
      <c r="F150" s="644"/>
      <c r="G150" s="645"/>
      <c r="H150" s="646"/>
    </row>
    <row r="151" spans="1:24" x14ac:dyDescent="0.25">
      <c r="A151" s="357" t="s">
        <v>810</v>
      </c>
      <c r="B151" s="361" t="s">
        <v>776</v>
      </c>
      <c r="C151" s="357" t="s">
        <v>748</v>
      </c>
      <c r="D151" s="648"/>
      <c r="E151" s="365" t="s">
        <v>777</v>
      </c>
      <c r="F151" s="644"/>
      <c r="G151" s="645"/>
      <c r="H151" s="646"/>
    </row>
    <row r="152" spans="1:24" x14ac:dyDescent="0.25">
      <c r="A152" s="357" t="s">
        <v>811</v>
      </c>
      <c r="B152" s="361" t="s">
        <v>776</v>
      </c>
      <c r="C152" s="357" t="s">
        <v>748</v>
      </c>
      <c r="D152" s="649"/>
      <c r="E152" s="365" t="s">
        <v>777</v>
      </c>
      <c r="F152" s="644"/>
      <c r="G152" s="645"/>
      <c r="H152" s="646"/>
    </row>
    <row r="153" spans="1:24" x14ac:dyDescent="0.25">
      <c r="A153" s="650"/>
      <c r="B153" s="650"/>
      <c r="C153" s="650"/>
      <c r="D153" s="650"/>
      <c r="E153" s="650"/>
      <c r="F153" s="650"/>
      <c r="G153" s="650"/>
      <c r="H153" s="650"/>
    </row>
    <row r="154" spans="1:24" ht="18" x14ac:dyDescent="0.25">
      <c r="A154" s="338" t="s">
        <v>812</v>
      </c>
      <c r="B154" s="31"/>
      <c r="C154" s="31"/>
      <c r="D154" s="31"/>
      <c r="E154" s="31"/>
      <c r="F154" s="31"/>
      <c r="G154" s="31"/>
      <c r="H154" s="353"/>
    </row>
    <row r="155" spans="1:24" s="374" customFormat="1" x14ac:dyDescent="0.25">
      <c r="A155" s="370" t="s">
        <v>740</v>
      </c>
      <c r="B155" s="371" t="s">
        <v>813</v>
      </c>
      <c r="C155" s="372" t="s">
        <v>742</v>
      </c>
      <c r="D155" s="373" t="s">
        <v>814</v>
      </c>
      <c r="E155" s="370" t="s">
        <v>744</v>
      </c>
      <c r="F155" s="637" t="s">
        <v>745</v>
      </c>
      <c r="G155" s="638"/>
      <c r="H155" s="639"/>
      <c r="I155" s="8"/>
      <c r="J155" s="8"/>
      <c r="K155" s="8"/>
      <c r="L155" s="8"/>
      <c r="M155" s="8"/>
      <c r="N155" s="8"/>
      <c r="O155" s="8"/>
      <c r="P155" s="8"/>
      <c r="Q155" s="8"/>
      <c r="R155" s="369"/>
      <c r="S155" s="369"/>
      <c r="T155" s="369"/>
      <c r="U155" s="369"/>
      <c r="V155" s="369"/>
      <c r="W155" s="369"/>
      <c r="X155" s="369"/>
    </row>
    <row r="156" spans="1:24" ht="60.75" customHeight="1" x14ac:dyDescent="0.25">
      <c r="A156" s="357" t="s">
        <v>746</v>
      </c>
      <c r="B156" s="375" t="s">
        <v>815</v>
      </c>
      <c r="C156" s="376" t="s">
        <v>816</v>
      </c>
      <c r="D156" s="377">
        <v>1</v>
      </c>
      <c r="E156" s="357" t="s">
        <v>817</v>
      </c>
      <c r="F156" s="627" t="s">
        <v>818</v>
      </c>
      <c r="G156" s="628"/>
      <c r="H156" s="629"/>
    </row>
    <row r="157" spans="1:24" ht="60.75" customHeight="1" x14ac:dyDescent="0.25">
      <c r="A157" s="357" t="s">
        <v>746</v>
      </c>
      <c r="B157" s="375" t="s">
        <v>819</v>
      </c>
      <c r="C157" s="376" t="s">
        <v>751</v>
      </c>
      <c r="D157" s="377">
        <v>29.8</v>
      </c>
      <c r="E157" s="357" t="s">
        <v>820</v>
      </c>
      <c r="F157" s="627" t="s">
        <v>818</v>
      </c>
      <c r="G157" s="628"/>
      <c r="H157" s="629"/>
    </row>
    <row r="158" spans="1:24" ht="60" customHeight="1" x14ac:dyDescent="0.25">
      <c r="A158" s="357" t="s">
        <v>746</v>
      </c>
      <c r="B158" s="375" t="s">
        <v>821</v>
      </c>
      <c r="C158" s="376" t="s">
        <v>822</v>
      </c>
      <c r="D158" s="377">
        <v>273</v>
      </c>
      <c r="E158" s="357" t="s">
        <v>823</v>
      </c>
      <c r="F158" s="627" t="s">
        <v>818</v>
      </c>
      <c r="G158" s="628"/>
      <c r="H158" s="629"/>
    </row>
    <row r="159" spans="1:24" x14ac:dyDescent="0.25">
      <c r="A159" s="651"/>
      <c r="B159" s="652"/>
      <c r="C159" s="652"/>
      <c r="D159" s="652"/>
      <c r="E159" s="652"/>
      <c r="F159" s="652"/>
      <c r="G159" s="652"/>
      <c r="H159" s="652"/>
    </row>
    <row r="160" spans="1:24" ht="15.75" x14ac:dyDescent="0.25">
      <c r="A160" s="653" t="s">
        <v>824</v>
      </c>
      <c r="B160" s="654"/>
      <c r="C160" s="654"/>
      <c r="D160" s="654"/>
      <c r="E160" s="654"/>
      <c r="F160" s="654"/>
      <c r="G160" s="654"/>
      <c r="H160" s="655"/>
    </row>
    <row r="161" spans="1:24" s="146" customFormat="1" ht="30" x14ac:dyDescent="0.25">
      <c r="A161" s="363" t="s">
        <v>825</v>
      </c>
      <c r="B161" s="356" t="s">
        <v>826</v>
      </c>
      <c r="C161" s="378" t="s">
        <v>827</v>
      </c>
      <c r="D161" s="378" t="s">
        <v>828</v>
      </c>
      <c r="E161" s="637" t="s">
        <v>745</v>
      </c>
      <c r="F161" s="638"/>
      <c r="G161" s="638"/>
      <c r="H161" s="639"/>
      <c r="I161" s="8"/>
      <c r="J161" s="8"/>
      <c r="K161" s="8"/>
      <c r="L161" s="8"/>
      <c r="M161" s="8"/>
      <c r="N161" s="8"/>
      <c r="O161" s="8"/>
      <c r="P161" s="8"/>
      <c r="Q161" s="8"/>
      <c r="R161" s="369"/>
      <c r="S161" s="369"/>
      <c r="T161" s="369"/>
      <c r="U161" s="369"/>
      <c r="V161" s="369"/>
      <c r="W161" s="369"/>
      <c r="X161" s="369"/>
    </row>
    <row r="162" spans="1:24" ht="15" customHeight="1" x14ac:dyDescent="0.25">
      <c r="A162" s="357" t="s">
        <v>829</v>
      </c>
      <c r="B162" s="379">
        <v>472796</v>
      </c>
      <c r="C162" s="379">
        <v>0</v>
      </c>
      <c r="D162" s="380">
        <v>284953</v>
      </c>
      <c r="E162" s="627" t="s">
        <v>830</v>
      </c>
      <c r="F162" s="628"/>
      <c r="G162" s="628"/>
      <c r="H162" s="629"/>
    </row>
    <row r="163" spans="1:24" ht="60" customHeight="1" x14ac:dyDescent="0.25">
      <c r="A163" s="357" t="s">
        <v>831</v>
      </c>
      <c r="B163" s="379">
        <v>346409</v>
      </c>
      <c r="C163" s="379">
        <v>269763</v>
      </c>
      <c r="D163" s="380">
        <v>563298</v>
      </c>
      <c r="E163" s="627" t="s">
        <v>832</v>
      </c>
      <c r="F163" s="628"/>
      <c r="G163" s="628"/>
      <c r="H163" s="629"/>
    </row>
    <row r="164" spans="1:24" x14ac:dyDescent="0.25">
      <c r="A164" s="643"/>
      <c r="B164" s="643"/>
      <c r="C164" s="643"/>
      <c r="D164" s="643"/>
      <c r="E164" s="643"/>
      <c r="F164" s="643"/>
      <c r="G164" s="643"/>
      <c r="H164" s="643"/>
    </row>
    <row r="165" spans="1:24" ht="15.75" x14ac:dyDescent="0.25">
      <c r="A165" s="653" t="s">
        <v>833</v>
      </c>
      <c r="B165" s="654"/>
      <c r="C165" s="654"/>
      <c r="D165" s="654"/>
      <c r="E165" s="654"/>
      <c r="F165" s="654"/>
      <c r="G165" s="654"/>
      <c r="H165" s="655"/>
    </row>
    <row r="166" spans="1:24" x14ac:dyDescent="0.25">
      <c r="A166" s="381" t="s">
        <v>834</v>
      </c>
      <c r="B166" s="382">
        <v>2021</v>
      </c>
      <c r="C166" s="383">
        <v>2022</v>
      </c>
      <c r="D166" s="384">
        <v>2023</v>
      </c>
      <c r="E166" s="637" t="s">
        <v>745</v>
      </c>
      <c r="F166" s="638"/>
      <c r="G166" s="638"/>
      <c r="H166" s="639"/>
    </row>
    <row r="167" spans="1:24" ht="15" customHeight="1" x14ac:dyDescent="0.25">
      <c r="A167" s="357" t="s">
        <v>835</v>
      </c>
      <c r="B167" s="385">
        <v>0.14642972140020549</v>
      </c>
      <c r="C167" s="385">
        <v>0.11409843095513406</v>
      </c>
      <c r="D167" s="386">
        <v>0.11916726489590811</v>
      </c>
      <c r="E167" s="627" t="s">
        <v>836</v>
      </c>
      <c r="F167" s="628"/>
      <c r="G167" s="628"/>
      <c r="H167" s="629"/>
    </row>
    <row r="168" spans="1:24" ht="15" customHeight="1" x14ac:dyDescent="0.25">
      <c r="A168" s="357" t="s">
        <v>837</v>
      </c>
      <c r="B168" s="385">
        <v>0.85357027859979462</v>
      </c>
      <c r="C168" s="385">
        <v>0.88590156904486606</v>
      </c>
      <c r="D168" s="386">
        <v>0.88083273510409188</v>
      </c>
      <c r="E168" s="627" t="s">
        <v>838</v>
      </c>
      <c r="F168" s="628"/>
      <c r="G168" s="628"/>
      <c r="H168" s="629"/>
    </row>
    <row r="169" spans="1:24" ht="7.5" customHeight="1" x14ac:dyDescent="0.25">
      <c r="A169" s="656"/>
      <c r="B169" s="656"/>
      <c r="C169" s="656"/>
      <c r="D169" s="656"/>
      <c r="E169" s="656"/>
      <c r="F169" s="656"/>
      <c r="G169" s="656"/>
      <c r="H169" s="656"/>
    </row>
    <row r="170" spans="1:24" ht="30" customHeight="1" x14ac:dyDescent="0.25">
      <c r="A170" s="657" t="s">
        <v>839</v>
      </c>
      <c r="B170" s="657"/>
      <c r="C170" s="657"/>
      <c r="D170" s="657"/>
      <c r="E170" s="657"/>
      <c r="F170" s="657"/>
      <c r="G170" s="657"/>
      <c r="H170" s="657"/>
    </row>
    <row r="171" spans="1:24" ht="28.5" customHeight="1" x14ac:dyDescent="0.25">
      <c r="A171" s="658" t="s">
        <v>840</v>
      </c>
      <c r="B171" s="658"/>
      <c r="C171" s="658"/>
      <c r="D171" s="658"/>
      <c r="E171" s="658"/>
      <c r="F171" s="658"/>
      <c r="G171" s="658"/>
      <c r="H171" s="658"/>
    </row>
    <row r="172" spans="1:24" ht="27.75" customHeight="1" x14ac:dyDescent="0.25">
      <c r="A172" s="658"/>
      <c r="B172" s="658"/>
      <c r="C172" s="658"/>
      <c r="D172" s="658"/>
      <c r="E172" s="658"/>
      <c r="F172" s="658"/>
    </row>
  </sheetData>
  <mergeCells count="41">
    <mergeCell ref="E168:H168"/>
    <mergeCell ref="A169:H169"/>
    <mergeCell ref="A170:H170"/>
    <mergeCell ref="A171:H171"/>
    <mergeCell ref="A172:F172"/>
    <mergeCell ref="E167:H167"/>
    <mergeCell ref="F156:H156"/>
    <mergeCell ref="F157:H157"/>
    <mergeCell ref="F158:H158"/>
    <mergeCell ref="A159:H159"/>
    <mergeCell ref="A160:H160"/>
    <mergeCell ref="E161:H161"/>
    <mergeCell ref="E162:H162"/>
    <mergeCell ref="E163:H163"/>
    <mergeCell ref="A164:H164"/>
    <mergeCell ref="A165:H165"/>
    <mergeCell ref="E166:H166"/>
    <mergeCell ref="F155:H155"/>
    <mergeCell ref="F102:H102"/>
    <mergeCell ref="F103:H103"/>
    <mergeCell ref="A104:H104"/>
    <mergeCell ref="F106:H106"/>
    <mergeCell ref="F107:H121"/>
    <mergeCell ref="F122:H133"/>
    <mergeCell ref="F134:H137"/>
    <mergeCell ref="F138:H138"/>
    <mergeCell ref="D139:D152"/>
    <mergeCell ref="F139:H152"/>
    <mergeCell ref="A153:H153"/>
    <mergeCell ref="F99:H101"/>
    <mergeCell ref="A1:H1"/>
    <mergeCell ref="A2:H2"/>
    <mergeCell ref="A3:H3"/>
    <mergeCell ref="A4:H4"/>
    <mergeCell ref="A5:H5"/>
    <mergeCell ref="G6:H6"/>
    <mergeCell ref="A7:A33"/>
    <mergeCell ref="A35:A50"/>
    <mergeCell ref="A72:H72"/>
    <mergeCell ref="F74:H74"/>
    <mergeCell ref="F75:H98"/>
  </mergeCells>
  <printOptions horizontalCentered="1"/>
  <pageMargins left="0.23622047244094491" right="0.23622047244094491" top="0.74803149606299213" bottom="0.74803149606299213" header="0.31496062992125984" footer="0.31496062992125984"/>
  <pageSetup paperSize="9" scale="78" fitToHeight="8" orientation="landscape" r:id="rId1"/>
  <headerFooter>
    <oddHeader>&amp;L&amp;G</oddHeader>
    <oddFooter>&amp;C&amp;10&amp;P of &amp;N</oddFooter>
  </headerFooter>
  <rowBreaks count="2" manualBreakCount="2">
    <brk id="72" max="7" man="1"/>
    <brk id="104" max="7"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2F50-2DE0-4CDF-8A4B-879393980FF7}">
  <sheetPr>
    <tabColor rgb="FF0C3F6C"/>
  </sheetPr>
  <dimension ref="A1:N69"/>
  <sheetViews>
    <sheetView showGridLines="0" view="pageBreakPreview" zoomScaleNormal="100" zoomScaleSheetLayoutView="100" workbookViewId="0">
      <pane ySplit="3" topLeftCell="A38" activePane="bottomLeft" state="frozen"/>
      <selection activeCell="A6" sqref="A6:D6"/>
      <selection pane="bottomLeft" activeCell="L1" sqref="L1"/>
    </sheetView>
  </sheetViews>
  <sheetFormatPr defaultColWidth="9.140625" defaultRowHeight="15" x14ac:dyDescent="0.25"/>
  <cols>
    <col min="1" max="1" width="11.5703125" customWidth="1"/>
    <col min="2" max="2" width="27" customWidth="1"/>
    <col min="3" max="3" width="24.7109375" customWidth="1"/>
    <col min="4" max="5" width="12.85546875" customWidth="1"/>
    <col min="6" max="6" width="12" customWidth="1"/>
    <col min="7" max="7" width="2.5703125" style="4" customWidth="1"/>
    <col min="8" max="8" width="12.85546875" customWidth="1"/>
    <col min="9" max="9" width="12" customWidth="1"/>
    <col min="10" max="10" width="2.5703125" customWidth="1"/>
    <col min="11" max="11" width="7.85546875" customWidth="1"/>
  </cols>
  <sheetData>
    <row r="1" spans="1:10" ht="18.75" x14ac:dyDescent="0.25">
      <c r="A1" s="1" t="s">
        <v>731</v>
      </c>
    </row>
    <row r="2" spans="1:10" x14ac:dyDescent="0.25">
      <c r="A2" s="3" t="s">
        <v>841</v>
      </c>
    </row>
    <row r="3" spans="1:10" x14ac:dyDescent="0.25">
      <c r="B3" s="3"/>
    </row>
    <row r="4" spans="1:10" ht="15.75" x14ac:dyDescent="0.25">
      <c r="A4" s="653" t="s">
        <v>842</v>
      </c>
      <c r="B4" s="654"/>
      <c r="C4" s="654"/>
      <c r="D4" s="654"/>
      <c r="E4" s="654"/>
      <c r="F4" s="654"/>
      <c r="G4" s="654"/>
      <c r="H4" s="654"/>
      <c r="I4" s="654"/>
      <c r="J4" s="655"/>
    </row>
    <row r="5" spans="1:10" x14ac:dyDescent="0.25">
      <c r="A5" s="387" t="s">
        <v>843</v>
      </c>
      <c r="B5" s="387" t="s">
        <v>844</v>
      </c>
      <c r="C5" s="387" t="s">
        <v>845</v>
      </c>
      <c r="D5" s="387">
        <v>2019</v>
      </c>
      <c r="E5" s="387">
        <v>2020</v>
      </c>
      <c r="F5" s="388">
        <v>2021</v>
      </c>
      <c r="G5" s="389"/>
      <c r="H5" s="387">
        <v>2022</v>
      </c>
      <c r="I5" s="663">
        <v>2023</v>
      </c>
      <c r="J5" s="664"/>
    </row>
    <row r="6" spans="1:10" ht="17.25" x14ac:dyDescent="0.25">
      <c r="A6" s="659" t="s">
        <v>846</v>
      </c>
      <c r="B6" s="660" t="s">
        <v>847</v>
      </c>
      <c r="C6" s="392" t="s">
        <v>848</v>
      </c>
      <c r="D6" s="393">
        <v>383789.82677499996</v>
      </c>
      <c r="E6" s="393">
        <v>399578.19570400001</v>
      </c>
      <c r="F6" s="394">
        <v>382313.20255599997</v>
      </c>
      <c r="G6" s="395"/>
      <c r="H6" s="393">
        <v>482725.90258200001</v>
      </c>
      <c r="I6" s="394">
        <v>375589.11409000005</v>
      </c>
      <c r="J6" s="396"/>
    </row>
    <row r="7" spans="1:10" ht="17.25" x14ac:dyDescent="0.25">
      <c r="A7" s="659"/>
      <c r="B7" s="660"/>
      <c r="C7" s="392" t="s">
        <v>849</v>
      </c>
      <c r="D7" s="393">
        <v>384030.26211299998</v>
      </c>
      <c r="E7" s="393">
        <v>361162.09993599996</v>
      </c>
      <c r="F7" s="394">
        <v>360014.426852</v>
      </c>
      <c r="G7" s="395"/>
      <c r="H7" s="393">
        <v>355782.59466400003</v>
      </c>
      <c r="I7" s="394">
        <v>333500.02065899997</v>
      </c>
      <c r="J7" s="396"/>
    </row>
    <row r="8" spans="1:10" ht="17.25" x14ac:dyDescent="0.25">
      <c r="A8" s="659"/>
      <c r="B8" s="660"/>
      <c r="C8" s="392" t="s">
        <v>850</v>
      </c>
      <c r="D8" s="393">
        <v>147236.9</v>
      </c>
      <c r="E8" s="393">
        <v>170372.27</v>
      </c>
      <c r="F8" s="394">
        <v>176623.734</v>
      </c>
      <c r="G8" s="395"/>
      <c r="H8" s="393">
        <v>165998.03599999999</v>
      </c>
      <c r="I8" s="394">
        <v>159799.95449999999</v>
      </c>
      <c r="J8" s="396"/>
    </row>
    <row r="9" spans="1:10" ht="17.25" x14ac:dyDescent="0.25">
      <c r="A9" s="659"/>
      <c r="B9" s="660"/>
      <c r="C9" s="392" t="s">
        <v>851</v>
      </c>
      <c r="D9" s="393">
        <v>117592.576803</v>
      </c>
      <c r="E9" s="393">
        <v>114246.69161999998</v>
      </c>
      <c r="F9" s="394">
        <v>83843.447925999993</v>
      </c>
      <c r="G9" s="395"/>
      <c r="H9" s="393">
        <v>75546.16635</v>
      </c>
      <c r="I9" s="394">
        <v>80826.151122999989</v>
      </c>
      <c r="J9" s="396"/>
    </row>
    <row r="10" spans="1:10" x14ac:dyDescent="0.25">
      <c r="A10" s="659"/>
      <c r="B10" s="660"/>
      <c r="C10" s="397" t="s">
        <v>852</v>
      </c>
      <c r="D10" s="398">
        <v>1032649.5656910001</v>
      </c>
      <c r="E10" s="398">
        <v>1045359.2572599999</v>
      </c>
      <c r="F10" s="399">
        <v>1002794.811334</v>
      </c>
      <c r="G10" s="400"/>
      <c r="H10" s="398">
        <v>1080052.6995959999</v>
      </c>
      <c r="I10" s="399">
        <v>949715.24037199991</v>
      </c>
      <c r="J10" s="401" t="s">
        <v>244</v>
      </c>
    </row>
    <row r="11" spans="1:10" ht="30" x14ac:dyDescent="0.25">
      <c r="A11" s="659"/>
      <c r="B11" s="391" t="s">
        <v>853</v>
      </c>
      <c r="C11" s="402" t="s">
        <v>854</v>
      </c>
      <c r="D11" s="403" t="s">
        <v>187</v>
      </c>
      <c r="E11" s="403" t="s">
        <v>187</v>
      </c>
      <c r="F11" s="404" t="s">
        <v>187</v>
      </c>
      <c r="G11" s="400"/>
      <c r="H11" s="398">
        <v>12067.02</v>
      </c>
      <c r="I11" s="399">
        <v>9712.3669999999984</v>
      </c>
      <c r="J11" s="405"/>
    </row>
    <row r="12" spans="1:10" x14ac:dyDescent="0.25">
      <c r="A12" s="659"/>
      <c r="B12" s="661" t="s">
        <v>855</v>
      </c>
      <c r="C12" s="662"/>
      <c r="D12" s="406">
        <v>1032649.5656910001</v>
      </c>
      <c r="E12" s="406">
        <v>1045359.2572599999</v>
      </c>
      <c r="F12" s="407">
        <v>1002794.811334</v>
      </c>
      <c r="G12" s="408"/>
      <c r="H12" s="406">
        <v>1092119.7195959999</v>
      </c>
      <c r="I12" s="407">
        <v>959427.60737199988</v>
      </c>
      <c r="J12" s="409"/>
    </row>
    <row r="13" spans="1:10" ht="30" customHeight="1" x14ac:dyDescent="0.25">
      <c r="A13" s="659" t="s">
        <v>313</v>
      </c>
      <c r="B13" s="660" t="s">
        <v>856</v>
      </c>
      <c r="C13" s="392" t="s">
        <v>848</v>
      </c>
      <c r="D13" s="393">
        <v>469255.78419800004</v>
      </c>
      <c r="E13" s="393">
        <v>434645.48160599999</v>
      </c>
      <c r="F13" s="394">
        <v>400642.64091799996</v>
      </c>
      <c r="G13" s="395"/>
      <c r="H13" s="393">
        <v>423442.135794</v>
      </c>
      <c r="I13" s="394">
        <v>358584.51294400002</v>
      </c>
      <c r="J13" s="396"/>
    </row>
    <row r="14" spans="1:10" ht="17.25" x14ac:dyDescent="0.25">
      <c r="A14" s="659"/>
      <c r="B14" s="660"/>
      <c r="C14" s="392" t="s">
        <v>857</v>
      </c>
      <c r="D14" s="393">
        <v>6928.9565760000005</v>
      </c>
      <c r="E14" s="393">
        <v>5196.7554979999995</v>
      </c>
      <c r="F14" s="394">
        <v>5158.8224199999995</v>
      </c>
      <c r="G14" s="395"/>
      <c r="H14" s="393">
        <v>3620.0560499999997</v>
      </c>
      <c r="I14" s="394">
        <v>3661.4209599999999</v>
      </c>
      <c r="J14" s="396"/>
    </row>
    <row r="15" spans="1:10" ht="17.25" x14ac:dyDescent="0.25">
      <c r="A15" s="659"/>
      <c r="B15" s="660"/>
      <c r="C15" s="392" t="s">
        <v>858</v>
      </c>
      <c r="D15" s="393">
        <v>153389.62758999999</v>
      </c>
      <c r="E15" s="393">
        <v>171778.11859999999</v>
      </c>
      <c r="F15" s="394">
        <v>181040.30043</v>
      </c>
      <c r="G15" s="395"/>
      <c r="H15" s="393">
        <v>169026.503</v>
      </c>
      <c r="I15" s="394">
        <v>163364.01437000002</v>
      </c>
      <c r="J15" s="396"/>
    </row>
    <row r="16" spans="1:10" ht="17.25" x14ac:dyDescent="0.25">
      <c r="A16" s="659"/>
      <c r="B16" s="660"/>
      <c r="C16" s="392" t="s">
        <v>859</v>
      </c>
      <c r="D16" s="393">
        <v>66031.181278000004</v>
      </c>
      <c r="E16" s="393">
        <v>57631.693925</v>
      </c>
      <c r="F16" s="394">
        <v>34605.681420000001</v>
      </c>
      <c r="G16" s="395"/>
      <c r="H16" s="393">
        <v>40959.406060999994</v>
      </c>
      <c r="I16" s="394">
        <v>32630.929550999997</v>
      </c>
      <c r="J16" s="396"/>
    </row>
    <row r="17" spans="1:14" ht="17.25" x14ac:dyDescent="0.25">
      <c r="A17" s="659"/>
      <c r="B17" s="660"/>
      <c r="C17" s="406" t="s">
        <v>860</v>
      </c>
      <c r="D17" s="406">
        <v>695605.549642</v>
      </c>
      <c r="E17" s="406">
        <v>669252.04962900002</v>
      </c>
      <c r="F17" s="407">
        <v>621447.44518799998</v>
      </c>
      <c r="G17" s="408"/>
      <c r="H17" s="406">
        <v>637048.100905</v>
      </c>
      <c r="I17" s="407">
        <v>558240.87782500009</v>
      </c>
      <c r="J17" s="409" t="s">
        <v>244</v>
      </c>
    </row>
    <row r="18" spans="1:14" ht="30" x14ac:dyDescent="0.25">
      <c r="A18" s="659"/>
      <c r="B18" s="410" t="s">
        <v>861</v>
      </c>
      <c r="C18" s="402" t="s">
        <v>862</v>
      </c>
      <c r="D18" s="403" t="s">
        <v>187</v>
      </c>
      <c r="E18" s="403" t="s">
        <v>187</v>
      </c>
      <c r="F18" s="404" t="s">
        <v>187</v>
      </c>
      <c r="G18" s="400"/>
      <c r="H18" s="398">
        <v>11400.76</v>
      </c>
      <c r="I18" s="399">
        <v>8376.5569999999989</v>
      </c>
      <c r="J18" s="405"/>
    </row>
    <row r="19" spans="1:14" x14ac:dyDescent="0.25">
      <c r="A19" s="659"/>
      <c r="B19" s="661" t="s">
        <v>863</v>
      </c>
      <c r="C19" s="662"/>
      <c r="D19" s="406">
        <v>695605.549642</v>
      </c>
      <c r="E19" s="406">
        <v>669252.04962900002</v>
      </c>
      <c r="F19" s="407">
        <v>621447.44518799998</v>
      </c>
      <c r="G19" s="408"/>
      <c r="H19" s="406">
        <v>648448.86090500001</v>
      </c>
      <c r="I19" s="407">
        <v>566617.43482500012</v>
      </c>
      <c r="J19" s="409"/>
    </row>
    <row r="20" spans="1:14" x14ac:dyDescent="0.25">
      <c r="A20" s="659" t="s">
        <v>864</v>
      </c>
      <c r="B20" s="660" t="s">
        <v>865</v>
      </c>
      <c r="C20" s="392" t="s">
        <v>866</v>
      </c>
      <c r="D20" s="393">
        <v>176591.77199400007</v>
      </c>
      <c r="E20" s="393">
        <v>334428.14211099985</v>
      </c>
      <c r="F20" s="394">
        <v>319944.87376899994</v>
      </c>
      <c r="G20" s="395"/>
      <c r="H20" s="393">
        <v>433818.98199999996</v>
      </c>
      <c r="I20" s="394">
        <v>436072.54799999995</v>
      </c>
      <c r="J20" s="396"/>
      <c r="K20" s="411"/>
    </row>
    <row r="21" spans="1:14" ht="17.25" x14ac:dyDescent="0.25">
      <c r="A21" s="659"/>
      <c r="B21" s="660"/>
      <c r="C21" s="392" t="s">
        <v>867</v>
      </c>
      <c r="D21" s="393">
        <v>49314.522055000001</v>
      </c>
      <c r="E21" s="393">
        <v>45649.551519999994</v>
      </c>
      <c r="F21" s="394">
        <v>47567.118377000006</v>
      </c>
      <c r="G21" s="395"/>
      <c r="H21" s="393">
        <v>44529.109884000005</v>
      </c>
      <c r="I21" s="394">
        <v>48689.625128</v>
      </c>
      <c r="J21" s="396"/>
    </row>
    <row r="22" spans="1:14" ht="30" x14ac:dyDescent="0.25">
      <c r="A22" s="659"/>
      <c r="B22" s="660"/>
      <c r="C22" s="390" t="s">
        <v>868</v>
      </c>
      <c r="D22" s="412" t="s">
        <v>187</v>
      </c>
      <c r="E22" s="412" t="s">
        <v>187</v>
      </c>
      <c r="F22" s="413" t="s">
        <v>187</v>
      </c>
      <c r="G22" s="395"/>
      <c r="H22" s="393">
        <v>666.26</v>
      </c>
      <c r="I22" s="394">
        <v>1335.81</v>
      </c>
      <c r="J22" s="396"/>
    </row>
    <row r="23" spans="1:14" ht="17.25" x14ac:dyDescent="0.25">
      <c r="A23" s="659"/>
      <c r="B23" s="660"/>
      <c r="C23" s="406" t="s">
        <v>869</v>
      </c>
      <c r="D23" s="406">
        <v>225906.29404900008</v>
      </c>
      <c r="E23" s="406">
        <v>380077.69363099983</v>
      </c>
      <c r="F23" s="407">
        <v>367511.99214599992</v>
      </c>
      <c r="G23" s="408"/>
      <c r="H23" s="406">
        <v>479014.351884</v>
      </c>
      <c r="I23" s="407">
        <v>486097.98312799993</v>
      </c>
      <c r="J23" s="409"/>
      <c r="K23" s="411"/>
      <c r="L23" s="411"/>
    </row>
    <row r="24" spans="1:14" x14ac:dyDescent="0.25">
      <c r="A24" s="659"/>
      <c r="B24" s="660" t="s">
        <v>870</v>
      </c>
      <c r="C24" s="414" t="s">
        <v>871</v>
      </c>
      <c r="D24" s="393">
        <v>549484.68599999999</v>
      </c>
      <c r="E24" s="393">
        <v>583581.05799999996</v>
      </c>
      <c r="F24" s="394">
        <v>601722.40099999995</v>
      </c>
      <c r="G24" s="395"/>
      <c r="H24" s="393">
        <v>592259.48699999996</v>
      </c>
      <c r="I24" s="394">
        <v>596380.06400000001</v>
      </c>
      <c r="J24" s="396"/>
    </row>
    <row r="25" spans="1:14" x14ac:dyDescent="0.25">
      <c r="A25" s="659"/>
      <c r="B25" s="660"/>
      <c r="C25" s="414" t="s">
        <v>872</v>
      </c>
      <c r="D25" s="393">
        <v>528183.85700000008</v>
      </c>
      <c r="E25" s="393">
        <v>520770.33699999994</v>
      </c>
      <c r="F25" s="394">
        <v>497700.09199999995</v>
      </c>
      <c r="G25" s="395"/>
      <c r="H25" s="393">
        <v>496773.27500000002</v>
      </c>
      <c r="I25" s="394">
        <v>501072.91299999994</v>
      </c>
      <c r="J25" s="396"/>
    </row>
    <row r="26" spans="1:14" ht="17.25" x14ac:dyDescent="0.25">
      <c r="A26" s="659"/>
      <c r="B26" s="660"/>
      <c r="C26" s="415" t="s">
        <v>873</v>
      </c>
      <c r="D26" s="393">
        <v>111137.72199999999</v>
      </c>
      <c r="E26" s="393">
        <v>-3970.4859999999999</v>
      </c>
      <c r="F26" s="394">
        <v>13835.374</v>
      </c>
      <c r="G26" s="395"/>
      <c r="H26" s="393">
        <v>-35343.493999999999</v>
      </c>
      <c r="I26" s="394">
        <v>-93287.811000000016</v>
      </c>
      <c r="J26" s="396"/>
    </row>
    <row r="27" spans="1:14" x14ac:dyDescent="0.25">
      <c r="B27" s="3"/>
    </row>
    <row r="28" spans="1:14" ht="15.75" x14ac:dyDescent="0.25">
      <c r="A28" s="653" t="s">
        <v>874</v>
      </c>
      <c r="B28" s="654"/>
      <c r="C28" s="654"/>
      <c r="D28" s="654"/>
      <c r="E28" s="654"/>
      <c r="F28" s="654"/>
      <c r="G28" s="654"/>
      <c r="H28" s="654"/>
      <c r="I28" s="654"/>
      <c r="J28" s="654"/>
      <c r="K28" s="655"/>
    </row>
    <row r="29" spans="1:14" s="3" customFormat="1" ht="15" customHeight="1" x14ac:dyDescent="0.25">
      <c r="A29" s="665" t="s">
        <v>843</v>
      </c>
      <c r="B29" s="667" t="s">
        <v>844</v>
      </c>
      <c r="C29" s="669" t="s">
        <v>875</v>
      </c>
      <c r="D29" s="671" t="s">
        <v>876</v>
      </c>
      <c r="E29" s="672"/>
      <c r="F29" s="672"/>
      <c r="G29" s="416"/>
      <c r="H29" s="670" t="s">
        <v>877</v>
      </c>
      <c r="I29" s="670"/>
      <c r="J29" s="670"/>
      <c r="K29" s="670"/>
    </row>
    <row r="30" spans="1:14" s="3" customFormat="1" x14ac:dyDescent="0.25">
      <c r="A30" s="666"/>
      <c r="B30" s="667"/>
      <c r="C30" s="669"/>
      <c r="D30" s="673" t="s">
        <v>878</v>
      </c>
      <c r="E30" s="674"/>
      <c r="F30" s="674"/>
      <c r="G30" s="418"/>
      <c r="H30" s="675" t="s">
        <v>878</v>
      </c>
      <c r="I30" s="675"/>
      <c r="J30" s="675"/>
      <c r="K30" s="675"/>
    </row>
    <row r="31" spans="1:14" s="3" customFormat="1" ht="17.25" x14ac:dyDescent="0.25">
      <c r="A31" s="666"/>
      <c r="B31" s="668"/>
      <c r="C31" s="670"/>
      <c r="D31" s="419" t="s">
        <v>879</v>
      </c>
      <c r="E31" s="419" t="s">
        <v>880</v>
      </c>
      <c r="F31" s="417" t="s">
        <v>881</v>
      </c>
      <c r="G31" s="418"/>
      <c r="H31" s="419" t="s">
        <v>879</v>
      </c>
      <c r="I31" s="419" t="s">
        <v>880</v>
      </c>
      <c r="J31" s="675" t="s">
        <v>881</v>
      </c>
      <c r="K31" s="675"/>
    </row>
    <row r="32" spans="1:14" ht="17.25" customHeight="1" x14ac:dyDescent="0.25">
      <c r="A32" s="659" t="s">
        <v>846</v>
      </c>
      <c r="B32" s="660" t="s">
        <v>847</v>
      </c>
      <c r="C32" s="392" t="s">
        <v>848</v>
      </c>
      <c r="D32" s="420">
        <v>260822.94</v>
      </c>
      <c r="E32" s="420">
        <v>114766.17300000001</v>
      </c>
      <c r="F32" s="421">
        <v>375589.11300000001</v>
      </c>
      <c r="G32" s="422"/>
      <c r="H32" s="412">
        <v>12119.884</v>
      </c>
      <c r="I32" s="412">
        <v>4199.1009999999997</v>
      </c>
      <c r="J32" s="676">
        <v>16318.985000000001</v>
      </c>
      <c r="K32" s="676"/>
      <c r="L32" s="411"/>
      <c r="M32" s="411"/>
      <c r="N32" s="4"/>
    </row>
    <row r="33" spans="1:14" ht="17.25" x14ac:dyDescent="0.25">
      <c r="A33" s="659"/>
      <c r="B33" s="660"/>
      <c r="C33" s="392" t="s">
        <v>849</v>
      </c>
      <c r="D33" s="420">
        <v>158310.179</v>
      </c>
      <c r="E33" s="420">
        <v>175189.84099999999</v>
      </c>
      <c r="F33" s="421">
        <v>333500.02</v>
      </c>
      <c r="G33" s="422"/>
      <c r="H33" s="412">
        <v>10880.515000000001</v>
      </c>
      <c r="I33" s="412">
        <v>24254.710999999999</v>
      </c>
      <c r="J33" s="676">
        <v>35135.226000000002</v>
      </c>
      <c r="K33" s="676"/>
      <c r="L33" s="411"/>
      <c r="M33" s="411"/>
      <c r="N33" s="4"/>
    </row>
    <row r="34" spans="1:14" ht="17.25" x14ac:dyDescent="0.25">
      <c r="A34" s="659"/>
      <c r="B34" s="660"/>
      <c r="C34" s="392" t="s">
        <v>850</v>
      </c>
      <c r="D34" s="412">
        <v>158939.43199999997</v>
      </c>
      <c r="E34" s="412">
        <v>860.52200000000005</v>
      </c>
      <c r="F34" s="421">
        <v>159799.95399999997</v>
      </c>
      <c r="G34" s="422"/>
      <c r="H34" s="412">
        <v>0</v>
      </c>
      <c r="I34" s="412">
        <v>0</v>
      </c>
      <c r="J34" s="676">
        <v>0</v>
      </c>
      <c r="K34" s="676"/>
      <c r="L34" s="411"/>
      <c r="M34" s="411"/>
      <c r="N34" s="4"/>
    </row>
    <row r="35" spans="1:14" ht="17.25" x14ac:dyDescent="0.25">
      <c r="A35" s="659"/>
      <c r="B35" s="660"/>
      <c r="C35" s="392" t="s">
        <v>851</v>
      </c>
      <c r="D35" s="412">
        <v>14834.08</v>
      </c>
      <c r="E35" s="412">
        <v>65992.070999999996</v>
      </c>
      <c r="F35" s="421">
        <v>80826.150999999998</v>
      </c>
      <c r="G35" s="422"/>
      <c r="H35" s="412">
        <v>8229.8580000000002</v>
      </c>
      <c r="I35" s="412">
        <v>27338.669000000005</v>
      </c>
      <c r="J35" s="676">
        <v>35568.527000000002</v>
      </c>
      <c r="K35" s="676"/>
      <c r="L35" s="411"/>
      <c r="M35" s="411"/>
      <c r="N35" s="4"/>
    </row>
    <row r="36" spans="1:14" x14ac:dyDescent="0.25">
      <c r="A36" s="659"/>
      <c r="B36" s="660"/>
      <c r="C36" s="397" t="s">
        <v>852</v>
      </c>
      <c r="D36" s="403">
        <v>592906.63099999994</v>
      </c>
      <c r="E36" s="403">
        <v>356808.60699999996</v>
      </c>
      <c r="F36" s="404">
        <v>949715.23800000001</v>
      </c>
      <c r="G36" s="423" t="s">
        <v>244</v>
      </c>
      <c r="H36" s="403">
        <v>31230.257000000001</v>
      </c>
      <c r="I36" s="403">
        <v>55792.481</v>
      </c>
      <c r="J36" s="677">
        <v>87022.738000000012</v>
      </c>
      <c r="K36" s="678"/>
      <c r="L36" s="411"/>
      <c r="M36" s="411"/>
      <c r="N36" s="4"/>
    </row>
    <row r="37" spans="1:14" s="3" customFormat="1" ht="30" x14ac:dyDescent="0.25">
      <c r="A37" s="659"/>
      <c r="B37" s="391" t="s">
        <v>853</v>
      </c>
      <c r="C37" s="402" t="s">
        <v>854</v>
      </c>
      <c r="D37" s="403">
        <v>9712.3669999999984</v>
      </c>
      <c r="E37" s="403">
        <v>0</v>
      </c>
      <c r="F37" s="404">
        <v>9712.3669999999984</v>
      </c>
      <c r="G37" s="423"/>
      <c r="H37" s="403">
        <v>0</v>
      </c>
      <c r="I37" s="403">
        <v>0</v>
      </c>
      <c r="J37" s="676">
        <v>0</v>
      </c>
      <c r="K37" s="676"/>
      <c r="L37" s="424"/>
      <c r="M37" s="424"/>
      <c r="N37" s="425"/>
    </row>
    <row r="38" spans="1:14" s="3" customFormat="1" ht="15" customHeight="1" x14ac:dyDescent="0.25">
      <c r="A38" s="659"/>
      <c r="B38" s="661" t="s">
        <v>855</v>
      </c>
      <c r="C38" s="662"/>
      <c r="D38" s="426">
        <v>602618.99799999991</v>
      </c>
      <c r="E38" s="426">
        <v>356808.60699999996</v>
      </c>
      <c r="F38" s="427">
        <v>959427.60499999998</v>
      </c>
      <c r="G38" s="428"/>
      <c r="H38" s="426">
        <v>31230.257000000001</v>
      </c>
      <c r="I38" s="426">
        <v>55792.481</v>
      </c>
      <c r="J38" s="679">
        <v>87022.738000000012</v>
      </c>
      <c r="K38" s="680"/>
      <c r="L38" s="424"/>
      <c r="M38" s="424"/>
      <c r="N38" s="425"/>
    </row>
    <row r="39" spans="1:14" ht="17.25" x14ac:dyDescent="0.25">
      <c r="A39" s="659" t="s">
        <v>313</v>
      </c>
      <c r="B39" s="660" t="s">
        <v>856</v>
      </c>
      <c r="C39" s="392" t="s">
        <v>848</v>
      </c>
      <c r="D39" s="412">
        <v>328241.42000000004</v>
      </c>
      <c r="E39" s="412">
        <v>30343.093000000001</v>
      </c>
      <c r="F39" s="413">
        <v>358584.51300000004</v>
      </c>
      <c r="G39" s="429"/>
      <c r="H39" s="412">
        <v>2897.8829999999998</v>
      </c>
      <c r="I39" s="412">
        <v>0</v>
      </c>
      <c r="J39" s="676">
        <v>2897.8829999999998</v>
      </c>
      <c r="K39" s="676"/>
      <c r="L39" s="411"/>
      <c r="M39" s="411"/>
      <c r="N39" s="4"/>
    </row>
    <row r="40" spans="1:14" ht="17.25" x14ac:dyDescent="0.25">
      <c r="A40" s="659"/>
      <c r="B40" s="660"/>
      <c r="C40" s="392" t="s">
        <v>857</v>
      </c>
      <c r="D40" s="412">
        <v>2256.0420000000004</v>
      </c>
      <c r="E40" s="412">
        <v>1405.3789999999999</v>
      </c>
      <c r="F40" s="413">
        <v>3661.4210000000003</v>
      </c>
      <c r="G40" s="429"/>
      <c r="H40" s="412">
        <v>0</v>
      </c>
      <c r="I40" s="412">
        <v>1180.3599999999999</v>
      </c>
      <c r="J40" s="676">
        <v>1180.3599999999999</v>
      </c>
      <c r="K40" s="676"/>
      <c r="L40" s="411"/>
      <c r="M40" s="411"/>
      <c r="N40" s="4"/>
    </row>
    <row r="41" spans="1:14" ht="17.25" x14ac:dyDescent="0.25">
      <c r="A41" s="659"/>
      <c r="B41" s="660"/>
      <c r="C41" s="392" t="s">
        <v>858</v>
      </c>
      <c r="D41" s="412">
        <v>147408.46900000001</v>
      </c>
      <c r="E41" s="412">
        <v>15955.546</v>
      </c>
      <c r="F41" s="413">
        <v>163364.01500000001</v>
      </c>
      <c r="G41" s="429"/>
      <c r="H41" s="412">
        <v>1104.0509999999999</v>
      </c>
      <c r="I41" s="412">
        <v>0</v>
      </c>
      <c r="J41" s="676">
        <v>1104.0509999999999</v>
      </c>
      <c r="K41" s="676"/>
      <c r="L41" s="411"/>
      <c r="M41" s="411"/>
      <c r="N41" s="4"/>
    </row>
    <row r="42" spans="1:14" ht="17.25" x14ac:dyDescent="0.25">
      <c r="A42" s="659"/>
      <c r="B42" s="660"/>
      <c r="C42" s="392" t="s">
        <v>859</v>
      </c>
      <c r="D42" s="412">
        <v>15921.682999999999</v>
      </c>
      <c r="E42" s="412">
        <v>16709.246000000003</v>
      </c>
      <c r="F42" s="413">
        <v>32630.929000000004</v>
      </c>
      <c r="G42" s="429"/>
      <c r="H42" s="412">
        <v>6540.6620000000003</v>
      </c>
      <c r="I42" s="412">
        <v>12319.378000000001</v>
      </c>
      <c r="J42" s="676">
        <v>18860.04</v>
      </c>
      <c r="K42" s="676"/>
      <c r="L42" s="411"/>
      <c r="M42" s="411"/>
      <c r="N42" s="4"/>
    </row>
    <row r="43" spans="1:14" s="3" customFormat="1" ht="17.25" x14ac:dyDescent="0.25">
      <c r="A43" s="659"/>
      <c r="B43" s="660"/>
      <c r="C43" s="397" t="s">
        <v>860</v>
      </c>
      <c r="D43" s="403">
        <v>493827.61400000012</v>
      </c>
      <c r="E43" s="403">
        <v>64413.26400000001</v>
      </c>
      <c r="F43" s="404">
        <v>558240.87800000003</v>
      </c>
      <c r="G43" s="423" t="s">
        <v>244</v>
      </c>
      <c r="H43" s="403">
        <v>10542.596</v>
      </c>
      <c r="I43" s="403">
        <v>13499.738000000001</v>
      </c>
      <c r="J43" s="676">
        <v>24042.334000000003</v>
      </c>
      <c r="K43" s="676"/>
      <c r="L43" s="424"/>
      <c r="M43" s="424"/>
    </row>
    <row r="44" spans="1:14" s="3" customFormat="1" ht="32.25" customHeight="1" x14ac:dyDescent="0.25">
      <c r="A44" s="659"/>
      <c r="B44" s="410" t="s">
        <v>861</v>
      </c>
      <c r="C44" s="402" t="s">
        <v>862</v>
      </c>
      <c r="D44" s="403">
        <v>8376.5569999999989</v>
      </c>
      <c r="E44" s="403">
        <v>0</v>
      </c>
      <c r="F44" s="404">
        <v>8376.5569999999989</v>
      </c>
      <c r="G44" s="423"/>
      <c r="H44" s="403">
        <v>0</v>
      </c>
      <c r="I44" s="403">
        <v>0</v>
      </c>
      <c r="J44" s="676">
        <v>0</v>
      </c>
      <c r="K44" s="676"/>
      <c r="L44" s="424"/>
      <c r="M44" s="424"/>
      <c r="N44" s="425"/>
    </row>
    <row r="45" spans="1:14" s="3" customFormat="1" ht="32.25" customHeight="1" x14ac:dyDescent="0.25">
      <c r="A45" s="659"/>
      <c r="B45" s="661" t="s">
        <v>863</v>
      </c>
      <c r="C45" s="662"/>
      <c r="D45" s="426">
        <v>502204.17100000009</v>
      </c>
      <c r="E45" s="426">
        <v>64413.26400000001</v>
      </c>
      <c r="F45" s="427">
        <v>566617.43500000006</v>
      </c>
      <c r="G45" s="428"/>
      <c r="H45" s="426">
        <v>10542.596</v>
      </c>
      <c r="I45" s="426">
        <v>13499.738000000001</v>
      </c>
      <c r="J45" s="679">
        <v>24042.334000000003</v>
      </c>
      <c r="K45" s="680"/>
      <c r="L45" s="424"/>
      <c r="M45" s="424"/>
      <c r="N45" s="425"/>
    </row>
    <row r="46" spans="1:14" ht="15" customHeight="1" x14ac:dyDescent="0.25">
      <c r="A46" s="659" t="s">
        <v>864</v>
      </c>
      <c r="B46" s="660" t="s">
        <v>865</v>
      </c>
      <c r="C46" s="392" t="s">
        <v>866</v>
      </c>
      <c r="D46" s="430"/>
      <c r="E46" s="430"/>
      <c r="F46" s="413">
        <v>436072.54799999995</v>
      </c>
      <c r="G46" s="429"/>
      <c r="H46" s="430"/>
      <c r="I46" s="431"/>
      <c r="J46" s="676">
        <v>48263.538</v>
      </c>
      <c r="K46" s="676"/>
      <c r="L46" s="411"/>
      <c r="M46" s="411"/>
    </row>
    <row r="47" spans="1:14" ht="17.25" x14ac:dyDescent="0.25">
      <c r="A47" s="659"/>
      <c r="B47" s="660"/>
      <c r="C47" s="392" t="s">
        <v>867</v>
      </c>
      <c r="D47" s="430"/>
      <c r="E47" s="430"/>
      <c r="F47" s="413">
        <v>48689.626000000004</v>
      </c>
      <c r="G47" s="429"/>
      <c r="H47" s="430"/>
      <c r="I47" s="431"/>
      <c r="J47" s="676">
        <v>13987.76</v>
      </c>
      <c r="K47" s="676"/>
      <c r="L47" s="411"/>
      <c r="M47" s="411"/>
    </row>
    <row r="48" spans="1:14" ht="30" x14ac:dyDescent="0.25">
      <c r="A48" s="659"/>
      <c r="B48" s="660"/>
      <c r="C48" s="390" t="s">
        <v>868</v>
      </c>
      <c r="D48" s="430"/>
      <c r="E48" s="430"/>
      <c r="F48" s="413">
        <v>1335.81</v>
      </c>
      <c r="G48" s="429"/>
      <c r="H48" s="430"/>
      <c r="I48" s="431"/>
      <c r="J48" s="676">
        <v>0</v>
      </c>
      <c r="K48" s="676"/>
      <c r="L48" s="411"/>
      <c r="M48" s="411"/>
    </row>
    <row r="49" spans="1:13" ht="17.25" x14ac:dyDescent="0.25">
      <c r="A49" s="659"/>
      <c r="B49" s="660"/>
      <c r="C49" s="432" t="s">
        <v>869</v>
      </c>
      <c r="D49" s="430"/>
      <c r="E49" s="430"/>
      <c r="F49" s="433">
        <v>486097.98399999994</v>
      </c>
      <c r="G49" s="408"/>
      <c r="H49" s="430"/>
      <c r="I49" s="431"/>
      <c r="J49" s="676">
        <v>62251.298000000003</v>
      </c>
      <c r="K49" s="676"/>
      <c r="L49" s="411"/>
    </row>
    <row r="50" spans="1:13" ht="15" customHeight="1" x14ac:dyDescent="0.25">
      <c r="A50" s="659"/>
      <c r="B50" s="660" t="s">
        <v>870</v>
      </c>
      <c r="C50" s="414" t="s">
        <v>871</v>
      </c>
      <c r="D50" s="430"/>
      <c r="E50" s="430"/>
      <c r="F50" s="413">
        <v>596380.06400000001</v>
      </c>
      <c r="G50" s="429"/>
      <c r="H50" s="430"/>
      <c r="I50" s="430"/>
      <c r="J50" s="676">
        <v>69430.718000000008</v>
      </c>
      <c r="K50" s="676"/>
      <c r="L50" s="411"/>
    </row>
    <row r="51" spans="1:13" x14ac:dyDescent="0.25">
      <c r="A51" s="659"/>
      <c r="B51" s="660"/>
      <c r="C51" s="414" t="s">
        <v>872</v>
      </c>
      <c r="D51" s="430"/>
      <c r="E51" s="430"/>
      <c r="F51" s="413">
        <v>501072.91299999994</v>
      </c>
      <c r="G51" s="429"/>
      <c r="H51" s="430"/>
      <c r="I51" s="430"/>
      <c r="J51" s="676">
        <v>52939.024999999987</v>
      </c>
      <c r="K51" s="676"/>
      <c r="L51" s="411"/>
    </row>
    <row r="52" spans="1:13" ht="17.25" x14ac:dyDescent="0.25">
      <c r="A52" s="659"/>
      <c r="B52" s="660"/>
      <c r="C52" s="415" t="s">
        <v>873</v>
      </c>
      <c r="D52" s="430"/>
      <c r="E52" s="430"/>
      <c r="F52" s="413">
        <v>-93287.811000000016</v>
      </c>
      <c r="G52" s="429"/>
      <c r="H52" s="430"/>
      <c r="I52" s="430"/>
      <c r="J52" s="676">
        <v>729.10300000000166</v>
      </c>
      <c r="K52" s="676"/>
      <c r="L52" s="411"/>
    </row>
    <row r="53" spans="1:13" x14ac:dyDescent="0.25">
      <c r="B53" s="434"/>
      <c r="C53" s="435"/>
      <c r="D53" s="436"/>
      <c r="E53" s="436"/>
      <c r="F53" s="436"/>
      <c r="G53" s="437"/>
      <c r="H53" s="438"/>
      <c r="I53" s="438"/>
      <c r="J53" s="438"/>
      <c r="L53" s="411"/>
      <c r="M53" s="411"/>
    </row>
    <row r="54" spans="1:13" ht="17.25" x14ac:dyDescent="0.25">
      <c r="A54" s="653" t="s">
        <v>882</v>
      </c>
      <c r="B54" s="654"/>
      <c r="C54" s="654"/>
      <c r="D54" s="655"/>
      <c r="G54"/>
      <c r="L54" s="411"/>
    </row>
    <row r="55" spans="1:13" x14ac:dyDescent="0.25">
      <c r="A55" s="682" t="s">
        <v>883</v>
      </c>
      <c r="B55" s="683"/>
      <c r="C55" s="684"/>
      <c r="D55" s="439">
        <v>0.32</v>
      </c>
      <c r="G55"/>
      <c r="L55" s="411"/>
    </row>
    <row r="56" spans="1:13" ht="6.75" customHeight="1" x14ac:dyDescent="0.25">
      <c r="A56" s="440"/>
      <c r="B56" s="440"/>
      <c r="C56" s="438"/>
      <c r="D56" s="438"/>
      <c r="E56" s="438"/>
      <c r="F56" s="438"/>
      <c r="G56" s="437"/>
      <c r="H56" s="438"/>
      <c r="I56" s="438"/>
      <c r="L56" s="411"/>
    </row>
    <row r="57" spans="1:13" ht="28.5" customHeight="1" x14ac:dyDescent="0.25">
      <c r="A57" s="681" t="s">
        <v>884</v>
      </c>
      <c r="B57" s="681"/>
      <c r="C57" s="681"/>
      <c r="D57" s="681"/>
      <c r="E57" s="681"/>
      <c r="F57" s="681"/>
      <c r="G57" s="681"/>
      <c r="H57" s="681"/>
      <c r="I57" s="681"/>
      <c r="J57" s="681"/>
      <c r="K57" s="681"/>
      <c r="L57" s="411"/>
    </row>
    <row r="58" spans="1:13" s="441" customFormat="1" ht="41.25" customHeight="1" x14ac:dyDescent="0.2">
      <c r="A58" s="681" t="s">
        <v>885</v>
      </c>
      <c r="B58" s="681"/>
      <c r="C58" s="681"/>
      <c r="D58" s="681"/>
      <c r="E58" s="681"/>
      <c r="F58" s="681"/>
      <c r="G58" s="681"/>
      <c r="H58" s="681"/>
      <c r="I58" s="681"/>
      <c r="J58" s="681"/>
      <c r="K58" s="681"/>
    </row>
    <row r="59" spans="1:13" s="441" customFormat="1" ht="39" customHeight="1" x14ac:dyDescent="0.2">
      <c r="A59" s="681" t="s">
        <v>886</v>
      </c>
      <c r="B59" s="681"/>
      <c r="C59" s="681"/>
      <c r="D59" s="681"/>
      <c r="E59" s="681"/>
      <c r="F59" s="681"/>
      <c r="G59" s="681"/>
      <c r="H59" s="681"/>
      <c r="I59" s="681"/>
      <c r="J59" s="681"/>
      <c r="K59" s="681"/>
    </row>
    <row r="60" spans="1:13" s="441" customFormat="1" ht="13.5" customHeight="1" x14ac:dyDescent="0.2">
      <c r="A60" s="681" t="s">
        <v>887</v>
      </c>
      <c r="B60" s="681"/>
      <c r="C60" s="681"/>
      <c r="D60" s="681"/>
      <c r="E60" s="681"/>
      <c r="F60" s="681"/>
      <c r="G60" s="681"/>
      <c r="H60" s="681"/>
      <c r="I60" s="681"/>
      <c r="J60" s="681"/>
      <c r="K60" s="681"/>
    </row>
    <row r="61" spans="1:13" s="441" customFormat="1" ht="23.65" customHeight="1" x14ac:dyDescent="0.2">
      <c r="A61" s="681" t="s">
        <v>888</v>
      </c>
      <c r="B61" s="681"/>
      <c r="C61" s="681"/>
      <c r="D61" s="681"/>
      <c r="E61" s="681"/>
      <c r="F61" s="681"/>
      <c r="G61" s="681"/>
      <c r="H61" s="681"/>
      <c r="I61" s="681"/>
      <c r="J61" s="681"/>
      <c r="K61" s="681"/>
    </row>
    <row r="62" spans="1:13" s="441" customFormat="1" ht="12" customHeight="1" x14ac:dyDescent="0.2">
      <c r="A62" s="681" t="s">
        <v>889</v>
      </c>
      <c r="B62" s="681"/>
      <c r="C62" s="681"/>
      <c r="D62" s="681"/>
      <c r="E62" s="681"/>
      <c r="F62" s="681"/>
      <c r="G62" s="681"/>
      <c r="H62" s="681"/>
      <c r="I62" s="681"/>
      <c r="J62" s="681"/>
      <c r="K62" s="681"/>
    </row>
    <row r="63" spans="1:13" s="441" customFormat="1" ht="12" customHeight="1" x14ac:dyDescent="0.2">
      <c r="A63" s="681" t="s">
        <v>890</v>
      </c>
      <c r="B63" s="681"/>
      <c r="C63" s="681"/>
      <c r="D63" s="681"/>
      <c r="E63" s="681"/>
      <c r="F63" s="681"/>
      <c r="G63" s="681"/>
      <c r="H63" s="681"/>
      <c r="I63" s="681"/>
      <c r="J63" s="681"/>
      <c r="K63" s="681"/>
    </row>
    <row r="64" spans="1:13" s="441" customFormat="1" ht="27" customHeight="1" x14ac:dyDescent="0.2">
      <c r="A64" s="681" t="s">
        <v>891</v>
      </c>
      <c r="B64" s="681"/>
      <c r="C64" s="681"/>
      <c r="D64" s="681"/>
      <c r="E64" s="681"/>
      <c r="F64" s="681"/>
      <c r="G64" s="681"/>
      <c r="H64" s="681"/>
      <c r="I64" s="681"/>
      <c r="J64" s="681"/>
      <c r="K64" s="681"/>
    </row>
    <row r="65" spans="1:11" s="441" customFormat="1" ht="12" customHeight="1" x14ac:dyDescent="0.2">
      <c r="A65" s="681" t="s">
        <v>892</v>
      </c>
      <c r="B65" s="681"/>
      <c r="C65" s="681"/>
      <c r="D65" s="681"/>
      <c r="E65" s="681"/>
      <c r="F65" s="681"/>
      <c r="G65" s="681"/>
      <c r="H65" s="681"/>
      <c r="I65" s="681"/>
      <c r="J65" s="681"/>
      <c r="K65" s="681"/>
    </row>
    <row r="66" spans="1:11" s="441" customFormat="1" ht="25.5" customHeight="1" x14ac:dyDescent="0.2">
      <c r="A66" s="681" t="s">
        <v>893</v>
      </c>
      <c r="B66" s="681"/>
      <c r="C66" s="681"/>
      <c r="D66" s="681"/>
      <c r="E66" s="681"/>
      <c r="F66" s="681"/>
      <c r="G66" s="681"/>
      <c r="H66" s="681"/>
      <c r="I66" s="681"/>
      <c r="J66" s="681"/>
      <c r="K66" s="681"/>
    </row>
    <row r="67" spans="1:11" s="441" customFormat="1" ht="15" customHeight="1" x14ac:dyDescent="0.2">
      <c r="A67" s="681" t="s">
        <v>894</v>
      </c>
      <c r="B67" s="681"/>
      <c r="C67" s="681"/>
      <c r="D67" s="681"/>
      <c r="E67" s="681"/>
      <c r="F67" s="681"/>
      <c r="G67" s="681"/>
      <c r="H67" s="681"/>
      <c r="I67" s="681"/>
      <c r="J67" s="681"/>
      <c r="K67" s="681"/>
    </row>
    <row r="68" spans="1:11" s="441" customFormat="1" ht="24.75" customHeight="1" x14ac:dyDescent="0.2">
      <c r="A68" s="681" t="s">
        <v>895</v>
      </c>
      <c r="B68" s="681"/>
      <c r="C68" s="681"/>
      <c r="D68" s="681"/>
      <c r="E68" s="681"/>
      <c r="F68" s="681"/>
      <c r="G68" s="681"/>
      <c r="H68" s="681"/>
      <c r="I68" s="681"/>
      <c r="J68" s="681"/>
      <c r="K68" s="681"/>
    </row>
    <row r="69" spans="1:11" s="441" customFormat="1" ht="36" customHeight="1" x14ac:dyDescent="0.2">
      <c r="A69" s="681" t="s">
        <v>896</v>
      </c>
      <c r="B69" s="681"/>
      <c r="C69" s="681"/>
      <c r="D69" s="681"/>
      <c r="E69" s="681"/>
      <c r="F69" s="681"/>
      <c r="G69" s="681"/>
      <c r="H69" s="681"/>
      <c r="I69" s="681"/>
      <c r="J69" s="681"/>
      <c r="K69" s="681"/>
    </row>
  </sheetData>
  <mergeCells count="65">
    <mergeCell ref="A65:K65"/>
    <mergeCell ref="A66:K66"/>
    <mergeCell ref="A67:K67"/>
    <mergeCell ref="A68:K68"/>
    <mergeCell ref="A69:K69"/>
    <mergeCell ref="A64:K64"/>
    <mergeCell ref="J51:K51"/>
    <mergeCell ref="J52:K52"/>
    <mergeCell ref="A54:D54"/>
    <mergeCell ref="A55:C55"/>
    <mergeCell ref="A57:K57"/>
    <mergeCell ref="A58:K58"/>
    <mergeCell ref="A59:K59"/>
    <mergeCell ref="A60:K60"/>
    <mergeCell ref="A61:K61"/>
    <mergeCell ref="A62:K62"/>
    <mergeCell ref="A63:K63"/>
    <mergeCell ref="A46:A52"/>
    <mergeCell ref="B46:B49"/>
    <mergeCell ref="J46:K46"/>
    <mergeCell ref="J47:K47"/>
    <mergeCell ref="J48:K48"/>
    <mergeCell ref="J49:K49"/>
    <mergeCell ref="B50:B52"/>
    <mergeCell ref="J50:K50"/>
    <mergeCell ref="A39:A45"/>
    <mergeCell ref="B39:B43"/>
    <mergeCell ref="J39:K39"/>
    <mergeCell ref="J40:K40"/>
    <mergeCell ref="J41:K41"/>
    <mergeCell ref="J42:K42"/>
    <mergeCell ref="J43:K43"/>
    <mergeCell ref="J44:K44"/>
    <mergeCell ref="B45:C45"/>
    <mergeCell ref="J45:K45"/>
    <mergeCell ref="A32:A38"/>
    <mergeCell ref="B32:B36"/>
    <mergeCell ref="J32:K32"/>
    <mergeCell ref="J33:K33"/>
    <mergeCell ref="J34:K34"/>
    <mergeCell ref="J35:K35"/>
    <mergeCell ref="J36:K36"/>
    <mergeCell ref="J37:K37"/>
    <mergeCell ref="B38:C38"/>
    <mergeCell ref="J38:K38"/>
    <mergeCell ref="A20:A26"/>
    <mergeCell ref="B20:B23"/>
    <mergeCell ref="B24:B26"/>
    <mergeCell ref="A28:K28"/>
    <mergeCell ref="A29:A31"/>
    <mergeCell ref="B29:B31"/>
    <mergeCell ref="C29:C31"/>
    <mergeCell ref="D29:F29"/>
    <mergeCell ref="H29:K29"/>
    <mergeCell ref="D30:F30"/>
    <mergeCell ref="H30:K30"/>
    <mergeCell ref="J31:K31"/>
    <mergeCell ref="A13:A19"/>
    <mergeCell ref="B13:B17"/>
    <mergeCell ref="B19:C19"/>
    <mergeCell ref="A4:J4"/>
    <mergeCell ref="I5:J5"/>
    <mergeCell ref="A6:A12"/>
    <mergeCell ref="B6:B10"/>
    <mergeCell ref="B12:C12"/>
  </mergeCells>
  <printOptions horizontalCentered="1"/>
  <pageMargins left="0.23622047244094491" right="0.23622047244094491" top="0.74803149606299213" bottom="0.74803149606299213" header="0.31496062992125984" footer="0.31496062992125984"/>
  <pageSetup paperSize="9" fitToHeight="40" orientation="landscape" r:id="rId1"/>
  <headerFooter>
    <oddHeader>&amp;L&amp;G</oddHeader>
    <oddFooter>&amp;C&amp;10&amp;P of &amp;N</oddFooter>
  </headerFooter>
  <rowBreaks count="1" manualBreakCount="1">
    <brk id="49" max="9"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9F517-3613-4309-A9C8-BBA426BC4F09}">
  <sheetPr>
    <tabColor rgb="FF0C3F6C"/>
    <pageSetUpPr fitToPage="1"/>
  </sheetPr>
  <dimension ref="A1:L70"/>
  <sheetViews>
    <sheetView showGridLines="0" view="pageBreakPreview" zoomScaleNormal="100" zoomScaleSheetLayoutView="100" workbookViewId="0">
      <pane ySplit="3" topLeftCell="A33" activePane="bottomLeft" state="frozen"/>
      <selection activeCell="A6" sqref="A6:D6"/>
      <selection pane="bottomLeft" activeCell="I1" sqref="I1"/>
    </sheetView>
  </sheetViews>
  <sheetFormatPr defaultColWidth="9.140625" defaultRowHeight="15" x14ac:dyDescent="0.25"/>
  <cols>
    <col min="1" max="1" width="48.5703125" customWidth="1"/>
    <col min="2" max="3" width="16.42578125" customWidth="1"/>
    <col min="4" max="4" width="13.5703125" customWidth="1"/>
    <col min="5" max="5" width="2.5703125" customWidth="1"/>
    <col min="6" max="6" width="16.42578125" customWidth="1"/>
    <col min="7" max="7" width="14.7109375" customWidth="1"/>
    <col min="8" max="8" width="2.5703125" style="18" customWidth="1"/>
    <col min="9" max="10" width="19.7109375" style="18" customWidth="1"/>
    <col min="11" max="12" width="17.85546875" style="18" customWidth="1"/>
    <col min="13" max="16384" width="9.140625" style="18"/>
  </cols>
  <sheetData>
    <row r="1" spans="1:8" ht="18.75" x14ac:dyDescent="0.25">
      <c r="A1" s="1" t="s">
        <v>731</v>
      </c>
      <c r="B1" s="18"/>
      <c r="C1" s="18"/>
      <c r="D1" s="18"/>
      <c r="E1" s="18"/>
      <c r="F1" s="18"/>
      <c r="G1" s="18"/>
    </row>
    <row r="2" spans="1:8" x14ac:dyDescent="0.25">
      <c r="A2" s="442" t="s">
        <v>897</v>
      </c>
      <c r="B2" s="18"/>
      <c r="C2" s="18"/>
      <c r="D2" s="18"/>
      <c r="E2" s="18"/>
      <c r="F2" s="18"/>
      <c r="G2" s="18"/>
    </row>
    <row r="3" spans="1:8" x14ac:dyDescent="0.25">
      <c r="A3" s="18"/>
      <c r="B3" s="18"/>
      <c r="C3" s="18"/>
      <c r="D3" s="18"/>
      <c r="E3" s="18"/>
      <c r="F3" s="18"/>
      <c r="G3" s="18"/>
    </row>
    <row r="4" spans="1:8" ht="15.75" x14ac:dyDescent="0.25">
      <c r="A4" s="687" t="s">
        <v>898</v>
      </c>
      <c r="B4" s="688"/>
      <c r="C4" s="688"/>
      <c r="D4" s="688"/>
      <c r="E4" s="688"/>
      <c r="F4" s="688"/>
      <c r="G4" s="688"/>
      <c r="H4" s="689"/>
    </row>
    <row r="5" spans="1:8" s="442" customFormat="1" x14ac:dyDescent="0.25">
      <c r="A5" s="387" t="s">
        <v>843</v>
      </c>
      <c r="B5" s="387">
        <v>2019</v>
      </c>
      <c r="C5" s="387">
        <v>2020</v>
      </c>
      <c r="D5" s="663">
        <v>2021</v>
      </c>
      <c r="E5" s="664"/>
      <c r="F5" s="387">
        <v>2022</v>
      </c>
      <c r="G5" s="388">
        <v>2023</v>
      </c>
      <c r="H5" s="443"/>
    </row>
    <row r="6" spans="1:8" x14ac:dyDescent="0.25">
      <c r="A6" s="160" t="s">
        <v>1234</v>
      </c>
      <c r="B6" s="357">
        <v>17</v>
      </c>
      <c r="C6" s="357">
        <v>8</v>
      </c>
      <c r="D6" s="690">
        <v>4</v>
      </c>
      <c r="E6" s="691"/>
      <c r="F6" s="357">
        <v>4</v>
      </c>
      <c r="G6" s="361">
        <v>4</v>
      </c>
      <c r="H6" s="444" t="s">
        <v>244</v>
      </c>
    </row>
    <row r="7" spans="1:8" ht="17.25" x14ac:dyDescent="0.25">
      <c r="A7" s="160" t="s">
        <v>899</v>
      </c>
      <c r="B7" s="445">
        <v>4.6538580514686186E-2</v>
      </c>
      <c r="C7" s="445">
        <v>2.6886860676424304E-2</v>
      </c>
      <c r="D7" s="692">
        <v>1.4209314269553597E-2</v>
      </c>
      <c r="E7" s="693"/>
      <c r="F7" s="445">
        <v>1.2933951465943824E-2</v>
      </c>
      <c r="G7" s="446">
        <v>1.3220733030481041E-2</v>
      </c>
      <c r="H7" s="447"/>
    </row>
    <row r="8" spans="1:8" x14ac:dyDescent="0.25">
      <c r="A8" s="160" t="s">
        <v>1235</v>
      </c>
      <c r="B8" s="448">
        <v>1055</v>
      </c>
      <c r="C8" s="448">
        <v>797</v>
      </c>
      <c r="D8" s="694">
        <v>668</v>
      </c>
      <c r="E8" s="695"/>
      <c r="F8" s="448">
        <v>688</v>
      </c>
      <c r="G8" s="450">
        <v>655</v>
      </c>
      <c r="H8" s="451"/>
    </row>
    <row r="9" spans="1:8" ht="17.25" x14ac:dyDescent="0.25">
      <c r="A9" s="160" t="s">
        <v>1236</v>
      </c>
      <c r="B9" s="452">
        <v>2.8881295554702309</v>
      </c>
      <c r="C9" s="452">
        <v>2.6786034948887716</v>
      </c>
      <c r="D9" s="685">
        <v>2.3729554830154509</v>
      </c>
      <c r="E9" s="686"/>
      <c r="F9" s="452">
        <v>2.2246396521423377</v>
      </c>
      <c r="G9" s="453">
        <v>2.1648950337412707</v>
      </c>
      <c r="H9" s="444" t="s">
        <v>244</v>
      </c>
    </row>
    <row r="10" spans="1:8" x14ac:dyDescent="0.25">
      <c r="A10" s="160" t="s">
        <v>1237</v>
      </c>
      <c r="B10" s="357">
        <v>366</v>
      </c>
      <c r="C10" s="357">
        <v>281</v>
      </c>
      <c r="D10" s="694">
        <v>232</v>
      </c>
      <c r="E10" s="695"/>
      <c r="F10" s="357">
        <v>260</v>
      </c>
      <c r="G10" s="361">
        <v>229</v>
      </c>
      <c r="H10" s="444" t="s">
        <v>244</v>
      </c>
    </row>
    <row r="11" spans="1:8" ht="17.25" x14ac:dyDescent="0.25">
      <c r="A11" s="160" t="s">
        <v>1238</v>
      </c>
      <c r="B11" s="452">
        <v>1.0019482628455967</v>
      </c>
      <c r="C11" s="452">
        <v>0.94440098125940375</v>
      </c>
      <c r="D11" s="685">
        <v>0.82414022763410855</v>
      </c>
      <c r="E11" s="686"/>
      <c r="F11" s="452">
        <v>0.84070684528634865</v>
      </c>
      <c r="G11" s="453">
        <v>0.75688696599503957</v>
      </c>
      <c r="H11" s="444" t="s">
        <v>244</v>
      </c>
    </row>
    <row r="12" spans="1:8" ht="17.25" x14ac:dyDescent="0.25">
      <c r="A12" s="160" t="s">
        <v>900</v>
      </c>
      <c r="B12" s="454" t="s">
        <v>187</v>
      </c>
      <c r="C12" s="454" t="s">
        <v>187</v>
      </c>
      <c r="D12" s="694">
        <v>30</v>
      </c>
      <c r="E12" s="695"/>
      <c r="F12" s="455">
        <v>24</v>
      </c>
      <c r="G12" s="456">
        <v>35</v>
      </c>
      <c r="H12" s="457"/>
    </row>
    <row r="13" spans="1:8" ht="32.25" x14ac:dyDescent="0.25">
      <c r="A13" s="160" t="s">
        <v>901</v>
      </c>
      <c r="B13" s="454" t="s">
        <v>187</v>
      </c>
      <c r="C13" s="454" t="s">
        <v>187</v>
      </c>
      <c r="D13" s="685">
        <v>0.10656985702165199</v>
      </c>
      <c r="E13" s="686"/>
      <c r="F13" s="452">
        <v>7.7603708795685539E-2</v>
      </c>
      <c r="G13" s="453">
        <v>0.11568141401645407</v>
      </c>
      <c r="H13" s="458"/>
    </row>
    <row r="14" spans="1:8" ht="17.25" x14ac:dyDescent="0.25">
      <c r="A14" s="160" t="s">
        <v>902</v>
      </c>
      <c r="B14" s="459">
        <v>574</v>
      </c>
      <c r="C14" s="459">
        <v>398</v>
      </c>
      <c r="D14" s="696">
        <v>385</v>
      </c>
      <c r="E14" s="697"/>
      <c r="F14" s="459">
        <v>464</v>
      </c>
      <c r="G14" s="449">
        <v>532</v>
      </c>
      <c r="H14" s="460"/>
    </row>
    <row r="15" spans="1:8" x14ac:dyDescent="0.25">
      <c r="A15" s="160" t="s">
        <v>581</v>
      </c>
      <c r="B15" s="448">
        <v>365288322.33366698</v>
      </c>
      <c r="C15" s="448">
        <v>297543104.65166301</v>
      </c>
      <c r="D15" s="698">
        <v>281505491.68800002</v>
      </c>
      <c r="E15" s="699"/>
      <c r="F15" s="448">
        <v>309263569.64709002</v>
      </c>
      <c r="G15" s="450">
        <v>302555084.561333</v>
      </c>
      <c r="H15" s="451" t="s">
        <v>244</v>
      </c>
    </row>
    <row r="16" spans="1:8" x14ac:dyDescent="0.25">
      <c r="A16" s="18"/>
      <c r="B16" s="18"/>
      <c r="C16" s="18"/>
      <c r="D16" s="18"/>
      <c r="E16" s="18"/>
      <c r="F16" s="18"/>
      <c r="G16" s="18"/>
    </row>
    <row r="17" spans="1:12" ht="15.75" x14ac:dyDescent="0.25">
      <c r="A17" s="700" t="s">
        <v>903</v>
      </c>
      <c r="B17" s="701"/>
      <c r="C17" s="701"/>
      <c r="D17" s="701"/>
      <c r="E17" s="702"/>
      <c r="F17" s="29"/>
      <c r="G17" s="29"/>
    </row>
    <row r="18" spans="1:12" s="442" customFormat="1" x14ac:dyDescent="0.25">
      <c r="A18" s="387" t="s">
        <v>843</v>
      </c>
      <c r="B18" s="461" t="s">
        <v>48</v>
      </c>
      <c r="C18" s="461" t="s">
        <v>570</v>
      </c>
      <c r="D18" s="703" t="s">
        <v>904</v>
      </c>
      <c r="E18" s="704"/>
      <c r="F18"/>
      <c r="G18"/>
    </row>
    <row r="19" spans="1:12" x14ac:dyDescent="0.25">
      <c r="A19" s="160" t="s">
        <v>1234</v>
      </c>
      <c r="B19" s="357">
        <v>0</v>
      </c>
      <c r="C19" s="357">
        <v>4</v>
      </c>
      <c r="D19" s="361">
        <v>4</v>
      </c>
      <c r="E19" s="444" t="s">
        <v>244</v>
      </c>
    </row>
    <row r="20" spans="1:12" ht="17.25" x14ac:dyDescent="0.25">
      <c r="A20" s="160" t="s">
        <v>899</v>
      </c>
      <c r="B20" s="445">
        <v>0</v>
      </c>
      <c r="C20" s="445">
        <v>2.6816139900731631E-2</v>
      </c>
      <c r="D20" s="446">
        <v>1.3220733030451895E-2</v>
      </c>
      <c r="E20" s="447"/>
    </row>
    <row r="21" spans="1:12" x14ac:dyDescent="0.25">
      <c r="A21" s="160" t="s">
        <v>1235</v>
      </c>
      <c r="B21" s="357">
        <v>323</v>
      </c>
      <c r="C21" s="357">
        <v>332</v>
      </c>
      <c r="D21" s="361">
        <v>655</v>
      </c>
      <c r="E21" s="444"/>
    </row>
    <row r="22" spans="1:12" ht="17.25" x14ac:dyDescent="0.25">
      <c r="A22" s="160" t="s">
        <v>1236</v>
      </c>
      <c r="B22" s="452">
        <v>2.1057269999999999</v>
      </c>
      <c r="C22" s="452">
        <v>2.2257400000000001</v>
      </c>
      <c r="D22" s="453">
        <v>2.164895</v>
      </c>
      <c r="E22" s="444" t="s">
        <v>244</v>
      </c>
    </row>
    <row r="23" spans="1:12" x14ac:dyDescent="0.25">
      <c r="A23" s="160" t="s">
        <v>1237</v>
      </c>
      <c r="B23" s="357">
        <v>131</v>
      </c>
      <c r="C23" s="357">
        <v>98</v>
      </c>
      <c r="D23" s="361">
        <v>229</v>
      </c>
      <c r="E23" s="444" t="s">
        <v>244</v>
      </c>
    </row>
    <row r="24" spans="1:12" ht="17.25" x14ac:dyDescent="0.25">
      <c r="A24" s="160" t="s">
        <v>1238</v>
      </c>
      <c r="B24" s="452">
        <v>0.85402599999999995</v>
      </c>
      <c r="C24" s="452">
        <v>0.656995</v>
      </c>
      <c r="D24" s="453">
        <v>0.75688699999999998</v>
      </c>
      <c r="E24" s="444" t="s">
        <v>244</v>
      </c>
    </row>
    <row r="25" spans="1:12" ht="17.25" x14ac:dyDescent="0.25">
      <c r="A25" s="160" t="s">
        <v>900</v>
      </c>
      <c r="B25" s="455">
        <v>20</v>
      </c>
      <c r="C25" s="455">
        <v>15</v>
      </c>
      <c r="D25" s="456">
        <v>35</v>
      </c>
      <c r="E25" s="457"/>
    </row>
    <row r="26" spans="1:12" ht="32.25" x14ac:dyDescent="0.25">
      <c r="A26" s="160" t="s">
        <v>901</v>
      </c>
      <c r="B26" s="452">
        <v>0.13038558901456659</v>
      </c>
      <c r="C26" s="452">
        <v>0.10056052462774362</v>
      </c>
      <c r="D26" s="453">
        <v>0.11568141401645407</v>
      </c>
      <c r="E26" s="458"/>
    </row>
    <row r="27" spans="1:12" ht="17.25" x14ac:dyDescent="0.25">
      <c r="A27" s="160" t="s">
        <v>902</v>
      </c>
      <c r="B27" s="455">
        <v>286</v>
      </c>
      <c r="C27" s="455">
        <v>246</v>
      </c>
      <c r="D27" s="456">
        <v>532</v>
      </c>
      <c r="E27" s="457"/>
    </row>
    <row r="28" spans="1:12" x14ac:dyDescent="0.25">
      <c r="A28" s="160" t="s">
        <v>581</v>
      </c>
      <c r="B28" s="448">
        <v>153391184.95500001</v>
      </c>
      <c r="C28" s="448">
        <v>149163899.60699999</v>
      </c>
      <c r="D28" s="450">
        <v>302555084.56200004</v>
      </c>
      <c r="E28" s="451" t="s">
        <v>244</v>
      </c>
    </row>
    <row r="29" spans="1:12" x14ac:dyDescent="0.25">
      <c r="A29" s="18"/>
      <c r="B29" s="18"/>
      <c r="C29" s="462"/>
      <c r="D29" s="463"/>
      <c r="E29" s="463"/>
      <c r="F29" s="464"/>
      <c r="G29" s="18"/>
      <c r="H29" s="465"/>
      <c r="I29" s="463"/>
      <c r="J29" s="465"/>
      <c r="K29" s="466"/>
      <c r="L29" s="465"/>
    </row>
    <row r="30" spans="1:12" ht="15.75" x14ac:dyDescent="0.25">
      <c r="A30" s="687" t="s">
        <v>905</v>
      </c>
      <c r="B30" s="688"/>
      <c r="C30" s="688"/>
      <c r="D30" s="688"/>
      <c r="E30" s="688"/>
      <c r="F30" s="688"/>
      <c r="G30" s="689"/>
      <c r="H30" s="465"/>
      <c r="I30" s="463"/>
      <c r="J30" s="465"/>
      <c r="K30" s="466"/>
      <c r="L30" s="465"/>
    </row>
    <row r="31" spans="1:12" s="442" customFormat="1" x14ac:dyDescent="0.25">
      <c r="A31" s="387" t="s">
        <v>843</v>
      </c>
      <c r="B31" s="387">
        <v>2019</v>
      </c>
      <c r="C31" s="387">
        <v>2020</v>
      </c>
      <c r="D31" s="663">
        <v>2021</v>
      </c>
      <c r="E31" s="664"/>
      <c r="F31" s="387">
        <v>2022</v>
      </c>
      <c r="G31" s="387">
        <v>2023</v>
      </c>
      <c r="H31" s="467"/>
      <c r="I31" s="468"/>
      <c r="J31" s="467"/>
      <c r="K31" s="469"/>
      <c r="L31" s="467"/>
    </row>
    <row r="32" spans="1:12" s="442" customFormat="1" x14ac:dyDescent="0.25">
      <c r="A32" s="160" t="s">
        <v>591</v>
      </c>
      <c r="B32" s="357">
        <v>1</v>
      </c>
      <c r="C32" s="357">
        <v>0</v>
      </c>
      <c r="D32" s="690">
        <v>0</v>
      </c>
      <c r="E32" s="691"/>
      <c r="F32" s="357">
        <v>0</v>
      </c>
      <c r="G32" s="357">
        <v>0</v>
      </c>
      <c r="H32" s="467"/>
      <c r="I32" s="468"/>
      <c r="J32" s="467"/>
      <c r="K32" s="469"/>
      <c r="L32" s="467"/>
    </row>
    <row r="33" spans="1:12" s="442" customFormat="1" ht="17.25" x14ac:dyDescent="0.25">
      <c r="A33" s="160" t="s">
        <v>906</v>
      </c>
      <c r="B33" s="452">
        <v>0.29291930088655427</v>
      </c>
      <c r="C33" s="452">
        <v>0.4167463404845767</v>
      </c>
      <c r="D33" s="685">
        <v>0.41207011381705427</v>
      </c>
      <c r="E33" s="686"/>
      <c r="F33" s="452">
        <v>0.32658227451508159</v>
      </c>
      <c r="G33" s="452">
        <v>0.53543968773448225</v>
      </c>
      <c r="H33" s="465"/>
      <c r="I33" s="470"/>
      <c r="J33" s="467"/>
      <c r="K33" s="469"/>
      <c r="L33" s="467"/>
    </row>
    <row r="34" spans="1:12" x14ac:dyDescent="0.25">
      <c r="A34" s="160" t="s">
        <v>907</v>
      </c>
      <c r="B34" s="357">
        <v>0</v>
      </c>
      <c r="C34" s="357">
        <v>0</v>
      </c>
      <c r="D34" s="690">
        <v>2</v>
      </c>
      <c r="E34" s="691"/>
      <c r="F34" s="455">
        <v>3</v>
      </c>
      <c r="G34" s="455">
        <v>3</v>
      </c>
      <c r="H34" s="465"/>
      <c r="I34" s="463"/>
      <c r="J34" s="465"/>
      <c r="K34" s="466"/>
      <c r="L34" s="465"/>
    </row>
    <row r="35" spans="1:12" x14ac:dyDescent="0.25">
      <c r="A35" s="160" t="s">
        <v>908</v>
      </c>
      <c r="B35" s="357">
        <v>0</v>
      </c>
      <c r="C35" s="357">
        <v>2</v>
      </c>
      <c r="D35" s="690">
        <v>5</v>
      </c>
      <c r="E35" s="691"/>
      <c r="F35" s="455">
        <v>3</v>
      </c>
      <c r="G35" s="455">
        <v>9</v>
      </c>
      <c r="H35" s="465"/>
      <c r="I35" s="470"/>
      <c r="J35" s="465"/>
      <c r="K35" s="466"/>
      <c r="L35" s="465"/>
    </row>
    <row r="36" spans="1:12" x14ac:dyDescent="0.25">
      <c r="A36" s="160" t="s">
        <v>909</v>
      </c>
      <c r="B36" s="357">
        <v>29</v>
      </c>
      <c r="C36" s="357">
        <v>33</v>
      </c>
      <c r="D36" s="690">
        <v>30</v>
      </c>
      <c r="E36" s="691"/>
      <c r="F36" s="455">
        <v>19</v>
      </c>
      <c r="G36" s="455">
        <v>30</v>
      </c>
      <c r="H36" s="465"/>
      <c r="I36" s="470"/>
      <c r="J36" s="465"/>
      <c r="K36" s="466"/>
      <c r="L36" s="465"/>
    </row>
    <row r="37" spans="1:12" x14ac:dyDescent="0.25">
      <c r="A37" s="160" t="s">
        <v>910</v>
      </c>
      <c r="B37" s="357">
        <v>3</v>
      </c>
      <c r="C37" s="357">
        <v>1</v>
      </c>
      <c r="D37" s="690">
        <v>0</v>
      </c>
      <c r="E37" s="691"/>
      <c r="F37" s="455">
        <v>4</v>
      </c>
      <c r="G37" s="455">
        <v>11</v>
      </c>
      <c r="H37" s="465"/>
      <c r="I37" s="463"/>
      <c r="J37" s="465"/>
      <c r="K37" s="466"/>
      <c r="L37" s="465"/>
    </row>
    <row r="38" spans="1:12" x14ac:dyDescent="0.25">
      <c r="A38" s="160" t="s">
        <v>911</v>
      </c>
      <c r="B38" s="357">
        <v>6</v>
      </c>
      <c r="C38" s="357">
        <v>4</v>
      </c>
      <c r="D38" s="690">
        <v>1</v>
      </c>
      <c r="E38" s="691"/>
      <c r="F38" s="455">
        <v>2</v>
      </c>
      <c r="G38" s="455">
        <v>2</v>
      </c>
      <c r="H38" s="465"/>
      <c r="I38" s="463"/>
      <c r="J38" s="465"/>
      <c r="K38" s="466"/>
      <c r="L38" s="465"/>
    </row>
    <row r="39" spans="1:12" x14ac:dyDescent="0.25">
      <c r="A39" s="160" t="s">
        <v>912</v>
      </c>
      <c r="B39" s="357">
        <v>0</v>
      </c>
      <c r="C39" s="357">
        <v>0</v>
      </c>
      <c r="D39" s="690">
        <v>0</v>
      </c>
      <c r="E39" s="691"/>
      <c r="F39" s="455">
        <v>1</v>
      </c>
      <c r="G39" s="455">
        <v>0</v>
      </c>
      <c r="H39" s="465"/>
      <c r="I39" s="463"/>
      <c r="J39" s="465"/>
      <c r="K39" s="466"/>
      <c r="L39" s="465"/>
    </row>
    <row r="40" spans="1:12" ht="30" x14ac:dyDescent="0.25">
      <c r="A40" s="160" t="s">
        <v>913</v>
      </c>
      <c r="B40" s="357">
        <v>33</v>
      </c>
      <c r="C40" s="357">
        <v>55</v>
      </c>
      <c r="D40" s="690">
        <v>74</v>
      </c>
      <c r="E40" s="691"/>
      <c r="F40" s="455">
        <v>66</v>
      </c>
      <c r="G40" s="455">
        <v>101</v>
      </c>
      <c r="H40" s="465"/>
      <c r="I40" s="471"/>
      <c r="J40" s="465"/>
      <c r="K40" s="466"/>
      <c r="L40" s="465"/>
    </row>
    <row r="41" spans="1:12" x14ac:dyDescent="0.25">
      <c r="A41" s="160" t="s">
        <v>914</v>
      </c>
      <c r="B41" s="357">
        <v>36</v>
      </c>
      <c r="C41" s="357">
        <v>29</v>
      </c>
      <c r="D41" s="690">
        <v>4</v>
      </c>
      <c r="E41" s="691"/>
      <c r="F41" s="455">
        <v>3</v>
      </c>
      <c r="G41" s="455">
        <v>6</v>
      </c>
      <c r="H41" s="465"/>
      <c r="I41" s="463"/>
      <c r="J41" s="465"/>
      <c r="K41" s="466"/>
      <c r="L41" s="465"/>
    </row>
    <row r="42" spans="1:12" x14ac:dyDescent="0.25">
      <c r="A42" s="402" t="s">
        <v>915</v>
      </c>
      <c r="B42" s="397">
        <v>107</v>
      </c>
      <c r="C42" s="397">
        <v>124</v>
      </c>
      <c r="D42" s="690">
        <v>116</v>
      </c>
      <c r="E42" s="691"/>
      <c r="F42" s="472">
        <v>101</v>
      </c>
      <c r="G42" s="473">
        <v>162</v>
      </c>
      <c r="H42" s="465"/>
      <c r="I42" s="463"/>
      <c r="J42" s="465"/>
      <c r="K42" s="466"/>
      <c r="L42" s="465"/>
    </row>
    <row r="43" spans="1:12" x14ac:dyDescent="0.25">
      <c r="A43" s="18"/>
      <c r="B43" s="18"/>
      <c r="C43" s="462"/>
      <c r="D43" s="463"/>
      <c r="E43" s="463"/>
      <c r="F43" s="464"/>
      <c r="G43" s="18"/>
      <c r="H43" s="465"/>
      <c r="I43" s="463"/>
      <c r="J43" s="465"/>
      <c r="K43" s="466"/>
      <c r="L43" s="465"/>
    </row>
    <row r="44" spans="1:12" ht="15.75" customHeight="1" x14ac:dyDescent="0.25">
      <c r="A44" s="705" t="s">
        <v>916</v>
      </c>
      <c r="B44" s="706"/>
      <c r="C44" s="706"/>
      <c r="D44" s="706"/>
      <c r="E44" s="707"/>
      <c r="H44" s="465"/>
      <c r="I44" s="463"/>
      <c r="J44" s="465"/>
      <c r="K44" s="466"/>
      <c r="L44" s="465"/>
    </row>
    <row r="45" spans="1:12" s="442" customFormat="1" x14ac:dyDescent="0.25">
      <c r="A45" s="387" t="s">
        <v>843</v>
      </c>
      <c r="B45" s="461" t="s">
        <v>48</v>
      </c>
      <c r="C45" s="461" t="s">
        <v>570</v>
      </c>
      <c r="D45" s="703" t="s">
        <v>904</v>
      </c>
      <c r="E45" s="704"/>
      <c r="F45"/>
      <c r="G45"/>
      <c r="H45" s="467"/>
      <c r="I45" s="468"/>
      <c r="J45" s="467"/>
      <c r="K45" s="469"/>
      <c r="L45" s="467"/>
    </row>
    <row r="46" spans="1:12" s="442" customFormat="1" x14ac:dyDescent="0.25">
      <c r="A46" s="160" t="s">
        <v>591</v>
      </c>
      <c r="B46" s="357">
        <v>0</v>
      </c>
      <c r="C46" s="357">
        <v>0</v>
      </c>
      <c r="D46" s="690">
        <v>0</v>
      </c>
      <c r="E46" s="691"/>
      <c r="F46"/>
      <c r="G46"/>
      <c r="H46" s="474"/>
      <c r="I46" s="474"/>
      <c r="J46" s="474"/>
      <c r="K46" s="474"/>
      <c r="L46" s="474"/>
    </row>
    <row r="47" spans="1:12" s="442" customFormat="1" ht="17.25" x14ac:dyDescent="0.25">
      <c r="A47" s="160" t="s">
        <v>917</v>
      </c>
      <c r="B47" s="452">
        <v>0.93877600000000005</v>
      </c>
      <c r="C47" s="452">
        <v>0.120673</v>
      </c>
      <c r="D47" s="685">
        <v>0.53544000000000003</v>
      </c>
      <c r="E47" s="686"/>
      <c r="F47"/>
      <c r="G47"/>
      <c r="H47" s="467"/>
      <c r="I47" s="468"/>
      <c r="J47" s="467"/>
      <c r="K47" s="469"/>
      <c r="L47" s="467"/>
    </row>
    <row r="48" spans="1:12" x14ac:dyDescent="0.25">
      <c r="A48" s="160" t="s">
        <v>907</v>
      </c>
      <c r="B48" s="357">
        <v>2</v>
      </c>
      <c r="C48" s="357">
        <v>1</v>
      </c>
      <c r="D48" s="690">
        <v>3</v>
      </c>
      <c r="E48" s="691"/>
      <c r="H48" s="465"/>
      <c r="I48" s="463"/>
      <c r="J48" s="465"/>
      <c r="K48" s="466"/>
      <c r="L48" s="465"/>
    </row>
    <row r="49" spans="1:12" x14ac:dyDescent="0.25">
      <c r="A49" s="160" t="s">
        <v>908</v>
      </c>
      <c r="B49" s="357">
        <v>9</v>
      </c>
      <c r="C49" s="357">
        <v>0</v>
      </c>
      <c r="D49" s="690">
        <v>9</v>
      </c>
      <c r="E49" s="691"/>
      <c r="H49" s="465"/>
      <c r="I49" s="463"/>
      <c r="J49" s="465"/>
      <c r="K49" s="466"/>
      <c r="L49" s="465"/>
    </row>
    <row r="50" spans="1:12" x14ac:dyDescent="0.25">
      <c r="A50" s="160" t="s">
        <v>909</v>
      </c>
      <c r="B50" s="357">
        <v>29</v>
      </c>
      <c r="C50" s="357">
        <v>1</v>
      </c>
      <c r="D50" s="690">
        <v>30</v>
      </c>
      <c r="E50" s="691"/>
      <c r="H50" s="465"/>
      <c r="I50" s="463"/>
      <c r="J50" s="465"/>
      <c r="K50" s="466"/>
      <c r="L50" s="465"/>
    </row>
    <row r="51" spans="1:12" x14ac:dyDescent="0.25">
      <c r="A51" s="160" t="s">
        <v>910</v>
      </c>
      <c r="B51" s="357">
        <v>11</v>
      </c>
      <c r="C51" s="357">
        <v>0</v>
      </c>
      <c r="D51" s="690">
        <v>11</v>
      </c>
      <c r="E51" s="691"/>
      <c r="H51" s="465"/>
      <c r="I51" s="463"/>
      <c r="J51" s="465"/>
      <c r="K51" s="466"/>
      <c r="L51" s="465"/>
    </row>
    <row r="52" spans="1:12" x14ac:dyDescent="0.25">
      <c r="A52" s="160" t="s">
        <v>911</v>
      </c>
      <c r="B52" s="357">
        <v>2</v>
      </c>
      <c r="C52" s="357">
        <v>0</v>
      </c>
      <c r="D52" s="690">
        <v>2</v>
      </c>
      <c r="E52" s="691"/>
      <c r="H52" s="465"/>
      <c r="I52" s="463"/>
      <c r="J52" s="465"/>
      <c r="K52" s="466"/>
      <c r="L52" s="465"/>
    </row>
    <row r="53" spans="1:12" x14ac:dyDescent="0.25">
      <c r="A53" s="160" t="s">
        <v>912</v>
      </c>
      <c r="B53" s="357">
        <v>0</v>
      </c>
      <c r="C53" s="357">
        <v>0</v>
      </c>
      <c r="D53" s="690">
        <v>0</v>
      </c>
      <c r="E53" s="691"/>
      <c r="H53" s="465"/>
      <c r="I53" s="463"/>
      <c r="J53" s="465"/>
      <c r="K53" s="466"/>
      <c r="L53" s="465"/>
    </row>
    <row r="54" spans="1:12" ht="30" x14ac:dyDescent="0.25">
      <c r="A54" s="160" t="s">
        <v>913</v>
      </c>
      <c r="B54" s="357">
        <v>89</v>
      </c>
      <c r="C54" s="357">
        <v>12</v>
      </c>
      <c r="D54" s="690">
        <v>101</v>
      </c>
      <c r="E54" s="691"/>
      <c r="H54" s="465"/>
      <c r="I54" s="463"/>
      <c r="J54" s="465"/>
      <c r="K54" s="466"/>
      <c r="L54" s="465"/>
    </row>
    <row r="55" spans="1:12" x14ac:dyDescent="0.25">
      <c r="A55" s="160" t="s">
        <v>914</v>
      </c>
      <c r="B55" s="357">
        <v>2</v>
      </c>
      <c r="C55" s="357">
        <v>4</v>
      </c>
      <c r="D55" s="690">
        <v>6</v>
      </c>
      <c r="E55" s="691"/>
      <c r="H55" s="465"/>
      <c r="I55" s="463"/>
      <c r="J55" s="465"/>
      <c r="K55" s="466"/>
      <c r="L55" s="465"/>
    </row>
    <row r="56" spans="1:12" x14ac:dyDescent="0.25">
      <c r="A56" s="402" t="s">
        <v>915</v>
      </c>
      <c r="B56" s="397">
        <v>144</v>
      </c>
      <c r="C56" s="397">
        <v>18</v>
      </c>
      <c r="D56" s="708">
        <v>162</v>
      </c>
      <c r="E56" s="709"/>
      <c r="H56"/>
      <c r="I56" s="463"/>
      <c r="J56" s="465"/>
      <c r="K56" s="466"/>
      <c r="L56" s="465"/>
    </row>
    <row r="57" spans="1:12" x14ac:dyDescent="0.25">
      <c r="A57" s="475"/>
      <c r="B57" s="442"/>
      <c r="C57" s="442"/>
      <c r="D57" s="468"/>
      <c r="E57" s="468"/>
      <c r="H57"/>
      <c r="I57" s="463"/>
      <c r="J57" s="465"/>
      <c r="K57" s="466"/>
      <c r="L57" s="465"/>
    </row>
    <row r="58" spans="1:12" ht="15.75" x14ac:dyDescent="0.25">
      <c r="A58" s="687" t="s">
        <v>918</v>
      </c>
      <c r="B58" s="688"/>
      <c r="C58" s="688"/>
      <c r="D58" s="688"/>
      <c r="E58" s="688"/>
      <c r="F58" s="688"/>
      <c r="G58" s="689"/>
    </row>
    <row r="59" spans="1:12" s="442" customFormat="1" x14ac:dyDescent="0.25">
      <c r="A59" s="387" t="s">
        <v>843</v>
      </c>
      <c r="B59" s="387">
        <v>2019</v>
      </c>
      <c r="C59" s="387">
        <v>2020</v>
      </c>
      <c r="D59" s="663">
        <v>2021</v>
      </c>
      <c r="E59" s="664"/>
      <c r="F59" s="387">
        <v>2022</v>
      </c>
      <c r="G59" s="387">
        <v>2023</v>
      </c>
    </row>
    <row r="60" spans="1:12" x14ac:dyDescent="0.25">
      <c r="A60" s="160" t="s">
        <v>919</v>
      </c>
      <c r="B60" s="445">
        <v>9.3077161029372375E-3</v>
      </c>
      <c r="C60" s="445">
        <v>5.3773721352848606E-3</v>
      </c>
      <c r="D60" s="692">
        <v>2.8418628539107192E-3</v>
      </c>
      <c r="E60" s="693"/>
      <c r="F60" s="445">
        <v>2.5867902931887648E-3</v>
      </c>
      <c r="G60" s="445">
        <v>2.6441466060962084E-3</v>
      </c>
      <c r="H60" s="462"/>
      <c r="I60" s="462"/>
      <c r="J60" s="462"/>
      <c r="K60" s="462"/>
      <c r="L60" s="462"/>
    </row>
    <row r="61" spans="1:12" x14ac:dyDescent="0.25">
      <c r="A61" s="160" t="s">
        <v>920</v>
      </c>
      <c r="B61" s="476">
        <v>0.57762591109404615</v>
      </c>
      <c r="C61" s="476">
        <v>0.53572069897775432</v>
      </c>
      <c r="D61" s="696">
        <v>0.47459109660309012</v>
      </c>
      <c r="E61" s="697"/>
      <c r="F61" s="476">
        <v>0.44492793042846751</v>
      </c>
      <c r="G61" s="476">
        <v>0.43297900674825412</v>
      </c>
      <c r="H61" s="462"/>
      <c r="I61" s="462"/>
      <c r="J61" s="462"/>
      <c r="K61" s="462"/>
      <c r="L61" s="462"/>
    </row>
    <row r="62" spans="1:12" ht="18" customHeight="1" x14ac:dyDescent="0.25">
      <c r="A62" s="160" t="s">
        <v>572</v>
      </c>
      <c r="B62" s="452">
        <v>0.20038965256911934</v>
      </c>
      <c r="C62" s="452">
        <v>0.18888019625188074</v>
      </c>
      <c r="D62" s="685">
        <v>0.1648280455268217</v>
      </c>
      <c r="E62" s="686"/>
      <c r="F62" s="452">
        <v>0.16814136905726973</v>
      </c>
      <c r="G62" s="452">
        <v>0.15137739319900792</v>
      </c>
      <c r="H62" s="462"/>
      <c r="I62" s="462"/>
      <c r="J62" s="462"/>
      <c r="K62" s="462"/>
      <c r="L62" s="462"/>
    </row>
    <row r="63" spans="1:12" ht="30" x14ac:dyDescent="0.25">
      <c r="A63" s="160" t="s">
        <v>921</v>
      </c>
      <c r="B63" s="454" t="s">
        <v>187</v>
      </c>
      <c r="C63" s="454" t="s">
        <v>187</v>
      </c>
      <c r="D63" s="685">
        <v>2.1313971404330393E-2</v>
      </c>
      <c r="E63" s="686"/>
      <c r="F63" s="454">
        <v>1.5520741759132589E-2</v>
      </c>
      <c r="G63" s="454">
        <v>2.3136282803341825E-2</v>
      </c>
      <c r="H63" s="462"/>
      <c r="I63" s="462"/>
      <c r="J63" s="462"/>
      <c r="K63" s="462"/>
      <c r="L63" s="462"/>
    </row>
    <row r="64" spans="1:12" x14ac:dyDescent="0.25">
      <c r="A64" s="160" t="s">
        <v>922</v>
      </c>
      <c r="B64" s="454">
        <v>5.8583860177310848E-2</v>
      </c>
      <c r="C64" s="454">
        <v>8.3349268096915341E-2</v>
      </c>
      <c r="D64" s="685">
        <v>8.2414022763410852E-2</v>
      </c>
      <c r="E64" s="686"/>
      <c r="F64" s="454">
        <v>6.5316454903016311E-2</v>
      </c>
      <c r="G64" s="454">
        <v>0.10708793754689645</v>
      </c>
      <c r="H64" s="470"/>
      <c r="I64" s="462"/>
      <c r="J64" s="462"/>
      <c r="K64" s="462"/>
      <c r="L64" s="462"/>
    </row>
    <row r="65" spans="1:12" ht="6.75" customHeight="1" x14ac:dyDescent="0.25">
      <c r="A65" s="18"/>
      <c r="B65" s="18"/>
      <c r="C65" s="462"/>
      <c r="D65" s="463"/>
      <c r="E65" s="463"/>
      <c r="F65" s="464"/>
      <c r="G65" s="18"/>
      <c r="H65" s="465"/>
      <c r="I65" s="463"/>
      <c r="J65" s="465"/>
      <c r="K65" s="466"/>
      <c r="L65" s="465"/>
    </row>
    <row r="66" spans="1:12" ht="27.75" customHeight="1" x14ac:dyDescent="0.25">
      <c r="A66" s="658" t="s">
        <v>923</v>
      </c>
      <c r="B66" s="658"/>
      <c r="C66" s="658"/>
      <c r="D66" s="658"/>
      <c r="E66" s="658"/>
      <c r="F66" s="658"/>
      <c r="G66" s="658"/>
      <c r="H66" s="465"/>
      <c r="I66" s="463"/>
      <c r="J66" s="465"/>
      <c r="K66" s="466"/>
      <c r="L66" s="465"/>
    </row>
    <row r="67" spans="1:12" s="477" customFormat="1" ht="12" customHeight="1" x14ac:dyDescent="0.25">
      <c r="A67" s="658" t="s">
        <v>924</v>
      </c>
      <c r="B67" s="658"/>
      <c r="C67" s="658"/>
      <c r="D67" s="658"/>
      <c r="E67" s="658"/>
      <c r="F67" s="658"/>
      <c r="G67" s="658"/>
    </row>
    <row r="68" spans="1:12" s="478" customFormat="1" ht="25.5" customHeight="1" x14ac:dyDescent="0.25">
      <c r="A68" s="710" t="s">
        <v>925</v>
      </c>
      <c r="B68" s="710"/>
      <c r="C68" s="710"/>
      <c r="D68" s="710"/>
      <c r="E68" s="710"/>
      <c r="F68" s="710"/>
      <c r="G68" s="710"/>
    </row>
    <row r="69" spans="1:12" ht="42.75" customHeight="1" x14ac:dyDescent="0.25">
      <c r="A69" s="658" t="s">
        <v>926</v>
      </c>
      <c r="B69" s="658"/>
      <c r="C69" s="658"/>
      <c r="D69" s="658"/>
      <c r="E69" s="658"/>
      <c r="F69" s="658"/>
      <c r="G69" s="658"/>
    </row>
    <row r="70" spans="1:12" x14ac:dyDescent="0.25">
      <c r="A70" s="658"/>
      <c r="B70" s="658"/>
      <c r="C70" s="658"/>
      <c r="D70" s="658"/>
      <c r="E70" s="658"/>
      <c r="F70" s="658"/>
      <c r="G70" s="658"/>
    </row>
  </sheetData>
  <mergeCells count="52">
    <mergeCell ref="A67:G67"/>
    <mergeCell ref="A68:G68"/>
    <mergeCell ref="A69:G69"/>
    <mergeCell ref="A70:G70"/>
    <mergeCell ref="D60:E60"/>
    <mergeCell ref="D61:E61"/>
    <mergeCell ref="D62:E62"/>
    <mergeCell ref="D63:E63"/>
    <mergeCell ref="D64:E64"/>
    <mergeCell ref="A66:G66"/>
    <mergeCell ref="D59:E59"/>
    <mergeCell ref="D47:E47"/>
    <mergeCell ref="D48:E48"/>
    <mergeCell ref="D49:E49"/>
    <mergeCell ref="D50:E50"/>
    <mergeCell ref="D51:E51"/>
    <mergeCell ref="D52:E52"/>
    <mergeCell ref="D53:E53"/>
    <mergeCell ref="D54:E54"/>
    <mergeCell ref="D55:E55"/>
    <mergeCell ref="D56:E56"/>
    <mergeCell ref="A58:G58"/>
    <mergeCell ref="D46:E46"/>
    <mergeCell ref="D34:E34"/>
    <mergeCell ref="D35:E35"/>
    <mergeCell ref="D36:E36"/>
    <mergeCell ref="D37:E37"/>
    <mergeCell ref="D38:E38"/>
    <mergeCell ref="D39:E39"/>
    <mergeCell ref="D40:E40"/>
    <mergeCell ref="D41:E41"/>
    <mergeCell ref="D42:E42"/>
    <mergeCell ref="A44:E44"/>
    <mergeCell ref="D45:E45"/>
    <mergeCell ref="D33:E33"/>
    <mergeCell ref="D10:E10"/>
    <mergeCell ref="D11:E11"/>
    <mergeCell ref="D12:E12"/>
    <mergeCell ref="D13:E13"/>
    <mergeCell ref="D14:E14"/>
    <mergeCell ref="D15:E15"/>
    <mergeCell ref="A17:E17"/>
    <mergeCell ref="D18:E18"/>
    <mergeCell ref="A30:G30"/>
    <mergeCell ref="D31:E31"/>
    <mergeCell ref="D32:E32"/>
    <mergeCell ref="D9:E9"/>
    <mergeCell ref="A4:H4"/>
    <mergeCell ref="D5:E5"/>
    <mergeCell ref="D6:E6"/>
    <mergeCell ref="D7:E7"/>
    <mergeCell ref="D8:E8"/>
  </mergeCells>
  <printOptions horizontalCentered="1"/>
  <pageMargins left="0.23622047244094491" right="0.23622047244094491" top="0.74803149606299213" bottom="0.74803149606299213" header="0.31496062992125984" footer="0.31496062992125984"/>
  <pageSetup paperSize="9" fitToHeight="40" orientation="landscape" r:id="rId1"/>
  <headerFooter>
    <oddHeader>&amp;L&amp;G</oddHeader>
    <oddFooter>&amp;C&amp;10&amp;P of &amp;N</oddFooter>
  </headerFooter>
  <rowBreaks count="1" manualBreakCount="1">
    <brk id="29" max="7"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4B090-787A-4ED7-A200-D52B3D7D3754}">
  <sheetPr>
    <tabColor rgb="FF0C3F6C"/>
  </sheetPr>
  <dimension ref="A1:T84"/>
  <sheetViews>
    <sheetView view="pageBreakPreview" zoomScaleNormal="100" zoomScaleSheetLayoutView="100" workbookViewId="0">
      <pane ySplit="3" topLeftCell="A4" activePane="bottomLeft" state="frozen"/>
      <selection activeCell="A6" sqref="A6:D6"/>
      <selection pane="bottomLeft" activeCell="I1" sqref="I1"/>
    </sheetView>
  </sheetViews>
  <sheetFormatPr defaultColWidth="9.140625" defaultRowHeight="15" x14ac:dyDescent="0.25"/>
  <cols>
    <col min="1" max="1" width="24.7109375" customWidth="1"/>
    <col min="2" max="8" width="22.140625" customWidth="1"/>
    <col min="9" max="10" width="22.140625" style="18" customWidth="1"/>
    <col min="14" max="14" width="11.28515625" customWidth="1"/>
    <col min="21" max="16384" width="9.140625" style="18"/>
  </cols>
  <sheetData>
    <row r="1" spans="1:8" ht="18.75" x14ac:dyDescent="0.25">
      <c r="A1" s="479" t="s">
        <v>927</v>
      </c>
      <c r="B1" s="18"/>
      <c r="C1" s="18"/>
      <c r="D1" s="18"/>
      <c r="E1" s="18"/>
      <c r="F1" s="18"/>
      <c r="G1" s="18"/>
      <c r="H1" s="18"/>
    </row>
    <row r="2" spans="1:8" ht="17.25" x14ac:dyDescent="0.25">
      <c r="A2" s="442" t="s">
        <v>928</v>
      </c>
      <c r="B2" s="18"/>
      <c r="C2" s="18"/>
      <c r="D2" s="18"/>
      <c r="E2" s="18"/>
      <c r="F2" s="18"/>
      <c r="G2" s="18"/>
      <c r="H2" s="18"/>
    </row>
    <row r="3" spans="1:8" x14ac:dyDescent="0.25">
      <c r="A3" s="18"/>
      <c r="B3" s="18"/>
      <c r="C3" s="18"/>
      <c r="D3" s="18"/>
      <c r="E3" s="18"/>
      <c r="F3" s="18"/>
      <c r="G3" s="18"/>
      <c r="H3" s="18"/>
    </row>
    <row r="4" spans="1:8" ht="15.75" x14ac:dyDescent="0.25">
      <c r="A4" s="711" t="s">
        <v>929</v>
      </c>
      <c r="B4" s="712"/>
      <c r="C4" s="712"/>
      <c r="D4" s="712"/>
      <c r="E4" s="712"/>
      <c r="F4" s="712"/>
      <c r="H4" s="18"/>
    </row>
    <row r="5" spans="1:8" x14ac:dyDescent="0.25">
      <c r="A5" s="480" t="s">
        <v>741</v>
      </c>
      <c r="B5" s="480">
        <v>2019</v>
      </c>
      <c r="C5" s="480">
        <v>2020</v>
      </c>
      <c r="D5" s="480">
        <v>2021</v>
      </c>
      <c r="E5" s="480">
        <v>2022</v>
      </c>
      <c r="F5" s="480">
        <v>2023</v>
      </c>
      <c r="H5" s="18"/>
    </row>
    <row r="6" spans="1:8" x14ac:dyDescent="0.25">
      <c r="A6" s="481" t="s">
        <v>48</v>
      </c>
      <c r="B6" s="412">
        <v>89092</v>
      </c>
      <c r="C6" s="412">
        <v>87822</v>
      </c>
      <c r="D6" s="412">
        <v>81284</v>
      </c>
      <c r="E6" s="412">
        <v>81706</v>
      </c>
      <c r="F6" s="412">
        <v>83426</v>
      </c>
      <c r="G6" s="411"/>
      <c r="H6" s="18"/>
    </row>
    <row r="7" spans="1:8" x14ac:dyDescent="0.25">
      <c r="A7" s="481" t="s">
        <v>570</v>
      </c>
      <c r="B7" s="412">
        <v>70253</v>
      </c>
      <c r="C7" s="412">
        <v>56300</v>
      </c>
      <c r="D7" s="412">
        <v>53630</v>
      </c>
      <c r="E7" s="412">
        <v>59919</v>
      </c>
      <c r="F7" s="412">
        <v>72282</v>
      </c>
      <c r="H7" s="18"/>
    </row>
    <row r="8" spans="1:8" x14ac:dyDescent="0.25">
      <c r="A8" s="482" t="s">
        <v>930</v>
      </c>
      <c r="B8" s="403">
        <v>159345</v>
      </c>
      <c r="C8" s="403">
        <v>144122</v>
      </c>
      <c r="D8" s="403">
        <v>134914</v>
      </c>
      <c r="E8" s="403">
        <v>141625</v>
      </c>
      <c r="F8" s="403">
        <v>155708</v>
      </c>
      <c r="H8" s="18"/>
    </row>
    <row r="9" spans="1:8" x14ac:dyDescent="0.25">
      <c r="A9" s="18"/>
      <c r="B9" s="18"/>
      <c r="C9" s="18"/>
      <c r="D9" s="18"/>
      <c r="E9" s="18"/>
      <c r="F9" s="18"/>
      <c r="G9" s="18"/>
      <c r="H9" s="18"/>
    </row>
    <row r="10" spans="1:8" ht="15.75" x14ac:dyDescent="0.25">
      <c r="A10" s="713" t="s">
        <v>931</v>
      </c>
      <c r="B10" s="712"/>
      <c r="C10" s="712"/>
      <c r="D10" s="712"/>
      <c r="G10" s="18"/>
      <c r="H10" s="18"/>
    </row>
    <row r="11" spans="1:8" x14ac:dyDescent="0.25">
      <c r="A11" s="387" t="s">
        <v>740</v>
      </c>
      <c r="B11" s="483" t="s">
        <v>48</v>
      </c>
      <c r="C11" s="483" t="s">
        <v>570</v>
      </c>
      <c r="D11" s="483" t="s">
        <v>881</v>
      </c>
      <c r="H11" s="18"/>
    </row>
    <row r="12" spans="1:8" x14ac:dyDescent="0.25">
      <c r="A12" s="357" t="s">
        <v>560</v>
      </c>
      <c r="B12" s="448">
        <v>21681</v>
      </c>
      <c r="C12" s="448">
        <v>26301</v>
      </c>
      <c r="D12" s="484">
        <v>47982</v>
      </c>
      <c r="H12" s="18"/>
    </row>
    <row r="13" spans="1:8" x14ac:dyDescent="0.25">
      <c r="A13" s="357" t="s">
        <v>932</v>
      </c>
      <c r="B13" s="448">
        <v>23003</v>
      </c>
      <c r="C13" s="448">
        <v>12612</v>
      </c>
      <c r="D13" s="484">
        <v>35615</v>
      </c>
      <c r="H13" s="18"/>
    </row>
    <row r="14" spans="1:8" x14ac:dyDescent="0.25">
      <c r="A14" s="357" t="s">
        <v>561</v>
      </c>
      <c r="B14" s="448">
        <v>13181</v>
      </c>
      <c r="C14" s="448">
        <v>5546</v>
      </c>
      <c r="D14" s="484">
        <v>18727</v>
      </c>
      <c r="H14" s="18"/>
    </row>
    <row r="15" spans="1:8" x14ac:dyDescent="0.25">
      <c r="A15" s="357" t="s">
        <v>933</v>
      </c>
      <c r="B15" s="448">
        <v>4877</v>
      </c>
      <c r="C15" s="448">
        <v>1577</v>
      </c>
      <c r="D15" s="484">
        <v>6454</v>
      </c>
      <c r="H15" s="18"/>
    </row>
    <row r="16" spans="1:8" x14ac:dyDescent="0.25">
      <c r="A16" s="357" t="s">
        <v>562</v>
      </c>
      <c r="B16" s="448">
        <v>6157</v>
      </c>
      <c r="C16" s="448">
        <v>2362</v>
      </c>
      <c r="D16" s="484">
        <v>8519</v>
      </c>
      <c r="H16" s="18"/>
    </row>
    <row r="17" spans="1:20" x14ac:dyDescent="0.25">
      <c r="A17" s="357" t="s">
        <v>934</v>
      </c>
      <c r="B17" s="448">
        <v>14527</v>
      </c>
      <c r="C17" s="448">
        <v>23884</v>
      </c>
      <c r="D17" s="484">
        <v>38411</v>
      </c>
      <c r="H17" s="18"/>
    </row>
    <row r="18" spans="1:20" x14ac:dyDescent="0.25">
      <c r="A18" s="397" t="s">
        <v>881</v>
      </c>
      <c r="B18" s="484">
        <v>83426</v>
      </c>
      <c r="C18" s="484">
        <v>72282</v>
      </c>
      <c r="D18" s="484">
        <v>155708</v>
      </c>
      <c r="H18" s="18"/>
    </row>
    <row r="19" spans="1:20" x14ac:dyDescent="0.25">
      <c r="A19" s="485" t="s">
        <v>935</v>
      </c>
      <c r="B19" s="486">
        <v>0.5357849307678475</v>
      </c>
      <c r="C19" s="486">
        <v>0.4642150692321525</v>
      </c>
      <c r="D19" s="486">
        <v>1</v>
      </c>
      <c r="H19" s="18"/>
    </row>
    <row r="20" spans="1:20" x14ac:dyDescent="0.25">
      <c r="A20" s="18"/>
      <c r="B20" s="18"/>
      <c r="C20" s="18"/>
      <c r="D20" s="18"/>
      <c r="E20" s="18"/>
      <c r="F20" s="18"/>
      <c r="G20" s="18"/>
      <c r="H20" s="18"/>
    </row>
    <row r="21" spans="1:20" ht="15.75" x14ac:dyDescent="0.25">
      <c r="A21" s="687" t="s">
        <v>936</v>
      </c>
      <c r="B21" s="688"/>
      <c r="C21" s="688"/>
      <c r="D21" s="688"/>
      <c r="E21" s="688"/>
      <c r="F21" s="688"/>
      <c r="G21" s="688"/>
      <c r="H21" s="689"/>
    </row>
    <row r="22" spans="1:20" ht="30" x14ac:dyDescent="0.25">
      <c r="A22" s="387" t="s">
        <v>740</v>
      </c>
      <c r="B22" s="483" t="s">
        <v>937</v>
      </c>
      <c r="C22" s="483" t="s">
        <v>938</v>
      </c>
      <c r="D22" s="483" t="s">
        <v>939</v>
      </c>
      <c r="E22" s="483" t="s">
        <v>940</v>
      </c>
      <c r="F22" s="483" t="s">
        <v>941</v>
      </c>
      <c r="G22" s="483" t="s">
        <v>942</v>
      </c>
      <c r="H22" s="487" t="s">
        <v>881</v>
      </c>
    </row>
    <row r="23" spans="1:20" x14ac:dyDescent="0.25">
      <c r="A23" s="357" t="s">
        <v>560</v>
      </c>
      <c r="B23" s="448">
        <v>3164</v>
      </c>
      <c r="C23" s="448">
        <v>17497</v>
      </c>
      <c r="D23" s="448">
        <v>429</v>
      </c>
      <c r="E23" s="448">
        <v>591</v>
      </c>
      <c r="F23" s="448">
        <v>3593</v>
      </c>
      <c r="G23" s="448">
        <v>18088</v>
      </c>
      <c r="H23" s="484">
        <v>21681</v>
      </c>
      <c r="I23" s="466"/>
      <c r="J23" s="466"/>
    </row>
    <row r="24" spans="1:20" x14ac:dyDescent="0.25">
      <c r="A24" s="357" t="s">
        <v>932</v>
      </c>
      <c r="B24" s="448">
        <v>5417</v>
      </c>
      <c r="C24" s="448">
        <v>17339</v>
      </c>
      <c r="D24" s="448">
        <v>89</v>
      </c>
      <c r="E24" s="448">
        <v>158</v>
      </c>
      <c r="F24" s="448">
        <v>5506</v>
      </c>
      <c r="G24" s="448">
        <v>17497</v>
      </c>
      <c r="H24" s="484">
        <v>23003</v>
      </c>
      <c r="I24" s="466"/>
      <c r="J24" s="466"/>
    </row>
    <row r="25" spans="1:20" x14ac:dyDescent="0.25">
      <c r="A25" s="357" t="s">
        <v>561</v>
      </c>
      <c r="B25" s="448">
        <v>2121</v>
      </c>
      <c r="C25" s="448">
        <v>10283</v>
      </c>
      <c r="D25" s="448">
        <v>200</v>
      </c>
      <c r="E25" s="448">
        <v>577</v>
      </c>
      <c r="F25" s="448">
        <v>2321</v>
      </c>
      <c r="G25" s="448">
        <v>10860</v>
      </c>
      <c r="H25" s="484">
        <v>13181</v>
      </c>
      <c r="I25" s="466"/>
      <c r="J25" s="466"/>
    </row>
    <row r="26" spans="1:20" x14ac:dyDescent="0.25">
      <c r="A26" s="357" t="s">
        <v>933</v>
      </c>
      <c r="B26" s="448">
        <v>908</v>
      </c>
      <c r="C26" s="448">
        <v>3812</v>
      </c>
      <c r="D26" s="448">
        <v>32</v>
      </c>
      <c r="E26" s="448">
        <v>125</v>
      </c>
      <c r="F26" s="448">
        <v>940</v>
      </c>
      <c r="G26" s="448">
        <v>3937</v>
      </c>
      <c r="H26" s="484">
        <v>4877</v>
      </c>
      <c r="I26" s="466"/>
      <c r="J26" s="466"/>
    </row>
    <row r="27" spans="1:20" x14ac:dyDescent="0.25">
      <c r="A27" s="357" t="s">
        <v>562</v>
      </c>
      <c r="B27" s="448">
        <v>976</v>
      </c>
      <c r="C27" s="448">
        <v>4876</v>
      </c>
      <c r="D27" s="448">
        <v>141</v>
      </c>
      <c r="E27" s="448">
        <v>164</v>
      </c>
      <c r="F27" s="448">
        <v>1117</v>
      </c>
      <c r="G27" s="448">
        <v>5040</v>
      </c>
      <c r="H27" s="484">
        <v>6157</v>
      </c>
      <c r="I27" s="466"/>
      <c r="J27" s="466"/>
    </row>
    <row r="28" spans="1:20" x14ac:dyDescent="0.25">
      <c r="A28" s="357" t="s">
        <v>934</v>
      </c>
      <c r="B28" s="448">
        <v>1386</v>
      </c>
      <c r="C28" s="448">
        <v>10532</v>
      </c>
      <c r="D28" s="448">
        <v>315</v>
      </c>
      <c r="E28" s="448">
        <v>2294</v>
      </c>
      <c r="F28" s="448">
        <v>1701</v>
      </c>
      <c r="G28" s="448">
        <v>12826</v>
      </c>
      <c r="H28" s="484">
        <v>14527</v>
      </c>
      <c r="I28" s="466"/>
      <c r="J28" s="466"/>
    </row>
    <row r="29" spans="1:20" s="442" customFormat="1" x14ac:dyDescent="0.25">
      <c r="A29" s="397" t="s">
        <v>881</v>
      </c>
      <c r="B29" s="484">
        <v>13972</v>
      </c>
      <c r="C29" s="484">
        <v>64339</v>
      </c>
      <c r="D29" s="484">
        <v>1206</v>
      </c>
      <c r="E29" s="484">
        <v>3909</v>
      </c>
      <c r="F29" s="484">
        <v>15178</v>
      </c>
      <c r="G29" s="484">
        <v>68248</v>
      </c>
      <c r="H29" s="484">
        <v>83426</v>
      </c>
      <c r="I29" s="469"/>
      <c r="J29" s="469"/>
      <c r="K29"/>
      <c r="L29"/>
      <c r="M29"/>
      <c r="N29"/>
      <c r="O29"/>
      <c r="P29"/>
      <c r="Q29"/>
      <c r="R29"/>
      <c r="S29"/>
      <c r="T29"/>
    </row>
    <row r="30" spans="1:20" s="442" customFormat="1" x14ac:dyDescent="0.25">
      <c r="A30" s="485" t="s">
        <v>935</v>
      </c>
      <c r="B30" s="486">
        <v>0.16747776472562512</v>
      </c>
      <c r="C30" s="486">
        <v>0.77121041401961021</v>
      </c>
      <c r="D30" s="486">
        <v>1.4455925011387337E-2</v>
      </c>
      <c r="E30" s="486">
        <v>4.6855896243377361E-2</v>
      </c>
      <c r="F30" s="486">
        <v>0.18193368973701243</v>
      </c>
      <c r="G30" s="486">
        <v>0.81806631026298759</v>
      </c>
      <c r="H30" s="486">
        <v>1</v>
      </c>
      <c r="I30" s="469"/>
      <c r="J30" s="469"/>
      <c r="K30"/>
      <c r="L30"/>
      <c r="M30"/>
      <c r="N30"/>
      <c r="O30"/>
      <c r="P30"/>
      <c r="Q30"/>
      <c r="R30"/>
      <c r="S30"/>
      <c r="T30"/>
    </row>
    <row r="31" spans="1:20" x14ac:dyDescent="0.25">
      <c r="A31" s="18"/>
      <c r="B31" s="18"/>
      <c r="C31" s="18"/>
      <c r="D31" s="18"/>
      <c r="E31" s="18"/>
      <c r="F31" s="18"/>
      <c r="G31" s="18"/>
      <c r="H31" s="18"/>
    </row>
    <row r="32" spans="1:20" ht="15.75" x14ac:dyDescent="0.25">
      <c r="A32" s="687" t="s">
        <v>943</v>
      </c>
      <c r="B32" s="688"/>
      <c r="C32" s="688"/>
      <c r="D32" s="688"/>
      <c r="E32" s="688"/>
      <c r="F32" s="688"/>
      <c r="G32" s="688"/>
      <c r="H32" s="689"/>
    </row>
    <row r="33" spans="1:10" x14ac:dyDescent="0.25">
      <c r="A33" s="387" t="s">
        <v>740</v>
      </c>
      <c r="B33" s="483" t="s">
        <v>944</v>
      </c>
      <c r="C33" s="483" t="s">
        <v>945</v>
      </c>
      <c r="D33" s="483" t="s">
        <v>946</v>
      </c>
      <c r="E33" s="483" t="s">
        <v>947</v>
      </c>
      <c r="F33" s="483" t="s">
        <v>948</v>
      </c>
      <c r="G33" s="483" t="s">
        <v>949</v>
      </c>
      <c r="H33" s="487" t="s">
        <v>881</v>
      </c>
    </row>
    <row r="34" spans="1:10" x14ac:dyDescent="0.25">
      <c r="A34" s="357" t="s">
        <v>560</v>
      </c>
      <c r="B34" s="448">
        <v>3355</v>
      </c>
      <c r="C34" s="448">
        <v>17684</v>
      </c>
      <c r="D34" s="448">
        <v>238</v>
      </c>
      <c r="E34" s="448">
        <v>404</v>
      </c>
      <c r="F34" s="448">
        <v>0</v>
      </c>
      <c r="G34" s="448">
        <v>0</v>
      </c>
      <c r="H34" s="484">
        <v>21681</v>
      </c>
    </row>
    <row r="35" spans="1:10" x14ac:dyDescent="0.25">
      <c r="A35" s="357" t="s">
        <v>932</v>
      </c>
      <c r="B35" s="448">
        <v>5500</v>
      </c>
      <c r="C35" s="448">
        <v>17490</v>
      </c>
      <c r="D35" s="448">
        <v>5</v>
      </c>
      <c r="E35" s="448">
        <v>1</v>
      </c>
      <c r="F35" s="448">
        <v>1</v>
      </c>
      <c r="G35" s="448">
        <v>6</v>
      </c>
      <c r="H35" s="484">
        <v>23003</v>
      </c>
    </row>
    <row r="36" spans="1:10" x14ac:dyDescent="0.25">
      <c r="A36" s="357" t="s">
        <v>561</v>
      </c>
      <c r="B36" s="448">
        <v>2207</v>
      </c>
      <c r="C36" s="448">
        <v>10746</v>
      </c>
      <c r="D36" s="448">
        <v>75</v>
      </c>
      <c r="E36" s="448">
        <v>37</v>
      </c>
      <c r="F36" s="448">
        <v>39</v>
      </c>
      <c r="G36" s="448">
        <v>77</v>
      </c>
      <c r="H36" s="484">
        <v>13181</v>
      </c>
    </row>
    <row r="37" spans="1:10" x14ac:dyDescent="0.25">
      <c r="A37" s="357" t="s">
        <v>933</v>
      </c>
      <c r="B37" s="448">
        <v>764</v>
      </c>
      <c r="C37" s="448">
        <v>3811</v>
      </c>
      <c r="D37" s="448">
        <v>163</v>
      </c>
      <c r="E37" s="448">
        <v>97</v>
      </c>
      <c r="F37" s="448">
        <v>13</v>
      </c>
      <c r="G37" s="448">
        <v>29</v>
      </c>
      <c r="H37" s="484">
        <v>4877</v>
      </c>
    </row>
    <row r="38" spans="1:10" x14ac:dyDescent="0.25">
      <c r="A38" s="357" t="s">
        <v>562</v>
      </c>
      <c r="B38" s="448">
        <v>987</v>
      </c>
      <c r="C38" s="448">
        <v>4889</v>
      </c>
      <c r="D38" s="448">
        <v>2</v>
      </c>
      <c r="E38" s="448">
        <v>2</v>
      </c>
      <c r="F38" s="448">
        <v>128</v>
      </c>
      <c r="G38" s="448">
        <v>149</v>
      </c>
      <c r="H38" s="484">
        <v>6157</v>
      </c>
    </row>
    <row r="39" spans="1:10" x14ac:dyDescent="0.25">
      <c r="A39" s="357" t="s">
        <v>934</v>
      </c>
      <c r="B39" s="448">
        <v>1675</v>
      </c>
      <c r="C39" s="448">
        <v>12750</v>
      </c>
      <c r="D39" s="448">
        <v>26</v>
      </c>
      <c r="E39" s="448">
        <v>76</v>
      </c>
      <c r="F39" s="448">
        <v>0</v>
      </c>
      <c r="G39" s="448">
        <v>0</v>
      </c>
      <c r="H39" s="484">
        <v>14527</v>
      </c>
    </row>
    <row r="40" spans="1:10" x14ac:dyDescent="0.25">
      <c r="A40" s="397" t="s">
        <v>881</v>
      </c>
      <c r="B40" s="484">
        <v>14488</v>
      </c>
      <c r="C40" s="484">
        <v>67370</v>
      </c>
      <c r="D40" s="484">
        <v>509</v>
      </c>
      <c r="E40" s="484">
        <v>617</v>
      </c>
      <c r="F40" s="484">
        <v>181</v>
      </c>
      <c r="G40" s="484">
        <v>261</v>
      </c>
      <c r="H40" s="484">
        <v>83426</v>
      </c>
      <c r="I40" s="488"/>
    </row>
    <row r="41" spans="1:10" x14ac:dyDescent="0.25">
      <c r="A41" s="18"/>
      <c r="B41" s="18"/>
      <c r="C41" s="18"/>
      <c r="D41" s="18"/>
      <c r="E41" s="18"/>
      <c r="F41" s="18"/>
      <c r="G41" s="18"/>
      <c r="H41" s="18"/>
    </row>
    <row r="42" spans="1:10" ht="15.75" x14ac:dyDescent="0.25">
      <c r="A42" s="687" t="s">
        <v>950</v>
      </c>
      <c r="B42" s="688"/>
      <c r="C42" s="688"/>
      <c r="D42" s="688"/>
      <c r="E42" s="688"/>
      <c r="F42" s="688"/>
      <c r="G42" s="688"/>
      <c r="H42" s="689"/>
    </row>
    <row r="43" spans="1:10" ht="35.25" customHeight="1" x14ac:dyDescent="0.25">
      <c r="A43" s="387" t="s">
        <v>740</v>
      </c>
      <c r="B43" s="483" t="s">
        <v>951</v>
      </c>
      <c r="C43" s="483" t="s">
        <v>952</v>
      </c>
      <c r="D43" s="483" t="s">
        <v>953</v>
      </c>
      <c r="E43" s="483" t="s">
        <v>954</v>
      </c>
      <c r="F43" s="483" t="s">
        <v>955</v>
      </c>
      <c r="G43" s="483" t="s">
        <v>956</v>
      </c>
      <c r="H43" s="483" t="s">
        <v>881</v>
      </c>
      <c r="I43"/>
      <c r="J43"/>
    </row>
    <row r="44" spans="1:10" x14ac:dyDescent="0.25">
      <c r="A44" s="357" t="s">
        <v>560</v>
      </c>
      <c r="B44" s="448">
        <v>566</v>
      </c>
      <c r="C44" s="448">
        <v>967</v>
      </c>
      <c r="D44" s="448">
        <v>2666</v>
      </c>
      <c r="E44" s="448">
        <v>13181</v>
      </c>
      <c r="F44" s="448">
        <v>361</v>
      </c>
      <c r="G44" s="448">
        <v>3940</v>
      </c>
      <c r="H44" s="448">
        <v>21681</v>
      </c>
      <c r="I44" s="466"/>
    </row>
    <row r="45" spans="1:10" x14ac:dyDescent="0.25">
      <c r="A45" s="357" t="s">
        <v>932</v>
      </c>
      <c r="B45" s="448">
        <v>684</v>
      </c>
      <c r="C45" s="448">
        <v>3127</v>
      </c>
      <c r="D45" s="448">
        <v>3440</v>
      </c>
      <c r="E45" s="448">
        <v>10793</v>
      </c>
      <c r="F45" s="448">
        <v>1382</v>
      </c>
      <c r="G45" s="448">
        <v>3577</v>
      </c>
      <c r="H45" s="448">
        <v>23003</v>
      </c>
      <c r="I45" s="466"/>
    </row>
    <row r="46" spans="1:10" x14ac:dyDescent="0.25">
      <c r="A46" s="357" t="s">
        <v>561</v>
      </c>
      <c r="B46" s="448">
        <v>576</v>
      </c>
      <c r="C46" s="448">
        <v>1812</v>
      </c>
      <c r="D46" s="448">
        <v>1362</v>
      </c>
      <c r="E46" s="448">
        <v>5966</v>
      </c>
      <c r="F46" s="448">
        <v>383</v>
      </c>
      <c r="G46" s="448">
        <v>3082</v>
      </c>
      <c r="H46" s="448">
        <v>13181</v>
      </c>
      <c r="I46" s="466"/>
    </row>
    <row r="47" spans="1:10" x14ac:dyDescent="0.25">
      <c r="A47" s="357" t="s">
        <v>933</v>
      </c>
      <c r="B47" s="448">
        <v>135</v>
      </c>
      <c r="C47" s="448">
        <v>500</v>
      </c>
      <c r="D47" s="448">
        <v>589</v>
      </c>
      <c r="E47" s="448">
        <v>2049</v>
      </c>
      <c r="F47" s="448">
        <v>216</v>
      </c>
      <c r="G47" s="448">
        <v>1388</v>
      </c>
      <c r="H47" s="448">
        <v>4877</v>
      </c>
      <c r="I47" s="466"/>
    </row>
    <row r="48" spans="1:10" x14ac:dyDescent="0.25">
      <c r="A48" s="357" t="s">
        <v>562</v>
      </c>
      <c r="B48" s="448">
        <v>209</v>
      </c>
      <c r="C48" s="448">
        <v>716</v>
      </c>
      <c r="D48" s="448">
        <v>668</v>
      </c>
      <c r="E48" s="448">
        <v>2734</v>
      </c>
      <c r="F48" s="448">
        <v>240</v>
      </c>
      <c r="G48" s="448">
        <v>1590</v>
      </c>
      <c r="H48" s="448">
        <v>6157</v>
      </c>
      <c r="I48" s="466"/>
    </row>
    <row r="49" spans="1:9" x14ac:dyDescent="0.25">
      <c r="A49" s="357" t="s">
        <v>934</v>
      </c>
      <c r="B49" s="448">
        <v>307</v>
      </c>
      <c r="C49" s="448">
        <v>901</v>
      </c>
      <c r="D49" s="448">
        <v>1211</v>
      </c>
      <c r="E49" s="448">
        <v>8756</v>
      </c>
      <c r="F49" s="448">
        <v>183</v>
      </c>
      <c r="G49" s="448">
        <v>3169</v>
      </c>
      <c r="H49" s="448">
        <v>14527</v>
      </c>
      <c r="I49" s="466"/>
    </row>
    <row r="50" spans="1:9" x14ac:dyDescent="0.25">
      <c r="A50" s="397" t="s">
        <v>881</v>
      </c>
      <c r="B50" s="484">
        <v>2477</v>
      </c>
      <c r="C50" s="484">
        <v>8023</v>
      </c>
      <c r="D50" s="484">
        <v>9936</v>
      </c>
      <c r="E50" s="484">
        <v>43479</v>
      </c>
      <c r="F50" s="484">
        <v>2765</v>
      </c>
      <c r="G50" s="484">
        <v>16746</v>
      </c>
      <c r="H50" s="484">
        <v>83426</v>
      </c>
      <c r="I50" s="466"/>
    </row>
    <row r="51" spans="1:9" x14ac:dyDescent="0.25">
      <c r="A51" s="485" t="s">
        <v>935</v>
      </c>
      <c r="B51" s="714">
        <v>0.12586004363148179</v>
      </c>
      <c r="C51" s="714"/>
      <c r="D51" s="714">
        <v>0.64026802195958099</v>
      </c>
      <c r="E51" s="714"/>
      <c r="F51" s="714">
        <v>0.23387193440893725</v>
      </c>
      <c r="G51" s="714"/>
      <c r="H51" s="486">
        <v>1</v>
      </c>
      <c r="I51" s="466"/>
    </row>
    <row r="52" spans="1:9" x14ac:dyDescent="0.25">
      <c r="A52" s="442"/>
      <c r="B52" s="469"/>
      <c r="C52" s="469"/>
      <c r="D52" s="469"/>
      <c r="E52" s="469"/>
      <c r="F52" s="469"/>
      <c r="G52" s="469"/>
      <c r="H52" s="466"/>
      <c r="I52" s="466"/>
    </row>
    <row r="53" spans="1:9" ht="15.75" customHeight="1" x14ac:dyDescent="0.25">
      <c r="A53" s="715" t="s">
        <v>957</v>
      </c>
      <c r="B53" s="716"/>
      <c r="C53" s="716"/>
      <c r="D53" s="716"/>
      <c r="E53" s="717"/>
      <c r="F53" s="18"/>
      <c r="G53" s="18"/>
      <c r="H53" s="18"/>
    </row>
    <row r="54" spans="1:9" x14ac:dyDescent="0.25">
      <c r="A54" s="387" t="s">
        <v>958</v>
      </c>
      <c r="B54" s="483" t="s">
        <v>959</v>
      </c>
      <c r="C54" s="483" t="s">
        <v>960</v>
      </c>
      <c r="D54" s="483" t="s">
        <v>881</v>
      </c>
      <c r="E54" s="483" t="s">
        <v>935</v>
      </c>
      <c r="F54" s="18"/>
      <c r="G54" s="18"/>
      <c r="H54" s="18"/>
    </row>
    <row r="55" spans="1:9" ht="30" x14ac:dyDescent="0.25">
      <c r="A55" s="160" t="s">
        <v>603</v>
      </c>
      <c r="B55" s="448">
        <v>6852</v>
      </c>
      <c r="C55" s="448">
        <v>15500</v>
      </c>
      <c r="D55" s="484">
        <v>22352</v>
      </c>
      <c r="E55" s="486">
        <v>0.2679260662143696</v>
      </c>
      <c r="F55" s="18"/>
      <c r="G55" s="18"/>
      <c r="H55" s="18"/>
    </row>
    <row r="56" spans="1:9" ht="30" x14ac:dyDescent="0.25">
      <c r="A56" s="160" t="s">
        <v>961</v>
      </c>
      <c r="B56" s="448">
        <v>7021</v>
      </c>
      <c r="C56" s="448">
        <v>48206</v>
      </c>
      <c r="D56" s="484">
        <v>55227</v>
      </c>
      <c r="E56" s="486">
        <v>0.66198786948912813</v>
      </c>
      <c r="F56" s="18"/>
      <c r="G56" s="18"/>
      <c r="H56" s="18"/>
    </row>
    <row r="57" spans="1:9" x14ac:dyDescent="0.25">
      <c r="A57" s="357" t="s">
        <v>962</v>
      </c>
      <c r="B57" s="448">
        <v>1082</v>
      </c>
      <c r="C57" s="448">
        <v>3279</v>
      </c>
      <c r="D57" s="484">
        <v>4361</v>
      </c>
      <c r="E57" s="486">
        <v>5.2273871454942104E-2</v>
      </c>
      <c r="F57" s="18"/>
      <c r="G57" s="18"/>
      <c r="H57" s="18"/>
    </row>
    <row r="58" spans="1:9" x14ac:dyDescent="0.25">
      <c r="A58" s="357" t="s">
        <v>963</v>
      </c>
      <c r="B58" s="448">
        <v>184</v>
      </c>
      <c r="C58" s="448">
        <v>1021</v>
      </c>
      <c r="D58" s="484">
        <v>1205</v>
      </c>
      <c r="E58" s="486">
        <v>1.4443938340565291E-2</v>
      </c>
      <c r="F58" s="18"/>
      <c r="G58" s="18"/>
      <c r="H58" s="466"/>
    </row>
    <row r="59" spans="1:9" x14ac:dyDescent="0.25">
      <c r="A59" s="357" t="s">
        <v>964</v>
      </c>
      <c r="B59" s="448">
        <v>39</v>
      </c>
      <c r="C59" s="448">
        <v>242</v>
      </c>
      <c r="D59" s="484">
        <v>281</v>
      </c>
      <c r="E59" s="489">
        <v>3.3682545009948938E-3</v>
      </c>
      <c r="F59" s="18"/>
      <c r="G59" s="18"/>
      <c r="H59" s="18"/>
    </row>
    <row r="60" spans="1:9" x14ac:dyDescent="0.25">
      <c r="A60" s="397" t="s">
        <v>881</v>
      </c>
      <c r="B60" s="484">
        <v>15178</v>
      </c>
      <c r="C60" s="484">
        <v>68248</v>
      </c>
      <c r="D60" s="484">
        <v>83426</v>
      </c>
      <c r="E60" s="486">
        <v>1</v>
      </c>
      <c r="F60" s="18"/>
      <c r="G60" s="18"/>
      <c r="H60" s="18"/>
    </row>
    <row r="61" spans="1:9" x14ac:dyDescent="0.25">
      <c r="A61" s="442"/>
      <c r="B61" s="469"/>
      <c r="C61" s="469"/>
      <c r="D61" s="469"/>
      <c r="E61" s="18"/>
      <c r="F61" s="18"/>
      <c r="G61" s="18"/>
      <c r="H61" s="18"/>
    </row>
    <row r="62" spans="1:9" ht="15.75" x14ac:dyDescent="0.25">
      <c r="A62" s="687" t="s">
        <v>965</v>
      </c>
      <c r="B62" s="688"/>
      <c r="C62" s="688"/>
      <c r="D62" s="688"/>
      <c r="E62" s="688"/>
      <c r="F62" s="688"/>
      <c r="G62" s="688"/>
      <c r="H62" s="689"/>
    </row>
    <row r="63" spans="1:9" x14ac:dyDescent="0.25">
      <c r="A63" s="387" t="s">
        <v>740</v>
      </c>
      <c r="B63" s="483" t="s">
        <v>966</v>
      </c>
      <c r="C63" s="483" t="s">
        <v>967</v>
      </c>
      <c r="D63" s="483" t="s">
        <v>968</v>
      </c>
      <c r="E63" s="483" t="s">
        <v>969</v>
      </c>
      <c r="F63" s="483" t="s">
        <v>970</v>
      </c>
      <c r="G63" s="483" t="s">
        <v>971</v>
      </c>
      <c r="H63" s="483" t="s">
        <v>972</v>
      </c>
    </row>
    <row r="64" spans="1:9" x14ac:dyDescent="0.25">
      <c r="A64" s="357" t="s">
        <v>560</v>
      </c>
      <c r="B64" s="448">
        <v>729</v>
      </c>
      <c r="C64" s="448">
        <v>1212</v>
      </c>
      <c r="D64" s="448">
        <v>655</v>
      </c>
      <c r="E64" s="448">
        <v>1194</v>
      </c>
      <c r="F64" s="448">
        <v>92</v>
      </c>
      <c r="G64" s="448">
        <v>1941</v>
      </c>
      <c r="H64" s="490">
        <v>9.0990061878867434E-2</v>
      </c>
    </row>
    <row r="65" spans="1:9" x14ac:dyDescent="0.25">
      <c r="A65" s="357" t="s">
        <v>932</v>
      </c>
      <c r="B65" s="448">
        <v>572</v>
      </c>
      <c r="C65" s="448">
        <v>2280</v>
      </c>
      <c r="D65" s="448">
        <v>1376</v>
      </c>
      <c r="E65" s="448">
        <v>1335</v>
      </c>
      <c r="F65" s="448">
        <v>141</v>
      </c>
      <c r="G65" s="448">
        <v>2852</v>
      </c>
      <c r="H65" s="490">
        <v>0.12838750337624921</v>
      </c>
    </row>
    <row r="66" spans="1:9" x14ac:dyDescent="0.25">
      <c r="A66" s="357" t="s">
        <v>561</v>
      </c>
      <c r="B66" s="448">
        <v>628</v>
      </c>
      <c r="C66" s="448">
        <v>2037</v>
      </c>
      <c r="D66" s="448">
        <v>918</v>
      </c>
      <c r="E66" s="448">
        <v>1386</v>
      </c>
      <c r="F66" s="448">
        <v>361</v>
      </c>
      <c r="G66" s="448">
        <v>2665</v>
      </c>
      <c r="H66" s="490">
        <v>0.20707070707070707</v>
      </c>
    </row>
    <row r="67" spans="1:9" x14ac:dyDescent="0.25">
      <c r="A67" s="357" t="s">
        <v>933</v>
      </c>
      <c r="B67" s="448">
        <v>151</v>
      </c>
      <c r="C67" s="448">
        <v>362</v>
      </c>
      <c r="D67" s="448">
        <v>206</v>
      </c>
      <c r="E67" s="448">
        <v>271</v>
      </c>
      <c r="F67" s="448">
        <v>36</v>
      </c>
      <c r="G67" s="448">
        <v>513</v>
      </c>
      <c r="H67" s="490">
        <v>0.10627719080174021</v>
      </c>
    </row>
    <row r="68" spans="1:9" x14ac:dyDescent="0.25">
      <c r="A68" s="357" t="s">
        <v>562</v>
      </c>
      <c r="B68" s="448">
        <v>339</v>
      </c>
      <c r="C68" s="448">
        <v>815</v>
      </c>
      <c r="D68" s="448">
        <v>513</v>
      </c>
      <c r="E68" s="448">
        <v>542</v>
      </c>
      <c r="F68" s="448">
        <v>99</v>
      </c>
      <c r="G68" s="448">
        <v>1154</v>
      </c>
      <c r="H68" s="490">
        <v>0.18755078823338209</v>
      </c>
    </row>
    <row r="69" spans="1:9" x14ac:dyDescent="0.25">
      <c r="A69" s="357" t="s">
        <v>934</v>
      </c>
      <c r="B69" s="448">
        <v>447</v>
      </c>
      <c r="C69" s="448">
        <v>1479</v>
      </c>
      <c r="D69" s="448">
        <v>552</v>
      </c>
      <c r="E69" s="448">
        <v>1228</v>
      </c>
      <c r="F69" s="448">
        <v>146</v>
      </c>
      <c r="G69" s="448">
        <v>1926</v>
      </c>
      <c r="H69" s="490">
        <v>0.13459119496855346</v>
      </c>
    </row>
    <row r="70" spans="1:9" x14ac:dyDescent="0.25">
      <c r="A70" s="397" t="s">
        <v>881</v>
      </c>
      <c r="B70" s="484">
        <v>2866</v>
      </c>
      <c r="C70" s="484">
        <v>8185</v>
      </c>
      <c r="D70" s="484">
        <v>4220</v>
      </c>
      <c r="E70" s="484">
        <v>5956</v>
      </c>
      <c r="F70" s="484">
        <v>875</v>
      </c>
      <c r="G70" s="484">
        <v>11051</v>
      </c>
      <c r="H70" s="491">
        <v>0.13525322497735784</v>
      </c>
    </row>
    <row r="71" spans="1:9" x14ac:dyDescent="0.25">
      <c r="A71" s="18"/>
      <c r="B71" s="18"/>
      <c r="C71" s="18"/>
      <c r="D71" s="18"/>
      <c r="E71" s="18"/>
      <c r="F71" s="18"/>
      <c r="G71" s="18"/>
      <c r="H71" s="18"/>
    </row>
    <row r="72" spans="1:9" ht="15.75" x14ac:dyDescent="0.25">
      <c r="A72" s="687" t="s">
        <v>973</v>
      </c>
      <c r="B72" s="688"/>
      <c r="C72" s="688"/>
      <c r="D72" s="688"/>
      <c r="E72" s="688"/>
      <c r="F72" s="688"/>
      <c r="G72" s="688"/>
      <c r="H72" s="689"/>
    </row>
    <row r="73" spans="1:9" x14ac:dyDescent="0.25">
      <c r="A73" s="387" t="s">
        <v>740</v>
      </c>
      <c r="B73" s="483" t="s">
        <v>974</v>
      </c>
      <c r="C73" s="483" t="s">
        <v>975</v>
      </c>
      <c r="D73" s="483" t="s">
        <v>976</v>
      </c>
      <c r="E73" s="483" t="s">
        <v>977</v>
      </c>
      <c r="F73" s="483" t="s">
        <v>978</v>
      </c>
      <c r="G73" s="483" t="s">
        <v>979</v>
      </c>
      <c r="H73" s="483" t="s">
        <v>980</v>
      </c>
    </row>
    <row r="74" spans="1:9" x14ac:dyDescent="0.25">
      <c r="A74" s="357" t="s">
        <v>560</v>
      </c>
      <c r="B74" s="448">
        <v>192</v>
      </c>
      <c r="C74" s="448">
        <v>690</v>
      </c>
      <c r="D74" s="448">
        <v>98</v>
      </c>
      <c r="E74" s="448">
        <v>663</v>
      </c>
      <c r="F74" s="448">
        <v>121</v>
      </c>
      <c r="G74" s="448">
        <v>882</v>
      </c>
      <c r="H74" s="490">
        <v>4.1346334145884116E-2</v>
      </c>
      <c r="I74" s="466"/>
    </row>
    <row r="75" spans="1:9" x14ac:dyDescent="0.25">
      <c r="A75" s="357" t="s">
        <v>932</v>
      </c>
      <c r="B75" s="448">
        <v>337</v>
      </c>
      <c r="C75" s="448">
        <v>1537</v>
      </c>
      <c r="D75" s="448">
        <v>644</v>
      </c>
      <c r="E75" s="448">
        <v>1023</v>
      </c>
      <c r="F75" s="448">
        <v>207</v>
      </c>
      <c r="G75" s="448">
        <v>1874</v>
      </c>
      <c r="H75" s="490">
        <v>8.4361213649050151E-2</v>
      </c>
      <c r="I75" s="466"/>
    </row>
    <row r="76" spans="1:9" x14ac:dyDescent="0.25">
      <c r="A76" s="357" t="s">
        <v>561</v>
      </c>
      <c r="B76" s="448">
        <v>343</v>
      </c>
      <c r="C76" s="448">
        <v>1472</v>
      </c>
      <c r="D76" s="448">
        <v>358</v>
      </c>
      <c r="E76" s="448">
        <v>1062</v>
      </c>
      <c r="F76" s="448">
        <v>395</v>
      </c>
      <c r="G76" s="448">
        <v>1815</v>
      </c>
      <c r="H76" s="490">
        <v>0.14102564102564102</v>
      </c>
      <c r="I76" s="466"/>
    </row>
    <row r="77" spans="1:9" x14ac:dyDescent="0.25">
      <c r="A77" s="357" t="s">
        <v>933</v>
      </c>
      <c r="B77" s="448">
        <v>81</v>
      </c>
      <c r="C77" s="448">
        <v>254</v>
      </c>
      <c r="D77" s="448">
        <v>61.999999999999993</v>
      </c>
      <c r="E77" s="448">
        <v>168</v>
      </c>
      <c r="F77" s="448">
        <v>105</v>
      </c>
      <c r="G77" s="448">
        <v>335</v>
      </c>
      <c r="H77" s="490">
        <v>6.9401284441682198E-2</v>
      </c>
      <c r="I77" s="466"/>
    </row>
    <row r="78" spans="1:9" x14ac:dyDescent="0.25">
      <c r="A78" s="357" t="s">
        <v>562</v>
      </c>
      <c r="B78" s="448">
        <v>148</v>
      </c>
      <c r="C78" s="448">
        <v>460</v>
      </c>
      <c r="D78" s="448">
        <v>174</v>
      </c>
      <c r="E78" s="448">
        <v>291</v>
      </c>
      <c r="F78" s="448">
        <v>143</v>
      </c>
      <c r="G78" s="448">
        <v>608</v>
      </c>
      <c r="H78" s="490">
        <v>9.8813586868194372E-2</v>
      </c>
      <c r="I78" s="466"/>
    </row>
    <row r="79" spans="1:9" x14ac:dyDescent="0.25">
      <c r="A79" s="357" t="s">
        <v>934</v>
      </c>
      <c r="B79" s="448">
        <v>214</v>
      </c>
      <c r="C79" s="448">
        <v>1038</v>
      </c>
      <c r="D79" s="448">
        <v>207</v>
      </c>
      <c r="E79" s="448">
        <v>829</v>
      </c>
      <c r="F79" s="448">
        <v>215.99999999999997</v>
      </c>
      <c r="G79" s="448">
        <v>1252</v>
      </c>
      <c r="H79" s="490">
        <v>8.7491264849755418E-2</v>
      </c>
      <c r="I79" s="466"/>
    </row>
    <row r="80" spans="1:9" x14ac:dyDescent="0.25">
      <c r="A80" s="397" t="s">
        <v>881</v>
      </c>
      <c r="B80" s="484">
        <v>1315</v>
      </c>
      <c r="C80" s="484">
        <v>5451</v>
      </c>
      <c r="D80" s="484">
        <v>1543</v>
      </c>
      <c r="E80" s="484">
        <v>4036</v>
      </c>
      <c r="F80" s="484">
        <v>1187</v>
      </c>
      <c r="G80" s="484">
        <v>6766</v>
      </c>
      <c r="H80" s="491">
        <v>8.2809096027219545E-2</v>
      </c>
      <c r="I80" s="466"/>
    </row>
    <row r="81" spans="1:20" ht="6.75" customHeight="1" x14ac:dyDescent="0.25">
      <c r="A81" s="442"/>
      <c r="B81" s="469"/>
      <c r="C81" s="469"/>
      <c r="D81" s="469"/>
      <c r="E81" s="469"/>
      <c r="F81" s="469"/>
      <c r="G81" s="469"/>
      <c r="H81" s="466"/>
      <c r="I81" s="466"/>
    </row>
    <row r="82" spans="1:20" s="477" customFormat="1" ht="12" customHeight="1" x14ac:dyDescent="0.25">
      <c r="A82" s="658" t="s">
        <v>981</v>
      </c>
      <c r="B82" s="658"/>
      <c r="C82" s="658"/>
      <c r="D82" s="658"/>
      <c r="E82" s="658"/>
      <c r="F82" s="658"/>
      <c r="G82" s="658"/>
      <c r="H82" s="658"/>
      <c r="K82"/>
      <c r="L82"/>
      <c r="M82"/>
      <c r="N82"/>
      <c r="O82"/>
      <c r="P82"/>
      <c r="Q82"/>
      <c r="R82"/>
      <c r="S82"/>
      <c r="T82"/>
    </row>
    <row r="83" spans="1:20" s="477" customFormat="1" ht="12" customHeight="1" x14ac:dyDescent="0.25">
      <c r="A83" s="658" t="s">
        <v>982</v>
      </c>
      <c r="B83" s="658"/>
      <c r="C83" s="658"/>
      <c r="D83" s="658"/>
      <c r="E83" s="658"/>
      <c r="F83" s="658"/>
      <c r="G83" s="658"/>
      <c r="H83" s="658"/>
      <c r="K83"/>
      <c r="L83"/>
      <c r="M83"/>
      <c r="N83"/>
      <c r="O83"/>
      <c r="P83"/>
      <c r="Q83"/>
      <c r="R83"/>
      <c r="S83"/>
      <c r="T83"/>
    </row>
    <row r="84" spans="1:20" x14ac:dyDescent="0.25">
      <c r="A84" s="657" t="s">
        <v>983</v>
      </c>
      <c r="B84" s="657"/>
      <c r="C84" s="657"/>
      <c r="D84" s="657"/>
      <c r="E84" s="657"/>
      <c r="F84" s="657"/>
      <c r="G84" s="657"/>
    </row>
  </sheetData>
  <mergeCells count="14">
    <mergeCell ref="A84:G84"/>
    <mergeCell ref="A4:F4"/>
    <mergeCell ref="A10:D10"/>
    <mergeCell ref="A21:H21"/>
    <mergeCell ref="A32:H32"/>
    <mergeCell ref="A42:H42"/>
    <mergeCell ref="B51:C51"/>
    <mergeCell ref="D51:E51"/>
    <mergeCell ref="F51:G51"/>
    <mergeCell ref="A53:E53"/>
    <mergeCell ref="A62:H62"/>
    <mergeCell ref="A72:H72"/>
    <mergeCell ref="A82:H82"/>
    <mergeCell ref="A83:H83"/>
  </mergeCells>
  <printOptions horizontalCentered="1"/>
  <pageMargins left="0.23622047244094491" right="0.23622047244094491" top="0.74803149606299213" bottom="0.74803149606299213" header="0.31496062992125984" footer="0.31496062992125984"/>
  <pageSetup paperSize="9" scale="79" fitToHeight="40" orientation="landscape" r:id="rId1"/>
  <headerFooter>
    <oddHeader>&amp;L&amp;G</oddHeader>
    <oddFooter>&amp;C&amp;10&amp;P of &amp;N</oddFooter>
  </headerFooter>
  <rowBreaks count="2" manualBreakCount="2">
    <brk id="40" max="7" man="1"/>
    <brk id="71"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B32F-7BBC-4BE0-BB62-72DF3386FD6F}">
  <sheetPr>
    <tabColor rgb="FF0C3F6C"/>
    <pageSetUpPr fitToPage="1"/>
  </sheetPr>
  <dimension ref="A1:D83"/>
  <sheetViews>
    <sheetView view="pageBreakPreview" zoomScaleNormal="100" zoomScaleSheetLayoutView="100" workbookViewId="0">
      <pane ySplit="3" topLeftCell="A13" activePane="bottomLeft" state="frozen"/>
      <selection activeCell="A6" sqref="A6:D6"/>
      <selection pane="bottomLeft" activeCell="C33" sqref="C33"/>
    </sheetView>
  </sheetViews>
  <sheetFormatPr defaultColWidth="9.140625" defaultRowHeight="15" x14ac:dyDescent="0.25"/>
  <cols>
    <col min="1" max="1" width="37.85546875" style="18" customWidth="1"/>
    <col min="2" max="2" width="61.140625" style="18" customWidth="1"/>
    <col min="3" max="3" width="69.5703125" style="18" customWidth="1"/>
    <col min="4" max="4" width="47.140625" style="18" customWidth="1"/>
    <col min="5" max="5" width="32.7109375" style="18" customWidth="1"/>
    <col min="6" max="6" width="36.5703125" style="18" customWidth="1"/>
    <col min="7" max="7" width="9.140625" style="18" customWidth="1"/>
    <col min="8" max="16384" width="9.140625" style="18"/>
  </cols>
  <sheetData>
    <row r="1" spans="1:4" ht="18.75" x14ac:dyDescent="0.25">
      <c r="A1" s="1" t="s">
        <v>984</v>
      </c>
    </row>
    <row r="3" spans="1:4" s="442" customFormat="1" ht="30" x14ac:dyDescent="0.25">
      <c r="A3" s="492" t="s">
        <v>985</v>
      </c>
      <c r="B3" s="492" t="s">
        <v>986</v>
      </c>
      <c r="C3" s="25" t="s">
        <v>21</v>
      </c>
      <c r="D3" s="493" t="s">
        <v>987</v>
      </c>
    </row>
    <row r="4" spans="1:4" x14ac:dyDescent="0.25">
      <c r="A4" s="718" t="s">
        <v>988</v>
      </c>
      <c r="B4" s="718"/>
      <c r="C4" s="718"/>
      <c r="D4" s="718"/>
    </row>
    <row r="5" spans="1:4" ht="157.5" customHeight="1" x14ac:dyDescent="0.25">
      <c r="A5" s="127" t="s">
        <v>989</v>
      </c>
      <c r="B5" s="127" t="s">
        <v>990</v>
      </c>
      <c r="C5" s="69" t="s">
        <v>991</v>
      </c>
      <c r="D5" s="127" t="s">
        <v>992</v>
      </c>
    </row>
    <row r="6" spans="1:4" x14ac:dyDescent="0.25">
      <c r="A6" s="718" t="s">
        <v>993</v>
      </c>
      <c r="B6" s="718"/>
      <c r="C6" s="718"/>
      <c r="D6" s="718"/>
    </row>
    <row r="7" spans="1:4" ht="187.5" customHeight="1" x14ac:dyDescent="0.25">
      <c r="A7" s="145" t="s">
        <v>994</v>
      </c>
      <c r="B7" s="45" t="s">
        <v>995</v>
      </c>
      <c r="C7" s="59" t="s">
        <v>996</v>
      </c>
      <c r="D7" s="210" t="s">
        <v>997</v>
      </c>
    </row>
    <row r="8" spans="1:4" ht="201" customHeight="1" x14ac:dyDescent="0.25">
      <c r="A8" s="160" t="s">
        <v>998</v>
      </c>
      <c r="B8" s="160" t="s">
        <v>999</v>
      </c>
      <c r="C8" s="58" t="s">
        <v>1000</v>
      </c>
      <c r="D8" s="160" t="s">
        <v>1001</v>
      </c>
    </row>
    <row r="9" spans="1:4" ht="242.25" customHeight="1" x14ac:dyDescent="0.25">
      <c r="A9" s="147" t="s">
        <v>1002</v>
      </c>
      <c r="B9" s="161" t="s">
        <v>1003</v>
      </c>
      <c r="C9" s="48" t="s">
        <v>1004</v>
      </c>
      <c r="D9" s="147" t="s">
        <v>1005</v>
      </c>
    </row>
    <row r="10" spans="1:4" x14ac:dyDescent="0.25">
      <c r="A10" s="718" t="s">
        <v>1006</v>
      </c>
      <c r="B10" s="718"/>
      <c r="C10" s="718"/>
      <c r="D10" s="718"/>
    </row>
    <row r="11" spans="1:4" ht="188.25" customHeight="1" x14ac:dyDescent="0.25">
      <c r="A11" s="127" t="s">
        <v>1007</v>
      </c>
      <c r="B11" s="127" t="s">
        <v>1008</v>
      </c>
      <c r="C11" s="126" t="s">
        <v>1009</v>
      </c>
      <c r="D11" s="127" t="s">
        <v>1010</v>
      </c>
    </row>
    <row r="12" spans="1:4" x14ac:dyDescent="0.25">
      <c r="A12" s="718" t="s">
        <v>1011</v>
      </c>
      <c r="B12" s="718"/>
      <c r="C12" s="718"/>
      <c r="D12" s="718"/>
    </row>
    <row r="13" spans="1:4" ht="169.5" customHeight="1" x14ac:dyDescent="0.25">
      <c r="A13" s="127" t="s">
        <v>1012</v>
      </c>
      <c r="B13" s="127" t="s">
        <v>1013</v>
      </c>
      <c r="C13" s="127" t="s">
        <v>1014</v>
      </c>
      <c r="D13" s="127" t="s">
        <v>1015</v>
      </c>
    </row>
    <row r="14" spans="1:4" x14ac:dyDescent="0.25">
      <c r="A14" s="718" t="s">
        <v>1016</v>
      </c>
      <c r="B14" s="718"/>
      <c r="C14" s="718"/>
      <c r="D14" s="718"/>
    </row>
    <row r="15" spans="1:4" ht="60" x14ac:dyDescent="0.25">
      <c r="A15" s="599" t="s">
        <v>1017</v>
      </c>
      <c r="B15" s="45" t="s">
        <v>1018</v>
      </c>
      <c r="C15" s="359"/>
      <c r="D15" s="359"/>
    </row>
    <row r="16" spans="1:4" ht="75" x14ac:dyDescent="0.25">
      <c r="A16" s="599"/>
      <c r="B16" s="160" t="s">
        <v>1019</v>
      </c>
      <c r="C16" s="58" t="s">
        <v>1020</v>
      </c>
      <c r="D16" s="304"/>
    </row>
    <row r="17" spans="1:4" ht="33" customHeight="1" x14ac:dyDescent="0.25">
      <c r="A17" s="599"/>
      <c r="B17" s="160" t="s">
        <v>1021</v>
      </c>
      <c r="C17" s="357"/>
      <c r="D17" s="719"/>
    </row>
    <row r="18" spans="1:4" ht="30" x14ac:dyDescent="0.25">
      <c r="A18" s="599"/>
      <c r="B18" s="494" t="s">
        <v>1022</v>
      </c>
      <c r="C18" s="495">
        <v>4.0014141069999996</v>
      </c>
      <c r="D18" s="720"/>
    </row>
    <row r="19" spans="1:4" ht="30" x14ac:dyDescent="0.25">
      <c r="A19" s="599"/>
      <c r="B19" s="494" t="s">
        <v>1023</v>
      </c>
      <c r="C19" s="243">
        <v>3.4641772149999999</v>
      </c>
      <c r="D19" s="720"/>
    </row>
    <row r="20" spans="1:4" ht="30" x14ac:dyDescent="0.25">
      <c r="A20" s="599"/>
      <c r="B20" s="494" t="s">
        <v>1024</v>
      </c>
      <c r="C20" s="243">
        <v>1.64246275</v>
      </c>
      <c r="D20" s="720"/>
    </row>
    <row r="21" spans="1:4" x14ac:dyDescent="0.25">
      <c r="A21" s="599"/>
      <c r="B21" s="494" t="s">
        <v>1025</v>
      </c>
      <c r="C21" s="243">
        <v>2.479695295</v>
      </c>
      <c r="D21" s="721"/>
    </row>
    <row r="22" spans="1:4" ht="51" customHeight="1" x14ac:dyDescent="0.25">
      <c r="A22" s="599"/>
      <c r="B22" s="161" t="s">
        <v>1026</v>
      </c>
      <c r="C22" s="496" t="s">
        <v>1239</v>
      </c>
      <c r="D22" s="161"/>
    </row>
    <row r="23" spans="1:4" x14ac:dyDescent="0.25">
      <c r="A23" s="718" t="s">
        <v>1027</v>
      </c>
      <c r="B23" s="718"/>
      <c r="C23" s="718"/>
      <c r="D23" s="718"/>
    </row>
    <row r="24" spans="1:4" ht="45" x14ac:dyDescent="0.25">
      <c r="A24" s="599" t="s">
        <v>1028</v>
      </c>
      <c r="B24" s="45" t="s">
        <v>1029</v>
      </c>
      <c r="C24" s="359"/>
      <c r="D24" s="359"/>
    </row>
    <row r="25" spans="1:4" ht="75" x14ac:dyDescent="0.25">
      <c r="A25" s="599"/>
      <c r="B25" s="160" t="s">
        <v>1030</v>
      </c>
      <c r="C25" s="42" t="s">
        <v>1031</v>
      </c>
      <c r="D25" s="304"/>
    </row>
    <row r="26" spans="1:4" ht="30" customHeight="1" x14ac:dyDescent="0.25">
      <c r="A26" s="599"/>
      <c r="B26" s="160" t="s">
        <v>1032</v>
      </c>
      <c r="C26" s="357"/>
      <c r="D26" s="719"/>
    </row>
    <row r="27" spans="1:4" ht="30" x14ac:dyDescent="0.25">
      <c r="A27" s="599"/>
      <c r="B27" s="497" t="s">
        <v>1033</v>
      </c>
      <c r="C27" s="495">
        <v>1.2437351440000002</v>
      </c>
      <c r="D27" s="720"/>
    </row>
    <row r="28" spans="1:4" ht="30" x14ac:dyDescent="0.25">
      <c r="A28" s="599"/>
      <c r="B28" s="497" t="s">
        <v>1034</v>
      </c>
      <c r="C28" s="243">
        <v>3.9388324589999999</v>
      </c>
      <c r="D28" s="720"/>
    </row>
    <row r="29" spans="1:4" ht="30" x14ac:dyDescent="0.25">
      <c r="A29" s="599"/>
      <c r="B29" s="497" t="s">
        <v>1035</v>
      </c>
      <c r="C29" s="243">
        <v>1.7263869890000001</v>
      </c>
      <c r="D29" s="721"/>
    </row>
    <row r="30" spans="1:4" ht="51" customHeight="1" x14ac:dyDescent="0.25">
      <c r="A30" s="600"/>
      <c r="B30" s="160" t="s">
        <v>1036</v>
      </c>
      <c r="C30" s="498" t="s">
        <v>1239</v>
      </c>
      <c r="D30" s="160"/>
    </row>
    <row r="43" ht="35.25" customHeight="1" x14ac:dyDescent="0.25"/>
    <row r="53" ht="15.75" customHeight="1" x14ac:dyDescent="0.25"/>
    <row r="81" ht="6.75" customHeight="1" x14ac:dyDescent="0.25"/>
    <row r="82" ht="12" customHeight="1" x14ac:dyDescent="0.25"/>
    <row r="83" ht="12" customHeight="1" x14ac:dyDescent="0.25"/>
  </sheetData>
  <mergeCells count="10">
    <mergeCell ref="A23:D23"/>
    <mergeCell ref="A24:A30"/>
    <mergeCell ref="D26:D29"/>
    <mergeCell ref="A4:D4"/>
    <mergeCell ref="A6:D6"/>
    <mergeCell ref="A10:D10"/>
    <mergeCell ref="A12:D12"/>
    <mergeCell ref="A14:D14"/>
    <mergeCell ref="A15:A22"/>
    <mergeCell ref="D17:D21"/>
  </mergeCells>
  <printOptions horizontalCentered="1"/>
  <pageMargins left="0.23622047244094491" right="0.23622047244094491" top="0.74803149606299213" bottom="0.74803149606299213" header="0.31496062992125984" footer="0.31496062992125984"/>
  <pageSetup paperSize="9" scale="66" fitToHeight="8" orientation="landscape" r:id="rId1"/>
  <headerFooter>
    <oddHeader>&amp;L&amp;G</oddHeader>
    <oddFooter>&amp;C&amp;10&amp;P of &amp;N</oddFooter>
  </headerFooter>
  <rowBreaks count="2" manualBreakCount="2">
    <brk id="11" max="16383" man="1"/>
    <brk id="2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F99A1-C9A1-4958-8DB1-AE1670062F04}">
  <sheetPr>
    <tabColor rgb="FF8D004C"/>
    <pageSetUpPr fitToPage="1"/>
  </sheetPr>
  <dimension ref="A1:A78"/>
  <sheetViews>
    <sheetView showGridLines="0" view="pageBreakPreview" zoomScaleNormal="100" zoomScaleSheetLayoutView="100" workbookViewId="0">
      <pane ySplit="1" topLeftCell="A2" activePane="bottomLeft" state="frozen"/>
      <selection activeCell="A6" sqref="A6:D6"/>
      <selection pane="bottomLeft" activeCell="B1" sqref="B1"/>
    </sheetView>
  </sheetViews>
  <sheetFormatPr defaultRowHeight="15" x14ac:dyDescent="0.25"/>
  <cols>
    <col min="1" max="1" width="252.140625" customWidth="1"/>
  </cols>
  <sheetData>
    <row r="1" spans="1:1" ht="18.75" x14ac:dyDescent="0.25">
      <c r="A1" s="499" t="s">
        <v>1037</v>
      </c>
    </row>
    <row r="2" spans="1:1" ht="257.25" customHeight="1" x14ac:dyDescent="0.25">
      <c r="A2" s="500" t="s">
        <v>1241</v>
      </c>
    </row>
    <row r="3" spans="1:1" ht="249" customHeight="1" x14ac:dyDescent="0.25">
      <c r="A3" s="307"/>
    </row>
    <row r="4" spans="1:1" ht="311.25" customHeight="1" x14ac:dyDescent="0.25">
      <c r="A4" s="500" t="s">
        <v>1038</v>
      </c>
    </row>
    <row r="62" spans="1:1" x14ac:dyDescent="0.25">
      <c r="A62" s="501" t="s">
        <v>1039</v>
      </c>
    </row>
    <row r="69" spans="1:1" x14ac:dyDescent="0.25">
      <c r="A69" s="3" t="s">
        <v>1040</v>
      </c>
    </row>
    <row r="72" spans="1:1" x14ac:dyDescent="0.25">
      <c r="A72" s="3" t="s">
        <v>1041</v>
      </c>
    </row>
    <row r="73" spans="1:1" x14ac:dyDescent="0.25">
      <c r="A73" s="3" t="s">
        <v>1042</v>
      </c>
    </row>
    <row r="74" spans="1:1" x14ac:dyDescent="0.25">
      <c r="A74" s="3" t="s">
        <v>1043</v>
      </c>
    </row>
    <row r="75" spans="1:1" x14ac:dyDescent="0.25">
      <c r="A75" s="3" t="s">
        <v>1044</v>
      </c>
    </row>
    <row r="76" spans="1:1" x14ac:dyDescent="0.25">
      <c r="A76" s="3" t="s">
        <v>1045</v>
      </c>
    </row>
    <row r="77" spans="1:1" x14ac:dyDescent="0.25">
      <c r="A77" s="501" t="s">
        <v>1046</v>
      </c>
    </row>
    <row r="78" spans="1:1" x14ac:dyDescent="0.25">
      <c r="A78" s="501" t="s">
        <v>1047</v>
      </c>
    </row>
  </sheetData>
  <printOptions horizontalCentered="1"/>
  <pageMargins left="0.23622047244094491" right="0.23622047244094491" top="0.74803149606299213" bottom="0.74803149606299213" header="0.31496062992125984" footer="0.31496062992125984"/>
  <pageSetup paperSize="9" scale="56" fitToHeight="2" orientation="landscape" r:id="rId1"/>
  <headerFooter>
    <oddHeader>&amp;L&amp;G</oddHeader>
    <oddFooter>&amp;C&amp;P of &amp;N</oddFoot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70D14-1D5C-4453-93F9-B89DA6E7CDA4}">
  <sheetPr>
    <tabColor rgb="FF8D004C"/>
    <pageSetUpPr fitToPage="1"/>
  </sheetPr>
  <dimension ref="A1:I78"/>
  <sheetViews>
    <sheetView showGridLines="0" view="pageBreakPreview" zoomScale="110" zoomScaleNormal="100" zoomScaleSheetLayoutView="110" workbookViewId="0">
      <pane ySplit="4" topLeftCell="A7" activePane="bottomLeft" state="frozen"/>
      <selection activeCell="A6" sqref="A6:D6"/>
      <selection pane="bottomLeft" activeCell="E1" sqref="E1"/>
    </sheetView>
  </sheetViews>
  <sheetFormatPr defaultRowHeight="15" x14ac:dyDescent="0.25"/>
  <cols>
    <col min="1" max="1" width="5.7109375" customWidth="1"/>
    <col min="2" max="2" width="120.7109375" customWidth="1"/>
    <col min="4" max="4" width="100.7109375" customWidth="1"/>
  </cols>
  <sheetData>
    <row r="1" spans="1:9" ht="18.75" x14ac:dyDescent="0.25">
      <c r="A1" s="630" t="s">
        <v>1048</v>
      </c>
      <c r="B1" s="630"/>
      <c r="C1" s="630"/>
      <c r="D1" s="630"/>
    </row>
    <row r="2" spans="1:9" x14ac:dyDescent="0.25">
      <c r="A2" s="723" t="s">
        <v>1049</v>
      </c>
      <c r="B2" s="723"/>
      <c r="C2" s="723"/>
      <c r="D2" s="723"/>
    </row>
    <row r="3" spans="1:9" ht="53.25" customHeight="1" x14ac:dyDescent="0.25">
      <c r="A3" s="641" t="s">
        <v>1050</v>
      </c>
      <c r="B3" s="641"/>
      <c r="C3" s="641"/>
      <c r="D3" s="641"/>
      <c r="E3" s="307"/>
      <c r="F3" s="307"/>
      <c r="G3" s="307"/>
      <c r="H3" s="307"/>
      <c r="I3" s="307"/>
    </row>
    <row r="4" spans="1:9" x14ac:dyDescent="0.25">
      <c r="A4" s="724" t="s">
        <v>1051</v>
      </c>
      <c r="B4" s="724"/>
      <c r="C4" s="502" t="s">
        <v>1052</v>
      </c>
      <c r="D4" s="503" t="s">
        <v>25</v>
      </c>
    </row>
    <row r="5" spans="1:9" x14ac:dyDescent="0.25">
      <c r="A5" s="722" t="s">
        <v>1053</v>
      </c>
      <c r="B5" s="722"/>
      <c r="C5" s="722"/>
      <c r="D5" s="722"/>
    </row>
    <row r="6" spans="1:9" ht="22.5" x14ac:dyDescent="0.25">
      <c r="A6" s="504">
        <v>1.1000000000000001</v>
      </c>
      <c r="B6" s="505" t="s">
        <v>1054</v>
      </c>
      <c r="C6" s="506" t="s">
        <v>1055</v>
      </c>
      <c r="D6" s="49"/>
    </row>
    <row r="7" spans="1:9" ht="22.5" x14ac:dyDescent="0.25">
      <c r="A7" s="504">
        <v>1.2</v>
      </c>
      <c r="B7" s="505" t="s">
        <v>1056</v>
      </c>
      <c r="C7" s="506" t="s">
        <v>1055</v>
      </c>
      <c r="D7" s="507"/>
    </row>
    <row r="8" spans="1:9" ht="22.5" x14ac:dyDescent="0.25">
      <c r="A8" s="504">
        <v>1.3</v>
      </c>
      <c r="B8" s="505" t="s">
        <v>1057</v>
      </c>
      <c r="C8" s="506" t="s">
        <v>1055</v>
      </c>
      <c r="D8" s="507"/>
    </row>
    <row r="9" spans="1:9" ht="22.5" x14ac:dyDescent="0.25">
      <c r="A9" s="504">
        <v>1.4</v>
      </c>
      <c r="B9" s="505" t="s">
        <v>1058</v>
      </c>
      <c r="C9" s="506" t="s">
        <v>1055</v>
      </c>
      <c r="D9" s="49"/>
    </row>
    <row r="10" spans="1:9" ht="22.5" x14ac:dyDescent="0.25">
      <c r="A10" s="504">
        <v>1.5</v>
      </c>
      <c r="B10" s="505" t="s">
        <v>1059</v>
      </c>
      <c r="C10" s="506" t="s">
        <v>1055</v>
      </c>
      <c r="D10" s="505"/>
    </row>
    <row r="11" spans="1:9" x14ac:dyDescent="0.25">
      <c r="A11" s="722" t="s">
        <v>1060</v>
      </c>
      <c r="B11" s="722"/>
      <c r="C11" s="722"/>
      <c r="D11" s="722"/>
    </row>
    <row r="12" spans="1:9" ht="30" x14ac:dyDescent="0.25">
      <c r="A12" s="504">
        <v>2.1</v>
      </c>
      <c r="B12" s="505" t="s">
        <v>1061</v>
      </c>
      <c r="C12" s="506" t="s">
        <v>1055</v>
      </c>
      <c r="D12" s="49"/>
    </row>
    <row r="13" spans="1:9" ht="30" x14ac:dyDescent="0.25">
      <c r="A13" s="504">
        <v>2.2000000000000002</v>
      </c>
      <c r="B13" s="505" t="s">
        <v>1062</v>
      </c>
      <c r="C13" s="506" t="s">
        <v>1055</v>
      </c>
      <c r="D13" s="304"/>
    </row>
    <row r="14" spans="1:9" x14ac:dyDescent="0.25">
      <c r="A14" s="722" t="s">
        <v>1063</v>
      </c>
      <c r="B14" s="722"/>
      <c r="C14" s="722"/>
      <c r="D14" s="722"/>
    </row>
    <row r="15" spans="1:9" ht="45" x14ac:dyDescent="0.25">
      <c r="A15" s="504">
        <v>3.1</v>
      </c>
      <c r="B15" s="505" t="s">
        <v>1064</v>
      </c>
      <c r="C15" s="506" t="s">
        <v>1055</v>
      </c>
      <c r="D15" s="508"/>
    </row>
    <row r="16" spans="1:9" ht="45" x14ac:dyDescent="0.25">
      <c r="A16" s="504">
        <v>3.4</v>
      </c>
      <c r="B16" s="505" t="s">
        <v>1065</v>
      </c>
      <c r="C16" s="506" t="s">
        <v>1055</v>
      </c>
      <c r="D16" s="508"/>
    </row>
    <row r="17" spans="1:4" ht="30" x14ac:dyDescent="0.25">
      <c r="A17" s="504">
        <v>3.5</v>
      </c>
      <c r="B17" s="505" t="s">
        <v>1066</v>
      </c>
      <c r="C17" s="506" t="s">
        <v>1055</v>
      </c>
      <c r="D17" s="508"/>
    </row>
    <row r="18" spans="1:4" x14ac:dyDescent="0.25">
      <c r="A18" s="722" t="s">
        <v>1067</v>
      </c>
      <c r="B18" s="722"/>
      <c r="C18" s="722"/>
      <c r="D18" s="722"/>
    </row>
    <row r="19" spans="1:4" ht="30" x14ac:dyDescent="0.25">
      <c r="A19" s="504">
        <v>4.0999999999999996</v>
      </c>
      <c r="B19" s="505" t="s">
        <v>1068</v>
      </c>
      <c r="C19" s="506" t="s">
        <v>1055</v>
      </c>
      <c r="D19" s="42"/>
    </row>
    <row r="20" spans="1:4" ht="30" x14ac:dyDescent="0.25">
      <c r="A20" s="504">
        <v>4.2</v>
      </c>
      <c r="B20" s="505" t="s">
        <v>1069</v>
      </c>
      <c r="C20" s="506" t="s">
        <v>1055</v>
      </c>
      <c r="D20" s="49"/>
    </row>
    <row r="21" spans="1:4" x14ac:dyDescent="0.25">
      <c r="A21" s="722" t="s">
        <v>1070</v>
      </c>
      <c r="B21" s="722"/>
      <c r="C21" s="722"/>
      <c r="D21" s="722"/>
    </row>
    <row r="22" spans="1:4" ht="45" x14ac:dyDescent="0.25">
      <c r="A22" s="504">
        <v>5.0999999999999996</v>
      </c>
      <c r="B22" s="505" t="s">
        <v>1071</v>
      </c>
      <c r="C22" s="506" t="s">
        <v>1055</v>
      </c>
      <c r="D22" s="49"/>
    </row>
    <row r="23" spans="1:4" ht="30" x14ac:dyDescent="0.25">
      <c r="A23" s="504">
        <v>5.2</v>
      </c>
      <c r="B23" s="505" t="s">
        <v>1072</v>
      </c>
      <c r="C23" s="506" t="s">
        <v>1055</v>
      </c>
      <c r="D23" s="49"/>
    </row>
    <row r="24" spans="1:4" x14ac:dyDescent="0.25">
      <c r="A24" s="722" t="s">
        <v>1073</v>
      </c>
      <c r="B24" s="722"/>
      <c r="C24" s="722"/>
      <c r="D24" s="722"/>
    </row>
    <row r="25" spans="1:4" ht="45" x14ac:dyDescent="0.25">
      <c r="A25" s="504">
        <v>6.1</v>
      </c>
      <c r="B25" s="505" t="s">
        <v>1074</v>
      </c>
      <c r="C25" s="506" t="s">
        <v>1055</v>
      </c>
      <c r="D25" s="42"/>
    </row>
    <row r="26" spans="1:4" ht="30" x14ac:dyDescent="0.25">
      <c r="A26" s="504">
        <v>6.2</v>
      </c>
      <c r="B26" s="505" t="s">
        <v>1075</v>
      </c>
      <c r="C26" s="506" t="s">
        <v>1055</v>
      </c>
      <c r="D26" s="49"/>
    </row>
    <row r="27" spans="1:4" ht="105" x14ac:dyDescent="0.25">
      <c r="A27" s="504">
        <v>6.3</v>
      </c>
      <c r="B27" s="505" t="s">
        <v>1076</v>
      </c>
      <c r="C27" s="509" t="str">
        <f>_xlfn.UNICHAR(9681)</f>
        <v>◑</v>
      </c>
      <c r="D27" s="510" t="s">
        <v>1077</v>
      </c>
    </row>
    <row r="28" spans="1:4" ht="30" x14ac:dyDescent="0.25">
      <c r="A28" s="504">
        <v>6.5</v>
      </c>
      <c r="B28" s="511" t="s">
        <v>1078</v>
      </c>
      <c r="C28" s="506" t="s">
        <v>1055</v>
      </c>
      <c r="D28" s="49"/>
    </row>
    <row r="29" spans="1:4" x14ac:dyDescent="0.25">
      <c r="A29" s="722" t="s">
        <v>1079</v>
      </c>
      <c r="B29" s="722"/>
      <c r="C29" s="722"/>
      <c r="D29" s="722"/>
    </row>
    <row r="30" spans="1:4" ht="45" x14ac:dyDescent="0.25">
      <c r="A30" s="504">
        <v>7.1</v>
      </c>
      <c r="B30" s="505" t="s">
        <v>1080</v>
      </c>
      <c r="C30" s="506" t="s">
        <v>1055</v>
      </c>
      <c r="D30" s="505"/>
    </row>
    <row r="31" spans="1:4" ht="30" x14ac:dyDescent="0.25">
      <c r="A31" s="504">
        <v>7.2</v>
      </c>
      <c r="B31" s="505" t="s">
        <v>1081</v>
      </c>
      <c r="C31" s="506" t="s">
        <v>1055</v>
      </c>
      <c r="D31" s="505"/>
    </row>
    <row r="32" spans="1:4" x14ac:dyDescent="0.25">
      <c r="A32" s="722" t="s">
        <v>1082</v>
      </c>
      <c r="B32" s="722"/>
      <c r="C32" s="722"/>
      <c r="D32" s="722"/>
    </row>
    <row r="33" spans="1:4" ht="30" x14ac:dyDescent="0.25">
      <c r="A33" s="504">
        <v>8.1</v>
      </c>
      <c r="B33" s="505" t="s">
        <v>1083</v>
      </c>
      <c r="C33" s="506" t="s">
        <v>1055</v>
      </c>
      <c r="D33" s="42"/>
    </row>
    <row r="34" spans="1:4" ht="30" x14ac:dyDescent="0.25">
      <c r="A34" s="504">
        <v>8.1999999999999993</v>
      </c>
      <c r="B34" s="505" t="s">
        <v>1084</v>
      </c>
      <c r="C34" s="506" t="s">
        <v>1055</v>
      </c>
      <c r="D34" s="508"/>
    </row>
    <row r="35" spans="1:4" x14ac:dyDescent="0.25">
      <c r="A35" s="722" t="s">
        <v>1085</v>
      </c>
      <c r="B35" s="722"/>
      <c r="C35" s="722"/>
      <c r="D35" s="722"/>
    </row>
    <row r="36" spans="1:4" ht="45" x14ac:dyDescent="0.25">
      <c r="A36" s="504">
        <v>9.1</v>
      </c>
      <c r="B36" s="505" t="s">
        <v>1086</v>
      </c>
      <c r="C36" s="506" t="s">
        <v>1055</v>
      </c>
      <c r="D36" s="49"/>
    </row>
    <row r="37" spans="1:4" ht="45" x14ac:dyDescent="0.25">
      <c r="A37" s="504">
        <v>9.1999999999999993</v>
      </c>
      <c r="B37" s="505" t="s">
        <v>1087</v>
      </c>
      <c r="C37" s="506" t="s">
        <v>1055</v>
      </c>
      <c r="D37" s="49"/>
    </row>
    <row r="38" spans="1:4" x14ac:dyDescent="0.25">
      <c r="A38" s="722" t="s">
        <v>1088</v>
      </c>
      <c r="B38" s="722"/>
      <c r="C38" s="722"/>
      <c r="D38" s="722"/>
    </row>
    <row r="39" spans="1:4" ht="30" x14ac:dyDescent="0.25">
      <c r="A39" s="504">
        <v>10.1</v>
      </c>
      <c r="B39" s="505" t="s">
        <v>1089</v>
      </c>
      <c r="C39" s="506" t="s">
        <v>1055</v>
      </c>
      <c r="D39" s="42"/>
    </row>
    <row r="40" spans="1:4" ht="30" x14ac:dyDescent="0.25">
      <c r="A40" s="504">
        <v>10.199999999999999</v>
      </c>
      <c r="B40" s="505" t="s">
        <v>1090</v>
      </c>
      <c r="C40" s="506" t="s">
        <v>1055</v>
      </c>
      <c r="D40" s="505"/>
    </row>
    <row r="41" spans="1:4" ht="30" x14ac:dyDescent="0.25">
      <c r="A41" s="504">
        <v>10.3</v>
      </c>
      <c r="B41" s="505" t="s">
        <v>1091</v>
      </c>
      <c r="C41" s="506" t="s">
        <v>1055</v>
      </c>
      <c r="D41" s="505"/>
    </row>
    <row r="42" spans="1:4" ht="30" x14ac:dyDescent="0.25">
      <c r="A42" s="504">
        <v>10.4</v>
      </c>
      <c r="B42" s="505" t="s">
        <v>1092</v>
      </c>
      <c r="C42" s="506" t="s">
        <v>1055</v>
      </c>
      <c r="D42" s="505"/>
    </row>
    <row r="43" spans="1:4" x14ac:dyDescent="0.25">
      <c r="A43" s="725" t="s">
        <v>1093</v>
      </c>
      <c r="B43" s="725"/>
      <c r="C43" s="725"/>
      <c r="D43" s="725"/>
    </row>
    <row r="62" spans="1:1" x14ac:dyDescent="0.25">
      <c r="A62" s="501"/>
    </row>
    <row r="69" spans="1:1" x14ac:dyDescent="0.25">
      <c r="A69"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501"/>
    </row>
    <row r="78" spans="1:1" x14ac:dyDescent="0.25">
      <c r="A78" s="501"/>
    </row>
  </sheetData>
  <mergeCells count="15">
    <mergeCell ref="A35:D35"/>
    <mergeCell ref="A38:D38"/>
    <mergeCell ref="A43:D43"/>
    <mergeCell ref="A14:D14"/>
    <mergeCell ref="A18:D18"/>
    <mergeCell ref="A21:D21"/>
    <mergeCell ref="A24:D24"/>
    <mergeCell ref="A29:D29"/>
    <mergeCell ref="A32:D32"/>
    <mergeCell ref="A11:D11"/>
    <mergeCell ref="A1:D1"/>
    <mergeCell ref="A2:D2"/>
    <mergeCell ref="A4:B4"/>
    <mergeCell ref="A5:D5"/>
    <mergeCell ref="A3:D3"/>
  </mergeCells>
  <printOptions horizontalCentered="1"/>
  <pageMargins left="0.23622047244094491" right="0.23622047244094491" top="0.74803149606299213" bottom="0.74803149606299213" header="0.31496062992125984" footer="0.31496062992125984"/>
  <pageSetup paperSize="9" scale="60" fitToHeight="6" orientation="landscape" r:id="rId1"/>
  <headerFooter>
    <oddHeader>&amp;L&amp;G</oddHeader>
    <oddFooter>&amp;C&amp;P of &amp;N</oddFoot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C2D4-B1E9-447C-A36E-DF015CEBF667}">
  <sheetPr>
    <tabColor rgb="FF8D004C"/>
  </sheetPr>
  <dimension ref="A1:AX41"/>
  <sheetViews>
    <sheetView showGridLines="0" view="pageBreakPreview" zoomScaleNormal="100" zoomScaleSheetLayoutView="100" workbookViewId="0">
      <pane ySplit="4" topLeftCell="A5" activePane="bottomLeft" state="frozen"/>
      <selection activeCell="A6" sqref="A6:D6"/>
      <selection pane="bottomLeft" activeCell="G49" sqref="G49"/>
    </sheetView>
  </sheetViews>
  <sheetFormatPr defaultRowHeight="15" x14ac:dyDescent="0.25"/>
  <cols>
    <col min="1" max="1" width="13.5703125" customWidth="1"/>
    <col min="2" max="2" width="9.140625" bestFit="1" customWidth="1"/>
    <col min="3" max="3" width="88.85546875" customWidth="1"/>
    <col min="4" max="49" width="14.42578125" customWidth="1"/>
    <col min="50" max="50" width="149.5703125" customWidth="1"/>
  </cols>
  <sheetData>
    <row r="1" spans="1:50" ht="18.75" x14ac:dyDescent="0.3">
      <c r="A1" s="512" t="s">
        <v>1094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spans="1:50" x14ac:dyDescent="0.25">
      <c r="A2" t="s">
        <v>1049</v>
      </c>
    </row>
    <row r="3" spans="1:50" ht="53.25" customHeight="1" thickBot="1" x14ac:dyDescent="0.3">
      <c r="A3" s="18" t="s">
        <v>1095</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row>
    <row r="4" spans="1:50" x14ac:dyDescent="0.25">
      <c r="A4" s="513" t="s">
        <v>1051</v>
      </c>
      <c r="B4" s="513"/>
      <c r="C4" s="513"/>
      <c r="D4" s="731" t="s">
        <v>1096</v>
      </c>
      <c r="E4" s="726"/>
      <c r="F4" s="726"/>
      <c r="G4" s="726"/>
      <c r="H4" s="726"/>
      <c r="I4" s="726"/>
      <c r="J4" s="726"/>
      <c r="K4" s="726"/>
      <c r="L4" s="726"/>
      <c r="M4" s="726"/>
      <c r="N4" s="726"/>
      <c r="O4" s="726"/>
      <c r="P4" s="726"/>
      <c r="Q4" s="726"/>
      <c r="R4" s="726"/>
      <c r="S4" s="726"/>
      <c r="T4" s="726"/>
      <c r="U4" s="726"/>
      <c r="V4" s="726" t="s">
        <v>1097</v>
      </c>
      <c r="W4" s="726"/>
      <c r="X4" s="726"/>
      <c r="Y4" s="726"/>
      <c r="Z4" s="726"/>
      <c r="AA4" s="726"/>
      <c r="AB4" s="726"/>
      <c r="AC4" s="726"/>
      <c r="AD4" s="732" t="s">
        <v>1098</v>
      </c>
      <c r="AE4" s="733"/>
      <c r="AF4" s="733"/>
      <c r="AG4" s="733"/>
      <c r="AH4" s="731"/>
      <c r="AI4" s="726" t="s">
        <v>1099</v>
      </c>
      <c r="AJ4" s="726"/>
      <c r="AK4" s="726"/>
      <c r="AL4" s="726"/>
      <c r="AM4" s="726"/>
      <c r="AN4" s="726" t="s">
        <v>1100</v>
      </c>
      <c r="AO4" s="726"/>
      <c r="AP4" s="726"/>
      <c r="AQ4" s="726"/>
      <c r="AR4" s="726"/>
      <c r="AS4" s="726"/>
      <c r="AT4" s="726"/>
      <c r="AU4" s="726"/>
      <c r="AV4" s="726"/>
      <c r="AW4" s="726"/>
      <c r="AX4" s="547"/>
    </row>
    <row r="5" spans="1:50" ht="36.75" thickBot="1" x14ac:dyDescent="0.3">
      <c r="A5" s="514" t="s">
        <v>1101</v>
      </c>
      <c r="B5" s="514" t="s">
        <v>1102</v>
      </c>
      <c r="C5" s="515" t="s">
        <v>1103</v>
      </c>
      <c r="D5" s="515" t="s">
        <v>1104</v>
      </c>
      <c r="E5" s="516" t="s">
        <v>1105</v>
      </c>
      <c r="F5" s="516" t="s">
        <v>1106</v>
      </c>
      <c r="G5" s="516" t="s">
        <v>1107</v>
      </c>
      <c r="H5" s="516" t="s">
        <v>1108</v>
      </c>
      <c r="I5" s="516" t="s">
        <v>1109</v>
      </c>
      <c r="J5" s="516" t="s">
        <v>1110</v>
      </c>
      <c r="K5" s="516" t="s">
        <v>1111</v>
      </c>
      <c r="L5" s="516" t="s">
        <v>1112</v>
      </c>
      <c r="M5" s="516" t="s">
        <v>1113</v>
      </c>
      <c r="N5" s="516" t="s">
        <v>1114</v>
      </c>
      <c r="O5" s="516" t="s">
        <v>1115</v>
      </c>
      <c r="P5" s="516" t="s">
        <v>1116</v>
      </c>
      <c r="Q5" s="516" t="s">
        <v>1117</v>
      </c>
      <c r="R5" s="516" t="s">
        <v>1118</v>
      </c>
      <c r="S5" s="516" t="s">
        <v>1119</v>
      </c>
      <c r="T5" s="516" t="s">
        <v>1120</v>
      </c>
      <c r="U5" s="516" t="s">
        <v>1121</v>
      </c>
      <c r="V5" s="516" t="s">
        <v>1122</v>
      </c>
      <c r="W5" s="516" t="s">
        <v>1123</v>
      </c>
      <c r="X5" s="516" t="s">
        <v>1124</v>
      </c>
      <c r="Y5" s="516" t="s">
        <v>1125</v>
      </c>
      <c r="Z5" s="516" t="s">
        <v>1126</v>
      </c>
      <c r="AA5" s="516" t="s">
        <v>1127</v>
      </c>
      <c r="AB5" s="516" t="s">
        <v>1128</v>
      </c>
      <c r="AC5" s="516" t="s">
        <v>1129</v>
      </c>
      <c r="AD5" s="516" t="s">
        <v>1130</v>
      </c>
      <c r="AE5" s="516" t="s">
        <v>1131</v>
      </c>
      <c r="AF5" s="516" t="s">
        <v>1132</v>
      </c>
      <c r="AG5" s="516" t="s">
        <v>1133</v>
      </c>
      <c r="AH5" s="516" t="s">
        <v>1134</v>
      </c>
      <c r="AI5" s="516" t="s">
        <v>1135</v>
      </c>
      <c r="AJ5" s="516" t="s">
        <v>1136</v>
      </c>
      <c r="AK5" s="516" t="s">
        <v>1137</v>
      </c>
      <c r="AL5" s="516" t="s">
        <v>1138</v>
      </c>
      <c r="AM5" s="516" t="s">
        <v>1139</v>
      </c>
      <c r="AN5" s="516" t="s">
        <v>1140</v>
      </c>
      <c r="AO5" s="516" t="s">
        <v>1141</v>
      </c>
      <c r="AP5" s="516" t="s">
        <v>1142</v>
      </c>
      <c r="AQ5" s="516" t="s">
        <v>1143</v>
      </c>
      <c r="AR5" s="516" t="s">
        <v>1144</v>
      </c>
      <c r="AS5" s="516" t="s">
        <v>1145</v>
      </c>
      <c r="AT5" s="516" t="s">
        <v>1146</v>
      </c>
      <c r="AU5" s="516" t="s">
        <v>1147</v>
      </c>
      <c r="AV5" s="516" t="s">
        <v>1148</v>
      </c>
      <c r="AW5" s="516" t="s">
        <v>1149</v>
      </c>
      <c r="AX5" s="548" t="s">
        <v>25</v>
      </c>
    </row>
    <row r="6" spans="1:50" ht="22.5" x14ac:dyDescent="0.25">
      <c r="A6" s="730" t="s">
        <v>1150</v>
      </c>
      <c r="B6" s="517" t="s">
        <v>1151</v>
      </c>
      <c r="C6" s="518" t="s">
        <v>1152</v>
      </c>
      <c r="D6" s="519" t="s">
        <v>1055</v>
      </c>
      <c r="E6" s="519" t="s">
        <v>1055</v>
      </c>
      <c r="F6" s="519" t="s">
        <v>1055</v>
      </c>
      <c r="G6" s="519" t="s">
        <v>1055</v>
      </c>
      <c r="H6" s="519" t="s">
        <v>1055</v>
      </c>
      <c r="I6" s="519" t="s">
        <v>1055</v>
      </c>
      <c r="J6" s="519" t="s">
        <v>1055</v>
      </c>
      <c r="K6" s="519" t="s">
        <v>1055</v>
      </c>
      <c r="L6" s="519" t="s">
        <v>1055</v>
      </c>
      <c r="M6" s="519" t="s">
        <v>1055</v>
      </c>
      <c r="N6" s="519" t="s">
        <v>1055</v>
      </c>
      <c r="O6" s="519" t="s">
        <v>1055</v>
      </c>
      <c r="P6" s="519" t="s">
        <v>1055</v>
      </c>
      <c r="Q6" s="519" t="s">
        <v>1055</v>
      </c>
      <c r="R6" s="519" t="s">
        <v>1055</v>
      </c>
      <c r="S6" s="519" t="s">
        <v>1055</v>
      </c>
      <c r="T6" s="519" t="s">
        <v>1055</v>
      </c>
      <c r="U6" s="519" t="s">
        <v>1055</v>
      </c>
      <c r="V6" s="519" t="s">
        <v>1055</v>
      </c>
      <c r="W6" s="519" t="s">
        <v>1055</v>
      </c>
      <c r="X6" s="519" t="s">
        <v>1055</v>
      </c>
      <c r="Y6" s="519" t="s">
        <v>1055</v>
      </c>
      <c r="Z6" s="519" t="s">
        <v>1055</v>
      </c>
      <c r="AA6" s="519" t="s">
        <v>1055</v>
      </c>
      <c r="AB6" s="519" t="s">
        <v>1055</v>
      </c>
      <c r="AC6" s="519" t="s">
        <v>1055</v>
      </c>
      <c r="AD6" s="520" t="s">
        <v>1055</v>
      </c>
      <c r="AE6" s="519" t="s">
        <v>1055</v>
      </c>
      <c r="AF6" s="519" t="s">
        <v>1055</v>
      </c>
      <c r="AG6" s="519" t="s">
        <v>1055</v>
      </c>
      <c r="AH6" s="519" t="s">
        <v>1055</v>
      </c>
      <c r="AI6" s="519" t="s">
        <v>1055</v>
      </c>
      <c r="AJ6" s="519" t="s">
        <v>1055</v>
      </c>
      <c r="AK6" s="519" t="s">
        <v>1055</v>
      </c>
      <c r="AL6" s="519" t="s">
        <v>1055</v>
      </c>
      <c r="AM6" s="519" t="s">
        <v>1055</v>
      </c>
      <c r="AN6" s="519" t="s">
        <v>1055</v>
      </c>
      <c r="AO6" s="519" t="s">
        <v>1055</v>
      </c>
      <c r="AP6" s="519" t="s">
        <v>1055</v>
      </c>
      <c r="AQ6" s="519" t="s">
        <v>1055</v>
      </c>
      <c r="AR6" s="519" t="s">
        <v>1055</v>
      </c>
      <c r="AS6" s="519" t="s">
        <v>1055</v>
      </c>
      <c r="AT6" s="519" t="s">
        <v>1055</v>
      </c>
      <c r="AU6" s="519" t="s">
        <v>1055</v>
      </c>
      <c r="AV6" s="519" t="s">
        <v>1055</v>
      </c>
      <c r="AW6" s="519" t="s">
        <v>1055</v>
      </c>
      <c r="AX6" s="529"/>
    </row>
    <row r="7" spans="1:50" ht="22.5" x14ac:dyDescent="0.25">
      <c r="A7" s="727"/>
      <c r="B7" s="523">
        <v>1.2</v>
      </c>
      <c r="C7" s="524" t="s">
        <v>1056</v>
      </c>
      <c r="D7" s="506" t="s">
        <v>1055</v>
      </c>
      <c r="E7" s="506" t="s">
        <v>1055</v>
      </c>
      <c r="F7" s="506" t="s">
        <v>1055</v>
      </c>
      <c r="G7" s="506" t="s">
        <v>1055</v>
      </c>
      <c r="H7" s="506" t="s">
        <v>1055</v>
      </c>
      <c r="I7" s="506" t="s">
        <v>1055</v>
      </c>
      <c r="J7" s="506" t="s">
        <v>1055</v>
      </c>
      <c r="K7" s="506" t="s">
        <v>1055</v>
      </c>
      <c r="L7" s="506" t="s">
        <v>1055</v>
      </c>
      <c r="M7" s="506" t="s">
        <v>1055</v>
      </c>
      <c r="N7" s="506" t="s">
        <v>1055</v>
      </c>
      <c r="O7" s="506" t="s">
        <v>1055</v>
      </c>
      <c r="P7" s="506" t="s">
        <v>1055</v>
      </c>
      <c r="Q7" s="506" t="s">
        <v>1055</v>
      </c>
      <c r="R7" s="506" t="s">
        <v>1055</v>
      </c>
      <c r="S7" s="506" t="s">
        <v>1055</v>
      </c>
      <c r="T7" s="506" t="s">
        <v>1055</v>
      </c>
      <c r="U7" s="506" t="s">
        <v>1055</v>
      </c>
      <c r="V7" s="506" t="s">
        <v>1055</v>
      </c>
      <c r="W7" s="506" t="s">
        <v>1055</v>
      </c>
      <c r="X7" s="506" t="s">
        <v>1055</v>
      </c>
      <c r="Y7" s="506" t="s">
        <v>1055</v>
      </c>
      <c r="Z7" s="506" t="s">
        <v>1055</v>
      </c>
      <c r="AA7" s="506" t="s">
        <v>1055</v>
      </c>
      <c r="AB7" s="506" t="s">
        <v>1055</v>
      </c>
      <c r="AC7" s="506" t="s">
        <v>1055</v>
      </c>
      <c r="AD7" s="525" t="s">
        <v>1055</v>
      </c>
      <c r="AE7" s="506" t="s">
        <v>1055</v>
      </c>
      <c r="AF7" s="506" t="s">
        <v>1055</v>
      </c>
      <c r="AG7" s="506" t="s">
        <v>1055</v>
      </c>
      <c r="AH7" s="506" t="s">
        <v>1055</v>
      </c>
      <c r="AI7" s="506" t="s">
        <v>1055</v>
      </c>
      <c r="AJ7" s="506" t="s">
        <v>1055</v>
      </c>
      <c r="AK7" s="506" t="s">
        <v>1055</v>
      </c>
      <c r="AL7" s="506" t="s">
        <v>1055</v>
      </c>
      <c r="AM7" s="506" t="s">
        <v>1055</v>
      </c>
      <c r="AN7" s="506" t="s">
        <v>1055</v>
      </c>
      <c r="AO7" s="506" t="s">
        <v>1055</v>
      </c>
      <c r="AP7" s="506" t="s">
        <v>1055</v>
      </c>
      <c r="AQ7" s="506" t="s">
        <v>1055</v>
      </c>
      <c r="AR7" s="506" t="s">
        <v>1055</v>
      </c>
      <c r="AS7" s="506" t="s">
        <v>1055</v>
      </c>
      <c r="AT7" s="506" t="s">
        <v>1055</v>
      </c>
      <c r="AU7" s="506" t="s">
        <v>1055</v>
      </c>
      <c r="AV7" s="506" t="s">
        <v>1055</v>
      </c>
      <c r="AW7" s="506" t="s">
        <v>1055</v>
      </c>
      <c r="AX7" s="521"/>
    </row>
    <row r="8" spans="1:50" ht="24" x14ac:dyDescent="0.25">
      <c r="A8" s="522" t="s">
        <v>1153</v>
      </c>
      <c r="B8" s="523" t="s">
        <v>1154</v>
      </c>
      <c r="C8" s="524" t="s">
        <v>1062</v>
      </c>
      <c r="D8" s="506" t="s">
        <v>1055</v>
      </c>
      <c r="E8" s="506" t="s">
        <v>1055</v>
      </c>
      <c r="F8" s="506" t="s">
        <v>1055</v>
      </c>
      <c r="G8" s="506" t="s">
        <v>1055</v>
      </c>
      <c r="H8" s="506" t="s">
        <v>1055</v>
      </c>
      <c r="I8" s="506" t="s">
        <v>1055</v>
      </c>
      <c r="J8" s="506" t="s">
        <v>1055</v>
      </c>
      <c r="K8" s="506" t="s">
        <v>1055</v>
      </c>
      <c r="L8" s="506" t="s">
        <v>1055</v>
      </c>
      <c r="M8" s="506" t="s">
        <v>1055</v>
      </c>
      <c r="N8" s="506" t="s">
        <v>1055</v>
      </c>
      <c r="O8" s="506" t="s">
        <v>1055</v>
      </c>
      <c r="P8" s="506" t="s">
        <v>1055</v>
      </c>
      <c r="Q8" s="506" t="s">
        <v>1055</v>
      </c>
      <c r="R8" s="506" t="s">
        <v>1055</v>
      </c>
      <c r="S8" s="506" t="s">
        <v>1055</v>
      </c>
      <c r="T8" s="506" t="s">
        <v>1055</v>
      </c>
      <c r="U8" s="506" t="s">
        <v>1055</v>
      </c>
      <c r="V8" s="506" t="s">
        <v>1055</v>
      </c>
      <c r="W8" s="506" t="s">
        <v>1055</v>
      </c>
      <c r="X8" s="506" t="s">
        <v>1055</v>
      </c>
      <c r="Y8" s="506" t="s">
        <v>1055</v>
      </c>
      <c r="Z8" s="506" t="s">
        <v>1055</v>
      </c>
      <c r="AA8" s="506" t="s">
        <v>1055</v>
      </c>
      <c r="AB8" s="506" t="s">
        <v>1055</v>
      </c>
      <c r="AC8" s="506" t="s">
        <v>1055</v>
      </c>
      <c r="AD8" s="525" t="s">
        <v>1055</v>
      </c>
      <c r="AE8" s="506" t="s">
        <v>1055</v>
      </c>
      <c r="AF8" s="506" t="s">
        <v>1055</v>
      </c>
      <c r="AG8" s="506" t="s">
        <v>1055</v>
      </c>
      <c r="AH8" s="506" t="s">
        <v>1055</v>
      </c>
      <c r="AI8" s="506" t="s">
        <v>1055</v>
      </c>
      <c r="AJ8" s="506" t="s">
        <v>1055</v>
      </c>
      <c r="AK8" s="506" t="s">
        <v>1055</v>
      </c>
      <c r="AL8" s="506" t="s">
        <v>1055</v>
      </c>
      <c r="AM8" s="506" t="s">
        <v>1055</v>
      </c>
      <c r="AN8" s="506" t="s">
        <v>1055</v>
      </c>
      <c r="AO8" s="506" t="s">
        <v>1055</v>
      </c>
      <c r="AP8" s="506" t="s">
        <v>1055</v>
      </c>
      <c r="AQ8" s="506" t="s">
        <v>1055</v>
      </c>
      <c r="AR8" s="506" t="s">
        <v>1055</v>
      </c>
      <c r="AS8" s="506" t="s">
        <v>1055</v>
      </c>
      <c r="AT8" s="506" t="s">
        <v>1055</v>
      </c>
      <c r="AU8" s="506" t="s">
        <v>1055</v>
      </c>
      <c r="AV8" s="506" t="s">
        <v>1055</v>
      </c>
      <c r="AW8" s="506" t="s">
        <v>1055</v>
      </c>
      <c r="AX8" s="526"/>
    </row>
    <row r="9" spans="1:50" ht="36" x14ac:dyDescent="0.25">
      <c r="A9" s="727" t="s">
        <v>1155</v>
      </c>
      <c r="B9" s="523" t="s">
        <v>1156</v>
      </c>
      <c r="C9" s="524" t="s">
        <v>1064</v>
      </c>
      <c r="D9" s="506" t="s">
        <v>1055</v>
      </c>
      <c r="E9" s="506" t="s">
        <v>1055</v>
      </c>
      <c r="F9" s="506" t="s">
        <v>1055</v>
      </c>
      <c r="G9" s="506" t="s">
        <v>1055</v>
      </c>
      <c r="H9" s="506" t="s">
        <v>1055</v>
      </c>
      <c r="I9" s="506" t="s">
        <v>1055</v>
      </c>
      <c r="J9" s="506" t="s">
        <v>1055</v>
      </c>
      <c r="K9" s="506" t="s">
        <v>1055</v>
      </c>
      <c r="L9" s="506" t="s">
        <v>1055</v>
      </c>
      <c r="M9" s="506" t="s">
        <v>1055</v>
      </c>
      <c r="N9" s="506" t="s">
        <v>1055</v>
      </c>
      <c r="O9" s="506" t="s">
        <v>1055</v>
      </c>
      <c r="P9" s="506" t="s">
        <v>1055</v>
      </c>
      <c r="Q9" s="506" t="s">
        <v>1055</v>
      </c>
      <c r="R9" s="506" t="s">
        <v>1055</v>
      </c>
      <c r="S9" s="506" t="s">
        <v>1055</v>
      </c>
      <c r="T9" s="506" t="s">
        <v>1055</v>
      </c>
      <c r="U9" s="506" t="s">
        <v>1055</v>
      </c>
      <c r="V9" s="506" t="s">
        <v>1055</v>
      </c>
      <c r="W9" s="506" t="s">
        <v>1055</v>
      </c>
      <c r="X9" s="509" t="str">
        <f>_xlfn.UNICHAR(9681)</f>
        <v>◑</v>
      </c>
      <c r="Y9" s="509" t="str">
        <f>_xlfn.UNICHAR(9681)</f>
        <v>◑</v>
      </c>
      <c r="Z9" s="509" t="str">
        <f>_xlfn.UNICHAR(9681)</f>
        <v>◑</v>
      </c>
      <c r="AA9" s="506" t="s">
        <v>1055</v>
      </c>
      <c r="AB9" s="506" t="s">
        <v>1055</v>
      </c>
      <c r="AC9" s="506" t="s">
        <v>1055</v>
      </c>
      <c r="AD9" s="525" t="s">
        <v>1055</v>
      </c>
      <c r="AE9" s="506" t="s">
        <v>1055</v>
      </c>
      <c r="AF9" s="506" t="s">
        <v>1055</v>
      </c>
      <c r="AG9" s="506" t="s">
        <v>1055</v>
      </c>
      <c r="AH9" s="506" t="s">
        <v>1055</v>
      </c>
      <c r="AI9" s="506" t="s">
        <v>1055</v>
      </c>
      <c r="AJ9" s="506" t="s">
        <v>1055</v>
      </c>
      <c r="AK9" s="506" t="s">
        <v>1055</v>
      </c>
      <c r="AL9" s="506" t="s">
        <v>1055</v>
      </c>
      <c r="AM9" s="506" t="s">
        <v>1055</v>
      </c>
      <c r="AN9" s="506" t="s">
        <v>1055</v>
      </c>
      <c r="AO9" s="506" t="s">
        <v>1055</v>
      </c>
      <c r="AP9" s="506" t="s">
        <v>1055</v>
      </c>
      <c r="AQ9" s="506" t="s">
        <v>1055</v>
      </c>
      <c r="AR9" s="506" t="s">
        <v>1055</v>
      </c>
      <c r="AS9" s="506" t="s">
        <v>1055</v>
      </c>
      <c r="AT9" s="506" t="s">
        <v>1055</v>
      </c>
      <c r="AU9" s="506" t="s">
        <v>1055</v>
      </c>
      <c r="AV9" s="509" t="str">
        <f>_xlfn.UNICHAR(9681)</f>
        <v>◑</v>
      </c>
      <c r="AW9" s="506" t="s">
        <v>1055</v>
      </c>
      <c r="AX9" s="521" t="s">
        <v>1157</v>
      </c>
    </row>
    <row r="10" spans="1:50" ht="36" x14ac:dyDescent="0.25">
      <c r="A10" s="727"/>
      <c r="B10" s="523" t="s">
        <v>1158</v>
      </c>
      <c r="C10" s="524" t="s">
        <v>1159</v>
      </c>
      <c r="D10" s="506" t="s">
        <v>1055</v>
      </c>
      <c r="E10" s="506" t="s">
        <v>1055</v>
      </c>
      <c r="F10" s="506" t="s">
        <v>1055</v>
      </c>
      <c r="G10" s="506" t="s">
        <v>1055</v>
      </c>
      <c r="H10" s="506" t="s">
        <v>1055</v>
      </c>
      <c r="I10" s="506" t="s">
        <v>1055</v>
      </c>
      <c r="J10" s="506" t="s">
        <v>1055</v>
      </c>
      <c r="K10" s="506" t="s">
        <v>1055</v>
      </c>
      <c r="L10" s="506" t="s">
        <v>1055</v>
      </c>
      <c r="M10" s="506" t="s">
        <v>1055</v>
      </c>
      <c r="N10" s="506" t="s">
        <v>1055</v>
      </c>
      <c r="O10" s="506" t="s">
        <v>1055</v>
      </c>
      <c r="P10" s="506" t="s">
        <v>1055</v>
      </c>
      <c r="Q10" s="506" t="s">
        <v>1055</v>
      </c>
      <c r="R10" s="506" t="s">
        <v>1055</v>
      </c>
      <c r="S10" s="506" t="s">
        <v>1055</v>
      </c>
      <c r="T10" s="506" t="s">
        <v>1055</v>
      </c>
      <c r="U10" s="506" t="s">
        <v>1055</v>
      </c>
      <c r="V10" s="506" t="s">
        <v>1055</v>
      </c>
      <c r="W10" s="506" t="s">
        <v>1055</v>
      </c>
      <c r="X10" s="506" t="s">
        <v>1055</v>
      </c>
      <c r="Y10" s="506" t="s">
        <v>1055</v>
      </c>
      <c r="Z10" s="506" t="s">
        <v>1055</v>
      </c>
      <c r="AA10" s="506" t="s">
        <v>1055</v>
      </c>
      <c r="AB10" s="506" t="s">
        <v>1055</v>
      </c>
      <c r="AC10" s="506" t="s">
        <v>1055</v>
      </c>
      <c r="AD10" s="525" t="s">
        <v>1055</v>
      </c>
      <c r="AE10" s="506" t="s">
        <v>1055</v>
      </c>
      <c r="AF10" s="506" t="s">
        <v>1055</v>
      </c>
      <c r="AG10" s="506" t="s">
        <v>1055</v>
      </c>
      <c r="AH10" s="506" t="s">
        <v>1055</v>
      </c>
      <c r="AI10" s="506" t="s">
        <v>1055</v>
      </c>
      <c r="AJ10" s="506" t="s">
        <v>1055</v>
      </c>
      <c r="AK10" s="506" t="s">
        <v>1055</v>
      </c>
      <c r="AL10" s="506" t="s">
        <v>1055</v>
      </c>
      <c r="AM10" s="506" t="s">
        <v>1055</v>
      </c>
      <c r="AN10" s="506" t="s">
        <v>1055</v>
      </c>
      <c r="AO10" s="506" t="s">
        <v>1055</v>
      </c>
      <c r="AP10" s="506" t="s">
        <v>1055</v>
      </c>
      <c r="AQ10" s="506" t="s">
        <v>1055</v>
      </c>
      <c r="AR10" s="506" t="s">
        <v>1055</v>
      </c>
      <c r="AS10" s="506" t="s">
        <v>1055</v>
      </c>
      <c r="AT10" s="506" t="s">
        <v>1055</v>
      </c>
      <c r="AU10" s="506" t="s">
        <v>1055</v>
      </c>
      <c r="AV10" s="506" t="s">
        <v>1055</v>
      </c>
      <c r="AW10" s="506" t="s">
        <v>1055</v>
      </c>
      <c r="AX10" s="521" t="s">
        <v>1160</v>
      </c>
    </row>
    <row r="11" spans="1:50" ht="75" x14ac:dyDescent="0.25">
      <c r="A11" s="727"/>
      <c r="B11" s="523" t="s">
        <v>1161</v>
      </c>
      <c r="C11" s="524" t="s">
        <v>1162</v>
      </c>
      <c r="D11" s="506" t="s">
        <v>1055</v>
      </c>
      <c r="E11" s="506" t="s">
        <v>1055</v>
      </c>
      <c r="F11" s="506" t="s">
        <v>1055</v>
      </c>
      <c r="G11" s="506" t="s">
        <v>1055</v>
      </c>
      <c r="H11" s="506" t="s">
        <v>1055</v>
      </c>
      <c r="I11" s="506" t="s">
        <v>1055</v>
      </c>
      <c r="J11" s="506" t="s">
        <v>1055</v>
      </c>
      <c r="K11" s="506" t="s">
        <v>1055</v>
      </c>
      <c r="L11" s="506" t="s">
        <v>1055</v>
      </c>
      <c r="M11" s="506" t="s">
        <v>1055</v>
      </c>
      <c r="N11" s="506" t="s">
        <v>1055</v>
      </c>
      <c r="O11" s="506" t="s">
        <v>1055</v>
      </c>
      <c r="P11" s="506" t="s">
        <v>1055</v>
      </c>
      <c r="Q11" s="506" t="s">
        <v>1055</v>
      </c>
      <c r="R11" s="506" t="s">
        <v>1055</v>
      </c>
      <c r="S11" s="506" t="s">
        <v>1055</v>
      </c>
      <c r="T11" s="506" t="s">
        <v>1055</v>
      </c>
      <c r="U11" s="506" t="s">
        <v>1055</v>
      </c>
      <c r="V11" s="506" t="s">
        <v>1055</v>
      </c>
      <c r="W11" s="506" t="s">
        <v>1055</v>
      </c>
      <c r="X11" s="506" t="s">
        <v>1055</v>
      </c>
      <c r="Y11" s="509" t="str">
        <f>_xlfn.UNICHAR(9681)</f>
        <v>◑</v>
      </c>
      <c r="Z11" s="506" t="s">
        <v>1055</v>
      </c>
      <c r="AA11" s="506" t="s">
        <v>1055</v>
      </c>
      <c r="AB11" s="509" t="str">
        <f>_xlfn.UNICHAR(9681)</f>
        <v>◑</v>
      </c>
      <c r="AC11" s="509" t="str">
        <f>_xlfn.UNICHAR(9681)</f>
        <v>◑</v>
      </c>
      <c r="AD11" s="525" t="s">
        <v>1055</v>
      </c>
      <c r="AE11" s="506" t="s">
        <v>1055</v>
      </c>
      <c r="AF11" s="506" t="s">
        <v>1055</v>
      </c>
      <c r="AG11" s="506" t="s">
        <v>1055</v>
      </c>
      <c r="AH11" s="509" t="str">
        <f>_xlfn.UNICHAR(9681)</f>
        <v>◑</v>
      </c>
      <c r="AI11" s="506" t="s">
        <v>1055</v>
      </c>
      <c r="AJ11" s="506" t="s">
        <v>1055</v>
      </c>
      <c r="AK11" s="506" t="s">
        <v>1055</v>
      </c>
      <c r="AL11" s="509" t="str">
        <f>_xlfn.UNICHAR(9681)</f>
        <v>◑</v>
      </c>
      <c r="AM11" s="506" t="s">
        <v>1055</v>
      </c>
      <c r="AN11" s="506" t="s">
        <v>1055</v>
      </c>
      <c r="AO11" s="509" t="str">
        <f>_xlfn.UNICHAR(9681)</f>
        <v>◑</v>
      </c>
      <c r="AP11" s="506" t="s">
        <v>1055</v>
      </c>
      <c r="AQ11" s="506" t="s">
        <v>1055</v>
      </c>
      <c r="AR11" s="506" t="s">
        <v>1055</v>
      </c>
      <c r="AS11" s="506" t="s">
        <v>1055</v>
      </c>
      <c r="AT11" s="506" t="s">
        <v>1055</v>
      </c>
      <c r="AU11" s="506" t="s">
        <v>1055</v>
      </c>
      <c r="AV11" s="509" t="str">
        <f>_xlfn.UNICHAR(9681)</f>
        <v>◑</v>
      </c>
      <c r="AW11" s="506" t="s">
        <v>1055</v>
      </c>
      <c r="AX11" s="521" t="s">
        <v>1163</v>
      </c>
    </row>
    <row r="12" spans="1:50" ht="48" x14ac:dyDescent="0.25">
      <c r="A12" s="727"/>
      <c r="B12" s="523" t="s">
        <v>1164</v>
      </c>
      <c r="C12" s="524" t="s">
        <v>1165</v>
      </c>
      <c r="D12" s="506" t="s">
        <v>1055</v>
      </c>
      <c r="E12" s="506" t="s">
        <v>1055</v>
      </c>
      <c r="F12" s="506" t="s">
        <v>1055</v>
      </c>
      <c r="G12" s="506" t="s">
        <v>1055</v>
      </c>
      <c r="H12" s="506" t="s">
        <v>1055</v>
      </c>
      <c r="I12" s="506" t="s">
        <v>1055</v>
      </c>
      <c r="J12" s="506" t="s">
        <v>1055</v>
      </c>
      <c r="K12" s="506" t="s">
        <v>1055</v>
      </c>
      <c r="L12" s="506" t="s">
        <v>1055</v>
      </c>
      <c r="M12" s="506" t="s">
        <v>1055</v>
      </c>
      <c r="N12" s="506" t="s">
        <v>1055</v>
      </c>
      <c r="O12" s="506" t="s">
        <v>1055</v>
      </c>
      <c r="P12" s="506" t="s">
        <v>1055</v>
      </c>
      <c r="Q12" s="506" t="s">
        <v>1055</v>
      </c>
      <c r="R12" s="506" t="s">
        <v>1055</v>
      </c>
      <c r="S12" s="506" t="s">
        <v>1055</v>
      </c>
      <c r="T12" s="506" t="s">
        <v>1055</v>
      </c>
      <c r="U12" s="506" t="s">
        <v>1055</v>
      </c>
      <c r="V12" s="506" t="s">
        <v>1055</v>
      </c>
      <c r="W12" s="506" t="s">
        <v>1055</v>
      </c>
      <c r="X12" s="506" t="s">
        <v>1055</v>
      </c>
      <c r="Y12" s="506" t="s">
        <v>1055</v>
      </c>
      <c r="Z12" s="506" t="s">
        <v>1055</v>
      </c>
      <c r="AA12" s="506" t="s">
        <v>1055</v>
      </c>
      <c r="AB12" s="506" t="s">
        <v>1055</v>
      </c>
      <c r="AC12" s="506" t="s">
        <v>1055</v>
      </c>
      <c r="AD12" s="525" t="s">
        <v>1055</v>
      </c>
      <c r="AE12" s="506" t="s">
        <v>1055</v>
      </c>
      <c r="AF12" s="506" t="s">
        <v>1055</v>
      </c>
      <c r="AG12" s="506" t="s">
        <v>1055</v>
      </c>
      <c r="AH12" s="506" t="s">
        <v>1055</v>
      </c>
      <c r="AI12" s="506" t="s">
        <v>1055</v>
      </c>
      <c r="AJ12" s="506" t="s">
        <v>1055</v>
      </c>
      <c r="AK12" s="506" t="s">
        <v>1055</v>
      </c>
      <c r="AL12" s="506" t="s">
        <v>1055</v>
      </c>
      <c r="AM12" s="506" t="s">
        <v>1055</v>
      </c>
      <c r="AN12" s="506" t="s">
        <v>1055</v>
      </c>
      <c r="AO12" s="506" t="s">
        <v>1055</v>
      </c>
      <c r="AP12" s="506" t="s">
        <v>1055</v>
      </c>
      <c r="AQ12" s="506" t="s">
        <v>1055</v>
      </c>
      <c r="AR12" s="506" t="s">
        <v>1055</v>
      </c>
      <c r="AS12" s="506" t="s">
        <v>1055</v>
      </c>
      <c r="AT12" s="506" t="s">
        <v>1055</v>
      </c>
      <c r="AU12" s="506" t="s">
        <v>1055</v>
      </c>
      <c r="AV12" s="506" t="s">
        <v>1055</v>
      </c>
      <c r="AW12" s="506" t="s">
        <v>1055</v>
      </c>
      <c r="AX12" s="521"/>
    </row>
    <row r="13" spans="1:50" ht="36" x14ac:dyDescent="0.25">
      <c r="A13" s="727"/>
      <c r="B13" s="523" t="s">
        <v>1166</v>
      </c>
      <c r="C13" s="524" t="s">
        <v>1066</v>
      </c>
      <c r="D13" s="506" t="s">
        <v>1055</v>
      </c>
      <c r="E13" s="506" t="s">
        <v>1055</v>
      </c>
      <c r="F13" s="506" t="s">
        <v>1055</v>
      </c>
      <c r="G13" s="506" t="s">
        <v>1055</v>
      </c>
      <c r="H13" s="506" t="s">
        <v>1055</v>
      </c>
      <c r="I13" s="506" t="s">
        <v>1055</v>
      </c>
      <c r="J13" s="506" t="s">
        <v>1055</v>
      </c>
      <c r="K13" s="506" t="s">
        <v>1055</v>
      </c>
      <c r="L13" s="506" t="s">
        <v>1055</v>
      </c>
      <c r="M13" s="506" t="s">
        <v>1055</v>
      </c>
      <c r="N13" s="506" t="s">
        <v>1055</v>
      </c>
      <c r="O13" s="506" t="s">
        <v>1055</v>
      </c>
      <c r="P13" s="506" t="s">
        <v>1055</v>
      </c>
      <c r="Q13" s="506" t="s">
        <v>1055</v>
      </c>
      <c r="R13" s="506" t="s">
        <v>1055</v>
      </c>
      <c r="S13" s="506" t="s">
        <v>1055</v>
      </c>
      <c r="T13" s="506" t="s">
        <v>1055</v>
      </c>
      <c r="U13" s="506" t="s">
        <v>1055</v>
      </c>
      <c r="V13" s="506" t="s">
        <v>1055</v>
      </c>
      <c r="W13" s="506" t="s">
        <v>1055</v>
      </c>
      <c r="X13" s="506" t="s">
        <v>1055</v>
      </c>
      <c r="Y13" s="506" t="s">
        <v>1055</v>
      </c>
      <c r="Z13" s="506" t="s">
        <v>1055</v>
      </c>
      <c r="AA13" s="506" t="s">
        <v>1055</v>
      </c>
      <c r="AB13" s="506" t="s">
        <v>1055</v>
      </c>
      <c r="AC13" s="506" t="s">
        <v>1055</v>
      </c>
      <c r="AD13" s="525" t="s">
        <v>1055</v>
      </c>
      <c r="AE13" s="506" t="s">
        <v>1055</v>
      </c>
      <c r="AF13" s="506" t="s">
        <v>1055</v>
      </c>
      <c r="AG13" s="506" t="s">
        <v>1055</v>
      </c>
      <c r="AH13" s="506" t="s">
        <v>1055</v>
      </c>
      <c r="AI13" s="506" t="s">
        <v>1055</v>
      </c>
      <c r="AJ13" s="506" t="s">
        <v>1055</v>
      </c>
      <c r="AK13" s="506" t="s">
        <v>1055</v>
      </c>
      <c r="AL13" s="506" t="s">
        <v>1055</v>
      </c>
      <c r="AM13" s="506" t="s">
        <v>1055</v>
      </c>
      <c r="AN13" s="506" t="s">
        <v>1055</v>
      </c>
      <c r="AO13" s="506" t="s">
        <v>1055</v>
      </c>
      <c r="AP13" s="506" t="s">
        <v>1055</v>
      </c>
      <c r="AQ13" s="506" t="s">
        <v>1055</v>
      </c>
      <c r="AR13" s="506" t="s">
        <v>1055</v>
      </c>
      <c r="AS13" s="506" t="s">
        <v>1055</v>
      </c>
      <c r="AT13" s="506" t="s">
        <v>1055</v>
      </c>
      <c r="AU13" s="506" t="s">
        <v>1055</v>
      </c>
      <c r="AV13" s="506" t="s">
        <v>1055</v>
      </c>
      <c r="AW13" s="506" t="s">
        <v>1055</v>
      </c>
      <c r="AX13" s="521"/>
    </row>
    <row r="14" spans="1:50" ht="45" x14ac:dyDescent="0.25">
      <c r="A14" s="727"/>
      <c r="B14" s="523" t="s">
        <v>1167</v>
      </c>
      <c r="C14" s="524" t="s">
        <v>1168</v>
      </c>
      <c r="D14" s="506" t="s">
        <v>1055</v>
      </c>
      <c r="E14" s="506" t="s">
        <v>1055</v>
      </c>
      <c r="F14" s="506" t="s">
        <v>1055</v>
      </c>
      <c r="G14" s="506" t="s">
        <v>1055</v>
      </c>
      <c r="H14" s="506" t="s">
        <v>1055</v>
      </c>
      <c r="I14" s="506" t="s">
        <v>1055</v>
      </c>
      <c r="J14" s="506" t="s">
        <v>1055</v>
      </c>
      <c r="K14" s="506" t="s">
        <v>1055</v>
      </c>
      <c r="L14" s="506" t="s">
        <v>1055</v>
      </c>
      <c r="M14" s="506" t="s">
        <v>1055</v>
      </c>
      <c r="N14" s="506" t="s">
        <v>1055</v>
      </c>
      <c r="O14" s="506" t="s">
        <v>1055</v>
      </c>
      <c r="P14" s="506" t="s">
        <v>1055</v>
      </c>
      <c r="Q14" s="506" t="s">
        <v>1055</v>
      </c>
      <c r="R14" s="506" t="s">
        <v>1055</v>
      </c>
      <c r="S14" s="506" t="s">
        <v>1055</v>
      </c>
      <c r="T14" s="506" t="s">
        <v>1055</v>
      </c>
      <c r="U14" s="506" t="s">
        <v>1055</v>
      </c>
      <c r="V14" s="506" t="s">
        <v>1055</v>
      </c>
      <c r="W14" s="506" t="s">
        <v>1055</v>
      </c>
      <c r="X14" s="506" t="s">
        <v>1055</v>
      </c>
      <c r="Y14" s="506" t="s">
        <v>1055</v>
      </c>
      <c r="Z14" s="509" t="str">
        <f>_xlfn.UNICHAR(9681)</f>
        <v>◑</v>
      </c>
      <c r="AA14" s="506" t="s">
        <v>1055</v>
      </c>
      <c r="AB14" s="506" t="s">
        <v>1055</v>
      </c>
      <c r="AC14" s="506" t="s">
        <v>1055</v>
      </c>
      <c r="AD14" s="525" t="s">
        <v>1055</v>
      </c>
      <c r="AE14" s="506" t="s">
        <v>1055</v>
      </c>
      <c r="AF14" s="506" t="s">
        <v>1055</v>
      </c>
      <c r="AG14" s="506" t="s">
        <v>1055</v>
      </c>
      <c r="AH14" s="506" t="s">
        <v>1055</v>
      </c>
      <c r="AI14" s="506" t="s">
        <v>1055</v>
      </c>
      <c r="AJ14" s="506" t="s">
        <v>1055</v>
      </c>
      <c r="AK14" s="506" t="s">
        <v>1055</v>
      </c>
      <c r="AL14" s="506" t="s">
        <v>1055</v>
      </c>
      <c r="AM14" s="506" t="s">
        <v>1055</v>
      </c>
      <c r="AN14" s="506" t="s">
        <v>1055</v>
      </c>
      <c r="AO14" s="506" t="s">
        <v>1055</v>
      </c>
      <c r="AP14" s="506" t="s">
        <v>1055</v>
      </c>
      <c r="AQ14" s="506" t="s">
        <v>1055</v>
      </c>
      <c r="AR14" s="506" t="s">
        <v>1055</v>
      </c>
      <c r="AS14" s="506" t="s">
        <v>1055</v>
      </c>
      <c r="AT14" s="506" t="s">
        <v>1055</v>
      </c>
      <c r="AU14" s="506" t="s">
        <v>1055</v>
      </c>
      <c r="AV14" s="506" t="s">
        <v>1055</v>
      </c>
      <c r="AW14" s="506" t="s">
        <v>1055</v>
      </c>
      <c r="AX14" s="521" t="s">
        <v>1169</v>
      </c>
    </row>
    <row r="15" spans="1:50" ht="45" x14ac:dyDescent="0.25">
      <c r="A15" s="727"/>
      <c r="B15" s="523" t="s">
        <v>1170</v>
      </c>
      <c r="C15" s="524" t="s">
        <v>1171</v>
      </c>
      <c r="D15" s="527" t="s">
        <v>1055</v>
      </c>
      <c r="E15" s="527" t="s">
        <v>1055</v>
      </c>
      <c r="F15" s="527" t="s">
        <v>1055</v>
      </c>
      <c r="G15" s="506" t="s">
        <v>1055</v>
      </c>
      <c r="H15" s="506" t="s">
        <v>1055</v>
      </c>
      <c r="I15" s="506" t="s">
        <v>1055</v>
      </c>
      <c r="J15" s="506" t="s">
        <v>1055</v>
      </c>
      <c r="K15" s="506" t="s">
        <v>1055</v>
      </c>
      <c r="L15" s="506" t="s">
        <v>1055</v>
      </c>
      <c r="M15" s="506" t="s">
        <v>1055</v>
      </c>
      <c r="N15" s="506" t="s">
        <v>1055</v>
      </c>
      <c r="O15" s="506" t="s">
        <v>1055</v>
      </c>
      <c r="P15" s="506" t="s">
        <v>1055</v>
      </c>
      <c r="Q15" s="506" t="s">
        <v>1055</v>
      </c>
      <c r="R15" s="506" t="s">
        <v>1055</v>
      </c>
      <c r="S15" s="506" t="s">
        <v>1055</v>
      </c>
      <c r="T15" s="506" t="s">
        <v>1055</v>
      </c>
      <c r="U15" s="506" t="s">
        <v>1055</v>
      </c>
      <c r="V15" s="506" t="s">
        <v>1055</v>
      </c>
      <c r="W15" s="506" t="s">
        <v>1055</v>
      </c>
      <c r="X15" s="527" t="s">
        <v>1055</v>
      </c>
      <c r="Y15" s="527" t="s">
        <v>1055</v>
      </c>
      <c r="Z15" s="527" t="s">
        <v>1055</v>
      </c>
      <c r="AA15" s="506" t="s">
        <v>1055</v>
      </c>
      <c r="AB15" s="527" t="s">
        <v>1055</v>
      </c>
      <c r="AC15" s="527" t="s">
        <v>1055</v>
      </c>
      <c r="AD15" s="525" t="s">
        <v>1055</v>
      </c>
      <c r="AE15" s="506" t="s">
        <v>1055</v>
      </c>
      <c r="AF15" s="506" t="s">
        <v>1055</v>
      </c>
      <c r="AG15" s="506" t="s">
        <v>1055</v>
      </c>
      <c r="AH15" s="506" t="s">
        <v>1055</v>
      </c>
      <c r="AI15" s="527" t="s">
        <v>1055</v>
      </c>
      <c r="AJ15" s="506" t="s">
        <v>1055</v>
      </c>
      <c r="AK15" s="506" t="s">
        <v>1055</v>
      </c>
      <c r="AL15" s="506" t="s">
        <v>1055</v>
      </c>
      <c r="AM15" s="506" t="s">
        <v>1055</v>
      </c>
      <c r="AN15" s="527" t="s">
        <v>1055</v>
      </c>
      <c r="AO15" s="527" t="s">
        <v>1055</v>
      </c>
      <c r="AP15" s="527" t="s">
        <v>1055</v>
      </c>
      <c r="AQ15" s="527" t="s">
        <v>1055</v>
      </c>
      <c r="AR15" s="527" t="s">
        <v>1055</v>
      </c>
      <c r="AS15" s="527" t="s">
        <v>1055</v>
      </c>
      <c r="AT15" s="527" t="s">
        <v>1055</v>
      </c>
      <c r="AU15" s="506" t="s">
        <v>1055</v>
      </c>
      <c r="AV15" s="506" t="s">
        <v>1055</v>
      </c>
      <c r="AW15" s="506" t="s">
        <v>1055</v>
      </c>
      <c r="AX15" s="521" t="s">
        <v>1172</v>
      </c>
    </row>
    <row r="16" spans="1:50" ht="24" x14ac:dyDescent="0.25">
      <c r="A16" s="727"/>
      <c r="B16" s="523" t="s">
        <v>1173</v>
      </c>
      <c r="C16" s="524" t="s">
        <v>1174</v>
      </c>
      <c r="D16" s="506" t="s">
        <v>1055</v>
      </c>
      <c r="E16" s="506" t="s">
        <v>1055</v>
      </c>
      <c r="F16" s="506" t="s">
        <v>1055</v>
      </c>
      <c r="G16" s="506" t="s">
        <v>1055</v>
      </c>
      <c r="H16" s="506" t="s">
        <v>1055</v>
      </c>
      <c r="I16" s="506" t="s">
        <v>1055</v>
      </c>
      <c r="J16" s="506" t="s">
        <v>1055</v>
      </c>
      <c r="K16" s="506" t="s">
        <v>1055</v>
      </c>
      <c r="L16" s="506" t="s">
        <v>1055</v>
      </c>
      <c r="M16" s="506" t="s">
        <v>1055</v>
      </c>
      <c r="N16" s="506" t="s">
        <v>1055</v>
      </c>
      <c r="O16" s="506" t="s">
        <v>1055</v>
      </c>
      <c r="P16" s="506" t="s">
        <v>1055</v>
      </c>
      <c r="Q16" s="506" t="s">
        <v>1055</v>
      </c>
      <c r="R16" s="506" t="s">
        <v>1055</v>
      </c>
      <c r="S16" s="506" t="s">
        <v>1055</v>
      </c>
      <c r="T16" s="506" t="s">
        <v>1055</v>
      </c>
      <c r="U16" s="506" t="s">
        <v>1055</v>
      </c>
      <c r="V16" s="509" t="str">
        <f>_xlfn.UNICHAR(9681)</f>
        <v>◑</v>
      </c>
      <c r="W16" s="509" t="str">
        <f>_xlfn.UNICHAR(9681)</f>
        <v>◑</v>
      </c>
      <c r="X16" s="506" t="s">
        <v>1055</v>
      </c>
      <c r="Y16" s="506" t="s">
        <v>1055</v>
      </c>
      <c r="Z16" s="506" t="s">
        <v>1055</v>
      </c>
      <c r="AA16" s="506" t="s">
        <v>1055</v>
      </c>
      <c r="AB16" s="509" t="str">
        <f>_xlfn.UNICHAR(9681)</f>
        <v>◑</v>
      </c>
      <c r="AC16" s="506" t="s">
        <v>1055</v>
      </c>
      <c r="AD16" s="525" t="s">
        <v>1055</v>
      </c>
      <c r="AE16" s="506" t="s">
        <v>1055</v>
      </c>
      <c r="AF16" s="506" t="s">
        <v>1055</v>
      </c>
      <c r="AG16" s="506" t="s">
        <v>1055</v>
      </c>
      <c r="AH16" s="506" t="s">
        <v>1055</v>
      </c>
      <c r="AI16" s="506" t="s">
        <v>1055</v>
      </c>
      <c r="AJ16" s="506" t="s">
        <v>1055</v>
      </c>
      <c r="AK16" s="506" t="s">
        <v>1055</v>
      </c>
      <c r="AL16" s="506" t="s">
        <v>1055</v>
      </c>
      <c r="AM16" s="506" t="s">
        <v>1055</v>
      </c>
      <c r="AN16" s="506" t="s">
        <v>1055</v>
      </c>
      <c r="AO16" s="506" t="s">
        <v>1055</v>
      </c>
      <c r="AP16" s="506" t="s">
        <v>1055</v>
      </c>
      <c r="AQ16" s="506" t="s">
        <v>1055</v>
      </c>
      <c r="AR16" s="506" t="s">
        <v>1055</v>
      </c>
      <c r="AS16" s="506" t="s">
        <v>1055</v>
      </c>
      <c r="AT16" s="506" t="s">
        <v>1055</v>
      </c>
      <c r="AU16" s="506" t="s">
        <v>1055</v>
      </c>
      <c r="AV16" s="506" t="s">
        <v>1055</v>
      </c>
      <c r="AW16" s="506" t="s">
        <v>1055</v>
      </c>
      <c r="AX16" s="521" t="s">
        <v>1175</v>
      </c>
    </row>
    <row r="17" spans="1:50" ht="36" x14ac:dyDescent="0.25">
      <c r="A17" s="727" t="s">
        <v>1176</v>
      </c>
      <c r="B17" s="523" t="s">
        <v>1177</v>
      </c>
      <c r="C17" s="524" t="s">
        <v>1178</v>
      </c>
      <c r="D17" s="506" t="s">
        <v>1055</v>
      </c>
      <c r="E17" s="506" t="s">
        <v>1055</v>
      </c>
      <c r="F17" s="506" t="s">
        <v>1055</v>
      </c>
      <c r="G17" s="506" t="s">
        <v>1055</v>
      </c>
      <c r="H17" s="506" t="s">
        <v>1055</v>
      </c>
      <c r="I17" s="506" t="s">
        <v>1055</v>
      </c>
      <c r="J17" s="506" t="s">
        <v>1055</v>
      </c>
      <c r="K17" s="506" t="s">
        <v>1055</v>
      </c>
      <c r="L17" s="506" t="s">
        <v>1055</v>
      </c>
      <c r="M17" s="506" t="s">
        <v>1055</v>
      </c>
      <c r="N17" s="506" t="s">
        <v>1055</v>
      </c>
      <c r="O17" s="506" t="s">
        <v>1055</v>
      </c>
      <c r="P17" s="506" t="s">
        <v>1055</v>
      </c>
      <c r="Q17" s="506" t="s">
        <v>1055</v>
      </c>
      <c r="R17" s="506" t="s">
        <v>1055</v>
      </c>
      <c r="S17" s="506" t="s">
        <v>1055</v>
      </c>
      <c r="T17" s="506" t="s">
        <v>1055</v>
      </c>
      <c r="U17" s="506" t="s">
        <v>1055</v>
      </c>
      <c r="V17" s="506" t="s">
        <v>1055</v>
      </c>
      <c r="W17" s="506" t="s">
        <v>1055</v>
      </c>
      <c r="X17" s="506" t="s">
        <v>1055</v>
      </c>
      <c r="Y17" s="506" t="s">
        <v>1055</v>
      </c>
      <c r="Z17" s="509" t="str">
        <f>_xlfn.UNICHAR(9681)</f>
        <v>◑</v>
      </c>
      <c r="AA17" s="506" t="s">
        <v>1055</v>
      </c>
      <c r="AB17" s="506" t="s">
        <v>1055</v>
      </c>
      <c r="AC17" s="506" t="s">
        <v>1055</v>
      </c>
      <c r="AD17" s="525" t="s">
        <v>1055</v>
      </c>
      <c r="AE17" s="506" t="s">
        <v>1055</v>
      </c>
      <c r="AF17" s="506" t="s">
        <v>1055</v>
      </c>
      <c r="AG17" s="506" t="s">
        <v>1055</v>
      </c>
      <c r="AH17" s="506" t="s">
        <v>1055</v>
      </c>
      <c r="AI17" s="506" t="s">
        <v>1055</v>
      </c>
      <c r="AJ17" s="506" t="s">
        <v>1055</v>
      </c>
      <c r="AK17" s="506" t="s">
        <v>1055</v>
      </c>
      <c r="AL17" s="506" t="s">
        <v>1055</v>
      </c>
      <c r="AM17" s="506" t="s">
        <v>1055</v>
      </c>
      <c r="AN17" s="506" t="s">
        <v>1055</v>
      </c>
      <c r="AO17" s="506" t="s">
        <v>1055</v>
      </c>
      <c r="AP17" s="506" t="s">
        <v>1055</v>
      </c>
      <c r="AQ17" s="506" t="s">
        <v>1055</v>
      </c>
      <c r="AR17" s="506" t="s">
        <v>1055</v>
      </c>
      <c r="AS17" s="506" t="s">
        <v>1055</v>
      </c>
      <c r="AT17" s="506" t="s">
        <v>1055</v>
      </c>
      <c r="AU17" s="509" t="str">
        <f>_xlfn.UNICHAR(9681)</f>
        <v>◑</v>
      </c>
      <c r="AV17" s="509" t="str">
        <f>_xlfn.UNICHAR(9681)</f>
        <v>◑</v>
      </c>
      <c r="AW17" s="506" t="s">
        <v>1055</v>
      </c>
      <c r="AX17" s="521" t="s">
        <v>1179</v>
      </c>
    </row>
    <row r="18" spans="1:50" ht="36" x14ac:dyDescent="0.25">
      <c r="A18" s="727"/>
      <c r="B18" s="523" t="s">
        <v>1180</v>
      </c>
      <c r="C18" s="524" t="s">
        <v>1181</v>
      </c>
      <c r="D18" s="506" t="s">
        <v>1055</v>
      </c>
      <c r="E18" s="506" t="s">
        <v>1055</v>
      </c>
      <c r="F18" s="506" t="s">
        <v>1055</v>
      </c>
      <c r="G18" s="506" t="s">
        <v>1055</v>
      </c>
      <c r="H18" s="506" t="s">
        <v>1055</v>
      </c>
      <c r="I18" s="506" t="s">
        <v>1055</v>
      </c>
      <c r="J18" s="506" t="s">
        <v>1055</v>
      </c>
      <c r="K18" s="506" t="s">
        <v>1055</v>
      </c>
      <c r="L18" s="506" t="s">
        <v>1055</v>
      </c>
      <c r="M18" s="506" t="s">
        <v>1055</v>
      </c>
      <c r="N18" s="506" t="s">
        <v>1055</v>
      </c>
      <c r="O18" s="506" t="s">
        <v>1055</v>
      </c>
      <c r="P18" s="506" t="s">
        <v>1055</v>
      </c>
      <c r="Q18" s="506" t="s">
        <v>1055</v>
      </c>
      <c r="R18" s="506" t="s">
        <v>1055</v>
      </c>
      <c r="S18" s="506" t="s">
        <v>1055</v>
      </c>
      <c r="T18" s="506" t="s">
        <v>1055</v>
      </c>
      <c r="U18" s="506" t="s">
        <v>1055</v>
      </c>
      <c r="V18" s="506" t="s">
        <v>1055</v>
      </c>
      <c r="W18" s="506" t="s">
        <v>1055</v>
      </c>
      <c r="X18" s="506" t="s">
        <v>1055</v>
      </c>
      <c r="Y18" s="506" t="s">
        <v>1055</v>
      </c>
      <c r="Z18" s="506" t="s">
        <v>1055</v>
      </c>
      <c r="AA18" s="506" t="s">
        <v>1055</v>
      </c>
      <c r="AB18" s="506" t="s">
        <v>1055</v>
      </c>
      <c r="AC18" s="506" t="s">
        <v>1055</v>
      </c>
      <c r="AD18" s="525" t="s">
        <v>1055</v>
      </c>
      <c r="AE18" s="506" t="s">
        <v>1055</v>
      </c>
      <c r="AF18" s="506" t="s">
        <v>1055</v>
      </c>
      <c r="AG18" s="506" t="s">
        <v>1055</v>
      </c>
      <c r="AH18" s="506" t="s">
        <v>1055</v>
      </c>
      <c r="AI18" s="506" t="s">
        <v>1055</v>
      </c>
      <c r="AJ18" s="506" t="s">
        <v>1055</v>
      </c>
      <c r="AK18" s="506" t="s">
        <v>1055</v>
      </c>
      <c r="AL18" s="506" t="s">
        <v>1055</v>
      </c>
      <c r="AM18" s="506" t="s">
        <v>1055</v>
      </c>
      <c r="AN18" s="506" t="s">
        <v>1055</v>
      </c>
      <c r="AO18" s="506" t="s">
        <v>1055</v>
      </c>
      <c r="AP18" s="506" t="s">
        <v>1055</v>
      </c>
      <c r="AQ18" s="506" t="s">
        <v>1055</v>
      </c>
      <c r="AR18" s="506" t="s">
        <v>1055</v>
      </c>
      <c r="AS18" s="506" t="s">
        <v>1055</v>
      </c>
      <c r="AT18" s="506" t="s">
        <v>1055</v>
      </c>
      <c r="AU18" s="506" t="s">
        <v>1055</v>
      </c>
      <c r="AV18" s="506" t="s">
        <v>1055</v>
      </c>
      <c r="AW18" s="506" t="s">
        <v>1055</v>
      </c>
      <c r="AX18" s="521"/>
    </row>
    <row r="19" spans="1:50" ht="36" x14ac:dyDescent="0.25">
      <c r="A19" s="727"/>
      <c r="B19" s="523" t="s">
        <v>1182</v>
      </c>
      <c r="C19" s="524" t="s">
        <v>1183</v>
      </c>
      <c r="D19" s="506" t="s">
        <v>1055</v>
      </c>
      <c r="E19" s="506" t="s">
        <v>1055</v>
      </c>
      <c r="F19" s="506" t="s">
        <v>1055</v>
      </c>
      <c r="G19" s="506" t="s">
        <v>1055</v>
      </c>
      <c r="H19" s="506" t="s">
        <v>1055</v>
      </c>
      <c r="I19" s="506" t="s">
        <v>1055</v>
      </c>
      <c r="J19" s="506" t="s">
        <v>1055</v>
      </c>
      <c r="K19" s="506" t="s">
        <v>1055</v>
      </c>
      <c r="L19" s="506" t="s">
        <v>1055</v>
      </c>
      <c r="M19" s="506" t="s">
        <v>1055</v>
      </c>
      <c r="N19" s="506" t="s">
        <v>1055</v>
      </c>
      <c r="O19" s="506" t="s">
        <v>1055</v>
      </c>
      <c r="P19" s="506" t="s">
        <v>1055</v>
      </c>
      <c r="Q19" s="506" t="s">
        <v>1055</v>
      </c>
      <c r="R19" s="506" t="s">
        <v>1055</v>
      </c>
      <c r="S19" s="506" t="s">
        <v>1055</v>
      </c>
      <c r="T19" s="506" t="s">
        <v>1055</v>
      </c>
      <c r="U19" s="506" t="s">
        <v>1055</v>
      </c>
      <c r="V19" s="506" t="s">
        <v>1055</v>
      </c>
      <c r="W19" s="506" t="s">
        <v>1055</v>
      </c>
      <c r="X19" s="506" t="s">
        <v>1055</v>
      </c>
      <c r="Y19" s="506" t="s">
        <v>1055</v>
      </c>
      <c r="Z19" s="506" t="s">
        <v>1055</v>
      </c>
      <c r="AA19" s="506" t="s">
        <v>1055</v>
      </c>
      <c r="AB19" s="506" t="s">
        <v>1055</v>
      </c>
      <c r="AC19" s="509" t="str">
        <f>_xlfn.UNICHAR(9681)</f>
        <v>◑</v>
      </c>
      <c r="AD19" s="525" t="s">
        <v>1055</v>
      </c>
      <c r="AE19" s="506" t="s">
        <v>1055</v>
      </c>
      <c r="AF19" s="506" t="s">
        <v>1055</v>
      </c>
      <c r="AG19" s="506" t="s">
        <v>1055</v>
      </c>
      <c r="AH19" s="506" t="s">
        <v>1055</v>
      </c>
      <c r="AI19" s="506" t="s">
        <v>1055</v>
      </c>
      <c r="AJ19" s="506" t="s">
        <v>1055</v>
      </c>
      <c r="AK19" s="506" t="s">
        <v>1055</v>
      </c>
      <c r="AL19" s="506" t="s">
        <v>1055</v>
      </c>
      <c r="AM19" s="509" t="str">
        <f>_xlfn.UNICHAR(9681)</f>
        <v>◑</v>
      </c>
      <c r="AN19" s="506" t="s">
        <v>1055</v>
      </c>
      <c r="AO19" s="509" t="str">
        <f>_xlfn.UNICHAR(9681)</f>
        <v>◑</v>
      </c>
      <c r="AP19" s="506" t="s">
        <v>1055</v>
      </c>
      <c r="AQ19" s="506" t="s">
        <v>1055</v>
      </c>
      <c r="AR19" s="506" t="s">
        <v>1055</v>
      </c>
      <c r="AS19" s="506" t="s">
        <v>1055</v>
      </c>
      <c r="AT19" s="506" t="s">
        <v>1055</v>
      </c>
      <c r="AU19" s="509" t="str">
        <f>_xlfn.UNICHAR(9681)</f>
        <v>◑</v>
      </c>
      <c r="AV19" s="509" t="str">
        <f>_xlfn.UNICHAR(9681)</f>
        <v>◑</v>
      </c>
      <c r="AW19" s="506" t="s">
        <v>1055</v>
      </c>
      <c r="AX19" s="521" t="s">
        <v>1184</v>
      </c>
    </row>
    <row r="20" spans="1:50" ht="36" x14ac:dyDescent="0.25">
      <c r="A20" s="727"/>
      <c r="B20" s="523" t="s">
        <v>1185</v>
      </c>
      <c r="C20" s="524" t="s">
        <v>1186</v>
      </c>
      <c r="D20" s="506" t="s">
        <v>1055</v>
      </c>
      <c r="E20" s="506" t="s">
        <v>1055</v>
      </c>
      <c r="F20" s="506" t="s">
        <v>1055</v>
      </c>
      <c r="G20" s="506" t="s">
        <v>1055</v>
      </c>
      <c r="H20" s="506" t="s">
        <v>1055</v>
      </c>
      <c r="I20" s="506" t="s">
        <v>1055</v>
      </c>
      <c r="J20" s="506" t="s">
        <v>1055</v>
      </c>
      <c r="K20" s="506" t="s">
        <v>1055</v>
      </c>
      <c r="L20" s="506" t="s">
        <v>1055</v>
      </c>
      <c r="M20" s="506" t="s">
        <v>1055</v>
      </c>
      <c r="N20" s="506" t="s">
        <v>1055</v>
      </c>
      <c r="O20" s="506" t="s">
        <v>1055</v>
      </c>
      <c r="P20" s="506" t="s">
        <v>1055</v>
      </c>
      <c r="Q20" s="506" t="s">
        <v>1055</v>
      </c>
      <c r="R20" s="506" t="s">
        <v>1055</v>
      </c>
      <c r="S20" s="506" t="s">
        <v>1055</v>
      </c>
      <c r="T20" s="506" t="s">
        <v>1055</v>
      </c>
      <c r="U20" s="506" t="s">
        <v>1055</v>
      </c>
      <c r="V20" s="506" t="s">
        <v>1055</v>
      </c>
      <c r="W20" s="506" t="s">
        <v>1055</v>
      </c>
      <c r="X20" s="506" t="s">
        <v>1055</v>
      </c>
      <c r="Y20" s="506" t="s">
        <v>1055</v>
      </c>
      <c r="Z20" s="506" t="s">
        <v>1055</v>
      </c>
      <c r="AA20" s="506" t="s">
        <v>1055</v>
      </c>
      <c r="AB20" s="506" t="s">
        <v>1055</v>
      </c>
      <c r="AC20" s="509" t="str">
        <f>_xlfn.UNICHAR(9681)</f>
        <v>◑</v>
      </c>
      <c r="AD20" s="525" t="s">
        <v>1055</v>
      </c>
      <c r="AE20" s="509" t="str">
        <f>_xlfn.UNICHAR(9681)</f>
        <v>◑</v>
      </c>
      <c r="AF20" s="506" t="s">
        <v>1055</v>
      </c>
      <c r="AG20" s="506" t="s">
        <v>1055</v>
      </c>
      <c r="AH20" s="506" t="s">
        <v>1055</v>
      </c>
      <c r="AI20" s="506" t="s">
        <v>1055</v>
      </c>
      <c r="AJ20" s="506" t="s">
        <v>1055</v>
      </c>
      <c r="AK20" s="506" t="s">
        <v>1055</v>
      </c>
      <c r="AL20" s="506" t="s">
        <v>1055</v>
      </c>
      <c r="AM20" s="506" t="s">
        <v>1055</v>
      </c>
      <c r="AN20" s="506" t="s">
        <v>1055</v>
      </c>
      <c r="AO20" s="506" t="s">
        <v>1055</v>
      </c>
      <c r="AP20" s="506" t="s">
        <v>1055</v>
      </c>
      <c r="AQ20" s="506" t="s">
        <v>1055</v>
      </c>
      <c r="AR20" s="506" t="s">
        <v>1055</v>
      </c>
      <c r="AS20" s="506" t="s">
        <v>1055</v>
      </c>
      <c r="AT20" s="506" t="s">
        <v>1055</v>
      </c>
      <c r="AU20" s="506" t="s">
        <v>1055</v>
      </c>
      <c r="AV20" s="506" t="s">
        <v>1055</v>
      </c>
      <c r="AW20" s="506" t="s">
        <v>1055</v>
      </c>
      <c r="AX20" s="521" t="s">
        <v>1187</v>
      </c>
    </row>
    <row r="21" spans="1:50" ht="36" x14ac:dyDescent="0.25">
      <c r="A21" s="727" t="s">
        <v>1188</v>
      </c>
      <c r="B21" s="523" t="s">
        <v>1189</v>
      </c>
      <c r="C21" s="524" t="s">
        <v>1071</v>
      </c>
      <c r="D21" s="506" t="s">
        <v>1055</v>
      </c>
      <c r="E21" s="506" t="s">
        <v>1055</v>
      </c>
      <c r="F21" s="506" t="s">
        <v>1055</v>
      </c>
      <c r="G21" s="506" t="s">
        <v>1055</v>
      </c>
      <c r="H21" s="506" t="s">
        <v>1055</v>
      </c>
      <c r="I21" s="506" t="s">
        <v>1055</v>
      </c>
      <c r="J21" s="506" t="s">
        <v>1055</v>
      </c>
      <c r="K21" s="506" t="s">
        <v>1055</v>
      </c>
      <c r="L21" s="506" t="s">
        <v>1055</v>
      </c>
      <c r="M21" s="506" t="s">
        <v>1055</v>
      </c>
      <c r="N21" s="506" t="s">
        <v>1055</v>
      </c>
      <c r="O21" s="506" t="s">
        <v>1055</v>
      </c>
      <c r="P21" s="506" t="s">
        <v>1055</v>
      </c>
      <c r="Q21" s="506" t="s">
        <v>1055</v>
      </c>
      <c r="R21" s="506" t="s">
        <v>1055</v>
      </c>
      <c r="S21" s="506" t="s">
        <v>1055</v>
      </c>
      <c r="T21" s="506" t="s">
        <v>1055</v>
      </c>
      <c r="U21" s="506" t="s">
        <v>1055</v>
      </c>
      <c r="V21" s="506" t="s">
        <v>1055</v>
      </c>
      <c r="W21" s="506" t="s">
        <v>1055</v>
      </c>
      <c r="X21" s="506" t="s">
        <v>1055</v>
      </c>
      <c r="Y21" s="506" t="s">
        <v>1055</v>
      </c>
      <c r="Z21" s="509" t="str">
        <f>_xlfn.UNICHAR(9681)</f>
        <v>◑</v>
      </c>
      <c r="AA21" s="506" t="s">
        <v>1055</v>
      </c>
      <c r="AB21" s="506" t="s">
        <v>1055</v>
      </c>
      <c r="AC21" s="506" t="s">
        <v>1055</v>
      </c>
      <c r="AD21" s="528" t="str">
        <f>_xlfn.UNICHAR(9681)</f>
        <v>◑</v>
      </c>
      <c r="AE21" s="506" t="s">
        <v>1055</v>
      </c>
      <c r="AF21" s="506" t="s">
        <v>1055</v>
      </c>
      <c r="AG21" s="506" t="s">
        <v>1055</v>
      </c>
      <c r="AH21" s="506" t="s">
        <v>1055</v>
      </c>
      <c r="AI21" s="506" t="s">
        <v>1055</v>
      </c>
      <c r="AJ21" s="506" t="s">
        <v>1055</v>
      </c>
      <c r="AK21" s="506" t="s">
        <v>1055</v>
      </c>
      <c r="AL21" s="506" t="s">
        <v>1055</v>
      </c>
      <c r="AM21" s="506" t="s">
        <v>1055</v>
      </c>
      <c r="AN21" s="506" t="s">
        <v>1055</v>
      </c>
      <c r="AO21" s="506" t="s">
        <v>1055</v>
      </c>
      <c r="AP21" s="506" t="s">
        <v>1055</v>
      </c>
      <c r="AQ21" s="506" t="s">
        <v>1055</v>
      </c>
      <c r="AR21" s="506" t="s">
        <v>1055</v>
      </c>
      <c r="AS21" s="506" t="s">
        <v>1055</v>
      </c>
      <c r="AT21" s="506" t="s">
        <v>1055</v>
      </c>
      <c r="AU21" s="506" t="s">
        <v>1055</v>
      </c>
      <c r="AV21" s="506" t="s">
        <v>1055</v>
      </c>
      <c r="AW21" s="506" t="s">
        <v>1055</v>
      </c>
      <c r="AX21" s="728" t="s">
        <v>1190</v>
      </c>
    </row>
    <row r="22" spans="1:50" ht="24" x14ac:dyDescent="0.25">
      <c r="A22" s="727"/>
      <c r="B22" s="523" t="s">
        <v>1191</v>
      </c>
      <c r="C22" s="524" t="s">
        <v>1072</v>
      </c>
      <c r="D22" s="506" t="s">
        <v>1055</v>
      </c>
      <c r="E22" s="506" t="s">
        <v>1055</v>
      </c>
      <c r="F22" s="506" t="s">
        <v>1055</v>
      </c>
      <c r="G22" s="506" t="s">
        <v>1055</v>
      </c>
      <c r="H22" s="506" t="s">
        <v>1055</v>
      </c>
      <c r="I22" s="506" t="s">
        <v>1055</v>
      </c>
      <c r="J22" s="506" t="s">
        <v>1055</v>
      </c>
      <c r="K22" s="506" t="s">
        <v>1055</v>
      </c>
      <c r="L22" s="506" t="s">
        <v>1055</v>
      </c>
      <c r="M22" s="506" t="s">
        <v>1055</v>
      </c>
      <c r="N22" s="506" t="s">
        <v>1055</v>
      </c>
      <c r="O22" s="506" t="s">
        <v>1055</v>
      </c>
      <c r="P22" s="506" t="s">
        <v>1055</v>
      </c>
      <c r="Q22" s="506" t="s">
        <v>1055</v>
      </c>
      <c r="R22" s="506" t="s">
        <v>1055</v>
      </c>
      <c r="S22" s="506" t="s">
        <v>1055</v>
      </c>
      <c r="T22" s="506" t="s">
        <v>1055</v>
      </c>
      <c r="U22" s="506" t="s">
        <v>1055</v>
      </c>
      <c r="V22" s="506" t="s">
        <v>1055</v>
      </c>
      <c r="W22" s="506" t="s">
        <v>1055</v>
      </c>
      <c r="X22" s="506" t="s">
        <v>1055</v>
      </c>
      <c r="Y22" s="506" t="s">
        <v>1055</v>
      </c>
      <c r="Z22" s="509" t="str">
        <f>_xlfn.UNICHAR(9681)</f>
        <v>◑</v>
      </c>
      <c r="AA22" s="506" t="s">
        <v>1055</v>
      </c>
      <c r="AB22" s="506" t="s">
        <v>1055</v>
      </c>
      <c r="AC22" s="506" t="s">
        <v>1055</v>
      </c>
      <c r="AD22" s="528" t="str">
        <f>_xlfn.UNICHAR(9681)</f>
        <v>◑</v>
      </c>
      <c r="AE22" s="509" t="str">
        <f>_xlfn.UNICHAR(9681)</f>
        <v>◑</v>
      </c>
      <c r="AF22" s="506" t="s">
        <v>1055</v>
      </c>
      <c r="AG22" s="506" t="s">
        <v>1055</v>
      </c>
      <c r="AH22" s="506" t="s">
        <v>1055</v>
      </c>
      <c r="AI22" s="506" t="s">
        <v>1055</v>
      </c>
      <c r="AJ22" s="506" t="s">
        <v>1055</v>
      </c>
      <c r="AK22" s="506" t="s">
        <v>1055</v>
      </c>
      <c r="AL22" s="506" t="s">
        <v>1055</v>
      </c>
      <c r="AM22" s="506" t="s">
        <v>1055</v>
      </c>
      <c r="AN22" s="506" t="s">
        <v>1055</v>
      </c>
      <c r="AO22" s="506" t="s">
        <v>1055</v>
      </c>
      <c r="AP22" s="506" t="s">
        <v>1055</v>
      </c>
      <c r="AQ22" s="506" t="s">
        <v>1055</v>
      </c>
      <c r="AR22" s="506" t="s">
        <v>1055</v>
      </c>
      <c r="AS22" s="506" t="s">
        <v>1055</v>
      </c>
      <c r="AT22" s="506" t="s">
        <v>1055</v>
      </c>
      <c r="AU22" s="506" t="s">
        <v>1055</v>
      </c>
      <c r="AV22" s="506" t="s">
        <v>1055</v>
      </c>
      <c r="AW22" s="506" t="s">
        <v>1055</v>
      </c>
      <c r="AX22" s="729"/>
    </row>
    <row r="23" spans="1:50" ht="36" x14ac:dyDescent="0.25">
      <c r="A23" s="727" t="s">
        <v>1192</v>
      </c>
      <c r="B23" s="523" t="s">
        <v>1193</v>
      </c>
      <c r="C23" s="524" t="s">
        <v>1074</v>
      </c>
      <c r="D23" s="506" t="s">
        <v>1055</v>
      </c>
      <c r="E23" s="506" t="s">
        <v>1055</v>
      </c>
      <c r="F23" s="506" t="s">
        <v>1055</v>
      </c>
      <c r="G23" s="506" t="s">
        <v>1055</v>
      </c>
      <c r="H23" s="506" t="s">
        <v>1055</v>
      </c>
      <c r="I23" s="506" t="s">
        <v>1055</v>
      </c>
      <c r="J23" s="506" t="s">
        <v>1055</v>
      </c>
      <c r="K23" s="506" t="s">
        <v>1055</v>
      </c>
      <c r="L23" s="506" t="s">
        <v>1055</v>
      </c>
      <c r="M23" s="506" t="s">
        <v>1055</v>
      </c>
      <c r="N23" s="506" t="s">
        <v>1055</v>
      </c>
      <c r="O23" s="506" t="s">
        <v>1055</v>
      </c>
      <c r="P23" s="506" t="s">
        <v>1055</v>
      </c>
      <c r="Q23" s="506" t="s">
        <v>1055</v>
      </c>
      <c r="R23" s="506" t="s">
        <v>1055</v>
      </c>
      <c r="S23" s="506" t="s">
        <v>1055</v>
      </c>
      <c r="T23" s="506" t="s">
        <v>1055</v>
      </c>
      <c r="U23" s="509" t="str">
        <f>_xlfn.UNICHAR(9681)</f>
        <v>◑</v>
      </c>
      <c r="V23" s="506" t="s">
        <v>1055</v>
      </c>
      <c r="W23" s="506" t="s">
        <v>1055</v>
      </c>
      <c r="X23" s="506" t="s">
        <v>1055</v>
      </c>
      <c r="Y23" s="506" t="s">
        <v>1055</v>
      </c>
      <c r="Z23" s="509" t="str">
        <f>_xlfn.UNICHAR(9681)</f>
        <v>◑</v>
      </c>
      <c r="AA23" s="506" t="s">
        <v>1055</v>
      </c>
      <c r="AB23" s="506" t="s">
        <v>1055</v>
      </c>
      <c r="AC23" s="509" t="str">
        <f>_xlfn.UNICHAR(9681)</f>
        <v>◑</v>
      </c>
      <c r="AD23" s="525" t="s">
        <v>1055</v>
      </c>
      <c r="AE23" s="506" t="s">
        <v>1055</v>
      </c>
      <c r="AF23" s="506" t="s">
        <v>1055</v>
      </c>
      <c r="AG23" s="506" t="s">
        <v>1055</v>
      </c>
      <c r="AH23" s="506" t="s">
        <v>1055</v>
      </c>
      <c r="AI23" s="506" t="s">
        <v>1055</v>
      </c>
      <c r="AJ23" s="506" t="s">
        <v>1055</v>
      </c>
      <c r="AK23" s="506" t="s">
        <v>1055</v>
      </c>
      <c r="AL23" s="509" t="str">
        <f>_xlfn.UNICHAR(9681)</f>
        <v>◑</v>
      </c>
      <c r="AM23" s="506" t="s">
        <v>1055</v>
      </c>
      <c r="AN23" s="509" t="str">
        <f>_xlfn.UNICHAR(9681)</f>
        <v>◑</v>
      </c>
      <c r="AO23" s="506" t="s">
        <v>1055</v>
      </c>
      <c r="AP23" s="506" t="s">
        <v>1055</v>
      </c>
      <c r="AQ23" s="506" t="s">
        <v>1055</v>
      </c>
      <c r="AR23" s="506" t="s">
        <v>1055</v>
      </c>
      <c r="AS23" s="506" t="s">
        <v>1055</v>
      </c>
      <c r="AT23" s="509" t="str">
        <f>_xlfn.UNICHAR(9681)</f>
        <v>◑</v>
      </c>
      <c r="AU23" s="506" t="s">
        <v>1055</v>
      </c>
      <c r="AV23" s="506" t="s">
        <v>1055</v>
      </c>
      <c r="AW23" s="506" t="s">
        <v>1055</v>
      </c>
      <c r="AX23" s="521" t="s">
        <v>1194</v>
      </c>
    </row>
    <row r="24" spans="1:50" ht="36" x14ac:dyDescent="0.25">
      <c r="A24" s="727"/>
      <c r="B24" s="523" t="s">
        <v>1195</v>
      </c>
      <c r="C24" s="524" t="s">
        <v>1075</v>
      </c>
      <c r="D24" s="506" t="s">
        <v>1055</v>
      </c>
      <c r="E24" s="506" t="s">
        <v>1055</v>
      </c>
      <c r="F24" s="506" t="s">
        <v>1055</v>
      </c>
      <c r="G24" s="506" t="s">
        <v>1055</v>
      </c>
      <c r="H24" s="506" t="s">
        <v>1055</v>
      </c>
      <c r="I24" s="506" t="s">
        <v>1055</v>
      </c>
      <c r="J24" s="506" t="s">
        <v>1055</v>
      </c>
      <c r="K24" s="506" t="s">
        <v>1055</v>
      </c>
      <c r="L24" s="506" t="s">
        <v>1055</v>
      </c>
      <c r="M24" s="506" t="s">
        <v>1055</v>
      </c>
      <c r="N24" s="506" t="s">
        <v>1055</v>
      </c>
      <c r="O24" s="506" t="s">
        <v>1055</v>
      </c>
      <c r="P24" s="506" t="s">
        <v>1055</v>
      </c>
      <c r="Q24" s="506" t="s">
        <v>1055</v>
      </c>
      <c r="R24" s="506" t="s">
        <v>1055</v>
      </c>
      <c r="S24" s="506" t="s">
        <v>1055</v>
      </c>
      <c r="T24" s="506" t="s">
        <v>1055</v>
      </c>
      <c r="U24" s="506" t="s">
        <v>1055</v>
      </c>
      <c r="V24" s="506" t="s">
        <v>1055</v>
      </c>
      <c r="W24" s="506" t="s">
        <v>1055</v>
      </c>
      <c r="X24" s="506" t="s">
        <v>1055</v>
      </c>
      <c r="Y24" s="506" t="s">
        <v>1055</v>
      </c>
      <c r="Z24" s="506" t="s">
        <v>1055</v>
      </c>
      <c r="AA24" s="506" t="s">
        <v>1055</v>
      </c>
      <c r="AB24" s="506" t="s">
        <v>1055</v>
      </c>
      <c r="AC24" s="506" t="s">
        <v>1055</v>
      </c>
      <c r="AD24" s="525" t="s">
        <v>1055</v>
      </c>
      <c r="AE24" s="506" t="s">
        <v>1055</v>
      </c>
      <c r="AF24" s="506" t="s">
        <v>1055</v>
      </c>
      <c r="AG24" s="506" t="s">
        <v>1055</v>
      </c>
      <c r="AH24" s="506" t="s">
        <v>1055</v>
      </c>
      <c r="AI24" s="506" t="s">
        <v>1055</v>
      </c>
      <c r="AJ24" s="506" t="s">
        <v>1055</v>
      </c>
      <c r="AK24" s="506" t="s">
        <v>1055</v>
      </c>
      <c r="AL24" s="506" t="s">
        <v>1055</v>
      </c>
      <c r="AM24" s="509" t="str">
        <f>_xlfn.UNICHAR(9681)</f>
        <v>◑</v>
      </c>
      <c r="AN24" s="506" t="s">
        <v>1055</v>
      </c>
      <c r="AO24" s="506" t="s">
        <v>1055</v>
      </c>
      <c r="AP24" s="506" t="s">
        <v>1055</v>
      </c>
      <c r="AQ24" s="506" t="s">
        <v>1055</v>
      </c>
      <c r="AR24" s="506" t="s">
        <v>1055</v>
      </c>
      <c r="AS24" s="506" t="s">
        <v>1055</v>
      </c>
      <c r="AT24" s="506" t="s">
        <v>1055</v>
      </c>
      <c r="AU24" s="509" t="str">
        <f>_xlfn.UNICHAR(9681)</f>
        <v>◑</v>
      </c>
      <c r="AV24" s="506" t="s">
        <v>1055</v>
      </c>
      <c r="AW24" s="506" t="s">
        <v>1055</v>
      </c>
      <c r="AX24" s="521" t="s">
        <v>1196</v>
      </c>
    </row>
    <row r="25" spans="1:50" ht="90" x14ac:dyDescent="0.25">
      <c r="A25" s="727"/>
      <c r="B25" s="523" t="s">
        <v>1197</v>
      </c>
      <c r="C25" s="524" t="s">
        <v>1198</v>
      </c>
      <c r="D25" s="509" t="str">
        <f t="shared" ref="D25:K25" si="0">_xlfn.UNICHAR(9681)</f>
        <v>◑</v>
      </c>
      <c r="E25" s="509" t="str">
        <f t="shared" si="0"/>
        <v>◑</v>
      </c>
      <c r="F25" s="509" t="str">
        <f t="shared" si="0"/>
        <v>◑</v>
      </c>
      <c r="G25" s="509" t="str">
        <f t="shared" si="0"/>
        <v>◑</v>
      </c>
      <c r="H25" s="509" t="str">
        <f t="shared" si="0"/>
        <v>◑</v>
      </c>
      <c r="I25" s="509" t="str">
        <f t="shared" si="0"/>
        <v>◑</v>
      </c>
      <c r="J25" s="509" t="str">
        <f t="shared" si="0"/>
        <v>◑</v>
      </c>
      <c r="K25" s="509" t="str">
        <f t="shared" si="0"/>
        <v>◑</v>
      </c>
      <c r="L25" s="527" t="s">
        <v>1055</v>
      </c>
      <c r="M25" s="509" t="str">
        <f t="shared" ref="M25:W25" si="1">_xlfn.UNICHAR(9681)</f>
        <v>◑</v>
      </c>
      <c r="N25" s="509" t="str">
        <f t="shared" si="1"/>
        <v>◑</v>
      </c>
      <c r="O25" s="509" t="str">
        <f t="shared" si="1"/>
        <v>◑</v>
      </c>
      <c r="P25" s="509" t="str">
        <f t="shared" si="1"/>
        <v>◑</v>
      </c>
      <c r="Q25" s="509" t="str">
        <f t="shared" si="1"/>
        <v>◑</v>
      </c>
      <c r="R25" s="509" t="str">
        <f t="shared" si="1"/>
        <v>◑</v>
      </c>
      <c r="S25" s="509" t="str">
        <f t="shared" si="1"/>
        <v>◑</v>
      </c>
      <c r="T25" s="509" t="str">
        <f t="shared" si="1"/>
        <v>◑</v>
      </c>
      <c r="U25" s="509" t="str">
        <f t="shared" si="1"/>
        <v>◑</v>
      </c>
      <c r="V25" s="509" t="str">
        <f t="shared" si="1"/>
        <v>◑</v>
      </c>
      <c r="W25" s="509" t="str">
        <f t="shared" si="1"/>
        <v>◑</v>
      </c>
      <c r="X25" s="527" t="s">
        <v>1055</v>
      </c>
      <c r="Y25" s="509" t="str">
        <f>_xlfn.UNICHAR(9681)</f>
        <v>◑</v>
      </c>
      <c r="Z25" s="527" t="s">
        <v>1055</v>
      </c>
      <c r="AA25" s="509" t="str">
        <f>_xlfn.UNICHAR(9681)</f>
        <v>◑</v>
      </c>
      <c r="AB25" s="527" t="s">
        <v>1055</v>
      </c>
      <c r="AC25" s="509" t="str">
        <f>_xlfn.UNICHAR(9681)</f>
        <v>◑</v>
      </c>
      <c r="AD25" s="530" t="s">
        <v>1055</v>
      </c>
      <c r="AE25" s="509" t="str">
        <f>_xlfn.UNICHAR(9681)</f>
        <v>◑</v>
      </c>
      <c r="AF25" s="509" t="str">
        <f>_xlfn.UNICHAR(9681)</f>
        <v>◑</v>
      </c>
      <c r="AG25" s="509" t="str">
        <f>_xlfn.UNICHAR(9681)</f>
        <v>◑</v>
      </c>
      <c r="AH25" s="509" t="str">
        <f>_xlfn.UNICHAR(9681)</f>
        <v>◑</v>
      </c>
      <c r="AI25" s="527" t="s">
        <v>1055</v>
      </c>
      <c r="AJ25" s="509" t="str">
        <f>_xlfn.UNICHAR(9681)</f>
        <v>◑</v>
      </c>
      <c r="AK25" s="509" t="str">
        <f>_xlfn.UNICHAR(9681)</f>
        <v>◑</v>
      </c>
      <c r="AL25" s="509" t="str">
        <f>_xlfn.UNICHAR(9681)</f>
        <v>◑</v>
      </c>
      <c r="AM25" s="509" t="str">
        <f>_xlfn.UNICHAR(9681)</f>
        <v>◑</v>
      </c>
      <c r="AN25" s="509" t="str">
        <f>_xlfn.UNICHAR(9681)</f>
        <v>◑</v>
      </c>
      <c r="AO25" s="509" t="str">
        <f>_xlfn.UNICHAR(9681)</f>
        <v>◑</v>
      </c>
      <c r="AP25" s="509" t="str">
        <f>_xlfn.UNICHAR(9681)</f>
        <v>◑</v>
      </c>
      <c r="AQ25" s="509" t="str">
        <f>_xlfn.UNICHAR(9681)</f>
        <v>◑</v>
      </c>
      <c r="AR25" s="527" t="s">
        <v>1055</v>
      </c>
      <c r="AS25" s="509" t="str">
        <f>_xlfn.UNICHAR(9681)</f>
        <v>◑</v>
      </c>
      <c r="AT25" s="527" t="s">
        <v>1055</v>
      </c>
      <c r="AU25" s="509" t="str">
        <f>_xlfn.UNICHAR(9681)</f>
        <v>◑</v>
      </c>
      <c r="AV25" s="509" t="str">
        <f>_xlfn.UNICHAR(9681)</f>
        <v>◑</v>
      </c>
      <c r="AW25" s="509" t="str">
        <f>_xlfn.UNICHAR(9681)</f>
        <v>◑</v>
      </c>
      <c r="AX25" s="521" t="s">
        <v>1199</v>
      </c>
    </row>
    <row r="26" spans="1:50" ht="24" x14ac:dyDescent="0.25">
      <c r="A26" s="727"/>
      <c r="B26" s="523">
        <v>6.4</v>
      </c>
      <c r="C26" s="524" t="s">
        <v>1200</v>
      </c>
      <c r="D26" s="506" t="s">
        <v>1055</v>
      </c>
      <c r="E26" s="506" t="s">
        <v>1055</v>
      </c>
      <c r="F26" s="506" t="s">
        <v>1055</v>
      </c>
      <c r="G26" s="506" t="s">
        <v>1055</v>
      </c>
      <c r="H26" s="506" t="s">
        <v>1055</v>
      </c>
      <c r="I26" s="506" t="s">
        <v>1055</v>
      </c>
      <c r="J26" s="506" t="s">
        <v>1055</v>
      </c>
      <c r="K26" s="506" t="s">
        <v>1055</v>
      </c>
      <c r="L26" s="506" t="s">
        <v>1055</v>
      </c>
      <c r="M26" s="506" t="s">
        <v>1055</v>
      </c>
      <c r="N26" s="506" t="s">
        <v>1055</v>
      </c>
      <c r="O26" s="506" t="s">
        <v>1055</v>
      </c>
      <c r="P26" s="506" t="s">
        <v>1055</v>
      </c>
      <c r="Q26" s="506" t="s">
        <v>1055</v>
      </c>
      <c r="R26" s="506" t="s">
        <v>1055</v>
      </c>
      <c r="S26" s="506" t="s">
        <v>1055</v>
      </c>
      <c r="T26" s="506" t="s">
        <v>1055</v>
      </c>
      <c r="U26" s="506" t="s">
        <v>1055</v>
      </c>
      <c r="V26" s="506" t="s">
        <v>1055</v>
      </c>
      <c r="W26" s="506" t="s">
        <v>1055</v>
      </c>
      <c r="X26" s="506" t="s">
        <v>1055</v>
      </c>
      <c r="Y26" s="506" t="s">
        <v>1055</v>
      </c>
      <c r="Z26" s="506" t="s">
        <v>1055</v>
      </c>
      <c r="AA26" s="506" t="s">
        <v>1055</v>
      </c>
      <c r="AB26" s="506" t="s">
        <v>1055</v>
      </c>
      <c r="AC26" s="506" t="s">
        <v>1055</v>
      </c>
      <c r="AD26" s="525" t="s">
        <v>1055</v>
      </c>
      <c r="AE26" s="506" t="s">
        <v>1055</v>
      </c>
      <c r="AF26" s="506" t="s">
        <v>1055</v>
      </c>
      <c r="AG26" s="506" t="s">
        <v>1055</v>
      </c>
      <c r="AH26" s="509" t="str">
        <f>_xlfn.UNICHAR(9681)</f>
        <v>◑</v>
      </c>
      <c r="AI26" s="506" t="s">
        <v>1055</v>
      </c>
      <c r="AJ26" s="506" t="s">
        <v>1055</v>
      </c>
      <c r="AK26" s="506" t="s">
        <v>1055</v>
      </c>
      <c r="AL26" s="509" t="str">
        <f>_xlfn.UNICHAR(9681)</f>
        <v>◑</v>
      </c>
      <c r="AM26" s="506" t="s">
        <v>1055</v>
      </c>
      <c r="AN26" s="506" t="s">
        <v>1055</v>
      </c>
      <c r="AO26" s="506" t="s">
        <v>1055</v>
      </c>
      <c r="AP26" s="506" t="s">
        <v>1055</v>
      </c>
      <c r="AQ26" s="506" t="s">
        <v>1055</v>
      </c>
      <c r="AR26" s="506" t="s">
        <v>1055</v>
      </c>
      <c r="AS26" s="506" t="s">
        <v>1055</v>
      </c>
      <c r="AT26" s="506" t="s">
        <v>1055</v>
      </c>
      <c r="AU26" s="509" t="str">
        <f>_xlfn.UNICHAR(9681)</f>
        <v>◑</v>
      </c>
      <c r="AV26" s="506" t="s">
        <v>1055</v>
      </c>
      <c r="AW26" s="506" t="s">
        <v>1055</v>
      </c>
      <c r="AX26" s="521" t="s">
        <v>1201</v>
      </c>
    </row>
    <row r="27" spans="1:50" ht="24" x14ac:dyDescent="0.25">
      <c r="A27" s="727"/>
      <c r="B27" s="523" t="s">
        <v>1202</v>
      </c>
      <c r="C27" s="524" t="s">
        <v>1078</v>
      </c>
      <c r="D27" s="506" t="s">
        <v>1055</v>
      </c>
      <c r="E27" s="506" t="s">
        <v>1055</v>
      </c>
      <c r="F27" s="506" t="s">
        <v>1055</v>
      </c>
      <c r="G27" s="506" t="s">
        <v>1055</v>
      </c>
      <c r="H27" s="506" t="s">
        <v>1055</v>
      </c>
      <c r="I27" s="506" t="s">
        <v>1055</v>
      </c>
      <c r="J27" s="506" t="s">
        <v>1055</v>
      </c>
      <c r="K27" s="506" t="s">
        <v>1055</v>
      </c>
      <c r="L27" s="506" t="s">
        <v>1055</v>
      </c>
      <c r="M27" s="506" t="s">
        <v>1055</v>
      </c>
      <c r="N27" s="506" t="s">
        <v>1055</v>
      </c>
      <c r="O27" s="506" t="s">
        <v>1055</v>
      </c>
      <c r="P27" s="506" t="s">
        <v>1055</v>
      </c>
      <c r="Q27" s="506" t="s">
        <v>1055</v>
      </c>
      <c r="R27" s="506" t="s">
        <v>1055</v>
      </c>
      <c r="S27" s="506" t="s">
        <v>1055</v>
      </c>
      <c r="T27" s="506" t="s">
        <v>1055</v>
      </c>
      <c r="U27" s="506" t="s">
        <v>1055</v>
      </c>
      <c r="V27" s="506" t="s">
        <v>1055</v>
      </c>
      <c r="W27" s="506" t="s">
        <v>1055</v>
      </c>
      <c r="X27" s="506" t="s">
        <v>1055</v>
      </c>
      <c r="Y27" s="506" t="s">
        <v>1055</v>
      </c>
      <c r="Z27" s="506" t="s">
        <v>1055</v>
      </c>
      <c r="AA27" s="506" t="s">
        <v>1055</v>
      </c>
      <c r="AB27" s="506" t="s">
        <v>1055</v>
      </c>
      <c r="AC27" s="506" t="s">
        <v>1055</v>
      </c>
      <c r="AD27" s="525" t="s">
        <v>1055</v>
      </c>
      <c r="AE27" s="506" t="s">
        <v>1055</v>
      </c>
      <c r="AF27" s="506" t="s">
        <v>1055</v>
      </c>
      <c r="AG27" s="506" t="s">
        <v>1055</v>
      </c>
      <c r="AH27" s="506" t="s">
        <v>1055</v>
      </c>
      <c r="AI27" s="506" t="s">
        <v>1055</v>
      </c>
      <c r="AJ27" s="506" t="s">
        <v>1055</v>
      </c>
      <c r="AK27" s="506" t="s">
        <v>1055</v>
      </c>
      <c r="AL27" s="506" t="s">
        <v>1055</v>
      </c>
      <c r="AM27" s="506" t="s">
        <v>1055</v>
      </c>
      <c r="AN27" s="506" t="s">
        <v>1055</v>
      </c>
      <c r="AO27" s="506" t="s">
        <v>1055</v>
      </c>
      <c r="AP27" s="506" t="s">
        <v>1055</v>
      </c>
      <c r="AQ27" s="506" t="s">
        <v>1055</v>
      </c>
      <c r="AR27" s="506" t="s">
        <v>1055</v>
      </c>
      <c r="AS27" s="506" t="s">
        <v>1055</v>
      </c>
      <c r="AT27" s="506" t="s">
        <v>1055</v>
      </c>
      <c r="AU27" s="506" t="s">
        <v>1055</v>
      </c>
      <c r="AV27" s="506" t="s">
        <v>1055</v>
      </c>
      <c r="AW27" s="506" t="s">
        <v>1055</v>
      </c>
      <c r="AX27" s="521"/>
    </row>
    <row r="28" spans="1:50" ht="36" x14ac:dyDescent="0.25">
      <c r="A28" s="727" t="s">
        <v>1203</v>
      </c>
      <c r="B28" s="523" t="s">
        <v>1204</v>
      </c>
      <c r="C28" s="524" t="s">
        <v>1205</v>
      </c>
      <c r="D28" s="506" t="s">
        <v>1055</v>
      </c>
      <c r="E28" s="506" t="s">
        <v>1055</v>
      </c>
      <c r="F28" s="506" t="s">
        <v>1055</v>
      </c>
      <c r="G28" s="506" t="s">
        <v>1055</v>
      </c>
      <c r="H28" s="506" t="s">
        <v>1055</v>
      </c>
      <c r="I28" s="506" t="s">
        <v>1055</v>
      </c>
      <c r="J28" s="506" t="s">
        <v>1055</v>
      </c>
      <c r="K28" s="506" t="s">
        <v>1055</v>
      </c>
      <c r="L28" s="506" t="s">
        <v>1055</v>
      </c>
      <c r="M28" s="506" t="s">
        <v>1055</v>
      </c>
      <c r="N28" s="506" t="s">
        <v>1055</v>
      </c>
      <c r="O28" s="506" t="s">
        <v>1055</v>
      </c>
      <c r="P28" s="506" t="s">
        <v>1055</v>
      </c>
      <c r="Q28" s="506" t="s">
        <v>1055</v>
      </c>
      <c r="R28" s="506" t="s">
        <v>1055</v>
      </c>
      <c r="S28" s="506" t="s">
        <v>1055</v>
      </c>
      <c r="T28" s="506" t="s">
        <v>1055</v>
      </c>
      <c r="U28" s="506" t="s">
        <v>1055</v>
      </c>
      <c r="V28" s="506" t="s">
        <v>1055</v>
      </c>
      <c r="W28" s="506" t="s">
        <v>1055</v>
      </c>
      <c r="X28" s="506" t="s">
        <v>1055</v>
      </c>
      <c r="Y28" s="506" t="s">
        <v>1055</v>
      </c>
      <c r="Z28" s="506" t="s">
        <v>1055</v>
      </c>
      <c r="AA28" s="506" t="s">
        <v>1055</v>
      </c>
      <c r="AB28" s="506" t="s">
        <v>1055</v>
      </c>
      <c r="AC28" s="506" t="s">
        <v>1055</v>
      </c>
      <c r="AD28" s="525" t="s">
        <v>1055</v>
      </c>
      <c r="AE28" s="506" t="s">
        <v>1055</v>
      </c>
      <c r="AF28" s="506" t="s">
        <v>1055</v>
      </c>
      <c r="AG28" s="506" t="s">
        <v>1055</v>
      </c>
      <c r="AH28" s="506" t="s">
        <v>1055</v>
      </c>
      <c r="AI28" s="506" t="s">
        <v>1055</v>
      </c>
      <c r="AJ28" s="506" t="s">
        <v>1055</v>
      </c>
      <c r="AK28" s="506" t="s">
        <v>1055</v>
      </c>
      <c r="AL28" s="506" t="s">
        <v>1055</v>
      </c>
      <c r="AM28" s="506" t="s">
        <v>1055</v>
      </c>
      <c r="AN28" s="506" t="s">
        <v>1055</v>
      </c>
      <c r="AO28" s="506" t="s">
        <v>1055</v>
      </c>
      <c r="AP28" s="506" t="s">
        <v>1055</v>
      </c>
      <c r="AQ28" s="506" t="s">
        <v>1055</v>
      </c>
      <c r="AR28" s="506" t="s">
        <v>1055</v>
      </c>
      <c r="AS28" s="506" t="s">
        <v>1055</v>
      </c>
      <c r="AT28" s="506" t="s">
        <v>1055</v>
      </c>
      <c r="AU28" s="506" t="s">
        <v>1055</v>
      </c>
      <c r="AV28" s="506" t="s">
        <v>1055</v>
      </c>
      <c r="AW28" s="506" t="s">
        <v>1055</v>
      </c>
      <c r="AX28" s="521"/>
    </row>
    <row r="29" spans="1:50" ht="24" x14ac:dyDescent="0.25">
      <c r="A29" s="727"/>
      <c r="B29" s="523" t="s">
        <v>1206</v>
      </c>
      <c r="C29" s="524" t="s">
        <v>1081</v>
      </c>
      <c r="D29" s="506" t="s">
        <v>1055</v>
      </c>
      <c r="E29" s="506" t="s">
        <v>1055</v>
      </c>
      <c r="F29" s="506" t="s">
        <v>1055</v>
      </c>
      <c r="G29" s="506" t="s">
        <v>1055</v>
      </c>
      <c r="H29" s="506" t="s">
        <v>1055</v>
      </c>
      <c r="I29" s="506" t="s">
        <v>1055</v>
      </c>
      <c r="J29" s="506" t="s">
        <v>1055</v>
      </c>
      <c r="K29" s="506" t="s">
        <v>1055</v>
      </c>
      <c r="L29" s="506" t="s">
        <v>1055</v>
      </c>
      <c r="M29" s="506" t="s">
        <v>1055</v>
      </c>
      <c r="N29" s="506" t="s">
        <v>1055</v>
      </c>
      <c r="O29" s="506" t="s">
        <v>1055</v>
      </c>
      <c r="P29" s="506" t="s">
        <v>1055</v>
      </c>
      <c r="Q29" s="506" t="s">
        <v>1055</v>
      </c>
      <c r="R29" s="506" t="s">
        <v>1055</v>
      </c>
      <c r="S29" s="506" t="s">
        <v>1055</v>
      </c>
      <c r="T29" s="506" t="s">
        <v>1055</v>
      </c>
      <c r="U29" s="506" t="s">
        <v>1055</v>
      </c>
      <c r="V29" s="506" t="s">
        <v>1055</v>
      </c>
      <c r="W29" s="506" t="s">
        <v>1055</v>
      </c>
      <c r="X29" s="506" t="s">
        <v>1055</v>
      </c>
      <c r="Y29" s="506" t="s">
        <v>1055</v>
      </c>
      <c r="Z29" s="506" t="s">
        <v>1055</v>
      </c>
      <c r="AA29" s="506" t="s">
        <v>1055</v>
      </c>
      <c r="AB29" s="506" t="s">
        <v>1055</v>
      </c>
      <c r="AC29" s="506" t="s">
        <v>1055</v>
      </c>
      <c r="AD29" s="525" t="s">
        <v>1055</v>
      </c>
      <c r="AE29" s="506" t="s">
        <v>1055</v>
      </c>
      <c r="AF29" s="506" t="s">
        <v>1055</v>
      </c>
      <c r="AG29" s="506" t="s">
        <v>1055</v>
      </c>
      <c r="AH29" s="506" t="s">
        <v>1055</v>
      </c>
      <c r="AI29" s="506" t="s">
        <v>1055</v>
      </c>
      <c r="AJ29" s="506" t="s">
        <v>1055</v>
      </c>
      <c r="AK29" s="506" t="s">
        <v>1055</v>
      </c>
      <c r="AL29" s="506" t="s">
        <v>1055</v>
      </c>
      <c r="AM29" s="506" t="s">
        <v>1055</v>
      </c>
      <c r="AN29" s="506" t="s">
        <v>1055</v>
      </c>
      <c r="AO29" s="506" t="s">
        <v>1055</v>
      </c>
      <c r="AP29" s="506" t="s">
        <v>1055</v>
      </c>
      <c r="AQ29" s="509" t="str">
        <f>_xlfn.UNICHAR(9681)</f>
        <v>◑</v>
      </c>
      <c r="AR29" s="506" t="s">
        <v>1055</v>
      </c>
      <c r="AS29" s="509" t="str">
        <f>_xlfn.UNICHAR(9681)</f>
        <v>◑</v>
      </c>
      <c r="AT29" s="506" t="s">
        <v>1055</v>
      </c>
      <c r="AU29" s="506" t="s">
        <v>1055</v>
      </c>
      <c r="AV29" s="506" t="s">
        <v>1055</v>
      </c>
      <c r="AW29" s="506" t="s">
        <v>1055</v>
      </c>
      <c r="AX29" s="521" t="s">
        <v>1207</v>
      </c>
    </row>
    <row r="30" spans="1:50" ht="24" x14ac:dyDescent="0.25">
      <c r="A30" s="727" t="s">
        <v>1208</v>
      </c>
      <c r="B30" s="523" t="s">
        <v>1209</v>
      </c>
      <c r="C30" s="524" t="s">
        <v>1083</v>
      </c>
      <c r="D30" s="506" t="s">
        <v>1055</v>
      </c>
      <c r="E30" s="506" t="s">
        <v>1055</v>
      </c>
      <c r="F30" s="506" t="s">
        <v>1055</v>
      </c>
      <c r="G30" s="506" t="s">
        <v>1055</v>
      </c>
      <c r="H30" s="506" t="s">
        <v>1055</v>
      </c>
      <c r="I30" s="506" t="s">
        <v>1055</v>
      </c>
      <c r="J30" s="506" t="s">
        <v>1055</v>
      </c>
      <c r="K30" s="506" t="s">
        <v>1055</v>
      </c>
      <c r="L30" s="506" t="s">
        <v>1055</v>
      </c>
      <c r="M30" s="506" t="s">
        <v>1055</v>
      </c>
      <c r="N30" s="506" t="s">
        <v>1055</v>
      </c>
      <c r="O30" s="506" t="s">
        <v>1055</v>
      </c>
      <c r="P30" s="506" t="s">
        <v>1055</v>
      </c>
      <c r="Q30" s="506" t="s">
        <v>1055</v>
      </c>
      <c r="R30" s="506" t="s">
        <v>1055</v>
      </c>
      <c r="S30" s="506" t="s">
        <v>1055</v>
      </c>
      <c r="T30" s="506" t="s">
        <v>1055</v>
      </c>
      <c r="U30" s="506" t="s">
        <v>1055</v>
      </c>
      <c r="V30" s="506" t="s">
        <v>1055</v>
      </c>
      <c r="W30" s="506" t="s">
        <v>1055</v>
      </c>
      <c r="X30" s="506" t="s">
        <v>1055</v>
      </c>
      <c r="Y30" s="506" t="s">
        <v>1055</v>
      </c>
      <c r="Z30" s="506" t="s">
        <v>1055</v>
      </c>
      <c r="AA30" s="506" t="s">
        <v>1055</v>
      </c>
      <c r="AB30" s="506" t="s">
        <v>1055</v>
      </c>
      <c r="AC30" s="506" t="s">
        <v>1055</v>
      </c>
      <c r="AD30" s="525" t="s">
        <v>1055</v>
      </c>
      <c r="AE30" s="506" t="s">
        <v>1055</v>
      </c>
      <c r="AF30" s="506" t="s">
        <v>1055</v>
      </c>
      <c r="AG30" s="506" t="s">
        <v>1055</v>
      </c>
      <c r="AH30" s="506" t="s">
        <v>1055</v>
      </c>
      <c r="AI30" s="506" t="s">
        <v>1055</v>
      </c>
      <c r="AJ30" s="506" t="s">
        <v>1055</v>
      </c>
      <c r="AK30" s="506" t="s">
        <v>1055</v>
      </c>
      <c r="AL30" s="506" t="s">
        <v>1055</v>
      </c>
      <c r="AM30" s="506" t="s">
        <v>1055</v>
      </c>
      <c r="AN30" s="506" t="s">
        <v>1055</v>
      </c>
      <c r="AO30" s="506" t="s">
        <v>1055</v>
      </c>
      <c r="AP30" s="506" t="s">
        <v>1055</v>
      </c>
      <c r="AQ30" s="506" t="s">
        <v>1055</v>
      </c>
      <c r="AR30" s="506" t="s">
        <v>1055</v>
      </c>
      <c r="AS30" s="506" t="s">
        <v>1055</v>
      </c>
      <c r="AT30" s="506" t="s">
        <v>1055</v>
      </c>
      <c r="AU30" s="506" t="s">
        <v>1055</v>
      </c>
      <c r="AV30" s="509" t="str">
        <f>_xlfn.UNICHAR(9681)</f>
        <v>◑</v>
      </c>
      <c r="AW30" s="506" t="s">
        <v>1055</v>
      </c>
      <c r="AX30" s="531" t="s">
        <v>1210</v>
      </c>
    </row>
    <row r="31" spans="1:50" ht="36" x14ac:dyDescent="0.25">
      <c r="A31" s="727"/>
      <c r="B31" s="523" t="s">
        <v>1211</v>
      </c>
      <c r="C31" s="524" t="s">
        <v>1212</v>
      </c>
      <c r="D31" s="506" t="s">
        <v>1055</v>
      </c>
      <c r="E31" s="506" t="s">
        <v>1055</v>
      </c>
      <c r="F31" s="506" t="s">
        <v>1055</v>
      </c>
      <c r="G31" s="506" t="s">
        <v>1055</v>
      </c>
      <c r="H31" s="506" t="s">
        <v>1055</v>
      </c>
      <c r="I31" s="506" t="s">
        <v>1055</v>
      </c>
      <c r="J31" s="506" t="s">
        <v>1055</v>
      </c>
      <c r="K31" s="506" t="s">
        <v>1055</v>
      </c>
      <c r="L31" s="506" t="s">
        <v>1055</v>
      </c>
      <c r="M31" s="506" t="s">
        <v>1055</v>
      </c>
      <c r="N31" s="506" t="s">
        <v>1055</v>
      </c>
      <c r="O31" s="506" t="s">
        <v>1055</v>
      </c>
      <c r="P31" s="506" t="s">
        <v>1055</v>
      </c>
      <c r="Q31" s="506" t="s">
        <v>1055</v>
      </c>
      <c r="R31" s="506" t="s">
        <v>1055</v>
      </c>
      <c r="S31" s="506" t="s">
        <v>1055</v>
      </c>
      <c r="T31" s="506" t="s">
        <v>1055</v>
      </c>
      <c r="U31" s="506" t="s">
        <v>1055</v>
      </c>
      <c r="V31" s="506" t="s">
        <v>1055</v>
      </c>
      <c r="W31" s="506" t="s">
        <v>1055</v>
      </c>
      <c r="X31" s="506" t="s">
        <v>1055</v>
      </c>
      <c r="Y31" s="506" t="s">
        <v>1055</v>
      </c>
      <c r="Z31" s="506" t="s">
        <v>1055</v>
      </c>
      <c r="AA31" s="506" t="s">
        <v>1055</v>
      </c>
      <c r="AB31" s="506" t="s">
        <v>1055</v>
      </c>
      <c r="AC31" s="506" t="s">
        <v>1055</v>
      </c>
      <c r="AD31" s="525" t="s">
        <v>1055</v>
      </c>
      <c r="AE31" s="506" t="s">
        <v>1055</v>
      </c>
      <c r="AF31" s="506" t="s">
        <v>1055</v>
      </c>
      <c r="AG31" s="506" t="s">
        <v>1055</v>
      </c>
      <c r="AH31" s="506" t="s">
        <v>1055</v>
      </c>
      <c r="AI31" s="506" t="s">
        <v>1055</v>
      </c>
      <c r="AJ31" s="506" t="s">
        <v>1055</v>
      </c>
      <c r="AK31" s="506" t="s">
        <v>1055</v>
      </c>
      <c r="AL31" s="506" t="s">
        <v>1055</v>
      </c>
      <c r="AM31" s="506" t="s">
        <v>1055</v>
      </c>
      <c r="AN31" s="506" t="s">
        <v>1055</v>
      </c>
      <c r="AO31" s="506" t="s">
        <v>1055</v>
      </c>
      <c r="AP31" s="506" t="s">
        <v>1055</v>
      </c>
      <c r="AQ31" s="506" t="s">
        <v>1055</v>
      </c>
      <c r="AR31" s="506" t="s">
        <v>1055</v>
      </c>
      <c r="AS31" s="506" t="s">
        <v>1055</v>
      </c>
      <c r="AT31" s="506" t="s">
        <v>1055</v>
      </c>
      <c r="AU31" s="506" t="s">
        <v>1055</v>
      </c>
      <c r="AV31" s="506" t="s">
        <v>1055</v>
      </c>
      <c r="AW31" s="506" t="s">
        <v>1055</v>
      </c>
      <c r="AX31" s="521"/>
    </row>
    <row r="32" spans="1:50" ht="36" x14ac:dyDescent="0.25">
      <c r="A32" s="727" t="s">
        <v>1213</v>
      </c>
      <c r="B32" s="523" t="s">
        <v>1214</v>
      </c>
      <c r="C32" s="524" t="s">
        <v>1086</v>
      </c>
      <c r="D32" s="506" t="s">
        <v>1055</v>
      </c>
      <c r="E32" s="506" t="s">
        <v>1055</v>
      </c>
      <c r="F32" s="506" t="s">
        <v>1055</v>
      </c>
      <c r="G32" s="506" t="s">
        <v>1055</v>
      </c>
      <c r="H32" s="506" t="s">
        <v>1055</v>
      </c>
      <c r="I32" s="506" t="s">
        <v>1055</v>
      </c>
      <c r="J32" s="506" t="s">
        <v>1055</v>
      </c>
      <c r="K32" s="506" t="s">
        <v>1055</v>
      </c>
      <c r="L32" s="506" t="s">
        <v>1055</v>
      </c>
      <c r="M32" s="506" t="s">
        <v>1055</v>
      </c>
      <c r="N32" s="506" t="s">
        <v>1055</v>
      </c>
      <c r="O32" s="506" t="s">
        <v>1055</v>
      </c>
      <c r="P32" s="506" t="s">
        <v>1055</v>
      </c>
      <c r="Q32" s="506" t="s">
        <v>1055</v>
      </c>
      <c r="R32" s="506" t="s">
        <v>1055</v>
      </c>
      <c r="S32" s="506" t="s">
        <v>1055</v>
      </c>
      <c r="T32" s="506" t="s">
        <v>1055</v>
      </c>
      <c r="U32" s="506" t="s">
        <v>1055</v>
      </c>
      <c r="V32" s="506" t="s">
        <v>1055</v>
      </c>
      <c r="W32" s="506" t="s">
        <v>1055</v>
      </c>
      <c r="X32" s="506" t="s">
        <v>1055</v>
      </c>
      <c r="Y32" s="509" t="str">
        <f>_xlfn.UNICHAR(9681)</f>
        <v>◑</v>
      </c>
      <c r="Z32" s="509" t="str">
        <f>_xlfn.UNICHAR(9681)</f>
        <v>◑</v>
      </c>
      <c r="AA32" s="506" t="s">
        <v>1055</v>
      </c>
      <c r="AB32" s="506" t="s">
        <v>1055</v>
      </c>
      <c r="AC32" s="509" t="str">
        <f>_xlfn.UNICHAR(9681)</f>
        <v>◑</v>
      </c>
      <c r="AD32" s="525" t="s">
        <v>1055</v>
      </c>
      <c r="AE32" s="506" t="s">
        <v>1055</v>
      </c>
      <c r="AF32" s="506" t="s">
        <v>1055</v>
      </c>
      <c r="AG32" s="506" t="s">
        <v>1055</v>
      </c>
      <c r="AH32" s="506" t="s">
        <v>1055</v>
      </c>
      <c r="AI32" s="509" t="str">
        <f>_xlfn.UNICHAR(9681)</f>
        <v>◑</v>
      </c>
      <c r="AJ32" s="506" t="s">
        <v>1055</v>
      </c>
      <c r="AK32" s="506" t="s">
        <v>1055</v>
      </c>
      <c r="AL32" s="506" t="s">
        <v>1055</v>
      </c>
      <c r="AM32" s="509" t="str">
        <f>_xlfn.UNICHAR(9681)</f>
        <v>◑</v>
      </c>
      <c r="AN32" s="509" t="str">
        <f>_xlfn.UNICHAR(9681)</f>
        <v>◑</v>
      </c>
      <c r="AO32" s="506" t="s">
        <v>1055</v>
      </c>
      <c r="AP32" s="506" t="s">
        <v>1055</v>
      </c>
      <c r="AQ32" s="509" t="str">
        <f>_xlfn.UNICHAR(9681)</f>
        <v>◑</v>
      </c>
      <c r="AR32" s="506" t="s">
        <v>1055</v>
      </c>
      <c r="AS32" s="506" t="s">
        <v>1055</v>
      </c>
      <c r="AT32" s="506" t="s">
        <v>1055</v>
      </c>
      <c r="AU32" s="509" t="str">
        <f>_xlfn.UNICHAR(9681)</f>
        <v>◑</v>
      </c>
      <c r="AV32" s="509" t="str">
        <f>_xlfn.UNICHAR(9681)</f>
        <v>◑</v>
      </c>
      <c r="AW32" s="506" t="s">
        <v>1055</v>
      </c>
      <c r="AX32" s="728" t="s">
        <v>1215</v>
      </c>
    </row>
    <row r="33" spans="1:50" ht="36" x14ac:dyDescent="0.25">
      <c r="A33" s="727"/>
      <c r="B33" s="523" t="s">
        <v>1216</v>
      </c>
      <c r="C33" s="524" t="s">
        <v>1217</v>
      </c>
      <c r="D33" s="506" t="s">
        <v>1055</v>
      </c>
      <c r="E33" s="506" t="s">
        <v>1055</v>
      </c>
      <c r="F33" s="506" t="s">
        <v>1055</v>
      </c>
      <c r="G33" s="506" t="s">
        <v>1055</v>
      </c>
      <c r="H33" s="506" t="s">
        <v>1055</v>
      </c>
      <c r="I33" s="506" t="s">
        <v>1055</v>
      </c>
      <c r="J33" s="506" t="s">
        <v>1055</v>
      </c>
      <c r="K33" s="506" t="s">
        <v>1055</v>
      </c>
      <c r="L33" s="506" t="s">
        <v>1055</v>
      </c>
      <c r="M33" s="506" t="s">
        <v>1055</v>
      </c>
      <c r="N33" s="506" t="s">
        <v>1055</v>
      </c>
      <c r="O33" s="506" t="s">
        <v>1055</v>
      </c>
      <c r="P33" s="506" t="s">
        <v>1055</v>
      </c>
      <c r="Q33" s="506" t="s">
        <v>1055</v>
      </c>
      <c r="R33" s="506" t="s">
        <v>1055</v>
      </c>
      <c r="S33" s="506" t="s">
        <v>1055</v>
      </c>
      <c r="T33" s="506" t="s">
        <v>1055</v>
      </c>
      <c r="U33" s="506" t="s">
        <v>1055</v>
      </c>
      <c r="V33" s="506" t="s">
        <v>1055</v>
      </c>
      <c r="W33" s="506" t="s">
        <v>1055</v>
      </c>
      <c r="X33" s="506" t="s">
        <v>1055</v>
      </c>
      <c r="Y33" s="509" t="str">
        <f>_xlfn.UNICHAR(9681)</f>
        <v>◑</v>
      </c>
      <c r="Z33" s="509" t="str">
        <f>_xlfn.UNICHAR(9681)</f>
        <v>◑</v>
      </c>
      <c r="AA33" s="506" t="s">
        <v>1055</v>
      </c>
      <c r="AB33" s="506" t="s">
        <v>1055</v>
      </c>
      <c r="AC33" s="509" t="str">
        <f>_xlfn.UNICHAR(9681)</f>
        <v>◑</v>
      </c>
      <c r="AD33" s="525" t="s">
        <v>1055</v>
      </c>
      <c r="AE33" s="506" t="s">
        <v>1055</v>
      </c>
      <c r="AF33" s="506" t="s">
        <v>1055</v>
      </c>
      <c r="AG33" s="506" t="s">
        <v>1055</v>
      </c>
      <c r="AH33" s="506" t="s">
        <v>1055</v>
      </c>
      <c r="AI33" s="509" t="str">
        <f>_xlfn.UNICHAR(9681)</f>
        <v>◑</v>
      </c>
      <c r="AJ33" s="506" t="s">
        <v>1055</v>
      </c>
      <c r="AK33" s="506" t="s">
        <v>1055</v>
      </c>
      <c r="AL33" s="509" t="str">
        <f>_xlfn.UNICHAR(9681)</f>
        <v>◑</v>
      </c>
      <c r="AM33" s="509" t="str">
        <f>_xlfn.UNICHAR(9681)</f>
        <v>◑</v>
      </c>
      <c r="AN33" s="509" t="str">
        <f>_xlfn.UNICHAR(9681)</f>
        <v>◑</v>
      </c>
      <c r="AO33" s="506" t="s">
        <v>1055</v>
      </c>
      <c r="AP33" s="506" t="s">
        <v>1055</v>
      </c>
      <c r="AQ33" s="509" t="str">
        <f>_xlfn.UNICHAR(9681)</f>
        <v>◑</v>
      </c>
      <c r="AR33" s="506" t="s">
        <v>1055</v>
      </c>
      <c r="AS33" s="506" t="s">
        <v>1055</v>
      </c>
      <c r="AT33" s="506" t="s">
        <v>1055</v>
      </c>
      <c r="AU33" s="509" t="str">
        <f>_xlfn.UNICHAR(9681)</f>
        <v>◑</v>
      </c>
      <c r="AV33" s="509" t="str">
        <f>_xlfn.UNICHAR(9681)</f>
        <v>◑</v>
      </c>
      <c r="AW33" s="506" t="s">
        <v>1055</v>
      </c>
      <c r="AX33" s="729"/>
    </row>
    <row r="34" spans="1:50" ht="36" x14ac:dyDescent="0.25">
      <c r="A34" s="727"/>
      <c r="B34" s="523" t="s">
        <v>1218</v>
      </c>
      <c r="C34" s="524" t="s">
        <v>1219</v>
      </c>
      <c r="D34" s="506" t="s">
        <v>1055</v>
      </c>
      <c r="E34" s="506" t="s">
        <v>1055</v>
      </c>
      <c r="F34" s="506" t="s">
        <v>1055</v>
      </c>
      <c r="G34" s="506" t="s">
        <v>1055</v>
      </c>
      <c r="H34" s="506" t="s">
        <v>1055</v>
      </c>
      <c r="I34" s="506" t="s">
        <v>1055</v>
      </c>
      <c r="J34" s="506" t="s">
        <v>1055</v>
      </c>
      <c r="K34" s="506" t="s">
        <v>1055</v>
      </c>
      <c r="L34" s="506" t="s">
        <v>1055</v>
      </c>
      <c r="M34" s="506" t="s">
        <v>1055</v>
      </c>
      <c r="N34" s="506" t="s">
        <v>1055</v>
      </c>
      <c r="O34" s="506" t="s">
        <v>1055</v>
      </c>
      <c r="P34" s="506" t="s">
        <v>1055</v>
      </c>
      <c r="Q34" s="506" t="s">
        <v>1055</v>
      </c>
      <c r="R34" s="506" t="s">
        <v>1055</v>
      </c>
      <c r="S34" s="506" t="s">
        <v>1055</v>
      </c>
      <c r="T34" s="506" t="s">
        <v>1055</v>
      </c>
      <c r="U34" s="506" t="s">
        <v>1055</v>
      </c>
      <c r="V34" s="506" t="s">
        <v>1055</v>
      </c>
      <c r="W34" s="506" t="s">
        <v>1055</v>
      </c>
      <c r="X34" s="506" t="s">
        <v>1055</v>
      </c>
      <c r="Y34" s="506" t="s">
        <v>1055</v>
      </c>
      <c r="Z34" s="506" t="s">
        <v>1055</v>
      </c>
      <c r="AA34" s="506" t="s">
        <v>1055</v>
      </c>
      <c r="AB34" s="506" t="s">
        <v>1055</v>
      </c>
      <c r="AC34" s="509" t="str">
        <f>_xlfn.UNICHAR(9681)</f>
        <v>◑</v>
      </c>
      <c r="AD34" s="528" t="str">
        <f>_xlfn.UNICHAR(9681)</f>
        <v>◑</v>
      </c>
      <c r="AE34" s="506" t="s">
        <v>1055</v>
      </c>
      <c r="AF34" s="506" t="s">
        <v>1055</v>
      </c>
      <c r="AG34" s="509" t="str">
        <f>_xlfn.UNICHAR(9681)</f>
        <v>◑</v>
      </c>
      <c r="AH34" s="506" t="s">
        <v>1055</v>
      </c>
      <c r="AI34" s="506" t="s">
        <v>1055</v>
      </c>
      <c r="AJ34" s="506" t="s">
        <v>1055</v>
      </c>
      <c r="AK34" s="506" t="s">
        <v>1055</v>
      </c>
      <c r="AL34" s="506" t="s">
        <v>1055</v>
      </c>
      <c r="AM34" s="506" t="s">
        <v>1055</v>
      </c>
      <c r="AN34" s="509" t="str">
        <f>_xlfn.UNICHAR(9681)</f>
        <v>◑</v>
      </c>
      <c r="AO34" s="506" t="s">
        <v>1055</v>
      </c>
      <c r="AP34" s="506" t="s">
        <v>1055</v>
      </c>
      <c r="AQ34" s="509" t="str">
        <f>_xlfn.UNICHAR(9681)</f>
        <v>◑</v>
      </c>
      <c r="AR34" s="506" t="s">
        <v>1055</v>
      </c>
      <c r="AS34" s="506" t="s">
        <v>1055</v>
      </c>
      <c r="AT34" s="506" t="s">
        <v>1055</v>
      </c>
      <c r="AU34" s="509" t="str">
        <f>_xlfn.UNICHAR(9681)</f>
        <v>◑</v>
      </c>
      <c r="AV34" s="506" t="s">
        <v>1055</v>
      </c>
      <c r="AW34" s="506" t="s">
        <v>1055</v>
      </c>
      <c r="AX34" s="532" t="s">
        <v>1220</v>
      </c>
    </row>
    <row r="35" spans="1:50" ht="30" x14ac:dyDescent="0.25">
      <c r="A35" s="727"/>
      <c r="B35" s="523" t="s">
        <v>1221</v>
      </c>
      <c r="C35" s="524" t="s">
        <v>1222</v>
      </c>
      <c r="D35" s="527" t="s">
        <v>1055</v>
      </c>
      <c r="E35" s="527" t="s">
        <v>1055</v>
      </c>
      <c r="F35" s="527" t="s">
        <v>1055</v>
      </c>
      <c r="G35" s="527" t="s">
        <v>1055</v>
      </c>
      <c r="H35" s="527" t="s">
        <v>1055</v>
      </c>
      <c r="I35" s="527" t="s">
        <v>1055</v>
      </c>
      <c r="J35" s="527" t="s">
        <v>1055</v>
      </c>
      <c r="K35" s="527" t="s">
        <v>1055</v>
      </c>
      <c r="L35" s="527" t="s">
        <v>1055</v>
      </c>
      <c r="M35" s="527" t="s">
        <v>1055</v>
      </c>
      <c r="N35" s="527" t="s">
        <v>1055</v>
      </c>
      <c r="O35" s="527" t="s">
        <v>1055</v>
      </c>
      <c r="P35" s="527" t="s">
        <v>1055</v>
      </c>
      <c r="Q35" s="527" t="s">
        <v>1055</v>
      </c>
      <c r="R35" s="527" t="s">
        <v>1055</v>
      </c>
      <c r="S35" s="527" t="s">
        <v>1055</v>
      </c>
      <c r="T35" s="527" t="s">
        <v>1055</v>
      </c>
      <c r="U35" s="527" t="s">
        <v>1055</v>
      </c>
      <c r="V35" s="506" t="s">
        <v>1055</v>
      </c>
      <c r="W35" s="506" t="s">
        <v>1055</v>
      </c>
      <c r="X35" s="527" t="s">
        <v>1055</v>
      </c>
      <c r="Y35" s="527" t="s">
        <v>1055</v>
      </c>
      <c r="Z35" s="527" t="s">
        <v>1055</v>
      </c>
      <c r="AA35" s="527" t="s">
        <v>1055</v>
      </c>
      <c r="AB35" s="527" t="s">
        <v>1055</v>
      </c>
      <c r="AC35" s="527" t="s">
        <v>1055</v>
      </c>
      <c r="AD35" s="530" t="s">
        <v>1055</v>
      </c>
      <c r="AE35" s="527" t="s">
        <v>1055</v>
      </c>
      <c r="AF35" s="527" t="s">
        <v>1055</v>
      </c>
      <c r="AG35" s="527" t="s">
        <v>1055</v>
      </c>
      <c r="AH35" s="527" t="s">
        <v>1055</v>
      </c>
      <c r="AI35" s="527" t="s">
        <v>1055</v>
      </c>
      <c r="AJ35" s="527" t="s">
        <v>1055</v>
      </c>
      <c r="AK35" s="527" t="s">
        <v>1055</v>
      </c>
      <c r="AL35" s="527" t="s">
        <v>1055</v>
      </c>
      <c r="AM35" s="527" t="s">
        <v>1055</v>
      </c>
      <c r="AN35" s="527" t="s">
        <v>1055</v>
      </c>
      <c r="AO35" s="527" t="s">
        <v>1055</v>
      </c>
      <c r="AP35" s="527" t="s">
        <v>1055</v>
      </c>
      <c r="AQ35" s="527" t="s">
        <v>1055</v>
      </c>
      <c r="AR35" s="527" t="s">
        <v>1055</v>
      </c>
      <c r="AS35" s="527" t="s">
        <v>1055</v>
      </c>
      <c r="AT35" s="527" t="s">
        <v>1055</v>
      </c>
      <c r="AU35" s="527" t="s">
        <v>1055</v>
      </c>
      <c r="AV35" s="527" t="s">
        <v>1055</v>
      </c>
      <c r="AW35" s="527" t="s">
        <v>1055</v>
      </c>
      <c r="AX35" s="521" t="s">
        <v>1223</v>
      </c>
    </row>
    <row r="36" spans="1:50" ht="24.75" thickBot="1" x14ac:dyDescent="0.3">
      <c r="A36" s="533" t="s">
        <v>1224</v>
      </c>
      <c r="B36" s="534">
        <v>10.199999999999999</v>
      </c>
      <c r="C36" s="524" t="s">
        <v>1090</v>
      </c>
      <c r="D36" s="535" t="s">
        <v>1055</v>
      </c>
      <c r="E36" s="535" t="s">
        <v>1055</v>
      </c>
      <c r="F36" s="535" t="s">
        <v>1055</v>
      </c>
      <c r="G36" s="535" t="s">
        <v>1055</v>
      </c>
      <c r="H36" s="535" t="s">
        <v>1055</v>
      </c>
      <c r="I36" s="535" t="s">
        <v>1055</v>
      </c>
      <c r="J36" s="535" t="s">
        <v>1055</v>
      </c>
      <c r="K36" s="535" t="s">
        <v>1055</v>
      </c>
      <c r="L36" s="535" t="s">
        <v>1055</v>
      </c>
      <c r="M36" s="535" t="s">
        <v>1055</v>
      </c>
      <c r="N36" s="535" t="s">
        <v>1055</v>
      </c>
      <c r="O36" s="535" t="s">
        <v>1055</v>
      </c>
      <c r="P36" s="535" t="s">
        <v>1055</v>
      </c>
      <c r="Q36" s="535" t="s">
        <v>1055</v>
      </c>
      <c r="R36" s="535" t="s">
        <v>1055</v>
      </c>
      <c r="S36" s="535" t="s">
        <v>1055</v>
      </c>
      <c r="T36" s="535" t="s">
        <v>1055</v>
      </c>
      <c r="U36" s="535" t="s">
        <v>1055</v>
      </c>
      <c r="V36" s="535" t="s">
        <v>1055</v>
      </c>
      <c r="W36" s="535" t="s">
        <v>1055</v>
      </c>
      <c r="X36" s="535" t="s">
        <v>1055</v>
      </c>
      <c r="Y36" s="535" t="s">
        <v>1055</v>
      </c>
      <c r="Z36" s="535" t="s">
        <v>1055</v>
      </c>
      <c r="AA36" s="535" t="s">
        <v>1055</v>
      </c>
      <c r="AB36" s="535" t="s">
        <v>1055</v>
      </c>
      <c r="AC36" s="535" t="s">
        <v>1055</v>
      </c>
      <c r="AD36" s="536" t="s">
        <v>1055</v>
      </c>
      <c r="AE36" s="535" t="s">
        <v>1055</v>
      </c>
      <c r="AF36" s="535" t="s">
        <v>1055</v>
      </c>
      <c r="AG36" s="535" t="s">
        <v>1055</v>
      </c>
      <c r="AH36" s="535" t="s">
        <v>1055</v>
      </c>
      <c r="AI36" s="535" t="s">
        <v>1055</v>
      </c>
      <c r="AJ36" s="535" t="s">
        <v>1055</v>
      </c>
      <c r="AK36" s="535" t="s">
        <v>1055</v>
      </c>
      <c r="AL36" s="535" t="s">
        <v>1055</v>
      </c>
      <c r="AM36" s="535" t="s">
        <v>1055</v>
      </c>
      <c r="AN36" s="535" t="s">
        <v>1055</v>
      </c>
      <c r="AO36" s="535" t="s">
        <v>1055</v>
      </c>
      <c r="AP36" s="535" t="s">
        <v>1055</v>
      </c>
      <c r="AQ36" s="535" t="s">
        <v>1055</v>
      </c>
      <c r="AR36" s="535" t="s">
        <v>1055</v>
      </c>
      <c r="AS36" s="535" t="s">
        <v>1055</v>
      </c>
      <c r="AT36" s="535" t="s">
        <v>1055</v>
      </c>
      <c r="AU36" s="535" t="s">
        <v>1055</v>
      </c>
      <c r="AV36" s="535" t="s">
        <v>1055</v>
      </c>
      <c r="AW36" s="535" t="s">
        <v>1055</v>
      </c>
      <c r="AX36" s="521"/>
    </row>
    <row r="37" spans="1:50" x14ac:dyDescent="0.25">
      <c r="A37" s="537" t="s">
        <v>1225</v>
      </c>
      <c r="B37" s="538"/>
      <c r="C37" s="538"/>
      <c r="D37" s="538"/>
      <c r="E37" s="538"/>
      <c r="F37" s="538"/>
      <c r="G37" s="538"/>
      <c r="H37" s="538"/>
      <c r="I37" s="538"/>
      <c r="J37" s="538"/>
      <c r="K37" s="538"/>
      <c r="L37" s="538"/>
      <c r="M37" s="538"/>
      <c r="N37" s="538"/>
      <c r="O37" s="538"/>
      <c r="P37" s="538"/>
      <c r="Q37" s="538"/>
      <c r="R37" s="538"/>
      <c r="S37" s="538"/>
      <c r="T37" s="538"/>
      <c r="U37" s="538"/>
      <c r="V37" s="538"/>
      <c r="W37" s="538"/>
      <c r="X37" s="538"/>
      <c r="Y37" s="538"/>
      <c r="Z37" s="538"/>
      <c r="AA37" s="538"/>
      <c r="AB37" s="538"/>
      <c r="AC37" s="538"/>
      <c r="AD37" s="538"/>
      <c r="AE37" s="538"/>
      <c r="AF37" s="538"/>
      <c r="AG37" s="538"/>
      <c r="AH37" s="538"/>
      <c r="AI37" s="538"/>
      <c r="AJ37" s="538"/>
      <c r="AK37" s="538"/>
      <c r="AL37" s="538"/>
      <c r="AM37" s="538"/>
      <c r="AN37" s="538"/>
      <c r="AO37" s="538"/>
      <c r="AP37" s="538"/>
      <c r="AQ37" s="538"/>
      <c r="AR37" s="538"/>
      <c r="AS37" s="538"/>
      <c r="AT37" s="538"/>
      <c r="AU37" s="538"/>
      <c r="AV37" s="538"/>
      <c r="AW37" s="538"/>
    </row>
    <row r="38" spans="1:50" x14ac:dyDescent="0.25">
      <c r="A38" t="s">
        <v>1226</v>
      </c>
      <c r="B38" s="538"/>
      <c r="C38" s="538"/>
      <c r="D38" s="538"/>
      <c r="E38" s="538"/>
      <c r="F38" s="538"/>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8"/>
      <c r="AH38" s="538"/>
      <c r="AI38" s="538"/>
      <c r="AJ38" s="538"/>
      <c r="AK38" s="538"/>
      <c r="AL38" s="538"/>
      <c r="AM38" s="538"/>
      <c r="AN38" s="538"/>
      <c r="AO38" s="538"/>
      <c r="AP38" s="538"/>
      <c r="AQ38" s="538"/>
      <c r="AR38" s="538"/>
      <c r="AS38" s="538"/>
      <c r="AT38" s="538"/>
      <c r="AU38" s="538"/>
      <c r="AV38" s="538"/>
      <c r="AW38" s="538"/>
    </row>
    <row r="39" spans="1:50" x14ac:dyDescent="0.25">
      <c r="A39" t="s">
        <v>1240</v>
      </c>
      <c r="B39" s="538"/>
      <c r="C39" s="538"/>
      <c r="D39" s="538"/>
      <c r="E39" s="538"/>
      <c r="F39" s="538"/>
      <c r="G39" s="538"/>
      <c r="H39" s="538"/>
      <c r="I39" s="538"/>
      <c r="J39" s="538"/>
      <c r="K39" s="538"/>
      <c r="L39" s="538"/>
      <c r="M39" s="538"/>
      <c r="N39" s="538"/>
      <c r="O39" s="538"/>
      <c r="P39" s="538"/>
      <c r="Q39" s="538"/>
      <c r="R39" s="538"/>
      <c r="S39" s="538"/>
      <c r="T39" s="538"/>
      <c r="U39" s="538"/>
      <c r="V39" s="538"/>
      <c r="W39" s="538"/>
      <c r="X39" s="538"/>
      <c r="Y39" s="538"/>
      <c r="Z39" s="538"/>
      <c r="AA39" s="538"/>
      <c r="AB39" s="538"/>
      <c r="AC39" s="538"/>
      <c r="AD39" s="538"/>
      <c r="AE39" s="538"/>
      <c r="AF39" s="538"/>
      <c r="AG39" s="538"/>
      <c r="AH39" s="538"/>
      <c r="AI39" s="538"/>
      <c r="AJ39" s="538"/>
      <c r="AK39" s="538"/>
      <c r="AL39" s="538"/>
      <c r="AM39" s="538"/>
      <c r="AN39" s="538"/>
      <c r="AO39" s="538"/>
      <c r="AP39" s="538"/>
      <c r="AQ39" s="538"/>
      <c r="AR39" s="538"/>
      <c r="AS39" s="538"/>
      <c r="AT39" s="538"/>
      <c r="AU39" s="538"/>
      <c r="AV39" s="538"/>
      <c r="AW39" s="538"/>
    </row>
    <row r="40" spans="1:50" x14ac:dyDescent="0.25">
      <c r="A40" s="539" t="s">
        <v>1227</v>
      </c>
      <c r="B40" s="538"/>
      <c r="C40" s="538"/>
      <c r="D40" s="538"/>
      <c r="E40" s="538"/>
      <c r="F40" s="538"/>
      <c r="G40" s="538"/>
      <c r="H40" s="538"/>
      <c r="I40" s="538"/>
      <c r="J40" s="538"/>
      <c r="K40" s="538"/>
      <c r="L40" s="538"/>
      <c r="M40" s="538"/>
      <c r="N40" s="538"/>
      <c r="O40" s="538"/>
      <c r="P40" s="538"/>
      <c r="Q40" s="538"/>
      <c r="R40" s="538"/>
      <c r="S40" s="538"/>
      <c r="T40" s="538"/>
      <c r="U40" s="538"/>
      <c r="V40" s="538"/>
      <c r="W40" s="538"/>
      <c r="X40" s="538"/>
      <c r="Y40" s="538"/>
      <c r="Z40" s="538"/>
      <c r="AA40" s="538"/>
      <c r="AB40" s="538"/>
      <c r="AC40" s="538"/>
      <c r="AD40" s="538"/>
      <c r="AE40" s="538"/>
      <c r="AF40" s="538"/>
      <c r="AG40" s="538"/>
      <c r="AH40" s="538"/>
      <c r="AI40" s="538"/>
      <c r="AJ40" s="538"/>
      <c r="AK40" s="538"/>
      <c r="AL40" s="538"/>
      <c r="AM40" s="538"/>
      <c r="AN40" s="538"/>
      <c r="AO40" s="538"/>
      <c r="AP40" s="538"/>
      <c r="AQ40" s="538"/>
      <c r="AR40" s="538"/>
      <c r="AS40" s="538"/>
      <c r="AT40" s="538"/>
      <c r="AU40" s="538"/>
      <c r="AV40" s="538"/>
      <c r="AW40" s="538"/>
    </row>
    <row r="41" spans="1:50" ht="16.5" customHeight="1" x14ac:dyDescent="0.25">
      <c r="A41" s="539" t="s">
        <v>1228</v>
      </c>
      <c r="B41" s="538"/>
      <c r="C41" s="538"/>
      <c r="D41" s="538"/>
      <c r="E41" s="538"/>
      <c r="F41" s="538"/>
      <c r="G41" s="538"/>
      <c r="H41" s="538"/>
      <c r="I41" s="538"/>
      <c r="J41" s="538"/>
      <c r="K41" s="538"/>
      <c r="L41" s="538"/>
      <c r="M41" s="538"/>
      <c r="N41" s="538"/>
      <c r="O41" s="538"/>
      <c r="P41" s="538"/>
      <c r="Q41" s="538"/>
      <c r="R41" s="538"/>
      <c r="S41" s="538"/>
      <c r="T41" s="538"/>
      <c r="U41" s="538"/>
      <c r="V41" s="538"/>
      <c r="W41" s="538"/>
      <c r="X41" s="538"/>
      <c r="Y41" s="538"/>
      <c r="Z41" s="538"/>
      <c r="AA41" s="538"/>
      <c r="AB41" s="538"/>
      <c r="AC41" s="538"/>
      <c r="AD41" s="538"/>
      <c r="AE41" s="538"/>
      <c r="AF41" s="538"/>
      <c r="AG41" s="538"/>
      <c r="AH41" s="538"/>
      <c r="AI41" s="538"/>
      <c r="AJ41" s="538"/>
      <c r="AK41" s="538"/>
      <c r="AL41" s="538"/>
      <c r="AM41" s="538"/>
      <c r="AN41" s="538"/>
      <c r="AO41" s="538"/>
      <c r="AP41" s="538"/>
      <c r="AQ41" s="538"/>
      <c r="AR41" s="538"/>
      <c r="AS41" s="538"/>
      <c r="AT41" s="538"/>
      <c r="AU41" s="538"/>
      <c r="AV41" s="538"/>
      <c r="AW41" s="538"/>
    </row>
  </sheetData>
  <mergeCells count="15">
    <mergeCell ref="AN4:AW4"/>
    <mergeCell ref="A30:A31"/>
    <mergeCell ref="A32:A35"/>
    <mergeCell ref="AX32:AX33"/>
    <mergeCell ref="A9:A16"/>
    <mergeCell ref="A17:A20"/>
    <mergeCell ref="A21:A22"/>
    <mergeCell ref="AX21:AX22"/>
    <mergeCell ref="A23:A27"/>
    <mergeCell ref="A28:A29"/>
    <mergeCell ref="A6:A7"/>
    <mergeCell ref="D4:U4"/>
    <mergeCell ref="V4:AC4"/>
    <mergeCell ref="AD4:AH4"/>
    <mergeCell ref="AI4:AM4"/>
  </mergeCells>
  <pageMargins left="0.23622047244094491" right="0.23622047244094491" top="0.74803149606299213" bottom="0.74803149606299213" header="0.31496062992125984" footer="0.31496062992125984"/>
  <pageSetup paperSize="9" scale="52" fitToWidth="6" fitToHeight="6" orientation="landscape" r:id="rId1"/>
  <headerFooter>
    <oddHeader>&amp;L&amp;G</oddHeader>
    <oddFooter>&amp;C&amp;P of &amp;N</oddFooter>
  </headerFooter>
  <colBreaks count="4" manualBreakCount="4">
    <brk id="12" max="38" man="1"/>
    <brk id="21" max="38" man="1"/>
    <brk id="29" max="38" man="1"/>
    <brk id="39" max="38" man="1"/>
  </colBreaks>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Cover page</vt:lpstr>
      <vt:lpstr>GRI</vt:lpstr>
      <vt:lpstr>GRI - Climate</vt:lpstr>
      <vt:lpstr>Water</vt:lpstr>
      <vt:lpstr>Health and safety</vt:lpstr>
      <vt:lpstr>Our people</vt:lpstr>
      <vt:lpstr>ICMM SERF</vt:lpstr>
      <vt:lpstr>ICMM PE - Cover note</vt:lpstr>
      <vt:lpstr>ICMM PE - Corporate assessment</vt:lpstr>
      <vt:lpstr>ICMM PE - Asset assessments</vt:lpstr>
      <vt:lpstr>'Cover page'!Print_Area</vt:lpstr>
      <vt:lpstr>GRI!Print_Area</vt:lpstr>
      <vt:lpstr>'GRI - Climate'!Print_Area</vt:lpstr>
      <vt:lpstr>'Health and safety'!Print_Area</vt:lpstr>
      <vt:lpstr>'ICMM PE - Asset assessments'!Print_Area</vt:lpstr>
      <vt:lpstr>'ICMM PE - Corporate assessment'!Print_Area</vt:lpstr>
      <vt:lpstr>'ICMM PE - Cover note'!Print_Area</vt:lpstr>
      <vt:lpstr>'Our people'!Print_Area</vt:lpstr>
      <vt:lpstr>Water!Print_Area</vt:lpstr>
      <vt:lpstr>GRI!Print_Titles</vt:lpstr>
      <vt:lpstr>'GRI - Climate'!Print_Titles</vt:lpstr>
      <vt:lpstr>'Health and safety'!Print_Titles</vt:lpstr>
      <vt:lpstr>'ICMM PE - Asset assessments'!Print_Titles</vt:lpstr>
      <vt:lpstr>'ICMM PE - Corporate assessment'!Print_Titles</vt:lpstr>
      <vt:lpstr>'ICMM SERF'!Print_Titles</vt:lpstr>
      <vt:lpstr>'Our people'!Print_Titles</vt:lpstr>
      <vt:lpstr>Water!Print_Titles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2024-05-15T06:27:34Z</dcterms:created>
  <dcterms:modified xsi:type="dcterms:W3CDTF">2024-05-16T15:36:16Z</dcterms:modified>
</cp:coreProperties>
</file>