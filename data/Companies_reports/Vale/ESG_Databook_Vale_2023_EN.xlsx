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13.xml" ContentType="application/vnd.ms-office.chartstyle+xml"/>
  <Override PartName="/xl/charts/colors13.xml" ContentType="application/vnd.ms-office.chartcolorstyle+xml"/>
  <Override PartName="/xl/charts/chart2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updateLinks="never" codeName="EstaPastaDeTrabalho" defaultThemeVersion="166925"/>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Vale/"/>
    </mc:Choice>
  </mc:AlternateContent>
  <xr:revisionPtr revIDLastSave="6679" documentId="8_{83E879C7-B08B-41A1-A3F8-3BDF8D91633F}" xr6:coauthVersionLast="47" xr6:coauthVersionMax="47" xr10:uidLastSave="{3C9EA311-CFBC-4E08-991F-C924235DBF25}"/>
  <workbookProtection workbookAlgorithmName="SHA-512" workbookHashValue="hzJNt0XTv9JtOJcnqnP1Ti0Q6+Tn2QmpY1Pqq0jJEuItojMUV6PB1vGcbk+wv/+vr11st8/hqwop0qybadGXCg==" workbookSaltValue="GPuopLkfgxw/BVyWygJMaw==" workbookSpinCount="100000" lockStructure="1"/>
  <bookViews>
    <workbookView xWindow="-108" yWindow="-108" windowWidth="23256" windowHeight="12456" tabRatio="919" activeTab="9" xr2:uid="{6B1367A6-3EAB-4D93-9772-68B898B82A29}"/>
  </bookViews>
  <sheets>
    <sheet name="Home" sheetId="85" r:id="rId1"/>
    <sheet name="References" sheetId="88" r:id="rId2"/>
    <sheet name="How to use" sheetId="84" r:id="rId3"/>
    <sheet name="Content" sheetId="82" r:id="rId4"/>
    <sheet name="Advances" sheetId="111" r:id="rId5"/>
    <sheet name="Material Topics" sheetId="110" r:id="rId6"/>
    <sheet name="Economic" sheetId="73" r:id="rId7"/>
    <sheet name="Economic Data" sheetId="103" r:id="rId8"/>
    <sheet name="Environmental" sheetId="76" r:id="rId9"/>
    <sheet name="Environmental Data" sheetId="104" r:id="rId10"/>
    <sheet name="Social" sheetId="78" r:id="rId11"/>
    <sheet name="Social Data" sheetId="102" r:id="rId12"/>
    <sheet name="Frameworks" sheetId="61" r:id="rId13"/>
    <sheet name="ICMM principles" sheetId="80" r:id="rId14"/>
    <sheet name="ICMM Report" sheetId="115" r:id="rId15"/>
    <sheet name="GRI index" sheetId="97" r:id="rId16"/>
    <sheet name="SASB index" sheetId="99" r:id="rId17"/>
    <sheet name="TCFD" sheetId="108" r:id="rId18"/>
    <sheet name="WEF" sheetId="106" r:id="rId19"/>
    <sheet name="ICMM Social &amp; Economic" sheetId="118" r:id="rId20"/>
    <sheet name="TNFD Index" sheetId="119" r:id="rId21"/>
    <sheet name="Responsible Sourcing" sheetId="117" r:id="rId22"/>
    <sheet name="Swiss Code" sheetId="120" r:id="rId23"/>
    <sheet name="Glossary | Preparation Base" sheetId="121" r:id="rId24"/>
  </sheets>
  <externalReferences>
    <externalReference r:id="rId25"/>
    <externalReference r:id="rId26"/>
  </externalReferences>
  <definedNames>
    <definedName name="_xlnm._FilterDatabase" localSheetId="23" hidden="1">'Glossary | Preparation Base'!$B$17:$H$123</definedName>
    <definedName name="_xlnm._FilterDatabase" localSheetId="14" hidden="1">'ICMM Report'!$B$25:$AJ$74</definedName>
    <definedName name="_xlnm._FilterDatabase" localSheetId="11" hidden="1">'Social Data'!#REF!</definedName>
    <definedName name="_xlnm._FilterDatabase" localSheetId="17" hidden="1">TCFD!#REF!</definedName>
    <definedName name="_xlnm._FilterDatabase" localSheetId="18" hidden="1">WEF!#REF!</definedName>
    <definedName name="ANO" localSheetId="4">[1]DashBoard!$B$6:$B$8578</definedName>
    <definedName name="ANO" localSheetId="14">[1]DashBoard!$B$6:$B$8578</definedName>
    <definedName name="ANO">[1]DashBoard!$B$6:$B$8578</definedName>
    <definedName name="cinco_anos" localSheetId="23">#REF!</definedName>
    <definedName name="cinco_anos" localSheetId="14">#REF!</definedName>
    <definedName name="cinco_anos" localSheetId="21">#REF!</definedName>
    <definedName name="cinco_anos">#REF!</definedName>
    <definedName name="dois_anos" localSheetId="23">#REF!</definedName>
    <definedName name="dois_anos" localSheetId="14">#REF!</definedName>
    <definedName name="dois_anos" localSheetId="21">#REF!</definedName>
    <definedName name="dois_anos">#REF!</definedName>
    <definedName name="FOB" localSheetId="4">[1]DashBoard!$E$6:$E$8578</definedName>
    <definedName name="FOB" localSheetId="14">[1]DashBoard!$E$6:$E$8578</definedName>
    <definedName name="FOB">[1]DashBoard!$E$6:$E$8578</definedName>
    <definedName name="List23497118" localSheetId="4">[2]Controle!$A$9:$B$9</definedName>
    <definedName name="List23497118" localSheetId="14">[2]Controle!$A$9:$B$9</definedName>
    <definedName name="List23497118">[2]Controle!$A$9:$B$9</definedName>
    <definedName name="List69662141" localSheetId="4">[2]Controle!$A$11:$C$11</definedName>
    <definedName name="List69662141" localSheetId="14">[2]Controle!$A$11:$C$11</definedName>
    <definedName name="List69662141">[2]Controle!$A$11:$C$11</definedName>
    <definedName name="List69687247" localSheetId="4">[2]Controle!$A$10:$C$10</definedName>
    <definedName name="List69687247" localSheetId="14">[2]Controle!$A$10:$C$10</definedName>
    <definedName name="List69687247">[2]Controle!$A$10:$C$10</definedName>
    <definedName name="mês" localSheetId="4">[1]DashBoard!$A$6:$A$8578</definedName>
    <definedName name="mês" localSheetId="14">[1]DashBoard!$A$6:$A$8578</definedName>
    <definedName name="mês">[1]DashBoard!$A$6:$A$8578</definedName>
    <definedName name="PRODUTO" localSheetId="4">[1]DashBoard!$D$6:$D$8578</definedName>
    <definedName name="PRODUTO" localSheetId="14">[1]DashBoard!$D$6:$D$8578</definedName>
    <definedName name="PRODUTO">[1]DashBoard!$D$6:$D$8578</definedName>
    <definedName name="um_ano" localSheetId="23">#REF!</definedName>
    <definedName name="um_ano" localSheetId="14">#REF!</definedName>
    <definedName name="um_ano" localSheetId="21">#REF!</definedName>
    <definedName name="um_ano">#REF!</definedName>
  </definedNames>
  <calcPr calcId="191028"/>
  <customWorkbookViews>
    <customWorkbookView name="Thales Rocha.ext - Modo de exibição pessoal" guid="{C67E8FD8-AD07-499A-9686-A39F278DC239}" mergeInterval="0" personalView="1" xWindow="959" windowWidth="961" windowHeight="1030" activeSheetId="11"/>
    <customWorkbookView name="Caroline Ferraz - Modo de exibição pessoal" guid="{EAA2DCA0-7A16-486C-BD93-915E3295A096}" mergeInterval="0" personalView="1" maximized="1" xWindow="2869" yWindow="-11" windowWidth="2071" windowHeight="1174"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104" l="1" a="1"/>
  <c r="B82" i="104" s="1"/>
  <c r="L293" i="103" l="1"/>
  <c r="K296" i="103"/>
  <c r="K297" i="103" s="1"/>
  <c r="J296" i="103"/>
  <c r="J297" i="103" s="1"/>
  <c r="I296" i="103"/>
  <c r="I297" i="103" s="1"/>
  <c r="H296" i="103"/>
  <c r="H297" i="103" s="1"/>
  <c r="G296" i="103"/>
  <c r="G297" i="103" s="1"/>
  <c r="F296" i="103"/>
  <c r="F297" i="103" s="1"/>
  <c r="E296" i="103"/>
  <c r="E297" i="103" s="1"/>
  <c r="D296" i="103"/>
  <c r="D297" i="103" s="1"/>
  <c r="C296" i="103"/>
  <c r="C297" i="103" s="1"/>
  <c r="L295" i="103"/>
  <c r="L294" i="103"/>
  <c r="L292" i="103"/>
  <c r="L291" i="103"/>
  <c r="L290" i="103"/>
  <c r="L289" i="103"/>
  <c r="L286" i="103"/>
  <c r="L287" i="103" s="1"/>
  <c r="L296" i="103" l="1"/>
  <c r="L297" i="103" s="1"/>
  <c r="B487" i="102" l="1" a="1"/>
  <c r="B487" i="102" s="1"/>
  <c r="B490" i="102" s="1"/>
  <c r="K506" i="102"/>
  <c r="J506" i="102"/>
  <c r="I506" i="102"/>
  <c r="H506" i="102"/>
  <c r="G506" i="102"/>
  <c r="F506" i="102"/>
  <c r="E506" i="102"/>
  <c r="D506" i="102"/>
  <c r="C506" i="102"/>
  <c r="F490" i="102" l="1"/>
  <c r="G490" i="102"/>
  <c r="E490" i="102"/>
  <c r="H490" i="102"/>
  <c r="C490" i="102"/>
  <c r="D490" i="102"/>
  <c r="G636" i="104"/>
  <c r="C768" i="102"/>
  <c r="E745" i="102"/>
  <c r="E743" i="102" l="1"/>
  <c r="E741" i="102"/>
  <c r="E744" i="102"/>
  <c r="E742" i="102"/>
  <c r="K313" i="103" l="1"/>
  <c r="K314" i="103" s="1"/>
  <c r="J313" i="103"/>
  <c r="J314" i="103" s="1"/>
  <c r="I313" i="103"/>
  <c r="I314" i="103" s="1"/>
  <c r="H313" i="103"/>
  <c r="H314" i="103" s="1"/>
  <c r="G313" i="103"/>
  <c r="G314" i="103" s="1"/>
  <c r="F313" i="103"/>
  <c r="F314" i="103" s="1"/>
  <c r="E313" i="103"/>
  <c r="E314" i="103" s="1"/>
  <c r="D313" i="103"/>
  <c r="D314" i="103" s="1"/>
  <c r="C313" i="103"/>
  <c r="C314" i="103" s="1"/>
  <c r="L312" i="103"/>
  <c r="L311" i="103"/>
  <c r="L310" i="103"/>
  <c r="L309" i="103"/>
  <c r="L308" i="103"/>
  <c r="L307" i="103"/>
  <c r="L306" i="103"/>
  <c r="K304" i="103"/>
  <c r="J304" i="103"/>
  <c r="H304" i="103"/>
  <c r="G304" i="103"/>
  <c r="F304" i="103"/>
  <c r="E304" i="103"/>
  <c r="D304" i="103"/>
  <c r="C304" i="103"/>
  <c r="L303" i="103"/>
  <c r="L304" i="103" l="1"/>
  <c r="L313" i="103"/>
  <c r="L314" i="103" s="1"/>
  <c r="I615" i="104" l="1"/>
  <c r="I616" i="104"/>
  <c r="I617" i="104"/>
  <c r="I618" i="104"/>
  <c r="I619" i="104"/>
  <c r="I623" i="104"/>
  <c r="I624" i="104"/>
  <c r="I625" i="104"/>
  <c r="I626" i="104"/>
  <c r="I627" i="104"/>
  <c r="G632" i="104"/>
  <c r="G633" i="104"/>
  <c r="G634" i="104"/>
  <c r="G635" i="104"/>
  <c r="G631" i="104"/>
  <c r="B86" i="104"/>
  <c r="J86" i="104" l="1"/>
  <c r="K86" i="104"/>
  <c r="I86" i="104"/>
  <c r="G86" i="104"/>
  <c r="E86" i="104"/>
  <c r="D86" i="104"/>
  <c r="F86" i="104"/>
  <c r="C86" i="104"/>
  <c r="H86" i="10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8C8AA0-A391-4D4F-B0FE-A7CB77E6C0FF}" keepAlive="1" name="Consulta - Ambiental - Power Query" description="Conexão com a consulta 'Ambiental - Power Query' na pasta de trabalho." type="5" refreshedVersion="7" background="1" saveData="1">
    <dbPr connection="Provider=Microsoft.Mashup.OleDb.1;Data Source=$Workbook$;Location=&quot;Ambiental - Power Query&quot;;Extended Properties=&quot;&quot;" command="SELECT * FROM [Ambiental - Power Query]"/>
  </connection>
  <connection id="2" xr16:uid="{6F6985D3-868D-4063-8374-ADE83A748B00}" keepAlive="1" name="Consulta - Econômico - Power Query" description="Conexão com a consulta 'Econômico - Power Query' na pasta de trabalho." type="5" refreshedVersion="7" background="1" saveData="1">
    <dbPr connection="Provider=Microsoft.Mashup.OleDb.1;Data Source=$Workbook$;Location=&quot;Econômico - Power Query&quot;;Extended Properties=&quot;&quot;" command="SELECT * FROM [Econômico - Power Query]"/>
  </connection>
  <connection id="3" xr16:uid="{7E5DFEB7-F69D-4423-9C0D-5B1F37C18AE7}" keepAlive="1" name="Consulta - Social - Power Query" description="Conexão com a consulta 'Social - Power Query' na pasta de trabalho." type="5" refreshedVersion="7" background="1" saveData="1">
    <dbPr connection="Provider=Microsoft.Mashup.OleDb.1;Data Source=$Workbook$;Location=&quot;Social - Power Query&quot;;Extended Properties=&quot;&quot;" command="SELECT * FROM [Social - Power Query]"/>
  </connection>
  <connection id="4" xr16:uid="{736620BE-B609-456A-92FD-41AB434D5BAC}" keepAlive="1" name="Consulta - Tabela1" description="Conexão com a consulta 'Tabela1' na pasta de trabalho." type="5" refreshedVersion="7" background="1" saveData="1">
    <dbPr connection="Provider=Microsoft.Mashup.OleDb.1;Data Source=$Workbook$;Location=Tabela1;Extended Properties=&quot;&quot;" command="SELECT * FROM [Tabela1]"/>
  </connection>
  <connection id="5" xr16:uid="{6472AB11-471F-49E1-9A68-2C38548BBF4B}" keepAlive="1" name="Consulta - Temas Materiais - Power Query" description="Conexão com a consulta 'Temas Materiais - Power Query' na pasta de trabalho." type="5" refreshedVersion="7" background="1" saveData="1">
    <dbPr connection="Provider=Microsoft.Mashup.OleDb.1;Data Source=$Workbook$;Location=&quot;Temas Materiais - Power Query&quot;;Extended Properties=&quot;&quot;" command="SELECT * FROM [Temas Materiais - Power 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<sst xmlns="http://schemas.openxmlformats.org/spreadsheetml/2006/main" count="6144" uniqueCount="2906">
  <si>
    <t>ESG Databook 2023</t>
  </si>
  <si>
    <t>Home</t>
  </si>
  <si>
    <t>References</t>
  </si>
  <si>
    <t>Documents</t>
  </si>
  <si>
    <t>Sustainability Report</t>
  </si>
  <si>
    <t>Download</t>
  </si>
  <si>
    <t>-</t>
  </si>
  <si>
    <t>Integrated Report</t>
  </si>
  <si>
    <t>Form 20F</t>
  </si>
  <si>
    <t>Tax Transparency Report</t>
  </si>
  <si>
    <t>Reference Form</t>
  </si>
  <si>
    <t>Forms of Ethics and Compliance</t>
  </si>
  <si>
    <t>Financial statements</t>
  </si>
  <si>
    <t>ESG Portal</t>
  </si>
  <si>
    <t>How to use this Databook</t>
  </si>
  <si>
    <t>Content</t>
  </si>
  <si>
    <t>Advances in Commitments</t>
  </si>
  <si>
    <t>Advances</t>
  </si>
  <si>
    <t>Material Topics</t>
  </si>
  <si>
    <t>Economic</t>
  </si>
  <si>
    <t>Economic Data</t>
  </si>
  <si>
    <t>Data</t>
  </si>
  <si>
    <t>Environmental</t>
  </si>
  <si>
    <t>Environmental Data</t>
  </si>
  <si>
    <t>Social</t>
  </si>
  <si>
    <t>Social Data</t>
  </si>
  <si>
    <t>Frameworks</t>
  </si>
  <si>
    <t>Index GRI (Global Reporting Initative)</t>
  </si>
  <si>
    <t>GRI Index</t>
  </si>
  <si>
    <t>Index SASB (Sustainability Accounting Standards Board)</t>
  </si>
  <si>
    <t>SASB Index</t>
  </si>
  <si>
    <t>Task Force on Climate-Related Financial Disclosures (TCFD)</t>
  </si>
  <si>
    <t>TCFD</t>
  </si>
  <si>
    <t>World Economic Forum (WEF)</t>
  </si>
  <si>
    <t>WEF</t>
  </si>
  <si>
    <t>Principles of International Council on Mining and Metals (ICMM)</t>
  </si>
  <si>
    <t>ICMM Principles</t>
  </si>
  <si>
    <t>ICMM Performance Expectations</t>
  </si>
  <si>
    <t>ICMM Report</t>
  </si>
  <si>
    <t>ICMM Social &amp; Economic</t>
  </si>
  <si>
    <t>TNFD Index</t>
  </si>
  <si>
    <t>Responsible Sourcing</t>
  </si>
  <si>
    <t>Swiss Code</t>
  </si>
  <si>
    <t>Preparation Base</t>
  </si>
  <si>
    <t>Advances in Public Commitments</t>
  </si>
  <si>
    <t>Goals for 2030</t>
  </si>
  <si>
    <t>2030 Commitment</t>
  </si>
  <si>
    <t>Related SDG</t>
  </si>
  <si>
    <t>Baseline</t>
  </si>
  <si>
    <t>Target</t>
  </si>
  <si>
    <t>Status until 2023
(cumulative result)</t>
  </si>
  <si>
    <t>Climate Change</t>
  </si>
  <si>
    <t>Reduce Scope 1 and 2 absolute greenhouse gas (GHG) emissions by 33% (based on 2017) by 2030. Achieve net zero scope 1 and 2 emissions by 2050.</t>
  </si>
  <si>
    <t>20.4% reduction²</t>
  </si>
  <si>
    <t>Reduce scope 3 net emissions by 15% by 2035.</t>
  </si>
  <si>
    <t>14.8 % reduction³</t>
  </si>
  <si>
    <t>Energy</t>
  </si>
  <si>
    <t>Baseline 2017:</t>
  </si>
  <si>
    <t>Global: 100% renewable electricity consumption by 2030.</t>
  </si>
  <si>
    <t>Global: the consumption of renewables was 79%.</t>
  </si>
  <si>
    <r>
      <t>88.5% consumption</t>
    </r>
    <r>
      <rPr>
        <vertAlign val="superscript"/>
        <sz val="9"/>
        <color rgb="FF555555"/>
        <rFont val="Arial"/>
        <family val="2"/>
      </rPr>
      <t>4</t>
    </r>
  </si>
  <si>
    <t>Brazil: consumption of renewables in Brazil was 83%.</t>
  </si>
  <si>
    <r>
      <t>Brazil: 100% renewable electricity consumption by 2025</t>
    </r>
    <r>
      <rPr>
        <vertAlign val="superscript"/>
        <sz val="9"/>
        <color rgb="FF555555"/>
        <rFont val="Arial"/>
        <family val="2"/>
      </rPr>
      <t>5.</t>
    </r>
  </si>
  <si>
    <t>100% renewable consumption, certified by renewable declarations</t>
  </si>
  <si>
    <r>
      <t xml:space="preserve">Global: the energy efficiency was 0.335 GJ/tFeEq </t>
    </r>
    <r>
      <rPr>
        <vertAlign val="superscript"/>
        <sz val="9"/>
        <color rgb="FF555555"/>
        <rFont val="Arial"/>
        <family val="2"/>
      </rPr>
      <t>6</t>
    </r>
  </si>
  <si>
    <t>Improve the global energy efficiency indicator by 5% by 2030.</t>
  </si>
  <si>
    <r>
      <t>0.351 GJ/tFeEq
(4.5% above baseline)</t>
    </r>
    <r>
      <rPr>
        <vertAlign val="superscript"/>
        <sz val="9"/>
        <color rgb="FF555555"/>
        <rFont val="Arial"/>
        <family val="2"/>
      </rPr>
      <t>7</t>
    </r>
  </si>
  <si>
    <t>Forests</t>
  </si>
  <si>
    <t>Baseline 2020</t>
  </si>
  <si>
    <t>Recover and protect over 500,000 ha of forest areas beyond company boundaries by 2030.</t>
  </si>
  <si>
    <t>177,705 ha (165,093 ha of protection and 12,612 ha of recovery)</t>
  </si>
  <si>
    <t>Evolution of ESG practices</t>
  </si>
  <si>
    <t>Baseline 2019</t>
  </si>
  <si>
    <t>Eliminate key ESG gaps in relation to best practices – 63 gaps mapped.</t>
  </si>
  <si>
    <t>Total of 57 gaps completed</t>
  </si>
  <si>
    <t>Social ambition</t>
  </si>
  <si>
    <t>Baseline 2021</t>
  </si>
  <si>
    <t>Rank in the TOP 3 in the social requirements of the major external indices and ratings</t>
  </si>
  <si>
    <t>We have improved in the ratings of the main external evaluations (MSCI, Sustainalytics and DJSI). See more in Index and Rating Evaluations.</t>
  </si>
  <si>
    <r>
      <t xml:space="preserve">Support the lifting of 500,000 people out of extreme poverty </t>
    </r>
    <r>
      <rPr>
        <vertAlign val="superscript"/>
        <sz val="9"/>
        <color rgb="FF555555"/>
        <rFont val="Arial"/>
        <family val="2"/>
      </rPr>
      <t>8</t>
    </r>
  </si>
  <si>
    <t>In 2023, we started the implementation of the first concept test projects, which accounted for the entry of 30 thousand people into the program.</t>
  </si>
  <si>
    <t>Support all indigenous communities neighboring Vale’s operations in the development and execution of their plans and their pursuit of rights under the United Nations Declaration on the Rights of Indigenous Peoples.</t>
  </si>
  <si>
    <t>Support to the Kayapó People in the elaboration of their Consultation Protocol (in progress); training on the Rights of the Indigenous Peoples of Brazil for the Guajajara Peoples, of the Caru Indigenous Land, and the Ka'apor, of the Alto Turiaçu Indigenous Land.</t>
  </si>
  <si>
    <t>Atmospheric emissions</t>
  </si>
  <si>
    <t>Baseline 2018:</t>
  </si>
  <si>
    <t>Reduce Particulate Matter emissions by 16%</t>
  </si>
  <si>
    <r>
      <t>Compared to the base year of 2018, there was a reduction</t>
    </r>
    <r>
      <rPr>
        <vertAlign val="superscript"/>
        <sz val="9"/>
        <color rgb="FF555555"/>
        <rFont val="Arial"/>
        <family val="2"/>
      </rPr>
      <t>9</t>
    </r>
    <r>
      <rPr>
        <sz val="9"/>
        <color rgb="FF555555"/>
        <rFont val="Arial"/>
        <family val="2"/>
      </rPr>
      <t xml:space="preserve"> of approximately 10% in the amount of particulate matter emitted in 2023.</t>
    </r>
  </si>
  <si>
    <t>Particulate matter: 7.4 Mt</t>
  </si>
  <si>
    <t>Sulphur Oxides: 147.4 Mt</t>
  </si>
  <si>
    <t>Reduce Sulphur Oxide emissions by 16%</t>
  </si>
  <si>
    <r>
      <t>Compared to the base year of 2018, there was a significant reduction</t>
    </r>
    <r>
      <rPr>
        <vertAlign val="superscript"/>
        <sz val="9"/>
        <color rgb="FF555555"/>
        <rFont val="Arial"/>
        <family val="2"/>
      </rPr>
      <t>9</t>
    </r>
    <r>
      <rPr>
        <sz val="9"/>
        <color rgb="FF555555"/>
        <rFont val="Arial"/>
        <family val="2"/>
      </rPr>
      <t xml:space="preserve"> of around 45% in the emission of sulphur oxides in 2023.</t>
    </r>
  </si>
  <si>
    <t>Nitrogen Oxides: 74.1 Mt</t>
  </si>
  <si>
    <t>Reduce Nitrogen Oxides by 10%</t>
  </si>
  <si>
    <r>
      <t>Compared to the base year of 2018, there was a reduction</t>
    </r>
    <r>
      <rPr>
        <vertAlign val="superscript"/>
        <sz val="9"/>
        <color rgb="FF555555"/>
        <rFont val="Arial"/>
        <family val="2"/>
      </rPr>
      <t>9</t>
    </r>
    <r>
      <rPr>
        <sz val="9"/>
        <color rgb="FF555555"/>
        <rFont val="Arial"/>
        <family val="2"/>
      </rPr>
      <t xml:space="preserve"> of approximately 33% in the emission of nitrogen oxides in 2023.</t>
    </r>
  </si>
  <si>
    <t>Other commitments Vale</t>
  </si>
  <si>
    <t>Vale Commitment</t>
  </si>
  <si>
    <t>Status until 2022
(cumulative result)</t>
  </si>
  <si>
    <t>Diversity, equity and inclusion (DEI)</t>
  </si>
  <si>
    <t>Baseline 2019:
Women in the workforce: 13%</t>
  </si>
  <si>
    <t>Increase the presence of women in the workforce to 26% by 2025.</t>
  </si>
  <si>
    <t>24.38% of women.</t>
  </si>
  <si>
    <t>Baseline 2019:
Women in senior leadership: 12%</t>
  </si>
  <si>
    <t>Increase the presence of women in senior leadership (executive manager positions and above) to 26% by 2025.</t>
  </si>
  <si>
    <t>24.44% of women.</t>
  </si>
  <si>
    <t>Baseline 2021:
Black leadership</t>
  </si>
  <si>
    <t>Reach 40% of the leadership in Brazil made up of black people by 2026.</t>
  </si>
  <si>
    <t>34.92% of the leadership in Brazil is made up of self-declared black people</t>
  </si>
  <si>
    <t>Health and safety</t>
  </si>
  <si>
    <t>Baseline 2019:
55 recorded N2 events</t>
  </si>
  <si>
    <t>Reduce to zero the number of recordable high-potential (N2) injuries by 2025.</t>
  </si>
  <si>
    <t>In 2023, 19 high-potential lesions (N2) were recorded, a reduction of 64% compared to 2019.</t>
  </si>
  <si>
    <t>Baseline 2019:
23 thousand registered exposures</t>
  </si>
  <si>
    <t>Reduce the number of exposures to harmful health agents in the workplace by 2025</t>
  </si>
  <si>
    <t>For the year 2023, 10.7 thousand exhibitions were registered. Reduction of 53% compared to 2019.</t>
  </si>
  <si>
    <t>Dams</t>
  </si>
  <si>
    <r>
      <t>No tailings dams in critical safety condition (emergency level 310</t>
    </r>
    <r>
      <rPr>
        <vertAlign val="superscript"/>
        <sz val="9"/>
        <color rgb="FF555555"/>
        <rFont val="Arial"/>
        <family val="2"/>
      </rPr>
      <t>10</t>
    </r>
    <r>
      <rPr>
        <sz val="9"/>
        <color rgb="FF555555"/>
        <rFont val="Arial"/>
        <family val="2"/>
      </rPr>
      <t xml:space="preserve">) by 2025. </t>
    </r>
  </si>
  <si>
    <t>In 2019, there were 4 structures at emergency level 3. To date, there are still 2 structures (South Upper and Forquilha)</t>
  </si>
  <si>
    <t>Implementation of the GISTM in operations:
90% conformance in 2022; 
100% conformance for tailings storage structures of ‘extreme’ or very ‘high consequence’ by 2023; and 100% conformance for other structures in 2025.</t>
  </si>
  <si>
    <r>
      <t>As per public commitment, GISTM has been implemented for 48 EARs</t>
    </r>
    <r>
      <rPr>
        <vertAlign val="superscript"/>
        <sz val="9"/>
        <color rgb="FF555555"/>
        <rFont val="Arial"/>
        <family val="2"/>
      </rPr>
      <t>11</t>
    </r>
    <r>
      <rPr>
        <sz val="9"/>
        <color rgb="FF555555"/>
        <rFont val="Arial"/>
        <family val="2"/>
      </rPr>
      <t xml:space="preserve"> of "Very High" or "Extreme" consequence classification in 2023.GISTM will be implemented for 2 more EARs by 2025, completing 100% of tailings facilities in compliance with the Standard.</t>
    </r>
  </si>
  <si>
    <t>Notas:</t>
  </si>
  <si>
    <r>
      <t>Decharacterize</t>
    </r>
    <r>
      <rPr>
        <vertAlign val="superscript"/>
        <sz val="9"/>
        <color rgb="FF555555"/>
        <rFont val="Arial"/>
        <family val="2"/>
      </rPr>
      <t>12</t>
    </r>
    <r>
      <rPr>
        <sz val="9"/>
        <color rgb="FF555555"/>
        <rFont val="Arial"/>
        <family val="2"/>
      </rPr>
      <t xml:space="preserve"> all dams built in the upstream heightening method by 2035, in Brazil.</t>
    </r>
  </si>
  <si>
    <t>43% of structures have been decharacterized since 2019.</t>
  </si>
  <si>
    <t>Form of Management</t>
  </si>
  <si>
    <t>GRI G4 MM3</t>
  </si>
  <si>
    <t>Total amount of overburden, tailings and sludge and their associated risks</t>
  </si>
  <si>
    <t>Environmental data</t>
  </si>
  <si>
    <t>SASB EM-MM-150a.5</t>
  </si>
  <si>
    <t>Total weight of waste produced</t>
  </si>
  <si>
    <t>SASB EM-MM-150a.6</t>
  </si>
  <si>
    <t>Total weight of sterile generated</t>
  </si>
  <si>
    <t>SASB EM-MM-150a.7</t>
  </si>
  <si>
    <t>Total weight of hazardous waste generated</t>
  </si>
  <si>
    <t>SASB EM-MM-150a.8</t>
  </si>
  <si>
    <t>Total weight of recycled hazardous waste</t>
  </si>
  <si>
    <t>SASB EM-MM-150a.9</t>
  </si>
  <si>
    <t>Number of significant incidents associated with hazardous materials and waste management</t>
  </si>
  <si>
    <t>SASB EM-MM-150a.10</t>
  </si>
  <si>
    <t>Description of waste and hazardous materials management policies and procedures for active and inactive operations</t>
  </si>
  <si>
    <t>SASB EM-MM-540a.1</t>
  </si>
  <si>
    <t>Tailings storage facility inventory table: (1) facility name, (2) location, (3) ownership status, (4) operational status, (5) construction method, (6) maximum allowable storage capacity , (7) current amount of tailings stored, (8) consequence ranking, (9) date of most recent independent technical review, (10) material findings, (11) mitigation measures, (12) site-specific EPRP</t>
  </si>
  <si>
    <t>SASB EM-MM-540a.2</t>
  </si>
  <si>
    <t>Summary of tailings management systems and governance structure used to monitor and maintain the stability of tailings storage facilities</t>
  </si>
  <si>
    <t>SASB EM-MM-540a.3</t>
  </si>
  <si>
    <t>Approach to the development of Emergency Preparedness and Response Plans (EPRPs) for tailings storage facilities</t>
  </si>
  <si>
    <t/>
  </si>
  <si>
    <t>Biodiversity</t>
  </si>
  <si>
    <r>
      <rPr>
        <b/>
        <sz val="9"/>
        <color rgb="FF555555"/>
        <rFont val="Arial"/>
        <family val="2"/>
      </rPr>
      <t>Impacts</t>
    </r>
    <r>
      <rPr>
        <sz val="9"/>
        <color rgb="FF555555"/>
        <rFont val="Arial"/>
        <family val="2"/>
      </rPr>
      <t xml:space="preserve">
Biodiversity is a transversal theme when it comes to nature. We mapped our impacts by assessing the interface of our operations with areas of high biodiversity value. This assessment supports the prioritization of our actions, focusing on managing impacts and risks, as well as mapping opportunities. 
From the point of view of the recovery process, the most relevant impacts of the projects are the negative ones on the physical and biotic environment.
Regarding the physical environment, most of the potential impacts can be minimized through physical (geotechnical) and chemical stabilization and revegetation (surface protection) of structures typical of open-pit mining, such as pits, sterile and/or tailings piles and dams, as well as other support and logistical structures, such as cuts, landfills, borrow areas, surplus material disposal areas, among others.
In relation to the biotic environment, potential impacts that cannot be avoided must first be minimized, such as, for example, by making use of plans or programs for handing and/or rescuing the flora, which are carried out before the suppression activities of vegetation, and recovery of degraded areas, with the objective of rehabilitating them in the short and medium term,  but creating environmentally appropriated conditions to restore them in the long term. 
Thus, once the possibilities of mitigation measures have been exhausted, residual impacts must be the subject of a restoration plan or program, with the aim of compensating for losses and, whenever possible, promoting biodiversity gains in the territories, in line with the greater objective of neutralizing negative impacts.
With that in mind, both plans or programs for the management and/or recovery of flora, as well as those for the recovery of degraded areas (stabilization and revegetation of structures) and those for restoration as a compensatory measure, have as their main focus the plant species of importance for conservation, such as endemic, rare, endangered, for traditional use or for economic and scientific interest, for example.
Main risks: Impacts on areas of high relevance to biodiversity.
Main opportunities: Intensify our contribution to the Amazon biome, Investment in research and conservation of Biodiversity, Development of impact businesses for the recovery of biomes, Development of new technologies that support the prevention of fires and other risks.
</t>
    </r>
    <r>
      <rPr>
        <b/>
        <sz val="9"/>
        <color rgb="FF555555"/>
        <rFont val="Arial"/>
        <family val="2"/>
      </rPr>
      <t xml:space="preserve">Involvement
</t>
    </r>
    <r>
      <rPr>
        <sz val="9"/>
        <color rgb="FF555555"/>
        <rFont val="Arial"/>
        <family val="2"/>
      </rPr>
      <t xml:space="preserve">The impact of Vale on biodiversity is directly linked to its operations.
</t>
    </r>
    <r>
      <rPr>
        <b/>
        <sz val="9"/>
        <color rgb="FF555555"/>
        <rFont val="Arial"/>
        <family val="2"/>
      </rPr>
      <t xml:space="preserve">Policies &amp; Commitments
</t>
    </r>
    <r>
      <rPr>
        <sz val="9"/>
        <color rgb="FF555555"/>
        <rFont val="Arial"/>
        <family val="2"/>
      </rPr>
      <t xml:space="preserve">In 2019, Vale launched its 2030 agenda, which brings goals related to reducing pressures on nature, reducing our emissions and capturing new water, as well as the search for positive results beyond impact management. 
Among them are the Forest Goal – to recover and protect 500,000 hectares beyond our walls, and the Water Goal – to achieve a further 7% reduction in our specific water use, both by 2030. These are voluntary commitments, which go beyond our legal obligations and our borders, seeking to bring together economic development with environmental protection and well-being to the communities where we operate.
We are committed to preventing and neutralizing significant impacts in our new projects and expansions located in areas of high biodiversity value, seeking to avoid net losses and, whenever possible, generating positive impacts. Vale adheres to the Sustainable Mining Principles of the International Council on Mining and Metals (ICMM), including principle 7 and its performance expectations focused on biodiversity conservation, and the Brazilian Business Commitment to Biodiversity of the Brazilian Business Council for Sustainability Development (CEBDS).
We have publicly consolidated the decision not to operate in UNESCO World Natural Heritage Sites. This commitment is a guideline of our internal regulations on Guidelines and Processes for Biodiversity Management. It is important to highlight that we have no projects or operations in these areas, and we help protect an important site – Reservas da Costa do Descobrimento da Mata Atlântica – comprising the Vale Natural Reserve (RNV) and the Sooretama Biological Reserve (ReBio Sooretama).
</t>
    </r>
    <r>
      <rPr>
        <b/>
        <sz val="9"/>
        <color rgb="FF555555"/>
        <rFont val="Arial"/>
        <family val="2"/>
      </rPr>
      <t>Steps taken to manage the theme</t>
    </r>
    <r>
      <rPr>
        <sz val="9"/>
        <color rgb="FF555555"/>
        <rFont val="Arial"/>
        <family val="2"/>
      </rPr>
      <t xml:space="preserve">
Scientific research and knowledge are essential pillars for our impact management, supporting decisions and underpinning our mitigation, recovery and compensation strategy. To this end, partnerships are developed with research institutions and technical experts, as well as investments in the Vale Institute of Technology as a great catalyst for scientific knowledge in the Amazon, and in the Vale Nature Reserve, as a center for conservation and knowledge of the Atlantic Forest.
At Vale, the recovery of degraded areas (RAD) is integrated into its approach to biodiversity, which aims to neutralize its impacts, covering all phases of the project's life cycle, from prospecting, through implementation, operation and to its closure. Since the potential impacts of projects cannot be avoided, the area recovery process can be among the most important measures to minimize, restore and compensate the impacts. 
As a minimization measure, the recovery process should be directed to the areas impacted by the projects, characterized as degraded, with a view to mitigating the impacts on the physical environment in the short and medium term, mainly, without losing sight of the possibility of restoring these areas in the long term.
As a restoration measure, the recovery process aims to facilitate or accelerate, either passively or assisted, the natural process of ecological succession and, consequently, the increase of biological diversity over the altered areas resulting from the direct and indirect impacts of the projects. 
Finally, the recovery process can also be used to compensate the residual impacts of projects on biodiversity and ecosystem services, especially when promoting the restoration of areas frequently altered by third parties in the territories where they are located, which, otherwise, would not be recovered. Find out more on the ESG Portal on the "Biodiversity" page.
</t>
    </r>
    <r>
      <rPr>
        <b/>
        <sz val="9"/>
        <color rgb="FF555555"/>
        <rFont val="Arial"/>
        <family val="2"/>
      </rPr>
      <t xml:space="preserve">
Effectiveness Tracking
</t>
    </r>
    <r>
      <rPr>
        <sz val="9"/>
        <color rgb="FF555555"/>
        <rFont val="Arial"/>
        <family val="2"/>
      </rPr>
      <t xml:space="preserve">Plans or programs for the recovery of degraded areas at Vale are designed and executed based on compliance with all legal requirements associated with or related to the topic, and in accordance with the technical solution required by the competent environmental agencies.
In addition, the main objective of the recovery plans or programs is to reestablish, as far as possible, the integrity of the areas observed before the impacts, based on the principle of seeking an environmental condition "equal-for-equal or better" than that prior to degradation, obviously considering, in this process, the physical, chemical and biological limitations of the impacted environments.
In this sense, plans or programs are designed with a view to incorporating ecological, aesthetic-landscape and socio-cultural values of the regions where the projects are inserted in the recovery process or in accordance with what is foreseen in the mine closure plan with regard to future use. Also, from the perspective of the ecosystem services, the search for equivalence of habitats and/or resources is contemplated in the plans or programs, especially in the context of restoration as a compensatory measure.
</t>
    </r>
    <r>
      <rPr>
        <b/>
        <sz val="9"/>
        <color rgb="FF555555"/>
        <rFont val="Arial"/>
        <family val="2"/>
      </rPr>
      <t xml:space="preserve">RAD research and development </t>
    </r>
    <r>
      <rPr>
        <sz val="9"/>
        <color rgb="FF555555"/>
        <rFont val="Arial"/>
        <family val="2"/>
      </rPr>
      <t xml:space="preserve">
The recovery of degraded areas requires the integrated action of several disciplines (botany, soils, fertility, ecology, etc.) and in different sets according to the particularities of the environmental of the sites to be treated. As it is a relatively recent area of organized knowledge, over 40 years in the Brazilian context, RAD constitutes a fertile ground for improvements, ranging from the improvement of tools for manual tasks to molecular genetics.
Seeking to improve RAD in mining processes, Vale has been developing R&amp;D projects on this topic since 2012, through partnerships with universities and other research institutions and, more recently, through direct initiatives developed by the Vale Technological Institute for Sustainable Development (ITV DS). The main lines of research stand out:
- Monitoring the environment recovery processes;
- Ecology of native plant species of rupestrian fields;
- Selection of native species for use in the revegetation of mining structures;
- No-till of native forest and herbaceous species;
- Revegetation of residual surfaces (pits and piles);
- Mechanization of planting on cutting slopes.</t>
    </r>
  </si>
  <si>
    <t>GRI 304-1</t>
  </si>
  <si>
    <t>Owned, leased or managed operating units within or adjacent to environmental protected areas and areas of high biodiversity value located outside environmental protected areas</t>
  </si>
  <si>
    <t>GRI 304-2</t>
  </si>
  <si>
    <t>Significant impacts of activities, products and services on biodiversity</t>
  </si>
  <si>
    <t>GRI 304-3</t>
  </si>
  <si>
    <t>Habitats protected or restored</t>
  </si>
  <si>
    <t>GRI 304-4</t>
  </si>
  <si>
    <t>IUCN Red List species and national conservation list species with habitats in areas affected by operations</t>
  </si>
  <si>
    <t>GRI G4 MM1</t>
  </si>
  <si>
    <t>Amount of land (owned or leased, used for productive or extractive activities) altered or rehabilitated</t>
  </si>
  <si>
    <t>GRI G4 MM2</t>
  </si>
  <si>
    <t>Number and percentage of operational units that need biodiversity management plans according to established criteria and number (percentage) of these units with plans in force</t>
  </si>
  <si>
    <t>SASB EM-MM-160a.1</t>
  </si>
  <si>
    <t>Description of environmental management policies and practices for active sites</t>
  </si>
  <si>
    <t>SASB EM-MM-160a.2</t>
  </si>
  <si>
    <t>Percentage of mine sites where acid rock drainage is present: (1) predicted to occur, (2) actively mitigated, and (3) under treatment or remediation</t>
  </si>
  <si>
    <t>SASB EM-MM-160a.3</t>
  </si>
  <si>
    <t>Percentage of (1) proven reserves and (2) probable reserves in or near sites with protected conservation status or threatened species habitat</t>
  </si>
  <si>
    <t>Eco-Efficiency</t>
  </si>
  <si>
    <t>GRI 303-1</t>
  </si>
  <si>
    <t>Interactions with water as a shared resource</t>
  </si>
  <si>
    <t>GRI 303-2</t>
  </si>
  <si>
    <t>Management of water discharge-related impacts</t>
  </si>
  <si>
    <t>GRI 303-3</t>
  </si>
  <si>
    <t>Water withdrawl</t>
  </si>
  <si>
    <t>GRI 303-4</t>
  </si>
  <si>
    <t>Water discharge</t>
  </si>
  <si>
    <t>GRI 303-5</t>
  </si>
  <si>
    <t>Water consumption</t>
  </si>
  <si>
    <t>GRI 305-6</t>
  </si>
  <si>
    <t>Emissions of ozone-depleting substances (ODS)</t>
  </si>
  <si>
    <t>GRI 305-7</t>
  </si>
  <si>
    <t>Nitrogen oxides (NOx), sulfur oxides (SOx), and other significant air emissions</t>
  </si>
  <si>
    <t>SASB EM-MM-120a.1</t>
  </si>
  <si>
    <t>Atmospheric emissions of the following pollutants: (1) CO, (2) NOx (excluding N2O), (3) SOx, (4) particulate matter (PM10), (5) mercury (Hg), (6) lead (Pb), and (7) volatile organic compounds (VOCs)</t>
  </si>
  <si>
    <t>SASB EM-MM-140a.1</t>
  </si>
  <si>
    <t>(1) Total water withdrawn, (2) Total water consumed, percentage of each in regions with High or Extremely High Baseline Water Stress</t>
  </si>
  <si>
    <t>SASB EM-MM-140a.2</t>
  </si>
  <si>
    <t>Number of incidents of non-compliance associated with water quality licenses, standards and regulations</t>
  </si>
  <si>
    <t>Mine closure and future use</t>
  </si>
  <si>
    <t>GRI G4 MM10</t>
  </si>
  <si>
    <t>Number and percentage of operations with plans to close activities.</t>
  </si>
  <si>
    <r>
      <rPr>
        <b/>
        <sz val="9"/>
        <color rgb="FF555555"/>
        <rFont val="Arial"/>
        <family val="2"/>
      </rPr>
      <t>Impacts</t>
    </r>
    <r>
      <rPr>
        <sz val="9"/>
        <color rgb="FF555555"/>
        <rFont val="Arial"/>
        <family val="2"/>
      </rPr>
      <t xml:space="preserve">
Climate change, as pointed out in the Global Risks Report of the World Economic Forum for almost a decade ago, is among the main global risks to people and supply chains worldwide. This reality is also reflected in the concern of stakeholders and in Vale’s materiality. In this sense, it is our priority to promote low-carbon mining, which contributes to the entire value chain, making our business resilient to the effects of climate change and allowing us to contribute to the fair transition in the world. 
Main risks: Transition risks: changes in the pattern of demands, changes in public policies on emissions restrictions (including carbon taxation) and reputational risk, among others; Physical risks: average temperature increase, extreme weather and sea conditions.
Main opportunities: Development of decarbonization solutions; Use of proprietary technology to offer more premium products; Increased participation of renewable sources in the energy matrix, including electricity and fuels; Indicators and requirements for engagement with customers and suppliers.
</t>
    </r>
    <r>
      <rPr>
        <b/>
        <sz val="9"/>
        <color rgb="FF555555"/>
        <rFont val="Arial"/>
        <family val="2"/>
      </rPr>
      <t>Involvement</t>
    </r>
    <r>
      <rPr>
        <sz val="9"/>
        <color rgb="FF555555"/>
        <rFont val="Arial"/>
        <family val="2"/>
      </rPr>
      <t xml:space="preserve">
Vale's impact on climate change is directly linked to its operations and business relationships.
</t>
    </r>
    <r>
      <rPr>
        <b/>
        <sz val="9"/>
        <color rgb="FF555555"/>
        <rFont val="Arial"/>
        <family val="2"/>
      </rPr>
      <t xml:space="preserve">Policies &amp; Commitments
</t>
    </r>
    <r>
      <rPr>
        <sz val="9"/>
        <color rgb="FF555555"/>
        <rFont val="Arial"/>
        <family val="2"/>
      </rPr>
      <t xml:space="preserve">To lead the decarbonization agenda and supported by its global climate change policy, Vale has, since 2019, a periodic forum composed of members of the executive committee and senior leadership, in addition to linking emission reduction targets to its variable remuneration.  In 2017, we aligned with the guidelines of the Task Force on Climate Change-Related Financial Disclosures (TCFD), aiming to manage the impacts arising from the transition to a low-carbon economy, as well as the physical impacts of climate change on our operations, in addition to participating in the main existing assessments. In 2023, for the fourth consecutive year, we received an A- rating in the CDP Climate Change assessment, a score above the mining industry average. CDP updated the scoring methodology and added new questions to the document, which made the assessment more rigorous when compared to previous years.
We publish the climate change strategy and its progress, including the decarbonization roadmap, which is updated annually. This information can be found in the CDP Climate, ESG Portal and in the Climate Change Report.
</t>
    </r>
    <r>
      <rPr>
        <b/>
        <sz val="9"/>
        <color rgb="FF555555"/>
        <rFont val="Arial"/>
        <family val="2"/>
      </rPr>
      <t xml:space="preserve">Steps taken to manage the theme
</t>
    </r>
    <r>
      <rPr>
        <sz val="9"/>
        <color rgb="FF555555"/>
        <rFont val="Arial"/>
        <family val="2"/>
      </rPr>
      <t xml:space="preserve">Our main decarbonization program, PowerShift, aims to make the company's energy matrix cleaner, with renewable energy and alternative fuels and greater efficiency of operations using new technologies.
To maximize its impact, PowerShift partners with technology experts, research centers, vendors, and other companies in the industry. This is the case of the Charge On Innovation Challenge initiative, promoted by Vale, BHP and Rio Tinto to encourage the development of innovative technologies aimed at decarbonizing the mineral sector. More information about this topic is available in the Vale Integrated Report, on the ESG Portal on the “Climate” page and in the Climate Change Report.
</t>
    </r>
    <r>
      <rPr>
        <b/>
        <sz val="9"/>
        <color rgb="FF555555"/>
        <rFont val="Arial"/>
        <family val="2"/>
      </rPr>
      <t>Effectiveness Tracking</t>
    </r>
    <r>
      <rPr>
        <sz val="9"/>
        <color rgb="FF555555"/>
        <rFont val="Arial"/>
        <family val="2"/>
      </rPr>
      <t xml:space="preserve">
See more in the Vale Integrated Report, on the ESG Portal on the "Climate" page and in the Climate Change Report.</t>
    </r>
  </si>
  <si>
    <t>GRI 201-2</t>
  </si>
  <si>
    <t>Financial implications and other risks and opportunities due to climate change</t>
  </si>
  <si>
    <t>GRI 302-1</t>
  </si>
  <si>
    <t>Energy consumption within the organization</t>
  </si>
  <si>
    <t>GRI 302-2</t>
  </si>
  <si>
    <t>Energy consumption outside the organization</t>
  </si>
  <si>
    <t>GRI 302-3</t>
  </si>
  <si>
    <t>Energy intensity</t>
  </si>
  <si>
    <t>GRI 302-4</t>
  </si>
  <si>
    <t>Reduction of energy consumption</t>
  </si>
  <si>
    <t>GRI 305-1</t>
  </si>
  <si>
    <t>Direct (Scope 1) GHG emissions</t>
  </si>
  <si>
    <t>GRI 305-2</t>
  </si>
  <si>
    <t>Energy indirect (Scope 2) GHG emissions</t>
  </si>
  <si>
    <t>GRI 305-3</t>
  </si>
  <si>
    <t>Other indirect (Scope 3) GHG emissions</t>
  </si>
  <si>
    <t>GRI 305-4</t>
  </si>
  <si>
    <t>GHG emissions intensity</t>
  </si>
  <si>
    <t>GRI 305-5</t>
  </si>
  <si>
    <t>Reduction of greenhouse gas (GHG) emissions</t>
  </si>
  <si>
    <t>SASB EM-MM-110a.1</t>
  </si>
  <si>
    <t>Scope 1 gross global emissions, percentage covered by emission limitation regulations</t>
  </si>
  <si>
    <t>SASB EM-MM-110a.2</t>
  </si>
  <si>
    <t>Discussion of the long-term and short-term strategy or plan to manage Scope 1 emissions, emissions reduction targets and a review of performance against these targets</t>
  </si>
  <si>
    <t>SASB EM-MM-130a.1</t>
  </si>
  <si>
    <t>(1) total energy consumed, (2) percentage of grid electricity, (3) percentage of renewable energy</t>
  </si>
  <si>
    <t>Governance</t>
  </si>
  <si>
    <t>Governance and Compliance</t>
  </si>
  <si>
    <r>
      <rPr>
        <b/>
        <sz val="9"/>
        <color rgb="FF555555"/>
        <rFont val="Arial"/>
        <family val="2"/>
      </rPr>
      <t>Impacts</t>
    </r>
    <r>
      <rPr>
        <sz val="9"/>
        <color rgb="FF555555"/>
        <rFont val="Arial"/>
        <family val="2"/>
      </rPr>
      <t xml:space="preserve">
Main risks: Market risks; Operational risks; Legal and tax risks; Mergers, acquisitions and divestments; Abusive and discriminatory practices; Strategic, financial and cyber risks; Changes in Laws and Regulations.
Main opportunities: Cultural transformation; Innovation and new technologies.
</t>
    </r>
    <r>
      <rPr>
        <b/>
        <sz val="9"/>
        <color rgb="FF555555"/>
        <rFont val="Arial"/>
        <family val="2"/>
      </rPr>
      <t>Involvement</t>
    </r>
    <r>
      <rPr>
        <sz val="9"/>
        <color rgb="FF555555"/>
        <rFont val="Arial"/>
        <family val="2"/>
      </rPr>
      <t xml:space="preserve">
The impact of Vale on governance and compliance is directly linked to its operations and business relationships.
</t>
    </r>
    <r>
      <rPr>
        <b/>
        <sz val="9"/>
        <color rgb="FF555555"/>
        <rFont val="Arial"/>
        <family val="2"/>
      </rPr>
      <t>Policies &amp; Commitments</t>
    </r>
    <r>
      <rPr>
        <sz val="9"/>
        <color rgb="FF555555"/>
        <rFont val="Arial"/>
        <family val="2"/>
      </rPr>
      <t xml:space="preserve">
Our objective is to be in line with the best national and international governance practices, including: a majority of independent directors, the appointment of a Lead Independent Director (LID); a process of self-assessment by the Board of Directors, a limit on the number of terms of office for members of the Board of Directors, among others. Vale works firmly to preserve integrity and eliminate conflicts of interest, rejecting any conduct, influence or decision motivated by interests that are not in accordance with the standards we have established in our Code of Conduct. Our anti-corruption rules are aimed at complying with all applicable laws, including the U.S. Foreign Corruption Practices Act (FCPA), the Brazilian Anti-Corruption Law (Lei nº. 12.846/2013) and local laws of each country in which we operate.
</t>
    </r>
    <r>
      <rPr>
        <b/>
        <sz val="9"/>
        <color rgb="FF555555"/>
        <rFont val="Arial"/>
        <family val="2"/>
      </rPr>
      <t>Steps taken to manage the theme</t>
    </r>
    <r>
      <rPr>
        <sz val="9"/>
        <color rgb="FF555555"/>
        <rFont val="Arial"/>
        <family val="2"/>
      </rPr>
      <t xml:space="preserve">
Vale's governance brings together practices and policies aligned with the purpose of the company. The evolution in continuous improvement and risk management processes contributes to the sustainability of the business, generating value for shareholders and investors. The restructuring of the Executive Committee in 2023 supported the strategy of focusing on core assets, which simplifies the portfolio and concentrates activities in geographies where our competitive advantages are evident, as well as stimulates the capacity for innovation in the scope of solutions for the energy transition.
To disseminate Vale's values that must be put into practice by employees, we have the Ethics &amp; Compliance Program, with pillars that seek to prevent, detect and correct misconduct. Within it, constant training is promoted throughout the year, in addition to specific training on the prevention of corruption cases for groups that work directly with public officials. When a misconduct is confirmed, we take actions in accordance with the Consequence Management Policy, applying the corresponding corrections with fairness and transparency. See more on the ESG Portal on the "Governance" page.
</t>
    </r>
    <r>
      <rPr>
        <b/>
        <sz val="9"/>
        <color rgb="FF555555"/>
        <rFont val="Arial"/>
        <family val="2"/>
      </rPr>
      <t>Effectiveness Tracking</t>
    </r>
    <r>
      <rPr>
        <sz val="9"/>
        <color rgb="FF555555"/>
        <rFont val="Arial"/>
        <family val="2"/>
      </rPr>
      <t xml:space="preserve">
See more on the ESG Portal on the Governance page and in the Vale Integrated Report, in the Governance section.</t>
    </r>
  </si>
  <si>
    <t>GRI 201-1</t>
  </si>
  <si>
    <t>Direct economic value generated and distributed</t>
  </si>
  <si>
    <t>GRI 201-4</t>
  </si>
  <si>
    <t>Financial assistance received from the government</t>
  </si>
  <si>
    <t>GRI 205-1</t>
  </si>
  <si>
    <t>Operations assessed for risks related to corruption</t>
  </si>
  <si>
    <t>GRI 205-2</t>
  </si>
  <si>
    <t>Communication and training on anti-corruption policies and procedures</t>
  </si>
  <si>
    <t>GRI 205-3</t>
  </si>
  <si>
    <t>Confirmed cases of corruption and actions taken</t>
  </si>
  <si>
    <t>GRI 206-1</t>
  </si>
  <si>
    <t>Legal actions for anti-competitive behavior, anti-trust, and monopoly practices</t>
  </si>
  <si>
    <t>SASB EM-MM-510a.1</t>
  </si>
  <si>
    <t>Description of the management system for preventing corruption and bribery throughout the value chain</t>
  </si>
  <si>
    <t>SASB EM-MM-510a.2</t>
  </si>
  <si>
    <t>Production in countries that have the 20 lowest corruption perception scores from Transparency International</t>
  </si>
  <si>
    <t>Human rights</t>
  </si>
  <si>
    <t>Form of management</t>
  </si>
  <si>
    <r>
      <rPr>
        <b/>
        <sz val="9"/>
        <color rgb="FF555555"/>
        <rFont val="Arial"/>
        <family val="2"/>
      </rPr>
      <t>Impacts</t>
    </r>
    <r>
      <rPr>
        <sz val="9"/>
        <color rgb="FF555555"/>
        <rFont val="Arial"/>
        <family val="2"/>
      </rPr>
      <t xml:space="preserve">
The assessment of human rights risks is carried out in all operations and critical projects, with the definition of controls integrated into the processes of the activities and with the performance of due diligence, including suppliers, with the application of a self-diagnosis questionnaire, engagement, inspections and monitoring of action plans. Also, the due diligence process is done in cases of mergers and acquisitions of new projects and joint ventures. Human Rights Due Diligence (HRDD), on the other hand, is an in-depth assessment of actual and potential impacts that is integrated through corrective actions and monitored periodically, in cycles of three to five years.
Main risks: Risks of human rights violations in its operations, along the value chain.
Main opportunities: Advance the inclusion of the human rights lens in all company processes and decision-making, contribute to promoting the human rights and companies’ agenda in the mining sector and in other sectors, in joint ventures and with customers.
</t>
    </r>
    <r>
      <rPr>
        <b/>
        <sz val="9"/>
        <color rgb="FF555555"/>
        <rFont val="Arial"/>
        <family val="2"/>
      </rPr>
      <t xml:space="preserve">Involvement
</t>
    </r>
    <r>
      <rPr>
        <sz val="9"/>
        <color rgb="FF555555"/>
        <rFont val="Arial"/>
        <family val="2"/>
      </rPr>
      <t xml:space="preserve">We recognize that our operation and value chain deal with sensitive social and environmental issues, which can generate impacts and risks of Human Rights violations. Therefore, our commitment to Human Rights is directly connected to the company's strategic pillars and based on respect for people’s dignity and integrity.
</t>
    </r>
    <r>
      <rPr>
        <b/>
        <sz val="9"/>
        <color rgb="FF555555"/>
        <rFont val="Arial"/>
        <family val="2"/>
      </rPr>
      <t xml:space="preserve">Policies &amp; Commitments
</t>
    </r>
    <r>
      <rPr>
        <sz val="9"/>
        <color rgb="FF555555"/>
        <rFont val="Arial"/>
        <family val="2"/>
      </rPr>
      <t xml:space="preserve">Respect for Human Rights is a non-negotiable condition and the basis for Vale's social performance. The firm performance in the management of Human Rights in operations and in the value chain follows the learnings and the evolution of practices that involve continuous dialogue with society. This premise is essential for solving problems and building a culture of respect for the dignity and integrity of people potentially impacted by business activities and relationships. 
Our commitment is connected to the Ethics &amp; Compliance Program and our cultural transformation journey. We follow international standards such as the UN Guiding Principles on Business and Human Rights, the principles of the United Nations Global Compact, the Universal Declaration of Human Rights, the principles and guidelines of the International Council on Mining and Metals (ICMM), among others.
Vale also maintains the Listening and Response Mechanism to receive Human Rights complaints from society. In addition, Vale has made a commitment to respond 100% of the allegations on the subject made through the Business &amp; Human Rights Resource Centre (BHRRC, the Business and Human Rights Information Centre). </t>
    </r>
  </si>
  <si>
    <t>GRI 408-1</t>
  </si>
  <si>
    <t>Operations and suppliers at significant risk for incidents of child labor</t>
  </si>
  <si>
    <t>GRI 409-1</t>
  </si>
  <si>
    <t>Operations and suppliers at significant risk for incidents of forced or compulsory labor</t>
  </si>
  <si>
    <t>GRI 410-1</t>
  </si>
  <si>
    <t>Security personnel trained in human rights policies or procedures</t>
  </si>
  <si>
    <t>SASB EM-MM-210a.1</t>
  </si>
  <si>
    <t>Percentage of (1) proven reserves and (2) probable reserves in or near conflict areas</t>
  </si>
  <si>
    <t>SASB EM-MM-210a.2</t>
  </si>
  <si>
    <t>Percentage of (1) proven reserves and (2) probable reserves on or near indigenous lands</t>
  </si>
  <si>
    <t>SASB EM-MM-210a.3</t>
  </si>
  <si>
    <t>Discussion of engagement processes and due diligence practices with respect to human rights, indigenous rights and operation in conflict areas</t>
  </si>
  <si>
    <t>People</t>
  </si>
  <si>
    <r>
      <rPr>
        <b/>
        <sz val="9"/>
        <color rgb="FF555555"/>
        <rFont val="Arial"/>
        <family val="2"/>
      </rPr>
      <t>Impacts</t>
    </r>
    <r>
      <rPr>
        <sz val="9"/>
        <color rgb="FF555555"/>
        <rFont val="Arial"/>
        <family val="2"/>
      </rPr>
      <t xml:space="preserve">
Main risks: Local labor laws, Hiring of outsourced labor, Leadership succession plan.
Main opportunities: Implement and accelerate the Technical Training Program for our employees, Training/activation of operational leaders in cultural transformation.
</t>
    </r>
    <r>
      <rPr>
        <b/>
        <sz val="9"/>
        <color rgb="FF555555"/>
        <rFont val="Arial"/>
        <family val="2"/>
      </rPr>
      <t>Involvement</t>
    </r>
    <r>
      <rPr>
        <sz val="9"/>
        <color rgb="FF555555"/>
        <rFont val="Arial"/>
        <family val="2"/>
      </rPr>
      <t xml:space="preserve">
In addition to being an essential part of the success of our business, people can be directly impacted by Vale's policies and actions both in its operation and in its business relationships. 
</t>
    </r>
    <r>
      <rPr>
        <b/>
        <sz val="9"/>
        <color rgb="FF555555"/>
        <rFont val="Arial"/>
        <family val="2"/>
      </rPr>
      <t>Policies &amp; Commitments</t>
    </r>
    <r>
      <rPr>
        <sz val="9"/>
        <color rgb="FF555555"/>
        <rFont val="Arial"/>
        <family val="2"/>
      </rPr>
      <t xml:space="preserve">
Our key commitments related to people at Vale are expressed in our Vale Diversity and Inclusion Policy, Human Rights Guide, Human Rights Policy and Code of Conduct.
</t>
    </r>
    <r>
      <rPr>
        <b/>
        <sz val="9"/>
        <color rgb="FF555555"/>
        <rFont val="Arial"/>
        <family val="2"/>
      </rPr>
      <t>Steps taken to manage the theme</t>
    </r>
    <r>
      <rPr>
        <sz val="9"/>
        <color rgb="FF555555"/>
        <rFont val="Arial"/>
        <family val="2"/>
      </rPr>
      <t xml:space="preserve">
The cultural transformation of Vale is one of the learnings from the Brumadinho tragedy. We believe that the company will only be different when our people act differently, according to the values and key behaviors required and on a trajectory of constant improvement. This journey, which began in 2019, is being developed in practice and has engagement as a way to encourage our employees to be the protagonists in achieving our organizational ambitions. 
Engagement is measured through employees' perceptions of questions related to five pillars: culture, leadership, career, well-being, and belonging. Besides, in 2023, the first engagement survey was applied after the beginning of the cultural transformation journey, with an overall favorability of 82% and highlighting the leadership and career pillars. Based on the results, actions such as leadership development programs, review of the Culture and Engagement element in the VPS, and communication campaign aimed at the operational public were implemented. 
Furthermore, our intentional and affirmative performance in Diversity, Equity and Inclusion is a result from our learning. We adopt measures to build work environments that reflect all the diversity that exists in society, with spaces for people to feel respected and have their voices and ideas valued. We are guided by our Diversity and Inclusion Policy, and we have professional training programs; career development; training focused on combating harassment, discrimination and prejudice; and inclusive recruitment.  Find out more on the ESG Portal on the "Our People" page.
The Valer, a learning ecosystem of Vale, supports the development of employees and the generation of shared value with the community. It is segmented into five main audiences: all employees and communities, future employees, operational technicians, specialists and leaders. For each audience, Valer offers training and solutions for the transfer of learning to the day-to-day, in exchanges between people and in practice. 
The Humanized care for situations of sexual and moral harassment and discrimination is provided through the Reception Channel, launched in 2022 in Brazil, and through the Respect Channel, launched in 2023 for Base Metals operations in Canada. Therefore, employees and contractors can feel more comfortable reporting sensitive information, thus contributing to the effectiveness of the investigation process. 
Vale respects freedom of association and maintains good relations with unions in all countries where it operates, seeking to resolve conflicts through periodic meetings with representatives of the associations. In 2023, no labor representations were recorded. We base our work on the Code of Conduct, on local labor laws, on the eight Fundamental Conventions of the International Labor Organization (ILO) and on the guidelines of the Organization for Economic Cooperation and Development (OECD). When the local law of a country where we operate restricts this right, we maintain contact with equivalent workers' organizations.  Find out more on the ESG Portal on the “Our People” page.
</t>
    </r>
    <r>
      <rPr>
        <b/>
        <sz val="9"/>
        <color rgb="FF555555"/>
        <rFont val="Arial"/>
        <family val="2"/>
      </rPr>
      <t>Effectiveness Tracking</t>
    </r>
    <r>
      <rPr>
        <sz val="9"/>
        <color rgb="FF555555"/>
        <rFont val="Arial"/>
        <family val="2"/>
      </rPr>
      <t xml:space="preserve">
Find more on the ESG Portal on the "Our People" page, and in the Vale Integrated Report, in the People section.</t>
    </r>
  </si>
  <si>
    <t>GRI 201-3</t>
  </si>
  <si>
    <t>Defined benefit plan obligations and other retirement plans</t>
  </si>
  <si>
    <t>GRI 401-1</t>
  </si>
  <si>
    <t>New employee hires and employee turnover</t>
  </si>
  <si>
    <t>GRI 401-2</t>
  </si>
  <si>
    <t>Benefits provided to full-time employees that are not provided to temporary or part-time employees</t>
  </si>
  <si>
    <t>GRI 401-3</t>
  </si>
  <si>
    <t>Parental leave</t>
  </si>
  <si>
    <t>GRI 404-1</t>
  </si>
  <si>
    <t>Average hours of training per year, per employee</t>
  </si>
  <si>
    <t>GRI 404-2</t>
  </si>
  <si>
    <t>Programs for upgrading employee skill and transition assistance programs</t>
  </si>
  <si>
    <t>GRI 404-3</t>
  </si>
  <si>
    <t>Percentage of employees receiving regular performance and career development reviews</t>
  </si>
  <si>
    <t>GRI 405-1</t>
  </si>
  <si>
    <t>Diversity in governance bodies and employees</t>
  </si>
  <si>
    <t>GRI 405-2</t>
  </si>
  <si>
    <t>Ratio of basic salary and remuneration of women to men</t>
  </si>
  <si>
    <t>GRI 406-1</t>
  </si>
  <si>
    <t>Incidents of discrimination and corrective actions taken</t>
  </si>
  <si>
    <t>GRI 407-1</t>
  </si>
  <si>
    <t>Operations and suppliers where the right to freedom of association and collective bargaining may be at risk</t>
  </si>
  <si>
    <t>SASB EM-MM-310a.1</t>
  </si>
  <si>
    <t>Percentage of active workforce covered by collective bargaining agreements, described by US and foreign employees</t>
  </si>
  <si>
    <t>SASB EM-MM-310a.2</t>
  </si>
  <si>
    <t>Number and duration of strikes and lockouts</t>
  </si>
  <si>
    <t>Health and Safety</t>
  </si>
  <si>
    <t>GRI 403-1</t>
  </si>
  <si>
    <t>Occupational health and safety management system</t>
  </si>
  <si>
    <t>GRI 403-2</t>
  </si>
  <si>
    <t>Hazard identification, risk assessment and incident investigation</t>
  </si>
  <si>
    <t>GRI 403-3</t>
  </si>
  <si>
    <t>Occupational health services</t>
  </si>
  <si>
    <t>GRI 403-4</t>
  </si>
  <si>
    <t>Worker participation, consultation and communication on occupational health and safety</t>
  </si>
  <si>
    <t>GRI 403-5</t>
  </si>
  <si>
    <t>Worker training on occupational health and safety</t>
  </si>
  <si>
    <t>GRI 403-6</t>
  </si>
  <si>
    <t>Promotion of worker health</t>
  </si>
  <si>
    <t>GRI 403-7</t>
  </si>
  <si>
    <t>Prevention and mitigation of occupational health and safety impacts directly linked by business relationships</t>
  </si>
  <si>
    <t>GRI 403-8</t>
  </si>
  <si>
    <t>Workers covered by an occupational health and safety management system</t>
  </si>
  <si>
    <t>GRI 403-9</t>
  </si>
  <si>
    <t>Work-related injuries</t>
  </si>
  <si>
    <t>GRI 403-10</t>
  </si>
  <si>
    <t>Work-related ill health</t>
  </si>
  <si>
    <t>SASB EM-MM-320a.1</t>
  </si>
  <si>
    <t>(1) Mine Safety and Health Administration (MSHA) total incidence rate, (2) fatality rate, (3) near miss frequency rate (NMFR), and (4) average hours of health, safety, and emergency response training emergencies for (a) full-time employers and (b) contract employees.</t>
  </si>
  <si>
    <t>Local Communities</t>
  </si>
  <si>
    <r>
      <rPr>
        <b/>
        <sz val="9"/>
        <color rgb="FF555555"/>
        <rFont val="Arial"/>
        <family val="2"/>
      </rPr>
      <t>Impacts</t>
    </r>
    <r>
      <rPr>
        <sz val="9"/>
        <color rgb="FF555555"/>
        <rFont val="Arial"/>
        <family val="2"/>
      </rPr>
      <t xml:space="preserve">
Main risks: Socio-environmental impacts arising from the operation, Health and safety risks in the communities where we operate, Risks of conflicts due to involuntary resettlement and land use, Risks of conflicts with indigenous and traditional communities.
Main Opportunities: Maximizing the generation of value for communities.
</t>
    </r>
    <r>
      <rPr>
        <b/>
        <sz val="9"/>
        <color rgb="FF555555"/>
        <rFont val="Arial"/>
        <family val="2"/>
      </rPr>
      <t>Involvement</t>
    </r>
    <r>
      <rPr>
        <sz val="9"/>
        <color rgb="FF555555"/>
        <rFont val="Arial"/>
        <family val="2"/>
      </rPr>
      <t xml:space="preserve">
Vale's impact on local communities is directly linked to its operations and business relationships.
</t>
    </r>
    <r>
      <rPr>
        <b/>
        <sz val="9"/>
        <color rgb="FF555555"/>
        <rFont val="Arial"/>
        <family val="2"/>
      </rPr>
      <t>Policies &amp; Commitments</t>
    </r>
    <r>
      <rPr>
        <sz val="9"/>
        <color rgb="FF555555"/>
        <rFont val="Arial"/>
        <family val="2"/>
      </rPr>
      <t xml:space="preserve">
The service measures are defined and executed based on a diagnosis of the reality and the engagement of the stakeholders. They aim at the restitution of livelihoods in conditions equivalent to or better than those verified before the displacement of families, such as the replacement of land, housing and economic activities impacted, according to the guidelines of international organizations as the International Finance Corporation (IFC) and the World Bank, for instance. Find out more on the ESG Portal and in the Human Rights Guide.
</t>
    </r>
    <r>
      <rPr>
        <b/>
        <sz val="9"/>
        <color rgb="FF555555"/>
        <rFont val="Arial"/>
        <family val="2"/>
      </rPr>
      <t>Steps taken to manage the theme</t>
    </r>
    <r>
      <rPr>
        <sz val="9"/>
        <color rgb="FF555555"/>
        <rFont val="Arial"/>
        <family val="2"/>
      </rPr>
      <t xml:space="preserve">
For Vale, the relationship with local communities is a priority. Understanding and meeting the perspectives of communities and incorporating them into our decisions is a challenge and there is always room for improvement. Through dialogue, we share information about activities and enterprises, their possible risks and impacts, and the measures taken to avoid, reduce, or compensate for them. 
Currently, 97% of our operations have an established relationship process with local communities. It includes steps to identify and characterize communities and stakeholders; management of manifestations; implementation of relationship and dialogue plans; management of possible conflicts and critical issues. During the environmental licensing phase, we follow all legal obligations of engagement, ensuring the disclosure of information related to the project.
The engagement is done by specialized teams and, in 2023, we related to 1,574 local communities in the countries where we operate. During this period, a total of 452 Local Community Relationship Plans were implemented, of which 385 were in Brazil. Of the 177 communities considered a priority for engagement in Brazil, 88% were served by Relationship Plans. We are committed to serving 100% of priority communities with plans by 2026.  See more on the ESG Portal on the "Local Communities" page.
</t>
    </r>
    <r>
      <rPr>
        <b/>
        <sz val="9"/>
        <color rgb="FF555555"/>
        <rFont val="Arial"/>
        <family val="2"/>
      </rPr>
      <t xml:space="preserve">Effectiveness Tracking
</t>
    </r>
    <r>
      <rPr>
        <sz val="9"/>
        <color rgb="FF555555"/>
        <rFont val="Arial"/>
        <family val="2"/>
      </rPr>
      <t>Active listening is one of the key behaviors in our transformation journey. We learned that it is not enough to carry out the dialogue and address the manifestations, but to understand the perception of the effectiveness of our engagement efforts. In 2022, we conducted the first Community Perception Survey in Brazil, interviewing 5,105 people in five states (ES, RJ, MG, MA, PA), covering 44 municipalities and 163 communities. In 2023, we consolidated the results to deepen the understanding of the level of trust and expectations of neighboring communities. 
The survey shows that we are making progress, but there is still room for improvement and learning, with 57% of respondents saying that engagement actions are on the right way and 14% on the wrong way. Regarding knowledge of Vale's actions in the territory, 56% answered that there were no actions. 81% of respondents agreed with the statement 'Vale is a reliable company', while 5% did not agree and 14% were neutral and did not know/did not answer. As next steps, social strategies related to the most impactful and relevant topics will be built.  See more on the ESG Portal on the "Local Communities" page and in the Vale Integrated Report, in the Local Communities section.</t>
    </r>
  </si>
  <si>
    <t>GRI 203-1</t>
  </si>
  <si>
    <t>Social Expenditures</t>
  </si>
  <si>
    <t>GRI 203-2</t>
  </si>
  <si>
    <t>Significant Indirect Economic Impacts</t>
  </si>
  <si>
    <t>GRI 411-1</t>
  </si>
  <si>
    <t>Incidents of violation involving rights of indigenous peoples</t>
  </si>
  <si>
    <t>GRI 413-1</t>
  </si>
  <si>
    <t>Operations with local community engagement, impact assessments, and development programs</t>
  </si>
  <si>
    <t>GRI 413-2</t>
  </si>
  <si>
    <t>Operations with significant negative impacts on local communities</t>
  </si>
  <si>
    <t>GRI G4 MM5</t>
  </si>
  <si>
    <t>Total number of operations located in or adjacent to indigenous peoples' territories, and number and percentage of operations or locations where there are formal agreements with indigenous peoples' communities</t>
  </si>
  <si>
    <t>GRI G4 MM6 e MM7</t>
  </si>
  <si>
    <t>Number and description of significant conflicts relating to land use, customary rights of local communities and indigenous peoples, and the extent to which mechanisms for escalating demands and grievances were used to resolve these conflicts.</t>
  </si>
  <si>
    <t>GRI G4 MM9</t>
  </si>
  <si>
    <t>Locations where resettlements took place, the number of households resettled in each and how their livelihoods were affected in the process</t>
  </si>
  <si>
    <t>SASB EM-MM-210b.1</t>
  </si>
  <si>
    <t>Discussion of the process for managing risks and opportunities associated with community rights and interests</t>
  </si>
  <si>
    <t>SASB EM-MM-210b.2</t>
  </si>
  <si>
    <t>Number and duration of non-technical delays</t>
  </si>
  <si>
    <t>Indicator</t>
  </si>
  <si>
    <t>Description</t>
  </si>
  <si>
    <t>Location</t>
  </si>
  <si>
    <t>GRI 202-1</t>
  </si>
  <si>
    <t>Ratios of standard entry level wage by gender compared to local minimum wage</t>
  </si>
  <si>
    <t>GRI 202-2</t>
  </si>
  <si>
    <t>Proportion of senior management hired from the local community</t>
  </si>
  <si>
    <t xml:space="preserve">Infrastructure investments and services supported </t>
  </si>
  <si>
    <t>GRI 204-1</t>
  </si>
  <si>
    <t>Proportion of spending on local suppliers</t>
  </si>
  <si>
    <t>GRI 207-1</t>
  </si>
  <si>
    <t>Approach to tax</t>
  </si>
  <si>
    <t>GRI 207-2</t>
  </si>
  <si>
    <t>Tax governance, control and risk management</t>
  </si>
  <si>
    <t>GRI 207-3</t>
  </si>
  <si>
    <t>Stakeholder engagement and management of concerns related to tax</t>
  </si>
  <si>
    <t>GRI 2-27</t>
  </si>
  <si>
    <t>Compliance with laws and regulations</t>
  </si>
  <si>
    <t>Production in countries that have Transparency International's 20 lowest corruption perception scores</t>
  </si>
  <si>
    <t>GRI 201-2 (2016)</t>
  </si>
  <si>
    <r>
      <t xml:space="preserve">Description: </t>
    </r>
    <r>
      <rPr>
        <sz val="10"/>
        <color rgb="FF555555"/>
        <rFont val="Arial"/>
        <family val="2"/>
      </rPr>
      <t>Financial implications and other risks and opportunities due to climate change</t>
    </r>
  </si>
  <si>
    <t>Year</t>
  </si>
  <si>
    <t>Vale's answer</t>
  </si>
  <si>
    <t>Assurance</t>
  </si>
  <si>
    <t>For the physical risks of climate change, Vale developed, in partnership with the Vale Technological Institute (ITV), maps of impacts based on analyzes by the Intergovernmental Panel on Climate Change (IPCC).
Physical Risk: Impacts associated with climate change, such as increased temperatures, changes in precipitation patterns, extreme events and rising sea levels can negatively impact operations, workforce and surrounding communities and environment. Among the potential implications, there may be a production stoppage, the need for repairs and modifications to infrastructure, among others. Financial implications before taking preventive measures is variable. The loss of machinery and production downtime can eventually run into millions of dollars.
For risk management, Vale has developed an adaptation strategy based on the inclusion of climate change variables in existing risk management processes - this makes it possible to predict possible future problems and reassess controls, eliminating and/or minimizing thus the impacts.
Regulatory Risk: A carbon pricing may imply additional costs, both directly and indirectly, which in turn may impact the competitiveness of companies. Carbon pricing can impact the company in three main ways: (i) operating costs; (ii) cost of electricity; (iii) fuel costs.
As a way of managing risk, Vale monitors climate legislation in areas where Vale operates and maintains engagement in the process of developing regulations, either directly or through forums and associations in which Vale participates.
General Risk: A change in the pattern of coal consumption as a result of the perception of it as a highly emitting product could impact the demand for the commodity in the future. Vale conducts regulatory monitoring of the pricing of greenhouse gas emissions, mainly in the countries where its customers are located.
Among the opportunities arising from climate change are: replacing the purchase of electricity with self-production of clean and/or renewable energy; Greater demand for less carbon intensive products could positively impact Vale, which has the lowest carbon intensity per unit of gross revenue among large mining companies; Vale identifies as an opportunity the maintenance of the forest carbon stock, mainly in Brazil, in the context of defining the national carbon market. To learn more, see the 2019 Sustainability Report (p. 96 and 112).</t>
  </si>
  <si>
    <t>Independently assured by SGS ICS Certificadora Ltda.</t>
  </si>
  <si>
    <t>Physical Risk: Impacts associated with climate change, such as increased temperatures, changes in precipitation patterns, extreme events and rising sea levels can negatively impact operations, workforce and surrounding communities and environment. Among the potential implications, there may be a production stoppage, the need for repairs and modifications to infrastructure, among others. Financial implications before taking preventive measures is variable. The loss of machinery and production downtime can eventually run into millions of dollars.
For risk management, Vale has developed an adaptation strategy based on the inclusion of climate change variables in existing risk management processes - this makes it possible to predict possible future problems and reassess controls, eliminating and/or minimizing thus the impacts.
Regulatory Risk: A carbon pricing may imply additional costs, both directly and indirectly, which in turn may impact the competitiveness of companies. Carbon pricing can impact the company in three main ways: (i) operating costs; (ii) cost of electricity; (iii) fuel costs.
As a way of managing risk, Vale monitors climate legislation in areas where Vale operates and maintains engagement in the process of developing regulations, either directly or through forums and associations in which Vale participates.
General Risk: A change in the pattern of coal consumption as a result of the perception of it as a highly emitting product could impact the demand for the commodity in the future. Vale conducts regulatory monitoring of the pricing of greenhouse gas emissions, mainly in the countries where its customers are located.
Among the opportunities arising from climate change are: replacing the purchase of electricity with self-production of clean and/or renewable energy; Greater demand for less carbon intensive products could positively impact Vale, which has the lowest carbon intensity per unit of gross revenue among large mining companies; Vale identifies as an opportunity the maintenance of the forest carbon stock, mainly in Brazil, in the context of defining the national carbon market.</t>
  </si>
  <si>
    <t>Independently assured by Bureau Veritas Certification</t>
  </si>
  <si>
    <t>At Vale, we assess transition risks (i.e. carbon prices, reputation issues, new technology issues) and physical risks (i.e. operational impacts caused by climate variables) related to climate change in accordance with the TCFD recommendation .
Our Climate Change Team works with our Risk Management Team to constantly map transition risks related to climate change recorded in Vale's Bwise System.
As for physical risks, we have developed a methodology called "Vale Climate Forecast" to deal with short- and long-term risks related to physical impacts on our assets.
For more information, please consult Vale's Climate Change Report: http://www.vale.com/esg/pt/Documents/vale-CCR-2021-PT.pdf</t>
  </si>
  <si>
    <t xml:space="preserve">We assess transition risks (for example, emerging regulations at state, national and international levels related to the price of carbon, issues of a reputational nature that could potentially arise from the perception of our performance in addressing climate change, and issues related to technology that may materially disrupt or alter planning and trade routes), as well as physical risks (e.g. operational impacts due to extreme weather conditions whose intensity is increased as a consequence of climate change) as per the recommendations of the Task Force on Climate Related Financial Disclosures (TCFD).
Our climate change team identifies and monitors risks with the support of our risk management team to constantly map transition risks related to climate change. For transition risks, we have a systematic approach to monitoring the regulatory landscape and emerging climate-related trends such as proposals, initiatives, laws, etc. Potential impacts are calculated and qualified within Vale's executive committee and through the governance of the company's "Low Carbon Forum". In parallel, we seek cutting-edge information and stakeholder alignment, as well as the company's advanced positioning on climate-related policies, through our broader senior management process around climate change, with participation in Global Forums, such as the International Conference on Mining and Metals (ICMM), the World Economic Forum, the World Business Council on Sustainable Development, and international events on this topic, such as the annual Conference of the Parties (COP), the annual meeting of the UN General Assembly and "NYC Climate Week", and other events in critical jurisdictions such as Brazil, Canada, China, USA, Europe, Indonesia, Middle East.
For physical risks, we have developed a methodology called "Vale Climate Forecast" to deal with short and long term risks related to physical impacts on our assets due to climate change. For more information, please see
 https://www.vale.com/web/esg/climate-change.
</t>
  </si>
  <si>
    <t>We assess transition risks (e.g., emerging regulations at state, national, and international levels related to carbon pricing, issues of a reputational nature that may potentially arise from the perception of our performance in addressing climate change, and emerging technology-related issues that may disturb or materially alter planning and trade routes),  as well as physical risks (e.g. operational impacts due to extreme weather conditions whose intensity is increased as a consequence of climate change) in accordance with the recommendations of the Task Force on Climate Related Financial Disclosures (TCFD).
Our climate change team identifies and monitors risks with the support of our risk management team to constantly map transition risks related to climate change. For transition risks, we have a systematic approach to monitoring the regulatory landscape and emerging climate-related trends, such as proposals, initiatives, laws, etc. Potential impacts are calculated and qualified within Vale's executive committee and through the governance of the company's "Low Carbon Forum". In parallel, we seek cutting-edge information and stakeholder alignment, as well as the company's advanced positioning on climate-related policies, through our broader senior management process around climate change, with participation in Global Forums such as the International Council on Mining and Metals (ICMM), the World Economic Forum,  the World Business Council on Sustainable Development, and international events on this topic, such as the annual Conference of the Parties (COP), the annual meeting of the UN General Assembly and the "NYC Climate Week", and other events in critical jurisdictions such as Brazil, Canada, China, USA, Europe, Indonesia, the Middle East. 
For physical risks, we have developed a methodology called "Vale Climate Forecast" to address short- and long-term risks related to physical impacts on our assets due to climate change. For more information, please see the Climate page on the ESG Portal.</t>
  </si>
  <si>
    <t>Links:</t>
  </si>
  <si>
    <t>ESG Portal - Climate</t>
  </si>
  <si>
    <t>2023 - Risks and opportunities arising from climate change</t>
  </si>
  <si>
    <t>Tipe</t>
  </si>
  <si>
    <t>Category</t>
  </si>
  <si>
    <t>Subcategory</t>
  </si>
  <si>
    <t>Impact on</t>
  </si>
  <si>
    <t>Level</t>
  </si>
  <si>
    <t>Financial Implications before action is taken</t>
  </si>
  <si>
    <t>Methods used to manage risk/opportunity</t>
  </si>
  <si>
    <t>Costs of measures taken to manage risk/opportunity</t>
  </si>
  <si>
    <t>Risk</t>
  </si>
  <si>
    <t>Regulatory</t>
  </si>
  <si>
    <t>Carbon taxation</t>
  </si>
  <si>
    <t>Revenue</t>
  </si>
  <si>
    <t>The CBAM, or Carbon Border Adjustment Mechanism, is a policy proposed by the European Union (EU) that aims to ensure that imported goods pay a price for their carbon emissions that is comparable to the price paid by EU domestic producers through the EU-ETS. The CBAM will come into force in 2026, but as early as October 2023 it is in a transition period, in which EU importers will have to report the total carbon emissions embedded in the products they have imported.
For VALE, CBAM represents both a risk and an opportunity. The risk is that the company will be forced to pay an additional tax on its products exported to the EU, which will increase its costs and reduce its competitiveness. The opportunity is that the company can take advantage of CBAM to position itself as a leading company in sustainability, as it has a history of reducing its carbon emissions and goals linked to the cause.</t>
  </si>
  <si>
    <t>High</t>
  </si>
  <si>
    <t>Variable. The impact will depend on a number of factors, including:
the price of carbon licenses on the European market;
The volume of products exported by VALE to the EU;
The carbon intensity of VALE's production.</t>
  </si>
  <si>
    <r>
      <rPr>
        <b/>
        <sz val="9"/>
        <color rgb="FF555555"/>
        <rFont val="Arial"/>
        <family val="2"/>
      </rPr>
      <t>Risk planning and management:</t>
    </r>
    <r>
      <rPr>
        <sz val="9"/>
        <color rgb="FF555555"/>
        <rFont val="Arial"/>
        <family val="2"/>
      </rPr>
      <t xml:space="preserve"> The company is conducting detailed planning to mitigate the impact of CBAM, including identifying risks, developing scenarios, and implementing mitigation measures through project analysis on the MACC curve.
</t>
    </r>
    <r>
      <rPr>
        <b/>
        <sz val="10"/>
        <color rgb="FF555555"/>
        <rFont val="Arial"/>
        <family val="2"/>
      </rPr>
      <t>Communication:</t>
    </r>
    <r>
      <rPr>
        <sz val="9"/>
        <color rgb="FF555555"/>
        <rFont val="Arial"/>
        <family val="2"/>
      </rPr>
      <t xml:space="preserve"> The company is proactively communicating with its customers and stakeholders about CBAM to ensure that everyone is aware of the potential impacts. In addition, it has been developing, in partnership with the consulting firm Way Carbon, the first report of the CBAM transition period, scheduled to be delivered at the end of January. 
</t>
    </r>
    <r>
      <rPr>
        <b/>
        <sz val="10"/>
        <color rgb="FF555555"/>
        <rFont val="Arial"/>
        <family val="2"/>
      </rPr>
      <t xml:space="preserve">Innovation: </t>
    </r>
    <r>
      <rPr>
        <sz val="9"/>
        <color rgb="FF555555"/>
        <rFont val="Arial"/>
        <family val="2"/>
      </rPr>
      <t>The company is investing in innovation to reduce its carbon emissions, which will help mitigate the impact of CBAM.</t>
    </r>
  </si>
  <si>
    <t>The cost of CBAM to Vale could reach USD 109 million per year. The costs of the measures taken by VALE to manage the risk/opportunity represented by CBAM are difficult to estimate precisely. However, Vale announced that it will invest between USD 4 billion and USD 6 billion in sustainability-related actions by 2030 to achieve its emission reduction targets. These amounts will indirectly be used to mitigate the impacts of CBAM.</t>
  </si>
  <si>
    <t>Opportunity</t>
  </si>
  <si>
    <t>General</t>
  </si>
  <si>
    <t>Other</t>
  </si>
  <si>
    <t xml:space="preserve">Cost </t>
  </si>
  <si>
    <t>Investment in clean and/or renewable electricity generation projects.
This opportunity is well seen globally, especially after the definitions and implications of the last COP 28, as it is aligned with the reduction of energy consumption from fossil sources and also with Vale's scope 2 target.  The goal was to achieve zero scope 2 emissions by 2025 in Brazil. A fact, which the company achieved at the end of 2023. Globally, this target is set for 2030. This goal helps reduce the carbon footprint of Vale's products.</t>
  </si>
  <si>
    <t>Intermediary</t>
  </si>
  <si>
    <t>Variable. Since the development of the Sol do Cerrado Project is taking advantage of the purchase of PPAs, which is cheaper.</t>
  </si>
  <si>
    <t>Vale has invested in the self-production/acquisition of electricity from renewable sources.  The decarbonization strategy is managed through the energy area, considering the risk management of energy projects, with the support of Climate Change and Strategic Planning.</t>
  </si>
  <si>
    <t>The estimated cost of the Sol do Cerrado Project is an investment of USD 500 million. The Sol do Cerrado Project, with an installed capacity of 766 megawatts-peak, will produce approximately 193 megawatts of energy per year for Vale's operations, contributing significantly to the goal of zero scope 2 in Brazil in 2023 This project, going live at this time, is one of the largest in Latin America.</t>
  </si>
  <si>
    <t>Risco</t>
  </si>
  <si>
    <t>International, national, regional or state emissions regulation</t>
  </si>
  <si>
    <t>In 2023, the International Maritime Organization (IMO) approved a series of new rules to reduce greenhouse gas (GHG) emissions from shipping. The new rules include:
• decrease the carbon intensity of ships through further improvements in energy efficiency for new vessels;
• reduce CO2 emissions per international trip, on average, by at least 40% by 2030 compared to 2008;
• adopt zero or near-zero GHG emission technologies, fuels and/or energy sources to account for at least 5%, seeking 10%, of the energy used by international shipping by 2030;
• peak GHG emissions from international shipping as soon as possible and "achieve net-zero GHG emissions by around 2050, i.e. close to 2050, taking into account different national circumstances, while pursuing efforts to phase them out" in a manner consistent with the Paris Agreement target;</t>
  </si>
  <si>
    <t>Variable. The new rules will require shipping companies to invest in new technologies and operational practices, which will increase operating costs. The cost of shipping is a challenge for the Vale business given the greater distance from our largest buyers (especially China) compared to our competitors.</t>
  </si>
  <si>
    <t>Vale S.A. takes a multifaceted approach to managing risks and opportunities within the company, always seeking to balance these elements to maximize return on investment and minimize potential losses. Vale's core strategy is diversification, investing in technology and innovation in the mining sector with the main focus on less carbon-intensive technologies. When it comes to shipping, the company has the Ecoshipping program, which is an initiative to reduce carbon emissions and promote sustainability in maritime transport. It uses technologies such as rotor sails and hull lubrication, as well as investing in low-carbon fuels. Vale also collaborates with ports and invests in research.</t>
  </si>
  <si>
    <t>In 2021, Vale announced that it will invest between USD 4 billion and USD 6 billion in sustainability-related actions by 2030. this amount indirectly serves to meet the new IMO rules. A major highlight is the shipping ecoshipping program, which has been developing innovative projects in the field.</t>
  </si>
  <si>
    <t>The Influction reduction Act (IRA) is a United States legislation passed in August 2022. The purpose of the IRA is to reduce inflation and support the economy. The IRA does this by investing in clean energy and climate change, as well as health.
Clean energy and climate change
The IRA invests USD 369 billion in clean energy and climate change. These investments include:
Tax credits for renewable energy production, such as solar and wind power
Investments in energy efficiency and modernisation of the electricity grid
Funding for research and development of clean technologies
Incentives for the adoption of electric vehicles
Supporting carbon capture and storage technologies
These investments are designed to reduce greenhouse gas emissions and promote the transition to a cleaner economy.
Health
The IRA also invests USD 203 billion in healthcare. These investments include:
Extension of Affordable Care Act tuition subsidies.</t>
  </si>
  <si>
    <t>Variable. The implications for Vale of the IRA would be mainly related to future spending on the already planned projects, the expansion of transition metals production, mainly in Canada, and the development of new hydrogen and CCS projects. To this end, the IRA has interesting funding options:  
1. Investment of USD 20 billion in clean energy infrastructure, including electric vehicle charging stations and transmission lines.
2. Investments of USD 50 billion in research and development of technologies for mitigation and adaptation to climate change, with an emphasis on decarbonization.
3. Financing of approximately USD 369 billion for the development of "Clean Hydrogen", encouraging the production of hydrogen with low greenhouse gas emissions.
4. Improvements to the carbon capture and storage (CCS) tax credit, with investments of USD 10 billion in demonstration projects, USD 5 billion in research and development.</t>
  </si>
  <si>
    <t>Vale S.A. takes a multifaceted approach to managing risks and opportunities within the company, always seeking to balance these elements to maximize return on investment and minimize potential losses. Vale's core strategy is diversification, investing in technology and innovation in the mining sector with the main focus on less carbon-intensive technologies. In portfolio management, we use the MACC curve to prioritize projects in the development pipeline to achieve reduction targets.
 In addition, the company periodically rebalances its investment portfolio, ensuring that it remains aligned with risk and return objectives. Asset allocation is carefully planned, taking into account the company's long-term investment horizon and risk tolerance profile. To manage the specific risks, Vale employs teams specialized in financial, operational and environmental management, responsible for</t>
  </si>
  <si>
    <t>In 2021, Vale announced that it will invest between USD 4 billion and USD 6 billion in sustainability-related actions by 2030. this amount is indirectly used to meet the IRA, mainly the projects in Canada to expand copper and nickel production.</t>
  </si>
  <si>
    <t>Reputational impact caused by non-compliance with established targets such as Vale's "Non-compliance with the 2030 Carbon Target", which is to reduce Scope 1 and 2 emissions by 33% by 2030.  Financial impacts are considered to be possibly caused by the loss of market share due to reputational issues.</t>
  </si>
  <si>
    <t>Not yet estimated.</t>
  </si>
  <si>
    <t>The Bowtie method of risk analysis is used, with its registration and monitoring by the Bwise system (Risk Management system used by Vale).  Preventive and mitigating controls have been created to manage the risk in question.</t>
  </si>
  <si>
    <t>Investments in emission reduction projects contained in the Mac Curve - Marginal Abatement Cost Curve.  Planned investment for the coming years is up to 6 billion dollars for the implementation of all projects.</t>
  </si>
  <si>
    <t>On December 21, 2023, the Chamber of Deputies approved Bill (PL) 2148/2015, which creates the regulated market for offset securities and generation of credits for greenhouse gas (GHG) emissions in Brazil. 
The Brazilian carbon market will be a regulated market, which means that companies and institutions that emit GHGs will be required to offset their emissions through the purchase of carbon credits. These credits may be generated by projects that reduce or remove GHG emissions, such as renewable energy, afforestation and forest restoration, carbon capture and storage, and energy efficiency projects.</t>
  </si>
  <si>
    <t>Variable. 
The financial implications of the Brazilian carbon market for VALE will depend on a number of factors, including:
The price of carbon credits. If the price of carbon credits increases, VALE will be able to profit from its emission reduction projects or spend more on the purchase of carbon credits to offset its emissions.
The volume of VALE's emissions: The greater the volume of VALE's emissions, the greater the volume destined to the purchase of carbon credits.</t>
  </si>
  <si>
    <t>VALE is taking a number of steps to prepare for the Brazilian carbon market, including:
Investing in emission reduction projects: VALE is investing in emission reduction projects focused on NBS, energy efficiency projects or renewable energy projects. These investments can help the company reduce its emissions and earn carbon credits in the Brazilian carbon market.
Preparing to buy carbon credits: VALE is preparing to buy carbon credits in the Brazilian carbon market. The company is developing processes to identify and evaluate emission reduction projects and to purchase carbon credits efficiently.</t>
  </si>
  <si>
    <t>The costs of the measures taken by VALE to prepare for the Brazilian carbon market are difficult to estimate precisely. However, investments in emission reduction projects represent a significant cost for the company. This cost is managed by the range of projects mentioned in the MACC curve.  Vale announced that it will invest between USD 4 billion and USD 6 billion in sustainability-related actions by 2030 to achieve its emission reduction targets. These amounts will indirectly be used to mitigate the impacts of the future Brazilian regulated carbon market.</t>
  </si>
  <si>
    <t>Changes in consumer attitudes</t>
  </si>
  <si>
    <t>Higher demand for less carbon-intensive products could positively impact Vale, which has the lowest carbon intensity per unit of gross revenue among large mining companies.  Competitiveness has increased significantly and new taxes are being discussed for carbon-intensive products.  Transition minerals, for example, are strategic and fundamental to the future low-carbon economy. Vale is following the opportunities, especially in nickel and copper, expanding beyond current production. Our nickel products are among the lowest CO2 intensity in the industry and our copper is also critical to the infrastructure required by the low-carbon transition.</t>
  </si>
  <si>
    <t>The development and use of less emitting and more efficient technologies is one of Vale's priorities and, therefore, the company has been studying the life cycle of some of its products (carbon footprint) to evaluate and disclose to its customers variables such as low emissions in relation to the average. We have made significant progress in mapping the carbon footprint of Iron Solutions products, increasing the percentage coverage of volume with carbon footprint to 87.2% (Europe 99.7% - sales reference 2023).
In addition, it has studied the impact on Ebtida, the demand for products that are necessary for the transition to a low-carbon economy considering the scenarios of the International Energy Agency.</t>
  </si>
  <si>
    <t>Not yet estimated as they are considered emerging risks.</t>
  </si>
  <si>
    <t>Physical</t>
  </si>
  <si>
    <t>Increase in the incidence of storms and hurricanes</t>
  </si>
  <si>
    <t>Variable. The loss of machinery and production downtime can eventually reach millions of dollars.  Strategic Planning has been working closely with Climate Change and operations to estimate financial impacts.</t>
  </si>
  <si>
    <t xml:space="preserve">Physical Risk Management Methodology: Vale Climate Forecast. The methodology is inspired by the Bowtie Risk Management Methodology.  Vale has developed an adaptation strategy that is based on the insertion of climate change variables into existing risk management processes - this allows it to predict possible future problems and reassess controls, thus eliminating and/or minimizing impacts.  Improvements in Climate Change Risk Management have been implemented and the Physical Risk Management - "Vale Climate Forecast" has two work fronts: short-term impacts (operations) and long-term impacts (operations planning) to test the resilience of assets in the face of Climate Change scenarios. For the short term, the Vale Climate Forecast was developed.  Tool (app and dashboard) capable of taking rain forecast data to help operational areas in decision-making. </t>
  </si>
  <si>
    <t>The costs of responding to the risk of changes in precipitation patterns and extreme variability in weather patterns are the sum of the investments in Vale Climate Forecast (USD 10 thousand) and the Physical Impact Map, which includes the investment in the meteorological radar and studies related to long-term forecast data based on the IPCC RCP 4.5 and RCP 8.5 scenarios that were carried out in 2022 for the Northern Corridor (USD 1.6 million + US$ 255.000).</t>
  </si>
  <si>
    <t>GRI 201-3 (2016)</t>
  </si>
  <si>
    <r>
      <t xml:space="preserve">Description: </t>
    </r>
    <r>
      <rPr>
        <sz val="10"/>
        <color rgb="FF555555"/>
        <rFont val="Arial"/>
        <family val="2"/>
      </rPr>
      <t>Defined benefit plan obligations and other retirement plans</t>
    </r>
  </si>
  <si>
    <t>Brazilian employees of Vale and most of its Brazilian subsidiaries can participate in retirement plans managed by Valia. Most participants in Valia's plans are participants in a plan called “Vale Mais”, which Valia implemented in 2000. This plan is primarily a defined contribution plan with a defined benefit in relation to service prior to 2000 and other defined benefits to cover temporary or permanent disability, retirement and financial protection for dependents in the event of death. Valia also operates a defined benefit plan, closed to new members since May 2000, with benefits based on years of service, salary and social security benefits. This plan covers retired participants and their beneficiaries, as well as a relatively small number of employees who did not want to switch from the old plan to the “Vale Mais” plan, when it was established in May 2000.
Employees of our base metals operations participate in defined benefit pension plans and defined contribution pension plans. Defined benefit plans have been closed to new participants since 2009, and all new employees in our Base Metals operations are eligible to participate in defined contribution pension plans.</t>
  </si>
  <si>
    <t>Independently audited by PriceWaterhouseCoopers Auditores Independentes nas demonstrações financeiras.</t>
  </si>
  <si>
    <t>Salaries and benefits for Vale and its subsidiaries are generally established on a business basis. Our benefits policy is in line with our attraction and retention strategy, in accordance with applicable laws and market practices in the countries where we operate. We provide an attractive and competitive benefits package that guarantees health, well-being, protection and quality of life. Among the main benefits offered are medical and dental assistance, life insurance, private pension plans and short- and long-term disability benefits.
Brazilian employees of Vale and most of its Brazilian subsidiaries can participate in retirement plans managed by Valia. Most participants in Valia's plans are participants in a plan called “Vale Mais”, which Valia implemented in 2000. This plan is primarily a defined contribution plan with a defined benefit in relation to service prior to 2000 and other defined benefits to cover temporary or permanent disability, retirement and financial protection for dependents in the event of death. Valia also operates a defined benefit plan, closed to new members since May 2000, with benefits based on years of service, salary and social security benefits. This plan covers retired participants and their beneficiaries, as well as a relatively small number of employees who did not want to switch from the old plan to the “Vale Mais” plan, when it was established in May 2000.
Employees of our base metals operations participate in defined benefit pension plans and defined contribution pension plans. Defined benefit plans have been closed to new participants since 2009, and all new employees in our Base Metals operations are eligible to participate in defined contribution pension plans.</t>
  </si>
  <si>
    <t>Independently audited by PricewaterhouseCoopers Auditores Independentes Ltda nas demonstrações financeiras.</t>
  </si>
  <si>
    <t>Brazilian employees of Vale and most of its Brazilian subsidiaries can participate in retirement plans administered by Valia. Most of the participants in Valia's plans are participants in a plan called "Vale Mais", which Valia implemented in 2000. This plan is primarily a defined contribution plan with a defined benefit in relation to pre-2000 service and other defined benefits to cover temporary or permanent disability, retirement, and financial protection for dependents in the event of death. Valia also operates a defined benefit plan, closed to new entrants since May 2000, with benefits based on years of service, salary and social security benefits. This plan covers retired participants and their beneficiaries, as well as a relatively small number of employees who did not want the change from the old plan to the "Vale Mais" plan when it was established in May 2000.
The majority of employees in our base metals’ operations participate in defined benefit pension plans and defined contribution pension plans. Defined benefit plans have been closed to new entrants since 2009, and all new employees in our Base Metals’ operations are eligible to participate in defined contribution pension plans. In 2023, Vale Canada, as the administrator of Canadian defined benefit pension plans, completed the purchase of annuity contracts to transfer approximately US$ 836 million of pension plan obligations and associated assets to approximately 3,000 Canadian retirees and beneficiaries.</t>
  </si>
  <si>
    <r>
      <t xml:space="preserve">Note: </t>
    </r>
    <r>
      <rPr>
        <sz val="9"/>
        <color rgb="FF555555"/>
        <rFont val="Arial"/>
        <family val="2"/>
      </rPr>
      <t>More detailed information on retirement plans can be found in the Financial Statements - IFRS (Chapter "Explanatory Notes to the Financial Statements" item "27. Employee benefits" sub-item "Obligations with retirement benefits").
This information is also present in the Reference Forms (Item "14.3 - Description of the Employee Compensation Policy" sub-item "b. benefit policy").</t>
    </r>
  </si>
  <si>
    <t>Financial Statements</t>
  </si>
  <si>
    <t>GRI 201-4 (2016)</t>
  </si>
  <si>
    <r>
      <t xml:space="preserve">Description: </t>
    </r>
    <r>
      <rPr>
        <sz val="10"/>
        <color rgb="FF555555"/>
        <rFont val="Arial"/>
        <family val="2"/>
      </rPr>
      <t>Financial assistance received from the government.</t>
    </r>
  </si>
  <si>
    <t>Within the concept of financial support received from the government, Vale has some tax incentives, which are informed in the Financial Statements and Fiscal Transparency Report, available for consultation.</t>
  </si>
  <si>
    <r>
      <rPr>
        <b/>
        <sz val="9"/>
        <color rgb="FF555555"/>
        <rFont val="Arial"/>
        <family val="2"/>
      </rPr>
      <t>Notes:</t>
    </r>
    <r>
      <rPr>
        <sz val="9"/>
        <color rgb="FF555555"/>
        <rFont val="Arial"/>
        <family val="2"/>
      </rPr>
      <t xml:space="preserve"> Links to the mentioned documents can be found in the "References" tab.
</t>
    </r>
    <r>
      <rPr>
        <vertAlign val="superscript"/>
        <sz val="9"/>
        <color rgb="FF555555"/>
        <rFont val="Arial"/>
        <family val="2"/>
      </rPr>
      <t xml:space="preserve">1 </t>
    </r>
    <r>
      <rPr>
        <sz val="9"/>
        <color rgb="FF555555"/>
        <rFont val="Arial"/>
        <family val="2"/>
      </rPr>
      <t>The publication of the 2023 Tax Transparency Report will take place after the Integrated Report is published, to access it simply access the link in the table above.</t>
    </r>
  </si>
  <si>
    <t>GRI 202-1 (2016)</t>
  </si>
  <si>
    <r>
      <rPr>
        <b/>
        <sz val="10"/>
        <color rgb="FF555555"/>
        <rFont val="Arial"/>
        <family val="2"/>
      </rPr>
      <t xml:space="preserve">Description: </t>
    </r>
    <r>
      <rPr>
        <sz val="10"/>
        <color rgb="FF555555"/>
        <rFont val="Arial"/>
        <family val="2"/>
      </rPr>
      <t>Ratios of standard entry level wageby g ender compared to local minimum wage</t>
    </r>
  </si>
  <si>
    <t>The local minimum wage is respected by Vale and base salaries do not differ between men and women who perform the same function, in accordance with the Human Resources Policy.</t>
  </si>
  <si>
    <t>Vale respects the local minimum wage defined by law, and there is no difference in base wages between women and men who perform the same functions, as determined by the Human Resources Policy.</t>
  </si>
  <si>
    <t>Vale remunerates 100% of its employees within the international parameters of the Living Wage global coalition (a term for living wages) , aimed at establishing remuneration standards necessary for the well-being of workers and their families.</t>
  </si>
  <si>
    <t>We pay 100% of our employees a living wage1, according to an external evaluation carried out in 2022. Deductions or restrictions on remuneration that could result in the employee being indebted to the company are prohibited.</t>
  </si>
  <si>
    <r>
      <rPr>
        <b/>
        <sz val="9"/>
        <color rgb="FF555555"/>
        <rFont val="Arial"/>
        <family val="2"/>
      </rPr>
      <t xml:space="preserve">Notes: </t>
    </r>
    <r>
      <rPr>
        <vertAlign val="superscript"/>
        <sz val="9"/>
        <color rgb="FF555555"/>
        <rFont val="Arial"/>
        <family val="2"/>
      </rPr>
      <t xml:space="preserve">1 </t>
    </r>
    <r>
      <rPr>
        <sz val="9"/>
        <color rgb="FF555555"/>
        <rFont val="Arial"/>
        <family val="2"/>
      </rPr>
      <t>Paying a living wage means providing the means for an individual/family to acquire the goods and services necessary to achieve a basic and dignified standard of living (food, housing, education, transportation, leisure, culture, etc.) in line with the social and cultural expectations of the community and/or country where the individual is located.</t>
    </r>
  </si>
  <si>
    <t>GRI 202-2 (2016)</t>
  </si>
  <si>
    <r>
      <rPr>
        <b/>
        <sz val="10"/>
        <color rgb="FF555555"/>
        <rFont val="Arial"/>
        <family val="2"/>
      </rPr>
      <t xml:space="preserve">Description: </t>
    </r>
    <r>
      <rPr>
        <sz val="10"/>
        <color rgb="FF555555"/>
        <rFont val="Arial"/>
        <family val="2"/>
      </rPr>
      <t>Proportion of senior management hired from the local community</t>
    </r>
  </si>
  <si>
    <t>67% of own employees come from local communities
46% of senior management members are from the local hiring community</t>
  </si>
  <si>
    <t>66% of own employees come from local communities
40% of senior management members are from the local hiring community</t>
  </si>
  <si>
    <t>54% of own employees come from local communities
45% of senior management members are from the local hiring community</t>
  </si>
  <si>
    <t>62% of own employees come from local communities
48% of senior management members are from the local hiring community</t>
  </si>
  <si>
    <t>60% of own employees come from local communities
34% of senior management members are from the local hiring community</t>
  </si>
  <si>
    <t>GRI 203-1 (2016)</t>
  </si>
  <si>
    <r>
      <rPr>
        <b/>
        <sz val="10"/>
        <color rgb="FF555555"/>
        <rFont val="Arial"/>
        <family val="2"/>
      </rPr>
      <t xml:space="preserve">Description: </t>
    </r>
    <r>
      <rPr>
        <sz val="10"/>
        <color rgb="FF555555"/>
        <rFont val="Arial"/>
        <family val="2"/>
      </rPr>
      <t>Investments in infrastructure and services supported</t>
    </r>
  </si>
  <si>
    <t>In 2019, Vale contributed US$ 738.7 million in socio-environmental expenditures, considering the amounts spent on repairs after the rupture of Dam I, in Brumadinho. In the social sphere, the largest investments were aimed at indigenous peoples and traditional communities, in addition to initiatives related to culture, support for communities and job and income generation, totaling US$ 190.2 million. In the environmental field, the amount spent was US$ 548.5 million, mainly related to waste management, atmospheric emissions and water resources.</t>
  </si>
  <si>
    <t>In 2020, Vale contributed USD 1 billion in socio-environmental expenditures, including projects related to repairing the rupture of Dam I, in Brumadinho. In the social sphere, the largest investments were focused on health (43%) – including actions to combat Covid-19, urban infrastructure (12%), culture (12%), education (6%) and social protection (6% ), for a total of US$390 million. In the environmental field, the amount spent was USD 609.9 million, mainly related to water resources (21%), environmental liabilities (18%), waste (13%), environmental conservation (13%) and atmospheric emissions (11%) .</t>
  </si>
  <si>
    <t>In 2021, Vale contributed USD 1.3 billion in socio-environmental expenditures, including those related to Brumadinho, which represented an increase of 28% compared to 2020. As for environmental expenditures, the contribution totaled USD 804.2 million, of which water, environmental liabilities and energy the biggest expenses. Social expenditures totaled USD 473.5, of which 73% came from own resources and 27% through incentive laws. The main expenditures were on urban infrastructure and mobility, culture, health and social protection.</t>
  </si>
  <si>
    <t>Independently assured by PricewaterhouseCoopers Auditores Independentes Ltda.</t>
  </si>
  <si>
    <t>In 2022, there were US$2.4 billion in socio-environmental and institutional expenditures, including those related to Brumadinho, which represented a 83% increase compared to 2021, as follows:
- US$1,609 billion dedicated to social and institutional initiatives, of which 94% are own resources and 6% are investments from incentivized resources. 
The main expenses were in the areas of infrastructure and mobility, social protection, health, and culture.
- US$766.9 million dedicated to environmental initiatives considering Vale's internal expenditures, with main expenses in environmental liabilities, water resources and atmospheric emissions.</t>
  </si>
  <si>
    <r>
      <rPr>
        <b/>
        <sz val="9"/>
        <color rgb="FF555555"/>
        <rFont val="Arial"/>
        <family val="2"/>
      </rPr>
      <t xml:space="preserve">Notes: </t>
    </r>
    <r>
      <rPr>
        <vertAlign val="superscript"/>
        <sz val="9"/>
        <color rgb="FF555555"/>
        <rFont val="Arial"/>
        <family val="2"/>
      </rPr>
      <t xml:space="preserve">1 </t>
    </r>
    <r>
      <rPr>
        <sz val="9"/>
        <color rgb="FF555555"/>
        <rFont val="Arial"/>
        <family val="2"/>
      </rPr>
      <t>Amount includes expenses with Incentive Laws and Pará Structure Program
The concept of significant investments used for reporting indicator 203-1 can be verified on the "Base of Preparation" tab of this document.</t>
    </r>
  </si>
  <si>
    <t>GRI 203-2 (2016)</t>
  </si>
  <si>
    <r>
      <rPr>
        <b/>
        <sz val="10"/>
        <color rgb="FF555555"/>
        <rFont val="Arial"/>
        <family val="2"/>
      </rPr>
      <t xml:space="preserve">Description: </t>
    </r>
    <r>
      <rPr>
        <sz val="10"/>
        <color rgb="FF555555"/>
        <rFont val="Arial"/>
        <family val="2"/>
      </rPr>
      <t>Significant indirect economic impacts</t>
    </r>
  </si>
  <si>
    <t>The significant indirect economic impacts identified were:
◦ Increased demand for infrastructure, services and products;
◦ Increased housing deficit and greater demand for public health, education, social protection and public security services;
◦ Pressure from society involving traditional territories;
◦ Strengthening community organization based on social participation in the company's initiatives and its value chain;
◦ Development and hiring of labor, suppliers and purchases of local products and services, generating an increase in tax collection and the public power's investment capacity;
◦ Increase in the population's income level, incentives for the expansion of the service sector, commercial activities and greater formalization of the economy;
◦ Development of social investment and local development programs and actions;
◦ Development of programs that work on the autonomy and training of these associations in public policy and management.</t>
  </si>
  <si>
    <t>The significant indirect economic impacts identified were:
◦ Increased pressure on public infrastructure (health, education, security, social protection and housing);
◦ Increase in the local cost of living;
◦ Development of social investment and local development programs and actions;
◦ Development and hiring of local labor, suppliers and purchases of local products and services, generating an increase in tax collection and the public power's investment capacity;
◦ Increase in the population's income level, incentives for the expansion of the service sector, commercial activities and greater formalization of the economy;
◦ Strengthening community organization based on social participation in the company's initiatives and its value chain.</t>
  </si>
  <si>
    <t>The significant indirect economic impacts identified in the socio-environmental studies presented for the environmental licensing processes were:
• Increased pressure on public infrastructure (health, education, security, social protection and housing)
• Road system overload
• Change in the population's daily life, in social and cultural relationships built and uncomfortable for the population
• Generation of Expectations Regarding Employability and Business
• Generation of Expectations regarding the Land Negotiation
• Strengthening Community Organization and Social Development
• Generation of opportunities and new business
• Development and hiring of local labor, suppliers and purchases of local products and services, generating an increase in tax collection and investment capacity of the public authorities
• Increase in the population's income level, incentives for the expansion of the service sector, commercial activities and greater formalization of the economy</t>
  </si>
  <si>
    <t>The significant indirect economic impacts identified in the socio-environmental studies presented for the environmental licensing processes were:
• Increased pressure on public infrastructure (health, education, security, social protection and housing)
• Road system overload
• Change in the population's daily life, in social and cultural relationships built and uncomfortable for the population
• Change in migration flow
• Generation of Expectations Regarding Employability and Business
• Generation of Expectations regarding the Land Negotiation
• Strengthening Community Organization and Social Development
• Generation of opportunities and new business
• Development and hiring of local labor, suppliers and purchases of local products and services, generating an increase in tax collection and investment capacity of the public authorities
• Increase in the population's income level, incentives for the expansion of the service sector, commercial activities and greater formalization of the economy
Other information on the indirect economic impact can be verified in the "Material Issues" tab of this document in the Management Form of the theme Local Communities.</t>
  </si>
  <si>
    <t>The significant indirect economic impacts identified in the socio-environmental studies presented for the environmental licensing processes were:
Positive:
- Improvement of local accessibility
- Dynamization of economic activities
- Strengthening Community Organization and Social Development
- Development of local suppliers
- Generation of direct and indirect jobs
- Tax Revenue Collection
- Local development
- Demands for services, equipment and inputs with local suppliers
- Inclusion of workers in the social safety net
- Improvement of local employability conditions
- Increase in household income and purchasing power of the population
- Dynamization of the tertiary sector
- Generation of opportunities and new business
- Strengthening of companies by increasing the demand for goods and services
- Preparation for the labour market.
Negative:
- Nuisances associated with mobility, noise, vibration and particulate emissions.
- Generation of vehicle and people traffic
- Alteration in the social and cultural relations built
- Change in Pressure on Public Services and Equipment
- Changing Demographic Dynamics
- Alteration of the Daily Life of Populations
- Loss of Archaeological Heritage
- Negative impact on fishing areas due to the creation of an exclusion zone
- Alteration of the Health Conditions of the Population
- Generation of Expectations regarding Land Negotiation
- Generation of Expectations regarding Employability and Business
- Alteration of existing productive activities
- Disorderly occupation of urban space
- Increase in the sale and rental value of properties
- Changing Economic Dynamics
- Change in the Labour and Goods and Services Market
- Generation of expectations in the population
- Visual disturbance due to the alteration of the landscape.</t>
  </si>
  <si>
    <t>GRI 204-1 (2016)</t>
  </si>
  <si>
    <r>
      <rPr>
        <b/>
        <sz val="10"/>
        <color rgb="FF555555"/>
        <rFont val="Arial"/>
        <family val="2"/>
      </rPr>
      <t xml:space="preserve">Description: </t>
    </r>
    <r>
      <rPr>
        <sz val="10"/>
        <color rgb="FF555555"/>
        <rFont val="Arial"/>
        <family val="2"/>
      </rPr>
      <t>Proportion of spending on local suppliers</t>
    </r>
  </si>
  <si>
    <t>In 2019, the percentage of Vale's local purchases, considering purchases made within the states/provinces of the operations that made the purchases, was 51%.</t>
  </si>
  <si>
    <t>Assegurado independentemente pela SGS ICS Certificadora Ltda.</t>
  </si>
  <si>
    <t>In 2020, the percentage of Vale's local purchases, considering purchases made within the states/provinces of the operations that made the purchases, was 52%.</t>
  </si>
  <si>
    <t>In 2021, the percentage of Vale's local purchases, considering purchases made within the states/provinces of the operations that made the purchases, was 53%.</t>
  </si>
  <si>
    <t>In 2022, the percentage of Vale's local purchases, considering purchases made within the states/provinces of the operations that made the purchases, was 56%.</t>
  </si>
  <si>
    <t>In 2023, the percentage of Vale's local purchases, considering purchases made within the states/provinces of the operations that made the purchases, was 55%.</t>
  </si>
  <si>
    <r>
      <t xml:space="preserve">Note: </t>
    </r>
    <r>
      <rPr>
        <sz val="9"/>
        <color rgb="FF555555"/>
        <rFont val="Arial"/>
        <family val="2"/>
      </rPr>
      <t xml:space="preserve">The data has no differentiation of important Operational Units, as these are the values referring to local purchases for the entire company. The reporting will be improved for the next cycles. </t>
    </r>
  </si>
  <si>
    <t>GRI 205-1 (2016)</t>
  </si>
  <si>
    <r>
      <rPr>
        <b/>
        <sz val="10"/>
        <color rgb="FF555555"/>
        <rFont val="Arial"/>
        <family val="2"/>
      </rPr>
      <t>Description:</t>
    </r>
    <r>
      <rPr>
        <sz val="10"/>
        <color rgb="FF555555"/>
        <rFont val="Arial"/>
        <family val="2"/>
      </rPr>
      <t xml:space="preserve"> Operations assessed for risks related to corruption</t>
    </r>
  </si>
  <si>
    <t>20,553 assessments were carried out regarding risks related to corruption, with 100% of Vale's operations assessed.</t>
  </si>
  <si>
    <t>17 controls related to Vale's anti-corruption rules, 6 of which are classified as key controls. They are: socio-environmental investments, donations and sponsorships, suppliers in general, high-risk suppliers, hiring public agents and training. These controls are replicated to 41 risk owners (first line of defense), who must monitor their areas more closely, bearing in mind Vale's risk methodology, based on the three lines of defense. 100% of Vale's operations are covered by such controls and were assessed for risks related to corruption.</t>
  </si>
  <si>
    <t>In 2021, 100% of Vale's operations were subject to an assessment of risks related to corruption, the Corporate Integrity model of operation is segmented by region and not by line of business. We have 3 regions: Latin America and Africa; Canada and Europe; APME. These risks are deployed internally among the areas according to the degree of exposure to corruption and have associated controls and clear anti-corruption rules.
In total, 17 controls are related to Vale's anti-corruption rules, six of which are classified as key controls and related to approvals of socio-environmental investments, specific conditions for donations and sponsorships, suppliers in general, high-risk suppliers, hiring public agents and Ethics &amp; Compliance Program training.</t>
  </si>
  <si>
    <t>In 2022, 100% of Vale's operations (57 operating units) were subject to an assessment of risks related to corruption, the Corporate Integrity model of operation is segmented by region and not by business line. We have 3 regions: Latin America and Africa; Canada and Europe; APME. These risks are deployed internally among the areas according to the degree of exposure to corruption and have associated controls and clear anti-corruption rules.
In total, 19 controls are related to Vale's anti-corruption rules, six of which are classified as key controls and related to approvals of socio-environmental investments, specific conditions for donations and sponsorships, suppliers in general, high-risk suppliers, hiring public agents and Ethics &amp; Compliance Program training.</t>
  </si>
  <si>
    <t xml:space="preserve">In 2023, 100% of Vale's operations (57 operating units) were submitted to a risk assessment related to corruption, the Corporate Integrity operating model is segmented by regions and not by line of business. We have 3 regions: Latin America and Africa; Canada and Europe; APME. These risks are deployed internally across areas according to the degree of exposure to corruption and have associated controls and clear anti-corruption rules.  
In total, 17 controls are related to Vale's anti-corruption rules, five of which are classified as key controls and related to approvals of social and environmental investments, specific conditions for donations and sponsorships, suppliers in general, high-risk suppliers, hiring of public agents and Ethics &amp; Compliance Program training.  </t>
  </si>
  <si>
    <r>
      <rPr>
        <b/>
        <sz val="9"/>
        <color rgb="FF555555"/>
        <rFont val="Arial"/>
        <family val="2"/>
      </rPr>
      <t xml:space="preserve">Note: </t>
    </r>
    <r>
      <rPr>
        <sz val="9"/>
        <color rgb="FF555555"/>
        <rFont val="Arial"/>
        <family val="2"/>
      </rPr>
      <t>Reports prior to 2020 referred to due diligences carried out for transactions with Vale. As of 2020, we changed the criteria and are reporting more in line with the company's risk map. We started to report the number of controls we have related to anti-corruption rules. In Vale's consolidated risk map, there are 3 potential risks related to corruption pointed out. They are: (1) public agent corruption; (2) liabilities from unlawful acts related to corruption due to corporate transactions; and (3) undue influence during the investigation process, related to corruption, conducted by public bodies. And for these 3 potential risks mentioned, Vale has 17 controls related to anti-corruption rules, 15 of which are preventive and 2 are mitigating.</t>
    </r>
  </si>
  <si>
    <t>GRI 205-2 (2016)</t>
  </si>
  <si>
    <r>
      <rPr>
        <b/>
        <sz val="10"/>
        <color rgb="FF555555"/>
        <rFont val="Arial"/>
        <family val="2"/>
      </rPr>
      <t>Description:</t>
    </r>
    <r>
      <rPr>
        <sz val="10"/>
        <color rgb="FF555555"/>
        <rFont val="Arial"/>
        <family val="2"/>
      </rPr>
      <t xml:space="preserve"> Communication and training on anti-corruption policies and procedures</t>
    </r>
  </si>
  <si>
    <t>100% of company employees, including senior management, were informed about the anti-corruption policy and procedures. Regarding training on the subject, 100% of senior management received training in combating corruption, this index is 53% for own employees.
Regarding business partners, 6.7% were informed about the organization's anti-corruption policy and procedures.</t>
  </si>
  <si>
    <t>82.88% of own employees participated in the Movement for Integrity, which addresses ethics and integrity issues. 79.16% of employees received specific training on anti-corruption policies and rules. 1,603 employees from areas classified as priority (more sensitive to the risk of corruption) received specific and targeted training on Vale's anti-corruption rules.
57% of senior governance employees were informed about the anti-corruption policy and procedures. Regarding training on the subject, in 2020, no specific training was carried out on anti-corruption rules for Vale's senior governance, which from 2020 became biannual. Only follow-up meetings were held. Training for this audience was carried out in 2019 and will be repeated in 2021.
With regard to commercial partners, 2.46% suppliers (100% of those classified as high risk) were informed about the organization's anti-corruption policy and procedures.</t>
  </si>
  <si>
    <t>In 2021, 83.54% of Vale's workforce signed the new Code acknowledgment and commitment term. 100% of senior management (50 members), directors, executive managers, supervisors, area managers and coordinators were informed about the anti-corruption policy and procedures adopted by the organization. Regarding the staffs, 72% were notified. For business partners, 1597 partners (2.4%) were informed about Vale's anti-corruption policy. This percentage takes into account only suppliers classified as “high risk” of corruption that have active contracts with Vale. All suppliers at high risk of corruption must receive a copy of Vale's anti-corruption guide and adhere to its terms. In 2021, mass communication actions were also carried out for Vale's suppliers, including the release of a message from the company's leadership on the International Day Against Corruption: http://www.vale.com/brasil/PT/aboutvale/ news/Pages/dia-internacional-contra-a-corrupcao-learn-more-about-the-valley-commitment-to-ethics.aspx.
We carried out the first global edition of the conflict of interest campaign at a global level, with the participation of 34,422 employees (64.17% of employees with access to a computer). In the year, there was also the launch of a new online ethics and compliance course, where 89.0% of the staff was trained. With regard to high governance, 74% of members were trained in combating corruption.</t>
  </si>
  <si>
    <t>About notices regarding Vale's anti-corruption policies and procedures:
• The 22 members (100%) of Vale's top leadership received communications about the company's anti-corruption rules, participated in the Ethics Week and/or accountability meetings of the Ethics &amp; Compliance Program;
• 100% of senior leadership (22 members), directors (40 employees), executive managers (159 employees), supervisors (2748 employees), area managers and coordinators (2166 employees) were informed about the anti-corruption policy and procedures adopted by organization. Regarding the staffs, 74% (43757 employees with access to e-mail) were notified.
• With regard to commercial partners, 525 were communicated on the subject, representing 6% of the partners. This percentage takes into account only suppliers classified as “high risk” of corruption that have active contracts with Vale. All suppliers at high risk of corruption must receive a copy of Vale's anti-corruption guide available at https://vale.com/fornecedores
On anti-corruption training:
• More than 60,000 Vale employees received training, representing 93% of the workforce;
• 20 members (91%) of Vale's senior management, including the Executive Committee and Board of Directors, underwent training.</t>
  </si>
  <si>
    <t>About notices regarding Vale's anti-corruption policies and procedures:
• The 22 members (100%) of Vale's top leadership received communications about the company's anti-corruption rules, participated in the Ethics Week and/or accountability meetings of the Ethics &amp; Compliance Program;
• 100% of the senior leadership (22 members, 9 members of the Executive Committee (including the CEO of Vale) and 13 members of the Board of Directors), 100% of the directors (217 employees), 100% of the general managers (292 employees), 99.9% of the managers (1189 employees), 99.9% of the coordinators (973 employees), 100% of the supervisors (2749 employees), 87.2% of technical specialists (130 employees), 99.4% of the administrative staff (1557 employees),  97.9% of the operational staff (45538 employees) and 99.8% of the professional technicians (12474 employees) were informed about the anti-corruption policy and procedures adopted by the organization.
• With regard to commercial partners, 492 were communicated on the subject, representing 6% of the partners. This percentage takes into account only suppliers classified as “high risk” of corruption that have active contracts with Vale. All suppliers at high risk of corruption must receive a copy of Vale's anti-corruption guide available at https://vale.com/fornecedores
On anti-corruption training:
• More than 63,000 Vale's own employees received training, representing 95.7% of the workforce;
• 20 members (90.9%) of Vale's senior management, including the Executive Committee and Board of Directors, underwent training.</t>
  </si>
  <si>
    <t>Country</t>
  </si>
  <si>
    <t>Own Employees
(2-7 e 2-8)</t>
  </si>
  <si>
    <t>Total people communicated</t>
  </si>
  <si>
    <t>% of people communicated</t>
  </si>
  <si>
    <t>Total people who received training</t>
  </si>
  <si>
    <t>% of people who received training</t>
  </si>
  <si>
    <t>Total number of people who received specific training</t>
  </si>
  <si>
    <t>% of people who received specific training</t>
  </si>
  <si>
    <t>Brazil</t>
  </si>
  <si>
    <t>55,247</t>
  </si>
  <si>
    <t>55,049</t>
  </si>
  <si>
    <t>99.6%</t>
  </si>
  <si>
    <t>53,494</t>
  </si>
  <si>
    <t>96.8%</t>
  </si>
  <si>
    <t>3.4%</t>
  </si>
  <si>
    <t>Argentina</t>
  </si>
  <si>
    <t>100.0%</t>
  </si>
  <si>
    <t>0.0%</t>
  </si>
  <si>
    <t>Australia</t>
  </si>
  <si>
    <t>Canada</t>
  </si>
  <si>
    <t>6,810</t>
  </si>
  <si>
    <t>6,593</t>
  </si>
  <si>
    <t>6,197</t>
  </si>
  <si>
    <t>91.0%</t>
  </si>
  <si>
    <t>0.2%</t>
  </si>
  <si>
    <t>Chile</t>
  </si>
  <si>
    <t>7.1%</t>
  </si>
  <si>
    <t>China</t>
  </si>
  <si>
    <t>97.1%</t>
  </si>
  <si>
    <t>58.6%</t>
  </si>
  <si>
    <t>U.S</t>
  </si>
  <si>
    <t>Netherlands</t>
  </si>
  <si>
    <t>21.1%</t>
  </si>
  <si>
    <t>India</t>
  </si>
  <si>
    <t>Indonesia</t>
  </si>
  <si>
    <t>3,166</t>
  </si>
  <si>
    <t>2,897</t>
  </si>
  <si>
    <t>91.5%</t>
  </si>
  <si>
    <t>2,712</t>
  </si>
  <si>
    <t>14.6%</t>
  </si>
  <si>
    <t>Japan</t>
  </si>
  <si>
    <t>44.9%</t>
  </si>
  <si>
    <t>Malaysia</t>
  </si>
  <si>
    <t>10.6%</t>
  </si>
  <si>
    <t>Oman</t>
  </si>
  <si>
    <t>9.4%</t>
  </si>
  <si>
    <t>United Arab Emirates - Dubai</t>
  </si>
  <si>
    <t>80.0%</t>
  </si>
  <si>
    <t>Peru</t>
  </si>
  <si>
    <t>3.8%</t>
  </si>
  <si>
    <t>UK</t>
  </si>
  <si>
    <t>Singapore</t>
  </si>
  <si>
    <t>32.0%</t>
  </si>
  <si>
    <t>Switzerland</t>
  </si>
  <si>
    <t>42.9%</t>
  </si>
  <si>
    <t>Taiwan</t>
  </si>
  <si>
    <t>Total Vale Global</t>
  </si>
  <si>
    <t>66,807</t>
  </si>
  <si>
    <t>66,119</t>
  </si>
  <si>
    <t>63,939</t>
  </si>
  <si>
    <t>2,651</t>
  </si>
  <si>
    <t>4.0%</t>
  </si>
  <si>
    <r>
      <rPr>
        <b/>
        <sz val="9"/>
        <color rgb="FF555555"/>
        <rFont val="Arial"/>
        <family val="2"/>
      </rPr>
      <t>Note:</t>
    </r>
    <r>
      <rPr>
        <sz val="9"/>
        <color rgb="FF555555"/>
        <rFont val="Arial"/>
        <family val="2"/>
      </rPr>
      <t xml:space="preserve"> Members of the board of directors have not been accounted for, as they are not company employees.</t>
    </r>
  </si>
  <si>
    <t>GRI 205-3 (2016)</t>
  </si>
  <si>
    <r>
      <rPr>
        <b/>
        <sz val="10"/>
        <color rgb="FF555555"/>
        <rFont val="Arial"/>
        <family val="2"/>
      </rPr>
      <t xml:space="preserve">Description: </t>
    </r>
    <r>
      <rPr>
        <sz val="10"/>
        <color rgb="FF555555"/>
        <rFont val="Arial"/>
        <family val="2"/>
      </rPr>
      <t>Confirmed cases of corruption and measures taken</t>
    </r>
  </si>
  <si>
    <t>During the period, no cases of corruption were identified in relation to public agents. Three cases of private corruption involving suppliers were confirmed. All of them were analyzed by the company, which proceeded with the termination of a contract, blocking the supplier and dismissing the three employees involved.</t>
  </si>
  <si>
    <t>In 2020, 7 cases of private corruption were confirmed, in all cases employees were dismissed or punished. There was also the blocking of 3 suppliers after verification. There were no corruption-related lawsuits filed against the organization or its employees during the reporting period.</t>
  </si>
  <si>
    <t>In 2021, no cases of corruption involving public agents were identified. Through the company's Whistleblower Channel, 3 cases of bribery involving private companies were identified, all of which resulted in actions to terminate the employees involved. There were no corruption-related legal proceedings filed/initiated between January 1 and December 31, 2021.</t>
  </si>
  <si>
    <t>In 2022, 4 cases of private corruption were confirmed, which resulted in the dismissal of an employee and a notification to a third party. There were no cases of termination or non-renewal of contracts due to corruption in any jurisdiction. Vale is a party to confidential and non-confidential judicial, administrative and arbitration proceedings, considered relevant individually or jointly, and, based on applicable legislation and regulations, duly discloses such proceedings in its Reference Form available on the company's website : https://vale.com/pt/comunicados-resultados-apresentacoes-e-reports.</t>
  </si>
  <si>
    <t>In 2023, 2 cases of private corruption were confirme. In the first case, the accused was demobilized from the contract during the investigation process for low performance, in the second case, the employee will be terminated for misconduct, in addition to its low performance, according to the ongoing action plan. There have been no cases of termination or non-renewal of contracts due to corruption in any jurisdiction. Vale is a party to confidential and non-confidential judicial, administrative and arbitration proceedings, considered relevant individually or jointly, and, based on the applicable laws and regulations, duly discloses such proceedings in its 2023 Reference Form.</t>
  </si>
  <si>
    <t>GRI 206-1 (2016)</t>
  </si>
  <si>
    <r>
      <rPr>
        <b/>
        <sz val="10"/>
        <color rgb="FF555555"/>
        <rFont val="Arial"/>
        <family val="2"/>
      </rPr>
      <t xml:space="preserve">Description: </t>
    </r>
    <r>
      <rPr>
        <sz val="10"/>
        <color rgb="FF555555"/>
        <rFont val="Arial"/>
        <family val="2"/>
      </rPr>
      <t>Legal actions for anti-competitive behavior, anti-trust, and monopoly practices</t>
    </r>
  </si>
  <si>
    <t>There were no lawsuits for competitive behavior, antitrust and monopoly practices</t>
  </si>
  <si>
    <t>GRI 207-1 (2019)</t>
  </si>
  <si>
    <r>
      <rPr>
        <b/>
        <sz val="10"/>
        <color rgb="FF555555"/>
        <rFont val="Arial"/>
        <family val="2"/>
      </rPr>
      <t xml:space="preserve">Description: </t>
    </r>
    <r>
      <rPr>
        <sz val="10"/>
        <color rgb="FF555555"/>
        <rFont val="Arial"/>
        <family val="2"/>
      </rPr>
      <t>Approach to tax</t>
    </r>
  </si>
  <si>
    <t>The data referring to this indicator was not part of the assurance reporting scope, since the Tax Transparency Report will be published after the publication date of the Integrated Report. The data should be consulted through the link: https://www.vale.com/en/comunicados-resultados-apresentacoes-e-relatorios.</t>
  </si>
  <si>
    <t>Vale discloses its approach to tax risks, its approach to tax planning and other general guidelines through its Tax Compliance Policy - POL-0046-G.
The data referring to this indicator that are not in the Tax Compliance Policy were not part of the scope of assurance reporting, since the Tax Transparency Report that will contain references to this indicator will be released after the date of publication of the Integrated Report. The data should be consulted through the link below.</t>
  </si>
  <si>
    <t>Tax Policy - POL-0046-G</t>
  </si>
  <si>
    <t>Tax Transparency report</t>
  </si>
  <si>
    <t>GRI 207-2 (2019)</t>
  </si>
  <si>
    <r>
      <rPr>
        <b/>
        <sz val="10"/>
        <color rgb="FF555555"/>
        <rFont val="Arial"/>
        <family val="2"/>
      </rPr>
      <t>Description:</t>
    </r>
    <r>
      <rPr>
        <sz val="10"/>
        <color rgb="FF555555"/>
        <rFont val="Arial"/>
        <family val="2"/>
      </rPr>
      <t xml:space="preserve"> Tax governance, control and risk management</t>
    </r>
  </si>
  <si>
    <t>GRI 207-3 (2019)</t>
  </si>
  <si>
    <r>
      <rPr>
        <b/>
        <sz val="10"/>
        <color rgb="FF555555"/>
        <rFont val="Arial"/>
        <family val="2"/>
      </rPr>
      <t xml:space="preserve">Description: </t>
    </r>
    <r>
      <rPr>
        <sz val="10"/>
        <color rgb="FF555555"/>
        <rFont val="Arial"/>
        <family val="2"/>
      </rPr>
      <t>Stakeholder engagement and management of concerns related to tax</t>
    </r>
  </si>
  <si>
    <t>GRI 2-27 (2021)</t>
  </si>
  <si>
    <r>
      <rPr>
        <b/>
        <sz val="10"/>
        <color rgb="FF555555"/>
        <rFont val="Arial"/>
        <family val="2"/>
      </rPr>
      <t xml:space="preserve">Description: </t>
    </r>
    <r>
      <rPr>
        <sz val="10"/>
        <color rgb="FF555555"/>
        <rFont val="Arial"/>
        <family val="2"/>
      </rPr>
      <t>Compliance with laws and regulations</t>
    </r>
  </si>
  <si>
    <r>
      <rPr>
        <b/>
        <sz val="9"/>
        <color rgb="FF555555"/>
        <rFont val="Arial"/>
        <family val="2"/>
      </rPr>
      <t>Note:</t>
    </r>
    <r>
      <rPr>
        <sz val="9"/>
        <color rgb="FF555555"/>
        <rFont val="Arial"/>
        <family val="2"/>
      </rPr>
      <t xml:space="preserve"> The information reported in this indicator was independently assured by PricewaterhouseCoopers Auditores Independentes Ltda.</t>
    </r>
  </si>
  <si>
    <t>Region</t>
  </si>
  <si>
    <r>
      <t>Non-monetary sanctions and fines for significant</t>
    </r>
    <r>
      <rPr>
        <b/>
        <vertAlign val="superscript"/>
        <sz val="10"/>
        <color rgb="FF555555"/>
        <rFont val="Arial"/>
        <family val="2"/>
      </rPr>
      <t>1</t>
    </r>
    <r>
      <rPr>
        <b/>
        <sz val="10"/>
        <color rgb="FF555555"/>
        <rFont val="Arial"/>
        <family val="2"/>
      </rPr>
      <t xml:space="preserve"> cases in 2023</t>
    </r>
  </si>
  <si>
    <t>Environment</t>
  </si>
  <si>
    <t>Mining regulation</t>
  </si>
  <si>
    <t>Labor</t>
  </si>
  <si>
    <r>
      <t>Others</t>
    </r>
    <r>
      <rPr>
        <b/>
        <vertAlign val="superscript"/>
        <sz val="10"/>
        <color rgb="FF555555"/>
        <rFont val="Arial"/>
        <family val="2"/>
      </rPr>
      <t>1</t>
    </r>
  </si>
  <si>
    <t>Non-monetary sanctions</t>
  </si>
  <si>
    <t>Fines</t>
  </si>
  <si>
    <t>South America</t>
  </si>
  <si>
    <t>1²</t>
  </si>
  <si>
    <t>North America</t>
  </si>
  <si>
    <t>Europe</t>
  </si>
  <si>
    <t>Asia</t>
  </si>
  <si>
    <r>
      <t>Note:</t>
    </r>
    <r>
      <rPr>
        <sz val="9"/>
        <color rgb="FF555555"/>
        <rFont val="Arial"/>
        <family val="2"/>
      </rPr>
      <t xml:space="preserve"> ¹ For information on the concept considered for the term "significant", as well as the other legal areas covered by the report, which are considered in the "Other" column of the tables, see the Databook under the "Glossary - Basis of Preparation" tab.
² This is a sanction resulting from an administrative process of accountability "PAR" initiated by the Comptroller General of the Union (CGU), which through a decision published in August 2022 concluded that Vale S.A. failed to present reliable information in the system of the National Mining Agency (ANM) in relation to Dam I in Brumadinho/MG and that it issued a positive Declaration of Condition of Stability for this structure, referring to the period from June to September 2018, when, in the opinion of said body, it should be negative. The sanction applied was based on Law 12.846/13, even though the agency acknowledged that there had been no acts of corruption and that there had been no involvement or tolerance by senior management in the facts found in the PAR. However, as it considered that the circumstances found constituted an act harmful to the Public Administration by hindering the inspection of the mining authority, it set a fine of R$86.2 million. A writ of mandamus filed by Vale S.A. with the Superior Court of Justice against the administrative decision handed down by the CGU is currently pending, as it disagrees with the conviction and considers Law No. 12,846/2013 to be inapplicable to the case.</t>
    </r>
  </si>
  <si>
    <t>Fines paid in 2023</t>
  </si>
  <si>
    <t>Total monetary value of fines paid in 2023 (USD)</t>
  </si>
  <si>
    <t>Others</t>
  </si>
  <si>
    <t>2³</t>
  </si>
  <si>
    <t>2,747,534.27</t>
  </si>
  <si>
    <t>17,284,702.84³</t>
  </si>
  <si>
    <t>8,762.32</t>
  </si>
  <si>
    <t>2,313,911.8</t>
  </si>
  <si>
    <t>55,907.63</t>
  </si>
  <si>
    <t>162,153.68</t>
  </si>
  <si>
    <r>
      <t>Note:</t>
    </r>
    <r>
      <rPr>
        <sz val="9"/>
        <color rgb="FF555555"/>
        <rFont val="Arial"/>
        <family val="2"/>
      </rPr>
      <t xml:space="preserve"> ³ One of the fines paid in 2023 reported under "Company" refers to the case described in footnote 2 in the table above.
In 2023, 127 fines were paid, totaling USD 22,572,961.70; of these, 86 fines, totaling USD 5,022,664.24, had their underlying events in previous reporting periods.</t>
    </r>
  </si>
  <si>
    <t>SASB - EM-MM-510a.1</t>
  </si>
  <si>
    <r>
      <rPr>
        <b/>
        <sz val="10"/>
        <color rgb="FF555555"/>
        <rFont val="Arial"/>
        <family val="2"/>
      </rPr>
      <t>Description:</t>
    </r>
    <r>
      <rPr>
        <sz val="10"/>
        <color rgb="FF555555"/>
        <rFont val="Arial"/>
        <family val="2"/>
      </rPr>
      <t xml:space="preserve"> Description of the management system for preventing corruption and bribery throughout the value chain</t>
    </r>
  </si>
  <si>
    <t>Vale has the Code of Conduct, which, together with the Global Anti-Corruption Policy and the Global Anti-Corruption Manual, make up the Global Anti-Corruption Program, which is the responsibility of Corporate Integrity. The program is aimed at all employees, administrators, service providers, suppliers, distributors, consultants, representatives, agents, brokers or any other professionals contracted to represent or act on behalf of, for the benefit or in the interest of the company. Vale has structured listening and response channels with the aim of strengthening the relationship between the company and its stakeholders. These channels, which make up the formal mechanism for manifestations, can be used by all individuals who may be affected by a certain activity or operation of the company.</t>
  </si>
  <si>
    <t>By determination of the Board of Directors, with the recommendation of the Extraordinary Investigation Independent Advisory Committee, Vale created the Compliance Board in March 2020. The Chief Compliance Officer (CCO), appointed in July 2020, is directly linked to the Board of Directors and continuously interacts with the Audit Committee, granting a degree of autonomy and independence from the other executive structures of the company. The CCO is responsible for supervising the Whistleblower Channel, the Internal Audit and the Corporate Integrity area.
Vale has a channel for registering cases of non-compliance with the Code of Conduct and legislation. The channel is operated by an independent company and structured to guarantee absolute secrecy, protecting the whistleblower's anonymity and preserving the information so that a fair investigation can occur.
Vale's compliance and ethics standards adhere to the recommendations of the United Nations, the International Council on Mining and Metals (ICMM), the eight Fundamental Conventions of the International Labor Organization (ILO) and the Extractive Industry Transparency Initiative ( EITI).</t>
  </si>
  <si>
    <t>Vale has zero tolerance for corruption and bribery. The company's anti-corruption rules are mechanisms to ensure compliance with all applicable anti-corruption laws, including the US Foreign Corrupt Practices Act (FCPA), the Brazilian Anti-Corruption Law (Law No. Act.
The Global Anti-Corruption Policy is the main document on the subject and reiterates Vale's commitment to doing business with integrity. Employees also rely on the Global Anti-Corruption Handbook for practical guidance. Suppliers, on the other hand, must follow the guidelines of the Anti-Corruption Guide, developed especially for third parties.
Vale acts in compliance with the laws and regulations to which it is subject, including, but not limited to, Law 12,846/13 – Brazilian Anti-Corruption Law, the FCPA, U.S. Foreign Corrupt Practices Act and the UK Bribery Act.</t>
  </si>
  <si>
    <t>Vale has zero tolerance for corruption and bribery. In addition to the Code of Conduct, the Ethics &amp; Compliance Program presents anti-corruption rules.
The Global Anti-Corruption Policy is the main document on the subject and reiterates Vale's commitment to doing business with integrity.
Employees also rely on the Global Anti-Corruption Handbook for practical guidance. Suppliers, on the other hand, must follow the guidelines of the Guide to combat corruption, developed especially for third parties.
Vale acts in accordance with the laws and regulations to which it is subject, including but not limited to Law 12,846/13 - Brazilian Anti-Corruption Law, the FCPA, U.S. Foreign Corrupt Practices Act and the UK Bribery Act.</t>
  </si>
  <si>
    <t>Vale has zero tolerance for corruption and bribery. In addition to the Code of Conduct, the Ethics &amp; Compliance Program presents anti-corruption rules.
The Global Anti-Corruption Policy is the main document on the subject and reiterates Vale's commitment to doing business with integrity.
Employees also rely on the Global Anti-Corruption Handbook for practical guidance. Suppliers, on the other hand, must follow the guidelines of the Guide to combat corruption, developed especially for third parties.
Vale acts in accordance with the laws and regulations to which it is subject, including but not limited to Law 12.846/13 - Brazilian Anti-Corruption Law, the FCPA, U.S. Foreign Corrupt Practices Act and the UK Bribery Act.</t>
  </si>
  <si>
    <t>SASB - EM-MM-510a.2</t>
  </si>
  <si>
    <r>
      <rPr>
        <b/>
        <sz val="10"/>
        <color rgb="FF555555"/>
        <rFont val="Arial"/>
        <family val="2"/>
      </rPr>
      <t xml:space="preserve">Description: </t>
    </r>
    <r>
      <rPr>
        <sz val="10"/>
        <color rgb="FF555555"/>
        <rFont val="Arial"/>
        <family val="2"/>
      </rPr>
      <t>Production in countries that have the 20 lowest corruption perception scores from Transparency International</t>
    </r>
  </si>
  <si>
    <t>Vale does not have operations in any of the 20 worst countries listed in the Transparency International corruption perception ranking.</t>
  </si>
  <si>
    <t>GRI 201-1 (2016)</t>
  </si>
  <si>
    <r>
      <rPr>
        <b/>
        <sz val="10"/>
        <color rgb="FF555555"/>
        <rFont val="Arial"/>
        <family val="2"/>
      </rPr>
      <t>Description:</t>
    </r>
    <r>
      <rPr>
        <sz val="10"/>
        <color rgb="FF555555"/>
        <rFont val="Arial"/>
        <family val="2"/>
      </rPr>
      <t xml:space="preserve"> Direct economic value generated and distributed</t>
    </r>
  </si>
  <si>
    <r>
      <rPr>
        <b/>
        <sz val="10"/>
        <color rgb="FF555555"/>
        <rFont val="Arial"/>
        <family val="2"/>
      </rPr>
      <t>Note:</t>
    </r>
    <r>
      <rPr>
        <sz val="10"/>
        <color rgb="FF555555"/>
        <rFont val="Arial"/>
        <family val="2"/>
      </rPr>
      <t xml:space="preserve"> The information reported in indicator 201-1 was independently audited in the financial statements.</t>
    </r>
  </si>
  <si>
    <t>Value generated and distributed
 (In US$ million)</t>
  </si>
  <si>
    <t>North America,
except Canada</t>
  </si>
  <si>
    <t>South America, except Brazil</t>
  </si>
  <si>
    <t>Africa</t>
  </si>
  <si>
    <t>Middle East</t>
  </si>
  <si>
    <t>Oceania</t>
  </si>
  <si>
    <t>TOTAL</t>
  </si>
  <si>
    <t>Incomes</t>
  </si>
  <si>
    <t>Direct Economic Value Generated</t>
  </si>
  <si>
    <t>Operational costs</t>
  </si>
  <si>
    <t>Employee wages and benefits</t>
  </si>
  <si>
    <t>Research and Development</t>
  </si>
  <si>
    <t>Payments to Capital Providers</t>
  </si>
  <si>
    <t>Payments to Government</t>
  </si>
  <si>
    <t>Environmental Expenditures</t>
  </si>
  <si>
    <t>Social 
Expenditures</t>
  </si>
  <si>
    <t>Distributed Economic Value</t>
  </si>
  <si>
    <t>Accumulated Economic Value</t>
  </si>
  <si>
    <t>Value generated and distributed  (In US$ million)</t>
  </si>
  <si>
    <t>payments to government</t>
  </si>
  <si>
    <t>expenditures
Social</t>
  </si>
  <si>
    <t>Australasia</t>
  </si>
  <si>
    <t>˗</t>
  </si>
  <si>
    <t>1.805,5</t>
  </si>
  <si>
    <t>1,3</t>
  </si>
  <si>
    <t xml:space="preserve">5.272,6 </t>
  </si>
  <si>
    <t xml:space="preserve">44.317,2 </t>
  </si>
  <si>
    <t xml:space="preserve">3.104,9 </t>
  </si>
  <si>
    <t>(0,0)</t>
  </si>
  <si>
    <t xml:space="preserve">54.501,5 </t>
  </si>
  <si>
    <t>44.317,2</t>
  </si>
  <si>
    <t>2.312,5</t>
  </si>
  <si>
    <t xml:space="preserve">13,3 </t>
  </si>
  <si>
    <t xml:space="preserve">10.565,4 </t>
  </si>
  <si>
    <t>6.097,5</t>
  </si>
  <si>
    <t>796,0</t>
  </si>
  <si>
    <t>240,6</t>
  </si>
  <si>
    <t>20.025,3</t>
  </si>
  <si>
    <t>435,0</t>
  </si>
  <si>
    <t xml:space="preserve">6,9 </t>
  </si>
  <si>
    <t xml:space="preserve">1.252,4 </t>
  </si>
  <si>
    <t>30,8</t>
  </si>
  <si>
    <t>106,2</t>
  </si>
  <si>
    <t>41,0</t>
  </si>
  <si>
    <t xml:space="preserve">1.872,3 </t>
  </si>
  <si>
    <t>110,2</t>
  </si>
  <si>
    <t xml:space="preserve">26,4 </t>
  </si>
  <si>
    <t>324,1</t>
  </si>
  <si>
    <t>20,9</t>
  </si>
  <si>
    <t>67,1</t>
  </si>
  <si>
    <t>548,6</t>
  </si>
  <si>
    <t>421,9</t>
  </si>
  <si>
    <t>252,0</t>
  </si>
  <si>
    <t>13.475,8</t>
  </si>
  <si>
    <t>26,2</t>
  </si>
  <si>
    <t>14.176,0</t>
  </si>
  <si>
    <t>17,5</t>
  </si>
  <si>
    <t>(194,3)</t>
  </si>
  <si>
    <t>2,8</t>
  </si>
  <si>
    <t>7.740,4</t>
  </si>
  <si>
    <t>(21,8)</t>
  </si>
  <si>
    <t>60,0</t>
  </si>
  <si>
    <t>86,3</t>
  </si>
  <si>
    <t>3,7</t>
  </si>
  <si>
    <t>7.694,6</t>
  </si>
  <si>
    <t>106,5</t>
  </si>
  <si>
    <t>0,7</t>
  </si>
  <si>
    <t>670,8</t>
  </si>
  <si>
    <t>1,2</t>
  </si>
  <si>
    <t>19,7</t>
  </si>
  <si>
    <t>1,5</t>
  </si>
  <si>
    <t>804,2</t>
  </si>
  <si>
    <t>6,0</t>
  </si>
  <si>
    <t>0,0</t>
  </si>
  <si>
    <t>449,2</t>
  </si>
  <si>
    <t>1,7</t>
  </si>
  <si>
    <t>14,2</t>
  </si>
  <si>
    <t>1,6</t>
  </si>
  <si>
    <t>0,8</t>
  </si>
  <si>
    <t>473,5</t>
  </si>
  <si>
    <t>439,4</t>
  </si>
  <si>
    <t>3.027,9</t>
  </si>
  <si>
    <t xml:space="preserve">50,0 </t>
  </si>
  <si>
    <t xml:space="preserve">34.478,1 </t>
  </si>
  <si>
    <t>6.156,6</t>
  </si>
  <si>
    <t>93,9</t>
  </si>
  <si>
    <t xml:space="preserve">1.058,9 </t>
  </si>
  <si>
    <t xml:space="preserve">289,7 </t>
  </si>
  <si>
    <t>45.594,6</t>
  </si>
  <si>
    <t>1.222,4</t>
  </si>
  <si>
    <t>(48,8)</t>
  </si>
  <si>
    <t>(29.205,5)</t>
  </si>
  <si>
    <t>38.160,7</t>
  </si>
  <si>
    <t>(93,9)</t>
  </si>
  <si>
    <t>2.046,0</t>
  </si>
  <si>
    <t>(289,7)</t>
  </si>
  <si>
    <t>8.906,9</t>
  </si>
  <si>
    <t>2.055,0</t>
  </si>
  <si>
    <t>3,1</t>
  </si>
  <si>
    <t>2.768,5</t>
  </si>
  <si>
    <t>32.268,5</t>
  </si>
  <si>
    <t>2.922,6</t>
  </si>
  <si>
    <t>40.017,7</t>
  </si>
  <si>
    <t>2.421,1</t>
  </si>
  <si>
    <t>22,6</t>
  </si>
  <si>
    <t>8.131,9</t>
  </si>
  <si>
    <t>4.285,2</t>
  </si>
  <si>
    <t>1.425,9</t>
  </si>
  <si>
    <t>17.362,9</t>
  </si>
  <si>
    <t>495,1</t>
  </si>
  <si>
    <t>7,8</t>
  </si>
  <si>
    <t>1.178,6</t>
  </si>
  <si>
    <t>55,1</t>
  </si>
  <si>
    <t>42,0</t>
  </si>
  <si>
    <t>1.899,4</t>
  </si>
  <si>
    <t>13,4</t>
  </si>
  <si>
    <t>241,9</t>
  </si>
  <si>
    <t>31,4</t>
  </si>
  <si>
    <t>442,9</t>
  </si>
  <si>
    <t>365,7</t>
  </si>
  <si>
    <t>286,0</t>
  </si>
  <si>
    <t>3.380,0</t>
  </si>
  <si>
    <t>73,4</t>
  </si>
  <si>
    <t>4.105,0</t>
  </si>
  <si>
    <t>1,9</t>
  </si>
  <si>
    <t>(416,0)</t>
  </si>
  <si>
    <t>3,2</t>
  </si>
  <si>
    <t>3.925,3</t>
  </si>
  <si>
    <t>(46,4)</t>
  </si>
  <si>
    <t>52,1</t>
  </si>
  <si>
    <t>5,4</t>
  </si>
  <si>
    <t>3.533,3</t>
  </si>
  <si>
    <t>0,4</t>
  </si>
  <si>
    <t>371,1</t>
  </si>
  <si>
    <t>4.9</t>
  </si>
  <si>
    <t>13,8</t>
  </si>
  <si>
    <t>3,4</t>
  </si>
  <si>
    <t>609,9</t>
  </si>
  <si>
    <t>0,2</t>
  </si>
  <si>
    <t>1.8</t>
  </si>
  <si>
    <t>390,0</t>
  </si>
  <si>
    <t>367,6</t>
  </si>
  <si>
    <t>3.047,8</t>
  </si>
  <si>
    <t>47,5</t>
  </si>
  <si>
    <t>17.599,1</t>
  </si>
  <si>
    <t>4.331,7</t>
  </si>
  <si>
    <t>1.538,7</t>
  </si>
  <si>
    <t>1.117,5</t>
  </si>
  <si>
    <t>293,4</t>
  </si>
  <si>
    <t>28.343,3</t>
  </si>
  <si>
    <t>(367,6)</t>
  </si>
  <si>
    <t>(992,8)</t>
  </si>
  <si>
    <t>(44,5)</t>
  </si>
  <si>
    <t>(14.830,6)</t>
  </si>
  <si>
    <t>27.936,8</t>
  </si>
  <si>
    <t>(1.538,7)</t>
  </si>
  <si>
    <t>1.805,1</t>
  </si>
  <si>
    <t>(293,4)</t>
  </si>
  <si>
    <t>11.674,4</t>
  </si>
  <si>
    <t>1.742,0</t>
  </si>
  <si>
    <t>4,0</t>
  </si>
  <si>
    <t>3.130,0</t>
  </si>
  <si>
    <t>29.315,0</t>
  </si>
  <si>
    <t>3.379,0</t>
  </si>
  <si>
    <t>37.570,0</t>
  </si>
  <si>
    <t>3.093,0</t>
  </si>
  <si>
    <t>10.411,0</t>
  </si>
  <si>
    <t>4.585,0</t>
  </si>
  <si>
    <t>1.874,0</t>
  </si>
  <si>
    <t>910,0</t>
  </si>
  <si>
    <t>273,0</t>
  </si>
  <si>
    <t>21.187,0</t>
  </si>
  <si>
    <t>737,0</t>
  </si>
  <si>
    <t>9,0</t>
  </si>
  <si>
    <t>1.186,0</t>
  </si>
  <si>
    <t>23,0</t>
  </si>
  <si>
    <t>89,0</t>
  </si>
  <si>
    <t>103,0</t>
  </si>
  <si>
    <t>2.189,0</t>
  </si>
  <si>
    <t>77,0</t>
  </si>
  <si>
    <t>20,0</t>
  </si>
  <si>
    <t>3,0</t>
  </si>
  <si>
    <t>47,0</t>
  </si>
  <si>
    <t>44,0</t>
  </si>
  <si>
    <t>443,0</t>
  </si>
  <si>
    <t>3.806,0</t>
  </si>
  <si>
    <t>(120,6)</t>
  </si>
  <si>
    <t>4,3</t>
  </si>
  <si>
    <t>3.487,7</t>
  </si>
  <si>
    <t>98,4</t>
  </si>
  <si>
    <t>(1,7)</t>
  </si>
  <si>
    <t>231,9</t>
  </si>
  <si>
    <t>5,7</t>
  </si>
  <si>
    <t>3.510,4</t>
  </si>
  <si>
    <t>99,5</t>
  </si>
  <si>
    <t>248,8</t>
  </si>
  <si>
    <t>5,1</t>
  </si>
  <si>
    <t>26,9</t>
  </si>
  <si>
    <t>162,4</t>
  </si>
  <si>
    <t>548,5</t>
  </si>
  <si>
    <t>3,6</t>
  </si>
  <si>
    <t>168,9</t>
  </si>
  <si>
    <t>8,4</t>
  </si>
  <si>
    <t>0,1</t>
  </si>
  <si>
    <t>190,2</t>
  </si>
  <si>
    <t>3.889,5</t>
  </si>
  <si>
    <t>75,2</t>
  </si>
  <si>
    <t>19.560,3</t>
  </si>
  <si>
    <t>4.517,7</t>
  </si>
  <si>
    <t>2.044,3</t>
  </si>
  <si>
    <t>1.459,7</t>
  </si>
  <si>
    <t>325,9</t>
  </si>
  <si>
    <t>31.874,2</t>
  </si>
  <si>
    <t>˗ 1,5</t>
  </si>
  <si>
    <t>-2.147,5</t>
  </si>
  <si>
    <t>(71,24)</t>
  </si>
  <si>
    <t>(16.430,3)</t>
  </si>
  <si>
    <t>24.797,3</t>
  </si>
  <si>
    <t>˗ 2.044,3</t>
  </si>
  <si>
    <t>1.919,3</t>
  </si>
  <si>
    <t>˗ 325,9</t>
  </si>
  <si>
    <t>5.695,8</t>
  </si>
  <si>
    <t>GRI 306-1</t>
  </si>
  <si>
    <t>Waste generation and significant waste-related impacts</t>
  </si>
  <si>
    <t>GRI 306-2</t>
  </si>
  <si>
    <t>Management of significant waste-related impacts</t>
  </si>
  <si>
    <t>GRI 306-3</t>
  </si>
  <si>
    <t>Waste generated</t>
  </si>
  <si>
    <t>GRI 306-4</t>
  </si>
  <si>
    <t>Waste diverted from disposal</t>
  </si>
  <si>
    <t>GRI 306-5</t>
  </si>
  <si>
    <t>Waste directed to disposal</t>
  </si>
  <si>
    <t>GRI 308-1</t>
  </si>
  <si>
    <t>New suppliers that were screened using environmental criteria</t>
  </si>
  <si>
    <t>GRI 308-2</t>
  </si>
  <si>
    <t>Negative environmental impacts in the supply chain and actions taken</t>
  </si>
  <si>
    <t>SASB EM-MM-150a.4</t>
  </si>
  <si>
    <t>Total weight of non-mineral waste generated</t>
  </si>
  <si>
    <t>Total weight of tailings produced</t>
  </si>
  <si>
    <t>Total weight of waste rock generated</t>
  </si>
  <si>
    <t>Approach to developing Emergency Preparedness and Response Plans (EPRPs) for tailings storage facilities</t>
  </si>
  <si>
    <t>GRI 302-1 (2016)</t>
  </si>
  <si>
    <r>
      <rPr>
        <b/>
        <sz val="10"/>
        <color rgb="FF555555"/>
        <rFont val="Arial"/>
        <family val="2"/>
      </rPr>
      <t xml:space="preserve">Description: </t>
    </r>
    <r>
      <rPr>
        <sz val="10"/>
        <color rgb="FF555555"/>
        <rFont val="Arial"/>
        <family val="2"/>
      </rPr>
      <t>Energy consumption within the organization</t>
    </r>
  </si>
  <si>
    <t>Vale's Answer</t>
  </si>
  <si>
    <t>Energy consumption</t>
  </si>
  <si>
    <t>Electricity consumption</t>
  </si>
  <si>
    <t>Renewable</t>
  </si>
  <si>
    <t>Non-renewable</t>
  </si>
  <si>
    <t>Total</t>
  </si>
  <si>
    <t>Electricity consumption (including own generation and purchase)</t>
  </si>
  <si>
    <t>Electricity
 sold</t>
  </si>
  <si>
    <t>47 thousand TJ</t>
  </si>
  <si>
    <t>117 thousand TJ</t>
  </si>
  <si>
    <t>164 thousand TJ</t>
  </si>
  <si>
    <t>44 thousand TJ</t>
  </si>
  <si>
    <t>99 thousand TJ</t>
  </si>
  <si>
    <t>143 thousand TJ</t>
  </si>
  <si>
    <t>45 thousand TJ</t>
  </si>
  <si>
    <t>101 thousand TJ</t>
  </si>
  <si>
    <t>146 thousand TJ</t>
  </si>
  <si>
    <t>43.2 thousand TJ</t>
  </si>
  <si>
    <t>13.9 thousand TJ</t>
  </si>
  <si>
    <t>40 thousand TJ</t>
  </si>
  <si>
    <t>97 thousand TJ</t>
  </si>
  <si>
    <t>137 thousand TJ</t>
  </si>
  <si>
    <t>41.4 thousand TJ</t>
  </si>
  <si>
    <t>19.3 thousand TJ</t>
  </si>
  <si>
    <t>102 thousand TJ</t>
  </si>
  <si>
    <t>147 thousand TJ</t>
  </si>
  <si>
    <t>45.0 thousand TJ</t>
  </si>
  <si>
    <t>17.4 thousand TJ</t>
  </si>
  <si>
    <t>Note:</t>
  </si>
  <si>
    <t>Energy Consumption</t>
  </si>
  <si>
    <t>Energy source</t>
  </si>
  <si>
    <t>Eletricity</t>
  </si>
  <si>
    <t>Diesel oil</t>
  </si>
  <si>
    <t>Natural gas</t>
  </si>
  <si>
    <t>Coal and coke</t>
  </si>
  <si>
    <t>Other oils</t>
  </si>
  <si>
    <t>Renewable fuels</t>
  </si>
  <si>
    <t>Navigation Oils</t>
  </si>
  <si>
    <t>Other Gases</t>
  </si>
  <si>
    <t>Other Liquid Fuels</t>
  </si>
  <si>
    <t>vínculo</t>
  </si>
  <si>
    <t>índice</t>
  </si>
  <si>
    <r>
      <rPr>
        <b/>
        <sz val="10"/>
        <color rgb="FF555555"/>
        <rFont val="Arial"/>
        <family val="2"/>
      </rPr>
      <t>Note:</t>
    </r>
    <r>
      <rPr>
        <sz val="10"/>
        <color rgb="FF555555"/>
        <rFont val="Arial"/>
        <family val="2"/>
      </rPr>
      <t xml:space="preserve"> The calculation tool used is the CR360 System, which performs energy unit conversions. Consolidation approach based on operational control.
Although the information complies with both standards (GRI and SASB), only the completeness of the GRI standard was ensured independently.</t>
    </r>
  </si>
  <si>
    <t>GRI 302-2 (2016)</t>
  </si>
  <si>
    <r>
      <rPr>
        <b/>
        <sz val="10"/>
        <color rgb="FF555555"/>
        <rFont val="Arial"/>
        <family val="2"/>
      </rPr>
      <t>Description:</t>
    </r>
    <r>
      <rPr>
        <sz val="10"/>
        <color rgb="FF555555"/>
        <rFont val="Arial"/>
        <family val="2"/>
      </rPr>
      <t xml:space="preserve"> Energy Consumption outside the organization</t>
    </r>
  </si>
  <si>
    <t>192 thousand TJ  (considered the categories 4, 7 and 9 of scope 3)</t>
  </si>
  <si>
    <t>186 thousand TJ  (considered the categories 4, 7 and 9 of scope 3)</t>
  </si>
  <si>
    <t>181 thousand TJ  (considered the categories 4, 7 and 9 of scope 3)</t>
  </si>
  <si>
    <t>174 thousand TJ  (considered the categories 4, 7 and 9 of scope 3)</t>
  </si>
  <si>
    <t>176 thousand TJ  (considered the categories 4, 7 and 9 of scope 3)</t>
  </si>
  <si>
    <t>GRI 302-3 (2016)</t>
  </si>
  <si>
    <r>
      <rPr>
        <b/>
        <sz val="10"/>
        <color rgb="FF555555"/>
        <rFont val="Arial"/>
        <family val="2"/>
      </rPr>
      <t xml:space="preserve">Description: </t>
    </r>
    <r>
      <rPr>
        <sz val="10"/>
        <color rgb="FF555555"/>
        <rFont val="Arial"/>
        <family val="2"/>
      </rPr>
      <t>Rate of energy intensity</t>
    </r>
  </si>
  <si>
    <t>0.379 TJ / thousand metric tons of iron ore equivalent.
0.362 TJ / thousand metric tons of iron ore equivalent (discounting consumption and production of the divestments that occurred in 2022).</t>
  </si>
  <si>
    <t>0.352 TJ / thousand metric tons of iron ore equivalent. The equivalent iron ore production data used in the calculation was revised after publication of the 2020 Integrated Report
0.335 TJ / thousand metric tons of iron ore equivalent (discounting consumption and production of the divestments that occurred in 2022).</t>
  </si>
  <si>
    <t>0.349 TJ / thousand metric tons of iron ore equivalent.
0.338 TJ / thousand metric tons of iron ore equivalent (discounting consumption and production of the divestments that occurred in 2022).</t>
  </si>
  <si>
    <t>0.343 TJ / thousand metric tons of iron ore equivalent.
0.335 TJ / thousand metric tons of iron ore equivalent (discounting consumption and production of the divestments that occurred in 2022).</t>
  </si>
  <si>
    <r>
      <t xml:space="preserve">Note: </t>
    </r>
    <r>
      <rPr>
        <sz val="9"/>
        <color rgb="FF555555"/>
        <rFont val="Arial"/>
        <family val="2"/>
      </rPr>
      <t>The divestments made in 2022 refer to Estrela Ferroligas de Manganês (Barbacena Ferroalloy Plant and Ouro Preto Ferroalloy Plant), Mineração Corumbaense Reunida, Transbarge Navegacion, Vale Nickel (Dalian) Co. and Vale Moçambique.</t>
    </r>
  </si>
  <si>
    <t>GRI 302-4 (2016)</t>
  </si>
  <si>
    <r>
      <rPr>
        <b/>
        <sz val="10"/>
        <color rgb="FF555555"/>
        <rFont val="Arial"/>
        <family val="2"/>
      </rPr>
      <t>Descrição:</t>
    </r>
    <r>
      <rPr>
        <sz val="10"/>
        <color rgb="FF555555"/>
        <rFont val="Arial"/>
        <family val="2"/>
      </rPr>
      <t xml:space="preserve"> Reduction of Energy Consumption</t>
    </r>
  </si>
  <si>
    <t>7,171 TJ of energy saved/avoided as a result of initiatives to improve conservation or efficiency.</t>
  </si>
  <si>
    <t>1,273.8 TJ of energy saved/avoided as a result of initiatives to improve conservation or efficiency.</t>
  </si>
  <si>
    <t>1,136.1 TJ of energy saved/avoided as a result of initiatives to improve conservation or efficiency.</t>
  </si>
  <si>
    <t>1,572.2 TJ of energy saved/avoided as a result of initiatives to improve conservation or efficiency.</t>
  </si>
  <si>
    <t>409.9 TJ of energy saved/avoided as a result of initiatives to improve conservation or efficiency.</t>
  </si>
  <si>
    <t>GRI 303-1 (2018)</t>
  </si>
  <si>
    <r>
      <rPr>
        <b/>
        <sz val="10"/>
        <color rgb="FF555555"/>
        <rFont val="Arial"/>
        <family val="2"/>
      </rPr>
      <t>Description:</t>
    </r>
    <r>
      <rPr>
        <sz val="10"/>
        <color rgb="FF555555"/>
        <rFont val="Arial"/>
        <family val="2"/>
      </rPr>
      <t xml:space="preserve"> Interactions with water as a shared resource</t>
    </r>
  </si>
  <si>
    <t>The Water and Water Resources Policy, drawn up in 2020, establishes risk management and impact prevention processes for the entire production chain, through active participation, directly or through representative entities, in the different forums related to management of the water resources of the river basin(s) where Vale operates and more specifically in our area of influence to discuss water security strategies. Another principle of the Water and Water Resources Policy is the contribution to preserving the volume and quality of surface and groundwater in watersheds and marine areas, continuous improvement of sustainable management and responsible use of water resources, supporting water accessibility projects and sewage treatment for communities.
We established the Water Goal 2030 in Year 2018, whose objective is to reduce the abstraction of fresh water used in our processes per ton produced, which means a lower volume of new water abstracted, for the same production volume. This goal is part of the plano Structuring of Water Resources 2030, started in 2018, which is part of the socio-environmental goals voluntarily assumed by Vale, related to different thematic axes.</t>
  </si>
  <si>
    <t>In order to develop responsible management of water use in the territory, where the mining project will be implemented, the water availability in quantity and quality is verified considering the other dependent users of that hydrographic basin. For this purpose, the uses of water in the respective hydrographic basins are consulted through the systems controlled by the environmental agencies and user registration. After these analyzes and verification of feasibility, specific reports are prepared to obtain permissions for the use of water and the release of effluents. Quali-quantitative monitoring networks are installed that operate from the implementation phase until the closure of the project. The results of this information are consolidated into management systems (Hydro Geoanalyst, Credit 360 and an internal management platform) and analyzed by specialized technicians in order to ensure environmental quality and quantity and legal commitments.
The Water Goal established in Year 2018 was committed to reducing the capture of fresh water for use in our production processes. The objective was to reduce 10% of the specific use referring to Year 2017 until 2030 (new and fresh water abstracted and used in processes per ton produced), which means a lower volume of new water abstracted for the same production volume. Throughout 2021, the accumulated results exceeded the established objective.</t>
  </si>
  <si>
    <t>The interaction between water and Vale starts in preliminary studies for new developments and may even continue after closure.
Through monitoring, studies, water balance and analysis, availability, demand, disposal, reuse, other managed waters are calculated and their respective qualities verified. The studies also include the use of water by other users in the respective river basins where we operate. For this purpose, the information available in the systems controlled by the responsible bodies is considered.
Our new water abstraction to supply operating units has permits for use when applicable.
We always invest in expanding qualitative and quantitative monitoring networks, training our professionals and engaging with stakeholders.
Quali-quantitative monitoring data are analyzed by specialized technicians in order to ensure the quality of results, comply with legal commitments; and maintain them consistently in management systems (Hydro Geoanalyst, Credit 360 and an internal management platform).
Responsible Management of Water Resources is present in our organizational culture. Through 4 pillars of action - Governance, Monitoring and Control, Engagement with Communities and Management of Water Risks - we seek to promote this management in the regions where we are present. In this context, in 2018 we made a commitment to reduce the specific use of fresh water in our production processes by 10% by 2030 (Year-base 2017). The result was achieved and surpassed in 2021 (20% reduction). According to the guideline of our Water and Water Resources Policy, when the target is achieved or the proposed deadline expires, it must be updated. It is in the final phase of validating the new commitments that should be published in the Integrated Report in April/2023. In addition to the quantitative target, actions aligned with the 4 pillars will be included</t>
  </si>
  <si>
    <t>Our goal is to ensure the responsible management of water resources and effluents generated in the process. Water use should be rational, socially equitable, environmentally sustainable and economically beneficial, considering a process that is inclusive of stakeholders and the watershed. We closely monitor our indicators in order to ensure greater operational efficiency and provide us with healthy and sustainable growth. Our uses, consumptions and disposals are monitored, analyzed and stored in an integrated data management system, which is audited annually.
Through monitoring, studies, water balance and analyses,  the availability, demands, discharges, reuse, other managed waters are calculated and their respective qualities are verified. The studies also include the use of water by other users in the respective watersheds where we operate. 
The qualitative and quantitative monitoring data are analyzed by specialized technicians in order to ensure the quality of the results, comply with legal commitments; and maintain them in a form consisting of management systems (Hydro Geoanalyst, Credit 360 and internal management platform). We always invest in the expansion of qualitative and quantitative monitoring networks, in the training of our professionals and in engagement with stakeholders.
Our global sustainability goals are aligned with the Sustainable Development Goals (SDGs) of the United Nations (UN) 2030 Agenda and the guidelines of the International Council on Mining and Metals (ICMM). The 2030 Water Target, which began in 2018, determined a 10% reduction in the specific use of fresh water compared to the base year 2017. With great commitment, we achieved a 20% reduction in 2021, nine years ahead of schedule. We have updated our 2030 target, we will focus our efforts to achieve an additional 7% on average reduction in our specific use by 2030, considering more significant targets for units located in regions with high or critical water stress levels. This update of the target will promote a cumulative reduction of 27% (2017 base) added to the result already achieved.</t>
  </si>
  <si>
    <t>GRI 303-2 (2018)</t>
  </si>
  <si>
    <r>
      <rPr>
        <b/>
        <sz val="10"/>
        <color rgb="FF555555"/>
        <rFont val="Arial"/>
        <family val="2"/>
      </rPr>
      <t xml:space="preserve">Description: </t>
    </r>
    <r>
      <rPr>
        <sz val="10"/>
        <color rgb="FF555555"/>
        <rFont val="Arial"/>
        <family val="2"/>
      </rPr>
      <t>Management of water discharge-related impacts</t>
    </r>
  </si>
  <si>
    <t>Considering the high and low quality standards adopted by the ICMM for disposal, in 2020 Vale disposed of 52% of its effluents in high quality. The other 48% discarded, despite being considered of low quality, respect the release limits established in local legislation.</t>
  </si>
  <si>
    <t>Vale uses the ICMM Standards to assess effluent disposal.
ICMM standards:
- High quality: total Dissolved Solids &lt; 5.000mg/l and pH between 4 and 10 and without components, chemical compounds and contaminants in concentrations harmful to human health.
- Low quality: Total Dissolved Solids &gt; 5.000mg/l or pH &lt; 4 or &gt; 10 or have components or chemical compounds or contaminants in concentrations harmful to human health</t>
  </si>
  <si>
    <t>Vale uses the ICMM Standards to assess effluent disposal.
ICMM standards:
- High quality: total Dissolved Solids &lt; 5.000mg/l and pH between 4 and 10 and without components, chemical compounds and contaminants in concentrations harmful to human health.
- Low quality: Total Dissolved Solids &gt; 5.000mg/l or pH &lt; 4 or &gt; 10 or have components or chemical compounds or contaminants in concentrations harmful to human health
Our effluent discharges follow the quality standards in effect as determined by the respective entities responsible for each location and according to the water quality framework of the receiving body. The results are presented to the competent entities according to the frequency determined by them. As there is no quality index standardized by the competent authorities for the mining sector, we follow the classification guideline defined by the ICMM to disclose the quality of our effluents in our public reports. This guidance can be found in the Water Reporting, Good Practice Guide, 2nd Edition, page 35 (low quality and high quality).</t>
  </si>
  <si>
    <t>Vale uses the ICMM Standards to evaluate effluent discharge. 
ICMM Standards:
- High quality: total Dissolved Solids &lt; 5,000mg/l and pH between 4 and 10 and without components, chemical compounds and contaminants in concentrations harmful to human health. 
- Low quality: Total Dissolved Solids &gt; 5,000mg/l or pH &lt; 4 or &gt;10 or have components or chemical compounds or contaminants in a concentration harmful to human health.
Our effluent discharges follow the current quality standards determined by the respective responsible bodies of each location and according to the water quality framework of the receiving body. The results are presented to the competent bodies according to the frequency determined by them. As there is no quality index standardized by the competent bodies for the mining sector, we follow the classification guidance defined by ICMM to disclose the quality of our effluents in our public reports. This guidance can be found in the Water Reporting, Good Practice Guide, 2nd Edition, page 35 (low quality and high quality).</t>
  </si>
  <si>
    <t>GRI 303-3 (2018)</t>
  </si>
  <si>
    <r>
      <rPr>
        <b/>
        <sz val="10"/>
        <color rgb="FF555555"/>
        <rFont val="Arial"/>
        <family val="2"/>
      </rPr>
      <t xml:space="preserve">Description: </t>
    </r>
    <r>
      <rPr>
        <sz val="10"/>
        <color rgb="FF555555"/>
        <rFont val="Arial"/>
        <family val="2"/>
      </rPr>
      <t>Water withdrawl</t>
    </r>
  </si>
  <si>
    <t>Underground collection (m³): 35 million
Surface capture (m³): 103 million
Supply company (m³): 6 million
Total: 145 million m³ of water collected for Vale production
Total volume of new water abstracted according to the region's water risk:
Low: 131 million m³ (90%)
Low to medium: 10 million m³ (7%)
Medium to high: 3 million m³ (2%)
High: 1 million m³ (1%)
Extremely high: There was no uptake in regions with this risk.</t>
  </si>
  <si>
    <t>Underground collection (m³): 42.8 million
Surface capture (m³): 69.8 million
Supply company (m³): 6.2 million
Stored fresh water: 4.5 million m³
Total capture of fresh water for use (others): 0.9 million m²
Total: 118.8 million m³ of water captured for Vale production
Total volume of new water abstracted according to the region's water risk:
Low: 95.8 million m³
Superficial: 66.8 million m³
Underground: 26 million m³
Supply company: 3 million m³
Low to medium: 17.1 million m³
Superficial: 2.1 million m³
Underground: 15 million m³
Medium to high: 3.2 million m³
Superficial: 0.178 million m³
Underground: 1.5 million m³
Supply company: 1.5 million m³
High: 2 million m³
Supply company: 2 million m³
Extremely high: 0</t>
  </si>
  <si>
    <r>
      <t xml:space="preserve">Underground collection (m³): 28.1 million
Surface capture (m³): 78.4 million
Supply company (m³): 6.4 million
Stored fresh water: 4.7 million m³
Total: 137.9 million m³ of water captured for Vale production
Total volume of new water abstracted according to the region's water risk:
</t>
    </r>
    <r>
      <rPr>
        <b/>
        <sz val="9"/>
        <color rgb="FF555555"/>
        <rFont val="Arial"/>
        <family val="2"/>
      </rPr>
      <t>No stress: 52.5 million m³</t>
    </r>
    <r>
      <rPr>
        <sz val="9"/>
        <color rgb="FF555555"/>
        <rFont val="Arial"/>
        <family val="2"/>
      </rPr>
      <t xml:space="preserve">
Superficial: 38.1 million m³
Underground: 12.5 million m³
Supply company: 1.9 million m³
</t>
    </r>
    <r>
      <rPr>
        <b/>
        <sz val="9"/>
        <color rgb="FF555555"/>
        <rFont val="Arial"/>
        <family val="2"/>
      </rPr>
      <t>Low: 33.4 million m³</t>
    </r>
    <r>
      <rPr>
        <sz val="9"/>
        <color rgb="FF555555"/>
        <rFont val="Arial"/>
        <family val="2"/>
      </rPr>
      <t xml:space="preserve">
Superficial: 29.1 million m³
Underground: 1.5 million m³
Supply company: 2.8 million m³
</t>
    </r>
    <r>
      <rPr>
        <b/>
        <sz val="9"/>
        <color rgb="FF555555"/>
        <rFont val="Arial"/>
        <family val="2"/>
      </rPr>
      <t>Medium: 10.0 million m³</t>
    </r>
    <r>
      <rPr>
        <sz val="9"/>
        <color rgb="FF555555"/>
        <rFont val="Arial"/>
        <family val="2"/>
      </rPr>
      <t xml:space="preserve">
Superficial: 0.05 million m³
Underground: 8.3 million m³
Supply company: 1.7 million m³
</t>
    </r>
    <r>
      <rPr>
        <b/>
        <sz val="9"/>
        <color rgb="FF555555"/>
        <rFont val="Arial"/>
        <family val="2"/>
      </rPr>
      <t>High: 1.9 million m³</t>
    </r>
    <r>
      <rPr>
        <sz val="9"/>
        <color rgb="FF555555"/>
        <rFont val="Arial"/>
        <family val="2"/>
      </rPr>
      <t xml:space="preserve">
Superficial: 1.4 million m³
Underground: 0.5 million m³
</t>
    </r>
    <r>
      <rPr>
        <b/>
        <sz val="9"/>
        <color rgb="FF555555"/>
        <rFont val="Arial"/>
        <family val="2"/>
      </rPr>
      <t>Critical: 13.7 million m³</t>
    </r>
    <r>
      <rPr>
        <sz val="9"/>
        <color rgb="FF555555"/>
        <rFont val="Arial"/>
        <family val="2"/>
      </rPr>
      <t xml:space="preserve">
Superficial: 9.0 million m³
Underground: 4.7 million m³
</t>
    </r>
    <r>
      <rPr>
        <b/>
        <sz val="9"/>
        <color rgb="FF555555"/>
        <rFont val="Arial"/>
        <family val="2"/>
      </rPr>
      <t>N/A: 1.2 million m³</t>
    </r>
    <r>
      <rPr>
        <sz val="9"/>
        <color rgb="FF555555"/>
        <rFont val="Arial"/>
        <family val="2"/>
      </rPr>
      <t xml:space="preserve">
Superficial: 0.7 million m³
Underground: 0.5 million m³
As for the total dissolved solids parameter, the concentration did not exceed 1.000 mg/L for surface water, groundwater, and drinking water in 2022.</t>
    </r>
  </si>
  <si>
    <r>
      <t xml:space="preserve">Underground collection (m³): 25.4 million
Surface capture (m³): 69.5 million
Supply company (m³): 6.8 million
Stored Volume from Conventional Sources: 84.1 million m³
Total: 108.9 million m³ of water captured for Vale production
Total volume of new water abstracted according to the region's water risk:
</t>
    </r>
    <r>
      <rPr>
        <b/>
        <sz val="9"/>
        <color rgb="FF555555"/>
        <rFont val="Arial"/>
        <family val="2"/>
      </rPr>
      <t>No stress: 43.4 million m³</t>
    </r>
    <r>
      <rPr>
        <sz val="9"/>
        <color rgb="FF555555"/>
        <rFont val="Arial"/>
        <family val="2"/>
      </rPr>
      <t xml:space="preserve">
Superficial: 33.2 million m³
Underground: 8.1 million m³
Supply company: 2.1 million m³
</t>
    </r>
    <r>
      <rPr>
        <b/>
        <sz val="9"/>
        <color rgb="FF555555"/>
        <rFont val="Arial"/>
        <family val="2"/>
      </rPr>
      <t>Low: 32.0 million m³</t>
    </r>
    <r>
      <rPr>
        <sz val="9"/>
        <color rgb="FF555555"/>
        <rFont val="Arial"/>
        <family val="2"/>
      </rPr>
      <t xml:space="preserve">
Superficial: 27.5 million m³
Underground: 1.8 million m³
Supply company: 2.7 million m³
</t>
    </r>
    <r>
      <rPr>
        <b/>
        <sz val="9"/>
        <color rgb="FF555555"/>
        <rFont val="Arial"/>
        <family val="2"/>
      </rPr>
      <t>Medium: 9.3 million m³</t>
    </r>
    <r>
      <rPr>
        <sz val="9"/>
        <color rgb="FF555555"/>
        <rFont val="Arial"/>
        <family val="2"/>
      </rPr>
      <t xml:space="preserve">
Superficial: 0.07 million m³
Underground: 7.5 million m³
Supply company: 1.8 million m³
</t>
    </r>
    <r>
      <rPr>
        <b/>
        <sz val="9"/>
        <color rgb="FF555555"/>
        <rFont val="Arial"/>
        <family val="2"/>
      </rPr>
      <t>High: 0.6 million m³</t>
    </r>
    <r>
      <rPr>
        <sz val="9"/>
        <color rgb="FF555555"/>
        <rFont val="Arial"/>
        <family val="2"/>
      </rPr>
      <t xml:space="preserve">
Superficial: 0.2 million m³
Underground: 0.4 million m³
</t>
    </r>
    <r>
      <rPr>
        <b/>
        <sz val="9"/>
        <color rgb="FF555555"/>
        <rFont val="Arial"/>
        <family val="2"/>
      </rPr>
      <t>Critical: 14.2 million m³</t>
    </r>
    <r>
      <rPr>
        <sz val="9"/>
        <color rgb="FF555555"/>
        <rFont val="Arial"/>
        <family val="2"/>
      </rPr>
      <t xml:space="preserve">
Superficial: 7.8 million m³
Underground: 6.4 million m³
</t>
    </r>
    <r>
      <rPr>
        <b/>
        <sz val="9"/>
        <color rgb="FF555555"/>
        <rFont val="Arial"/>
        <family val="2"/>
      </rPr>
      <t>N/A: 1.7 million m³</t>
    </r>
    <r>
      <rPr>
        <sz val="9"/>
        <color rgb="FF555555"/>
        <rFont val="Arial"/>
        <family val="2"/>
      </rPr>
      <t xml:space="preserve">
Superficial: 0.6 million m³
Underground: 1.0 million m³
Supply company: 0.1 million m³
As for the total dissolved solids parameter, the concentration did not exceed 1.000 mg/L for surface water, groundwater, and drinking water in 2023.</t>
    </r>
  </si>
  <si>
    <r>
      <rPr>
        <b/>
        <sz val="9"/>
        <color rgb="FF555555"/>
        <rFont val="Arial"/>
        <family val="2"/>
      </rPr>
      <t>Notes:</t>
    </r>
    <r>
      <rPr>
        <sz val="9"/>
        <color rgb="FF555555"/>
        <rFont val="Arial"/>
        <family val="2"/>
      </rPr>
      <t xml:space="preserve"> In 2022, we prepared studies to verify the levels of water stress in the river basins where our operations are located. To this end, the indicator defined by the UN (6.4.2 Level of water stress) was adopted in the period from 2014 to 2021. This indicator considers the use of water by all users of the hydrographic basins, availability and ecological flows, using data public and available by the respective responsible bodies. In this way, factors such as the time interval considered, the climate, the vegetation, the scale of the territory, the use and occupation of the soil and the water demand have a direct impact on the results obtained.
Between 2014 and 2021, the study period, critical drought events occurred in Brazil and, as a result, higher levels of water stress were observed in some locations. Despite the water scarcity events that occurred during this period, it was possible for us to operate due to the responsible management of the use of water resources congruent with our infrastructure.
Finally, it is emphasized that the methodological change aimed to specify the stress conditions at the regional level, that is, this methodology makes it possible to understand the particularities of the watersheds.
Conventional Sources: These are surface fresh waters (rivers, lakes, canals, etc.), groundwater and water supplied by public supply concessionaires </t>
    </r>
  </si>
  <si>
    <t>GRI 303-4 (2018)</t>
  </si>
  <si>
    <r>
      <rPr>
        <b/>
        <sz val="10"/>
        <color rgb="FF555555"/>
        <rFont val="Arial"/>
        <family val="2"/>
      </rPr>
      <t xml:space="preserve">Description: </t>
    </r>
    <r>
      <rPr>
        <sz val="10"/>
        <color rgb="FF555555"/>
        <rFont val="Arial"/>
        <family val="2"/>
      </rPr>
      <t>Water discharge</t>
    </r>
  </si>
  <si>
    <t>Disposal after effluent treatment: 29 million m³
Availability to the environment without use: 96 million m³
Availability to third parties and population: 39 million m³
Total volume of water discarded according to the water risk of the region:
Low: 26 million m³
low to medium: 0
Medium to high: 3 million m³
High: 0
Extremely high: 0</t>
  </si>
  <si>
    <t>Disposal after effluent treatment: 18.2 million m³
Availability to the environment without use: 73.6 million m³
Availability to third parties and population: 42.6 million m³
Total volume of water discarded according to the water risk of the region:
Low: 16 million m³
Low to medium: 0.4 million m³
Medium to high: 1.5 million m³
High: 0
Extremely high: 0</t>
  </si>
  <si>
    <r>
      <t xml:space="preserve">Disposal after effluent treatment: 40.3 million m³
Availability to the environment without use: 145.8 million m³
Availability to third parties and population: 112.7 million m³
Total volume of water discarded according to the water risk of the region:
</t>
    </r>
    <r>
      <rPr>
        <b/>
        <sz val="9"/>
        <color rgb="FF555555"/>
        <rFont val="Arial"/>
        <family val="2"/>
      </rPr>
      <t>No stress:</t>
    </r>
    <r>
      <rPr>
        <sz val="9"/>
        <color rgb="FF555555"/>
        <rFont val="Arial"/>
        <family val="2"/>
      </rPr>
      <t xml:space="preserve"> 22.4 million m³
Release into surface water: 21.5 million m³
Launch at sea: 0.5 million m³
Other releases: 0.4 million m³
</t>
    </r>
    <r>
      <rPr>
        <b/>
        <sz val="9"/>
        <color rgb="FF555555"/>
        <rFont val="Arial"/>
        <family val="2"/>
      </rPr>
      <t>Low: 14.5 million m³</t>
    </r>
    <r>
      <rPr>
        <sz val="9"/>
        <color rgb="FF555555"/>
        <rFont val="Arial"/>
        <family val="2"/>
      </rPr>
      <t xml:space="preserve">
Release into surface water: 11.6 million m³
Launch at sea: 0.1 million m³
Other releases: 2.7 million m³
</t>
    </r>
    <r>
      <rPr>
        <b/>
        <sz val="9"/>
        <color rgb="FF555555"/>
        <rFont val="Arial"/>
        <family val="2"/>
      </rPr>
      <t>Medium: 0.3 million m³</t>
    </r>
    <r>
      <rPr>
        <sz val="9"/>
        <color rgb="FF555555"/>
        <rFont val="Arial"/>
        <family val="2"/>
      </rPr>
      <t xml:space="preserve">
Release into surface water: 0.1 million m³
Launch at sea: 0.3 million m³
</t>
    </r>
    <r>
      <rPr>
        <b/>
        <sz val="9"/>
        <color rgb="FF555555"/>
        <rFont val="Arial"/>
        <family val="2"/>
      </rPr>
      <t>High: 0 million m³</t>
    </r>
    <r>
      <rPr>
        <sz val="9"/>
        <color rgb="FF555555"/>
        <rFont val="Arial"/>
        <family val="2"/>
      </rPr>
      <t xml:space="preserve">
</t>
    </r>
    <r>
      <rPr>
        <b/>
        <sz val="9"/>
        <color rgb="FF555555"/>
        <rFont val="Arial"/>
        <family val="2"/>
      </rPr>
      <t>Critical: 2.7 million m</t>
    </r>
    <r>
      <rPr>
        <sz val="9"/>
        <color rgb="FF555555"/>
        <rFont val="Arial"/>
        <family val="2"/>
      </rPr>
      <t xml:space="preserve">³
Release into surface water: 2.6 million m³
Other releases: 0.1 million m³
</t>
    </r>
    <r>
      <rPr>
        <b/>
        <sz val="9"/>
        <color rgb="FF555555"/>
        <rFont val="Arial"/>
        <family val="2"/>
      </rPr>
      <t>Not classified: 0.2 million m³</t>
    </r>
    <r>
      <rPr>
        <sz val="9"/>
        <color rgb="FF555555"/>
        <rFont val="Arial"/>
        <family val="2"/>
      </rPr>
      <t xml:space="preserve">
Release into surface water: 0.1 million m³
Regarding the quality standard of the effluent discharges, we follow the ICMM parameters described in the reporting of indicator 303-2, thus, the discharge refers to fresh water (total dissolved solids ≤1,000 mg/L) and other types of water (total dissolved solids &gt;1,000 mg/L), as defined by the GRI.</t>
    </r>
  </si>
  <si>
    <r>
      <t xml:space="preserve">Disposal after effluent treatment: 41.1 million m³
Availability to the environment without use: 344.8 million m³
Availability to external use: 43.0 million m³
Total volume of water discarded according to the water risk of the region:
</t>
    </r>
    <r>
      <rPr>
        <b/>
        <sz val="9"/>
        <color rgb="FF555555"/>
        <rFont val="Arial"/>
        <family val="2"/>
      </rPr>
      <t>No stress:</t>
    </r>
    <r>
      <rPr>
        <sz val="9"/>
        <color rgb="FF555555"/>
        <rFont val="Arial"/>
        <family val="2"/>
      </rPr>
      <t xml:space="preserve"> </t>
    </r>
    <r>
      <rPr>
        <b/>
        <sz val="9"/>
        <color rgb="FF555555"/>
        <rFont val="Arial"/>
        <family val="2"/>
      </rPr>
      <t>19.8 million m³</t>
    </r>
    <r>
      <rPr>
        <sz val="9"/>
        <color rgb="FF555555"/>
        <rFont val="Arial"/>
        <family val="2"/>
      </rPr>
      <t xml:space="preserve">
Release into surface water: 18.4 million m³
Release at sea: 0.9 million m³
Other releases: 0.5 million m³
</t>
    </r>
    <r>
      <rPr>
        <b/>
        <sz val="9"/>
        <color rgb="FF555555"/>
        <rFont val="Arial"/>
        <family val="2"/>
      </rPr>
      <t>Low: 18.2 million m³</t>
    </r>
    <r>
      <rPr>
        <sz val="9"/>
        <color rgb="FF555555"/>
        <rFont val="Arial"/>
        <family val="2"/>
      </rPr>
      <t xml:space="preserve">
Release into surface water: 11.6 million m³
Release at sea: 1.6 million m³
Other releases: 5.0 million m³
</t>
    </r>
    <r>
      <rPr>
        <b/>
        <sz val="9"/>
        <color rgb="FF555555"/>
        <rFont val="Arial"/>
        <family val="2"/>
      </rPr>
      <t>Medium: 0.2 million m³</t>
    </r>
    <r>
      <rPr>
        <sz val="9"/>
        <color rgb="FF555555"/>
        <rFont val="Arial"/>
        <family val="2"/>
      </rPr>
      <t xml:space="preserve">
Release into surface water: 0.2 million m³
</t>
    </r>
    <r>
      <rPr>
        <b/>
        <sz val="9"/>
        <color rgb="FF555555"/>
        <rFont val="Arial"/>
        <family val="2"/>
      </rPr>
      <t>High: 0 million m³</t>
    </r>
    <r>
      <rPr>
        <sz val="9"/>
        <color rgb="FF555555"/>
        <rFont val="Arial"/>
        <family val="2"/>
      </rPr>
      <t xml:space="preserve">
</t>
    </r>
    <r>
      <rPr>
        <b/>
        <sz val="9"/>
        <color rgb="FF555555"/>
        <rFont val="Arial"/>
        <family val="2"/>
      </rPr>
      <t>Critical: 2.6 million m</t>
    </r>
    <r>
      <rPr>
        <sz val="9"/>
        <color rgb="FF555555"/>
        <rFont val="Arial"/>
        <family val="2"/>
      </rPr>
      <t xml:space="preserve">³
Release into surface water: 2.3 million m³
Release into groundwater: 0.2 million m³
</t>
    </r>
    <r>
      <rPr>
        <b/>
        <sz val="9"/>
        <color rgb="FF555555"/>
        <rFont val="Arial"/>
        <family val="2"/>
      </rPr>
      <t>Not classified: 0.08 million m³</t>
    </r>
    <r>
      <rPr>
        <sz val="9"/>
        <color rgb="FF555555"/>
        <rFont val="Arial"/>
        <family val="2"/>
      </rPr>
      <t xml:space="preserve">
Release into groundwater: 0.02 million m³
Other releases: 0.06 million m³
Regarding the quality standard of the effluent discharges, we follow the ICMM parameters described in the reporting of indicator 303-2, thus, the discharge refers to fresh water (total dissolved solids ≤1,000 mg/L) and other types of water (total dissolved solids &gt;1,000 mg/L), as defined by the GRI.</t>
    </r>
  </si>
  <si>
    <r>
      <rPr>
        <b/>
        <sz val="9"/>
        <color rgb="FF555555"/>
        <rFont val="Arial"/>
        <family val="2"/>
      </rPr>
      <t>Notes:</t>
    </r>
    <r>
      <rPr>
        <sz val="9"/>
        <color rgb="FF555555"/>
        <rFont val="Arial"/>
        <family val="2"/>
      </rPr>
      <t xml:space="preserve"> In 2022, we prepared studies to verify the levels of water stress in the river basins where our operations are located. To this end, the indicator defined by the UN (6.4.2 Level of water stress) was adopted in the period from 2014 to 2021. This indicator considers the use of water by all users of the hydrographic basins, availability and ecological flows, using data public and available by the respective responsible bodies. In this way, factors such as the time interval considered, the climate, the vegetation, the scale of the territory, the use and occupation of the soil and the water demand have a direct impact on the results obtained.
Between 2014 and 2021, the study period, critical drought events occurred in Brazil and, as a result, higher levels of water stress were observed in some locations. Despite the water scarcity events that occurred during this period, it was possible for us to operate due to the responsible management of the use of water resources congruent with our infrastructure.
Finally, it is emphasized that the methodological change aimed to specify the stress conditions at the regional level, that is, this methodology makes it possible to understand the particularities of the watersheds.
Water withdrawn and available to third parties refers to water collected for the purpose of supplying third parties, as communities near Vale's operations.
Water withdrawn without use and returned to the environment is water collected that has not entered the production process and has not been used in any other way and has not been returned to the environment.</t>
    </r>
  </si>
  <si>
    <t>GRI 303-5 (2018)</t>
  </si>
  <si>
    <r>
      <rPr>
        <b/>
        <sz val="10"/>
        <color rgb="FF555555"/>
        <rFont val="Arial"/>
        <family val="2"/>
      </rPr>
      <t xml:space="preserve">Description: </t>
    </r>
    <r>
      <rPr>
        <sz val="10"/>
        <color rgb="FF555555"/>
        <rFont val="Arial"/>
        <family val="2"/>
      </rPr>
      <t>Water consumption</t>
    </r>
  </si>
  <si>
    <t>Water consumption = 145 million m³ (collection intended for Vale production) - 29 million m³ (disposal after treatment)
Water consumption = 116 million m³</t>
  </si>
  <si>
    <t>Water consumption = 118.8 million m³ (collection intended for Vale production) + 7.6 million m³ (use of rainwater) - 18.2 million m³ (discard after treatment) - 4.5 million m³ (stored fresh water)
Water consumption = 103.7 million m³
489.8 million m³ of reused water, a reuse rate of 81.2%
Total water consumption according to the region's water risk:
Low: 75 million m³
Low to medium: 17 million m³
Medium to high: 2 million m³
High: 2 million m³
Extremely high: 0</t>
  </si>
  <si>
    <t>Water consumption = 137.9 million m³ (collection intended for Vale production) - 40.3 million m³ (disposal after treatment) - 4.7 million m³ (water sweet stored)
Water consumption = 92.9 million m³
507 million m³ of reused water, a reuse rate of 82%
Total water consumption according to the region's water risk:
No stress: 50.3 million m³
Low: 19.0 million m³
Medium: 9.7 million m³
High: 1.8 million m³
Critical: 11.0 million m³
Not classified: 1.0 million m³</t>
  </si>
  <si>
    <t>Water consumption = 108.9 million m³ (collection intended for Vale production) - 41.1 million m³ (disposal after treatment) 
Water consumption = 67.8 million m³
563 million m³ of reused water, a reuse rate of 84%
Total water consumption according to the region's water risk:
No stress: 30.8 million m³
Low: 13.8 million m³
Medium: 9.1 million m³
High: 0.6 million m³
Critical: 11.6 million m³
Not classified: 1.6 million m³</t>
  </si>
  <si>
    <r>
      <t xml:space="preserve">Notes: </t>
    </r>
    <r>
      <rPr>
        <sz val="9"/>
        <color rgb="FF555555"/>
        <rFont val="Arial"/>
        <family val="2"/>
      </rPr>
      <t>The use of rainwater is considered in 2022 in the value of "water intended for use", as updated in the ICMM concept.</t>
    </r>
    <r>
      <rPr>
        <b/>
        <sz val="9"/>
        <color rgb="FF555555"/>
        <rFont val="Arial"/>
        <family val="2"/>
      </rPr>
      <t xml:space="preserve">
 </t>
    </r>
    <r>
      <rPr>
        <sz val="9"/>
        <color rgb="FF555555"/>
        <rFont val="Arial"/>
        <family val="2"/>
      </rPr>
      <t>As of 2022, to calculate reuse, the stored volumes were subtracted from the volume of water withdrawn and volume of water reused. You can see in detail the formula used for the calculation in the basis of preparation. There was no recalculation for the 2021 values.</t>
    </r>
  </si>
  <si>
    <t>GRI 304-1 (2016)  e  SASB EM-MM-160a.3</t>
  </si>
  <si>
    <r>
      <rPr>
        <b/>
        <sz val="10"/>
        <color rgb="FF555555"/>
        <rFont val="Arial"/>
        <family val="2"/>
      </rPr>
      <t>GRI Description:</t>
    </r>
    <r>
      <rPr>
        <sz val="10"/>
        <color rgb="FF555555"/>
        <rFont val="Arial"/>
        <family val="2"/>
      </rPr>
      <t xml:space="preserve"> Operating units owned, leased or managed within or adjacent to environmental protection areas and areas of high biodiversity value located outside environmental protection areas</t>
    </r>
  </si>
  <si>
    <r>
      <rPr>
        <b/>
        <sz val="10"/>
        <color rgb="FF555555"/>
        <rFont val="Arial"/>
        <family val="2"/>
      </rPr>
      <t>SASB Description:</t>
    </r>
    <r>
      <rPr>
        <sz val="10"/>
        <color rgb="FF555555"/>
        <rFont val="Arial"/>
        <family val="2"/>
      </rPr>
      <t xml:space="preserve"> Percentage of (1) proven reserves and (2) probable reserves in or near sites with protected conservation status or habitat of threatened species</t>
    </r>
  </si>
  <si>
    <t>Impacted Area (in ha)</t>
  </si>
  <si>
    <r>
      <t xml:space="preserve">In </t>
    </r>
    <r>
      <rPr>
        <b/>
        <i/>
        <sz val="10"/>
        <color rgb="FF555555"/>
        <rFont val="Arial"/>
        <family val="2"/>
      </rPr>
      <t>wilderness</t>
    </r>
  </si>
  <si>
    <r>
      <t xml:space="preserve">In </t>
    </r>
    <r>
      <rPr>
        <b/>
        <i/>
        <sz val="10"/>
        <color rgb="FF555555"/>
        <rFont val="Arial"/>
        <family val="2"/>
      </rPr>
      <t>hotspots</t>
    </r>
  </si>
  <si>
    <t>In protected areas</t>
  </si>
  <si>
    <t>Adjacent to protected areas</t>
  </si>
  <si>
    <t>In priority conservation areas outside protected areas</t>
  </si>
  <si>
    <t>Adjacent to priority areas for conservation outside protected areas</t>
  </si>
  <si>
    <t>138,923</t>
  </si>
  <si>
    <t>91,804</t>
  </si>
  <si>
    <t>36,121</t>
  </si>
  <si>
    <t>24,549</t>
  </si>
  <si>
    <t>42,721</t>
  </si>
  <si>
    <t>10,854</t>
  </si>
  <si>
    <t>16,880</t>
  </si>
  <si>
    <t>81,839</t>
  </si>
  <si>
    <t>32,482</t>
  </si>
  <si>
    <t>38,177</t>
  </si>
  <si>
    <t>26,024</t>
  </si>
  <si>
    <t>38,419</t>
  </si>
  <si>
    <t>10,389</t>
  </si>
  <si>
    <t>15,636</t>
  </si>
  <si>
    <t>81,457</t>
  </si>
  <si>
    <t>32,510</t>
  </si>
  <si>
    <t>37,246</t>
  </si>
  <si>
    <t>25,543</t>
  </si>
  <si>
    <t>39,628</t>
  </si>
  <si>
    <t>10,341</t>
  </si>
  <si>
    <t>87,731</t>
  </si>
  <si>
    <t>43,487</t>
  </si>
  <si>
    <t>35,699</t>
  </si>
  <si>
    <t>30,053</t>
  </si>
  <si>
    <t>39,722</t>
  </si>
  <si>
    <t>9,623</t>
  </si>
  <si>
    <t>9,595</t>
  </si>
  <si>
    <t>89,343</t>
  </si>
  <si>
    <t>43,719</t>
  </si>
  <si>
    <t>37,073</t>
  </si>
  <si>
    <t>30,113</t>
  </si>
  <si>
    <t>40,195</t>
  </si>
  <si>
    <t>23,249</t>
  </si>
  <si>
    <t>7,683</t>
  </si>
  <si>
    <t>Impacted Area (in km²)</t>
  </si>
  <si>
    <t>1389.2</t>
  </si>
  <si>
    <t>918.0</t>
  </si>
  <si>
    <t>361.2</t>
  </si>
  <si>
    <t>245.5</t>
  </si>
  <si>
    <t>427.2</t>
  </si>
  <si>
    <t>108.5</t>
  </si>
  <si>
    <t>168.8</t>
  </si>
  <si>
    <t>818.3</t>
  </si>
  <si>
    <t>324.8</t>
  </si>
  <si>
    <t>381.8</t>
  </si>
  <si>
    <t>260.2</t>
  </si>
  <si>
    <t>384.2</t>
  </si>
  <si>
    <t>103.9</t>
  </si>
  <si>
    <t>156.4</t>
  </si>
  <si>
    <t>814.6</t>
  </si>
  <si>
    <t>325.1</t>
  </si>
  <si>
    <t>372.5</t>
  </si>
  <si>
    <t>255.4</t>
  </si>
  <si>
    <t>396.3</t>
  </si>
  <si>
    <t>103.4</t>
  </si>
  <si>
    <t>877.3</t>
  </si>
  <si>
    <t>434.9</t>
  </si>
  <si>
    <t>357.0</t>
  </si>
  <si>
    <t>300.5</t>
  </si>
  <si>
    <t>397.2</t>
  </si>
  <si>
    <t>96.2</t>
  </si>
  <si>
    <t>96.0</t>
  </si>
  <si>
    <t>893.4</t>
  </si>
  <si>
    <t>437.2</t>
  </si>
  <si>
    <t>370.7</t>
  </si>
  <si>
    <t>301.1</t>
  </si>
  <si>
    <t>402.0</t>
  </si>
  <si>
    <t>232.5</t>
  </si>
  <si>
    <t>76.8</t>
  </si>
  <si>
    <r>
      <rPr>
        <b/>
        <sz val="10"/>
        <color rgb="FF555555"/>
        <rFont val="Arial"/>
        <family val="2"/>
      </rPr>
      <t xml:space="preserve">Notes: </t>
    </r>
    <r>
      <rPr>
        <sz val="8"/>
        <color rgb="FF555555"/>
        <rFont val="Arial"/>
        <family val="2"/>
      </rPr>
      <t>The total area occupied by our operations (total impacted area) includes the areas of the pits currently licensed and under exploration, covering proven and probable reserves. It should be noted that currently the assessment of mineral resources and reserves takes into account the technical, economic, social and environmental points of view, and areas with legal restrictions, such as conservation units (UCs of Integral Protection and Private Reserves of Natural Heritage) , are excluded from the impact areas of these new pits and therefore are not considered as a reserve. This process complies with the new rules provided for in the SK-1300 Guide of the Securities and Exchanges Commission (SEC).
Between 2021 and 2022, there was an increase in the Directly Affected Areas (ADAs in portuguese) of the projects, with a consequent increase in interference in the territories, resulting in variation in the impacted area in wilderness and in protected areas.</t>
    </r>
  </si>
  <si>
    <t>In wilderness</t>
  </si>
  <si>
    <t>In hotspots</t>
  </si>
  <si>
    <t>Total impacted area</t>
  </si>
  <si>
    <t>Corridor/ Complex</t>
  </si>
  <si>
    <t>Operating Unit</t>
  </si>
  <si>
    <t>In ha</t>
  </si>
  <si>
    <t>In km²</t>
  </si>
  <si>
    <t>Corridor north</t>
  </si>
  <si>
    <t>Estrada de Ferro Carajás</t>
  </si>
  <si>
    <t>10,069.97</t>
  </si>
  <si>
    <t>100.70</t>
  </si>
  <si>
    <t>Manganês do Azul</t>
  </si>
  <si>
    <t>973.85</t>
  </si>
  <si>
    <t>9.74</t>
  </si>
  <si>
    <t>N4N5</t>
  </si>
  <si>
    <t>6,546.80</t>
  </si>
  <si>
    <t>65.47</t>
  </si>
  <si>
    <t>Porto Ponta da Madeira</t>
  </si>
  <si>
    <t>1,730.28</t>
  </si>
  <si>
    <t>17.30</t>
  </si>
  <si>
    <t>S11D</t>
  </si>
  <si>
    <t>3,368.69</t>
  </si>
  <si>
    <t>33.69</t>
  </si>
  <si>
    <t>Serra Leste</t>
  </si>
  <si>
    <t>453.19</t>
  </si>
  <si>
    <t>4.53</t>
  </si>
  <si>
    <t>Corridor southeast</t>
  </si>
  <si>
    <t>Agua Limpa</t>
  </si>
  <si>
    <t>1,100.00</t>
  </si>
  <si>
    <t>11.00</t>
  </si>
  <si>
    <t>Alegria</t>
  </si>
  <si>
    <t>711.18</t>
  </si>
  <si>
    <t>7.11</t>
  </si>
  <si>
    <t>Baú</t>
  </si>
  <si>
    <t>261.00</t>
  </si>
  <si>
    <t>2.61</t>
  </si>
  <si>
    <t>Brucutu</t>
  </si>
  <si>
    <t>2,607.00</t>
  </si>
  <si>
    <t>26.07</t>
  </si>
  <si>
    <t xml:space="preserve">Cauê </t>
  </si>
  <si>
    <t>1,824.70</t>
  </si>
  <si>
    <t>18.25</t>
  </si>
  <si>
    <t>Complexo de Tubarão</t>
  </si>
  <si>
    <t>1,205.87</t>
  </si>
  <si>
    <t>12.06</t>
  </si>
  <si>
    <t>Conceição</t>
  </si>
  <si>
    <t>2,292.94</t>
  </si>
  <si>
    <t>22.93</t>
  </si>
  <si>
    <t>Estrada de Ferro Vitória a Minas</t>
  </si>
  <si>
    <t>37.98</t>
  </si>
  <si>
    <t>Fábrica Nova</t>
  </si>
  <si>
    <t>1,189.25</t>
  </si>
  <si>
    <t>11.89</t>
  </si>
  <si>
    <t>Fazendão</t>
  </si>
  <si>
    <t>459.07</t>
  </si>
  <si>
    <t>4.59</t>
  </si>
  <si>
    <t xml:space="preserve">Itabira </t>
  </si>
  <si>
    <t>430.08</t>
  </si>
  <si>
    <t>4.30</t>
  </si>
  <si>
    <t>Minas do Meio</t>
  </si>
  <si>
    <t>1,292.29</t>
  </si>
  <si>
    <t>12.92</t>
  </si>
  <si>
    <t>Timbopeba</t>
  </si>
  <si>
    <t>713.20</t>
  </si>
  <si>
    <t>7.13</t>
  </si>
  <si>
    <t>Pitangui (Fazendão)</t>
  </si>
  <si>
    <t>10.62</t>
  </si>
  <si>
    <t>0.11</t>
  </si>
  <si>
    <t>Córrego do Meio</t>
  </si>
  <si>
    <t>110.99</t>
  </si>
  <si>
    <t>1.11</t>
  </si>
  <si>
    <t xml:space="preserve">Miguel Congo </t>
  </si>
  <si>
    <t>68.42</t>
  </si>
  <si>
    <t>0.68</t>
  </si>
  <si>
    <t>Antônio Pereira</t>
  </si>
  <si>
    <t>4.87</t>
  </si>
  <si>
    <t>0.05</t>
  </si>
  <si>
    <t>Conta História</t>
  </si>
  <si>
    <t>43.23</t>
  </si>
  <si>
    <t>0.43</t>
  </si>
  <si>
    <t>Gandarela</t>
  </si>
  <si>
    <t>11.22</t>
  </si>
  <si>
    <t>Batatinha</t>
  </si>
  <si>
    <t>5.65</t>
  </si>
  <si>
    <t>0.06</t>
  </si>
  <si>
    <t>Capanema</t>
  </si>
  <si>
    <t>518.22</t>
  </si>
  <si>
    <t>5.18</t>
  </si>
  <si>
    <t>Morro da Mina (Alegria)</t>
  </si>
  <si>
    <t>24.45</t>
  </si>
  <si>
    <t>0.24</t>
  </si>
  <si>
    <t>Del Rey</t>
  </si>
  <si>
    <t>44.19</t>
  </si>
  <si>
    <t>0.44</t>
  </si>
  <si>
    <t>Roça Grande</t>
  </si>
  <si>
    <t>0.64</t>
  </si>
  <si>
    <t>0.0064</t>
  </si>
  <si>
    <t>Escorpião</t>
  </si>
  <si>
    <t>12.07</t>
  </si>
  <si>
    <t>0.12</t>
  </si>
  <si>
    <t>Pé de Serra (Água Limpa)</t>
  </si>
  <si>
    <t>7.51</t>
  </si>
  <si>
    <t>0.075</t>
  </si>
  <si>
    <t>Jacutinga (Água Limpa)</t>
  </si>
  <si>
    <t>313.24</t>
  </si>
  <si>
    <t>3.13</t>
  </si>
  <si>
    <t>Cabral e Trindade</t>
  </si>
  <si>
    <t>53.49</t>
  </si>
  <si>
    <t>0.53</t>
  </si>
  <si>
    <t>Gongo Soco</t>
  </si>
  <si>
    <t>542.77</t>
  </si>
  <si>
    <t>5.43</t>
  </si>
  <si>
    <t>Mizael (Água Limpa)</t>
  </si>
  <si>
    <t>26.78</t>
  </si>
  <si>
    <t>0.27</t>
  </si>
  <si>
    <t>Corridor south</t>
  </si>
  <si>
    <t>Abóboras</t>
  </si>
  <si>
    <t>703.05</t>
  </si>
  <si>
    <t>7.03</t>
  </si>
  <si>
    <t>Capão Xavier</t>
  </si>
  <si>
    <t>170.16</t>
  </si>
  <si>
    <t>1.70</t>
  </si>
  <si>
    <t>Capitão do Mato</t>
  </si>
  <si>
    <t>542.13</t>
  </si>
  <si>
    <t>5.42</t>
  </si>
  <si>
    <t>Galinheiro</t>
  </si>
  <si>
    <t>1249.91</t>
  </si>
  <si>
    <t>12.50</t>
  </si>
  <si>
    <t>Gama</t>
  </si>
  <si>
    <t>31.68</t>
  </si>
  <si>
    <t>0.32</t>
  </si>
  <si>
    <t>João Pereira</t>
  </si>
  <si>
    <t>699.51</t>
  </si>
  <si>
    <t>6.99</t>
  </si>
  <si>
    <t>Mar Azul</t>
  </si>
  <si>
    <t>257.83</t>
  </si>
  <si>
    <t>2.58</t>
  </si>
  <si>
    <t>Miguelão</t>
  </si>
  <si>
    <t>41.45</t>
  </si>
  <si>
    <t>0.41</t>
  </si>
  <si>
    <t>Mutuca</t>
  </si>
  <si>
    <t>320.74</t>
  </si>
  <si>
    <t>3.21</t>
  </si>
  <si>
    <t>Pico</t>
  </si>
  <si>
    <t>402.10</t>
  </si>
  <si>
    <t>4.02</t>
  </si>
  <si>
    <t>Portos Sul</t>
  </si>
  <si>
    <t>184.23</t>
  </si>
  <si>
    <t>1.84</t>
  </si>
  <si>
    <t>Sapecado</t>
  </si>
  <si>
    <t>508.36</t>
  </si>
  <si>
    <t>5.08</t>
  </si>
  <si>
    <t>Segredo</t>
  </si>
  <si>
    <t>1,320.99</t>
  </si>
  <si>
    <t>13.21</t>
  </si>
  <si>
    <t>Tamanduá</t>
  </si>
  <si>
    <t>340.06</t>
  </si>
  <si>
    <t>3.40</t>
  </si>
  <si>
    <t>TOD</t>
  </si>
  <si>
    <t>16.88</t>
  </si>
  <si>
    <t>0.17</t>
  </si>
  <si>
    <t>Vargem Grande</t>
  </si>
  <si>
    <t>401.79</t>
  </si>
  <si>
    <t>Viga</t>
  </si>
  <si>
    <t>874.67</t>
  </si>
  <si>
    <t>8.75</t>
  </si>
  <si>
    <t>Serrinha</t>
  </si>
  <si>
    <t>29.30</t>
  </si>
  <si>
    <t>0.29</t>
  </si>
  <si>
    <t>Santo Antônio (Fábrica)</t>
  </si>
  <si>
    <t>4.39</t>
  </si>
  <si>
    <t>0.04</t>
  </si>
  <si>
    <t>Córrego do Feijão</t>
  </si>
  <si>
    <t>438.45</t>
  </si>
  <si>
    <t>4.38</t>
  </si>
  <si>
    <t>Almas Norte (Fábrica)</t>
  </si>
  <si>
    <t>1.98</t>
  </si>
  <si>
    <t>0.02</t>
  </si>
  <si>
    <t>Jangada</t>
  </si>
  <si>
    <t>328.37</t>
  </si>
  <si>
    <t>3.28</t>
  </si>
  <si>
    <t>Águas Claras</t>
  </si>
  <si>
    <t>374.76</t>
  </si>
  <si>
    <t>3.75</t>
  </si>
  <si>
    <t>Faria (Fábrica)</t>
  </si>
  <si>
    <t>2.75</t>
  </si>
  <si>
    <t>0.027</t>
  </si>
  <si>
    <t>Base Metals</t>
  </si>
  <si>
    <t>Igarapé Bahia</t>
  </si>
  <si>
    <t>420.99</t>
  </si>
  <si>
    <t>4.21</t>
  </si>
  <si>
    <t>Onça Puma</t>
  </si>
  <si>
    <t>4,763.20</t>
  </si>
  <si>
    <t>47.63</t>
  </si>
  <si>
    <t>Salobo</t>
  </si>
  <si>
    <t>9,215.00</t>
  </si>
  <si>
    <t>92.15</t>
  </si>
  <si>
    <t>Sossego</t>
  </si>
  <si>
    <t>2,391.89</t>
  </si>
  <si>
    <t>23.92</t>
  </si>
  <si>
    <t>Vale Canada/Ontario</t>
  </si>
  <si>
    <t>Central Tailings</t>
  </si>
  <si>
    <t>3,028.92</t>
  </si>
  <si>
    <t>30.29</t>
  </si>
  <si>
    <t>Coleman Mine</t>
  </si>
  <si>
    <t>356.21</t>
  </si>
  <si>
    <t>3.56</t>
  </si>
  <si>
    <t>Copper Cliff Nickel Refinery</t>
  </si>
  <si>
    <t>205.41</t>
  </si>
  <si>
    <t>2.05</t>
  </si>
  <si>
    <t>Copper Cliff South Mine</t>
  </si>
  <si>
    <t>53.02</t>
  </si>
  <si>
    <t>Copper Refinery</t>
  </si>
  <si>
    <t>96.87</t>
  </si>
  <si>
    <t>0.97</t>
  </si>
  <si>
    <t>Crean Hill Mine</t>
  </si>
  <si>
    <t>208.81</t>
  </si>
  <si>
    <t>2.09</t>
  </si>
  <si>
    <t>Creighton Mine</t>
  </si>
  <si>
    <t>813.22</t>
  </si>
  <si>
    <t>8.13</t>
  </si>
  <si>
    <t>Frood Stobie</t>
  </si>
  <si>
    <t>964.12</t>
  </si>
  <si>
    <t>9.64</t>
  </si>
  <si>
    <t>Garson Mine</t>
  </si>
  <si>
    <t>111.16</t>
  </si>
  <si>
    <t>Levack Mine</t>
  </si>
  <si>
    <t>711.04</t>
  </si>
  <si>
    <t>Mc Creedy West Mine</t>
  </si>
  <si>
    <t>29.62</t>
  </si>
  <si>
    <t>0.30</t>
  </si>
  <si>
    <t>Port Colborne</t>
  </si>
  <si>
    <t>140.18</t>
  </si>
  <si>
    <t>1.40</t>
  </si>
  <si>
    <t>Shebandowan Mine</t>
  </si>
  <si>
    <t>847.63</t>
  </si>
  <si>
    <t>8.48</t>
  </si>
  <si>
    <t>Smelter Complex (Sudbury)</t>
  </si>
  <si>
    <t>699.25</t>
  </si>
  <si>
    <t>Totten Mine</t>
  </si>
  <si>
    <t>19.60</t>
  </si>
  <si>
    <t>0.20</t>
  </si>
  <si>
    <t>Whistle Mine</t>
  </si>
  <si>
    <t>60.17</t>
  </si>
  <si>
    <t>0.60</t>
  </si>
  <si>
    <t>Vale Canada/Manitoba</t>
  </si>
  <si>
    <t>Birchtree Mine</t>
  </si>
  <si>
    <t>37.91</t>
  </si>
  <si>
    <t>0.38</t>
  </si>
  <si>
    <t>Pipe Lake Mine</t>
  </si>
  <si>
    <t>416.03</t>
  </si>
  <si>
    <t>4.16</t>
  </si>
  <si>
    <t>Soab North Mine</t>
  </si>
  <si>
    <t>30.58</t>
  </si>
  <si>
    <t>0.31</t>
  </si>
  <si>
    <t>Soab South Mine</t>
  </si>
  <si>
    <t>42.66</t>
  </si>
  <si>
    <t>Thompson Mine</t>
  </si>
  <si>
    <t>1,639.65</t>
  </si>
  <si>
    <t>16.40</t>
  </si>
  <si>
    <t>Vale Canada/Labrador NFL</t>
  </si>
  <si>
    <t>Long Harbour</t>
  </si>
  <si>
    <t>364.20</t>
  </si>
  <si>
    <t>3.64</t>
  </si>
  <si>
    <t>Voiseys Bay</t>
  </si>
  <si>
    <t>1,514.00</t>
  </si>
  <si>
    <t>15.14</t>
  </si>
  <si>
    <t xml:space="preserve">Vale China </t>
  </si>
  <si>
    <t>5.64</t>
  </si>
  <si>
    <t>0.056</t>
  </si>
  <si>
    <t>Vale Indonesia</t>
  </si>
  <si>
    <t>PTVI</t>
  </si>
  <si>
    <t>7,533.21</t>
  </si>
  <si>
    <t>75.33</t>
  </si>
  <si>
    <t>Vale Japão</t>
  </si>
  <si>
    <t>Vale Japan</t>
  </si>
  <si>
    <t>7.74</t>
  </si>
  <si>
    <t>0.077</t>
  </si>
  <si>
    <t>Vale Malaysia</t>
  </si>
  <si>
    <t>Teluk Rubiah</t>
  </si>
  <si>
    <t>224.25</t>
  </si>
  <si>
    <t>2.24</t>
  </si>
  <si>
    <t>Vale Manganese</t>
  </si>
  <si>
    <t>Simões Filho</t>
  </si>
  <si>
    <t>169.76</t>
  </si>
  <si>
    <t>Vale Oman</t>
  </si>
  <si>
    <t>VOPC</t>
  </si>
  <si>
    <t>119.43</t>
  </si>
  <si>
    <t>1.19</t>
  </si>
  <si>
    <t>Vale Taiwan</t>
  </si>
  <si>
    <t>1.78</t>
  </si>
  <si>
    <t>0.018</t>
  </si>
  <si>
    <t>Vale UK</t>
  </si>
  <si>
    <t>Clydach</t>
  </si>
  <si>
    <t>28.40</t>
  </si>
  <si>
    <t>0.284</t>
  </si>
  <si>
    <t>89,342.74</t>
  </si>
  <si>
    <t>893.43</t>
  </si>
  <si>
    <t>GRI 304-2 (2016)</t>
  </si>
  <si>
    <r>
      <rPr>
        <b/>
        <sz val="10"/>
        <color rgb="FF555555"/>
        <rFont val="Arial"/>
        <family val="2"/>
      </rPr>
      <t xml:space="preserve">Description: </t>
    </r>
    <r>
      <rPr>
        <sz val="10"/>
        <color rgb="FF555555"/>
        <rFont val="Arial"/>
        <family val="2"/>
      </rPr>
      <t>Significant impacts of activities, products and services on biodiversity</t>
    </r>
  </si>
  <si>
    <t>Even though we are always looking for the best technologies and methods that allow the least interference in natural resources, operations directly or indirectly impact natural habitats and the biota associated with them, mainly due to changes in land use and vegetation cover, as well as in the physical characteristics of environments. These impacts result in suppression of vegetation and other environmental alterations that generate loss and alteration of habitats for species of flora and fauna.
Regarding Brumadinho, the main impacts were the loss and fragmentation of natural habitats, alteration of aquatic and terrestrial environments, and in the levels of chemical elements, with consequent loss of specimens of native, domestic and exotic fauna and flora.</t>
  </si>
  <si>
    <t>In 2020, our operations occupied approximately 818 km². Vale depends on natural resources and ecosystem services, such as water supply and climate regulation. At the same time, it generates impacts on biodiversity and on these services. This demonstrates the importance of natural capital for the business. Even though we are always looking for the best technologies and methods that allow the least interference in natural resources, the operations directly or indirectly impact natural habitats and the biota associated with them, mainly due to the conversion, loss and/or reduction of habitats, alteration in the air quality and specimen loss.</t>
  </si>
  <si>
    <t>Vale prioritizes risk analysis and adopts measures to prevent, mitigate, recover and offset impacts. In 2021, the area impacted by our operations accounted for 814.57 Km², part of our operations overlap and interface with areas of high value for biodiversity, such as hotspots and key areas for biodiversity, directly or indirectly impacting natural habitats and biota associated with them, mainly due to conversion, loss and/or reduction of habitats and loss of specimens. We remain committed to increasingly reducing our impacts, in addition to recovering and compensating the areas and habitats we affect, in line with our long-term goal of neutralizing impacts on biodiversity in new projects.</t>
  </si>
  <si>
    <t>In 2022, the total area occupied by our operations accounted for approximately 88 thousand hectares, with around 85% of this area located in Brazil and Indonesia, in tropical forests of high value for biodiversity. Our main impacts are related to changes in land use and vegetation cover, with a direct consequence of localized suppression of flora individuals and reduction and/or alteration of habitats for fauna.  For the most part, direct impacts are classified as reversible in the medium to long term and are caused outside of protected areas.</t>
  </si>
  <si>
    <t xml:space="preserve">The total area impacted by our direct operations worldwide in 2023 represents approximately 89 thousand hectares. In Brazil and Indonesia, there are operations that interface with areas of high value for biodiversity. Some of our websites in Brazil have interference with protected areas – conservation units of sustainable use that, according to specific creation decrees, allow our activities within them. In 2023, a systematic assessment of our dependencies, impacts, risks and opportunities was carried out. The results obtained, both from this assessment and from the reporting of qualitative indicators in each of our operational areas, indicated that our most material impacts are associated with changes in vegetation cover and land use. </t>
  </si>
  <si>
    <t>GRI 304-3 (2016)</t>
  </si>
  <si>
    <r>
      <rPr>
        <b/>
        <sz val="10"/>
        <color rgb="FF555555"/>
        <rFont val="Arial"/>
        <family val="2"/>
      </rPr>
      <t>Description:</t>
    </r>
    <r>
      <rPr>
        <sz val="10"/>
        <color rgb="FF555555"/>
        <rFont val="Arial"/>
        <family val="2"/>
      </rPr>
      <t xml:space="preserve"> Habitats protected or restored</t>
    </r>
  </si>
  <si>
    <t>Restored and protected areas (in ha)</t>
  </si>
  <si>
    <t>Area of total recovery</t>
  </si>
  <si>
    <t>Area of permanent recovery</t>
  </si>
  <si>
    <t>Area of provisional recovery</t>
  </si>
  <si>
    <r>
      <t xml:space="preserve">Area recovered in </t>
    </r>
    <r>
      <rPr>
        <b/>
        <i/>
        <sz val="10"/>
        <color rgb="FF555555"/>
        <rFont val="Arial"/>
        <family val="2"/>
      </rPr>
      <t>wilderness</t>
    </r>
  </si>
  <si>
    <r>
      <t xml:space="preserve">Area recovered in </t>
    </r>
    <r>
      <rPr>
        <b/>
        <i/>
        <sz val="10"/>
        <color rgb="FF555555"/>
        <rFont val="Arial"/>
        <family val="2"/>
      </rPr>
      <t>hotspots</t>
    </r>
  </si>
  <si>
    <t>Protected area</t>
  </si>
  <si>
    <t>1,180</t>
  </si>
  <si>
    <t>852,500</t>
  </si>
  <si>
    <t>1,919</t>
  </si>
  <si>
    <t>1,698</t>
  </si>
  <si>
    <t>905,400</t>
  </si>
  <si>
    <t>2,030</t>
  </si>
  <si>
    <t>1,820</t>
  </si>
  <si>
    <t>967,100</t>
  </si>
  <si>
    <t>1,098</t>
  </si>
  <si>
    <t>965,400</t>
  </si>
  <si>
    <t>1,100</t>
  </si>
  <si>
    <t>965,321</t>
  </si>
  <si>
    <t>Protected and recovered areas (in km²)</t>
  </si>
  <si>
    <t>11.8</t>
  </si>
  <si>
    <t>9.9</t>
  </si>
  <si>
    <t>1.9</t>
  </si>
  <si>
    <t>3.0</t>
  </si>
  <si>
    <t>8.9</t>
  </si>
  <si>
    <t>8,525</t>
  </si>
  <si>
    <t>19.2</t>
  </si>
  <si>
    <t>17.0</t>
  </si>
  <si>
    <t>2.2</t>
  </si>
  <si>
    <t>3.6</t>
  </si>
  <si>
    <t>15.2</t>
  </si>
  <si>
    <t>9,054</t>
  </si>
  <si>
    <t>20.3</t>
  </si>
  <si>
    <t>18.2</t>
  </si>
  <si>
    <t>2.1</t>
  </si>
  <si>
    <t>3.5</t>
  </si>
  <si>
    <t>14.1</t>
  </si>
  <si>
    <t>9,671</t>
  </si>
  <si>
    <t>11.0</t>
  </si>
  <si>
    <t>0.0</t>
  </si>
  <si>
    <t>7.8</t>
  </si>
  <si>
    <t>9,654</t>
  </si>
  <si>
    <t>8.2</t>
  </si>
  <si>
    <t>2.8</t>
  </si>
  <si>
    <t>1.6</t>
  </si>
  <si>
    <t>9.1</t>
  </si>
  <si>
    <t>9,653</t>
  </si>
  <si>
    <t>Biome</t>
  </si>
  <si>
    <t>Property</t>
  </si>
  <si>
    <t>Area (ha)</t>
  </si>
  <si>
    <t>Area (km²)</t>
  </si>
  <si>
    <t>9,653.2</t>
  </si>
  <si>
    <t>National Forest of Carajás</t>
  </si>
  <si>
    <t>Brazil (Pará)</t>
  </si>
  <si>
    <t>Amazon rainforest</t>
  </si>
  <si>
    <r>
      <t>Partnership ICMBio</t>
    </r>
    <r>
      <rPr>
        <vertAlign val="superscript"/>
        <sz val="9"/>
        <color rgb="FF555555"/>
        <rFont val="Arial"/>
        <family val="2"/>
      </rPr>
      <t>1</t>
    </r>
  </si>
  <si>
    <t>391,004</t>
  </si>
  <si>
    <t>3,910.0</t>
  </si>
  <si>
    <t>National forest of Tapirapé-Aquiri</t>
  </si>
  <si>
    <t>114,240</t>
  </si>
  <si>
    <t>1,142.4</t>
  </si>
  <si>
    <t>National Forest of Itacaiúnas</t>
  </si>
  <si>
    <t>136,592</t>
  </si>
  <si>
    <t>1,365.9</t>
  </si>
  <si>
    <t>Biological reserve of Tapirapé</t>
  </si>
  <si>
    <t>99,198</t>
  </si>
  <si>
    <t>992.0</t>
  </si>
  <si>
    <t>Environmental protection area of Igarapé do Gelado</t>
  </si>
  <si>
    <t>23,269</t>
  </si>
  <si>
    <t>232.7</t>
  </si>
  <si>
    <t>National park of Campos Ferruginosos de Carajás</t>
  </si>
  <si>
    <t>21,997</t>
  </si>
  <si>
    <t>220.0</t>
  </si>
  <si>
    <t>State Park ofCunhambebe</t>
  </si>
  <si>
    <t>Brazil (Rio de Janeiro)</t>
  </si>
  <si>
    <t>Atlantic forest</t>
  </si>
  <si>
    <t>Partnership INEA²</t>
  </si>
  <si>
    <t>38,053</t>
  </si>
  <si>
    <t>380.5</t>
  </si>
  <si>
    <t>Manument of Serra das Torres</t>
  </si>
  <si>
    <t>Brazil (Espírito Santo)</t>
  </si>
  <si>
    <t>Partnership IEMA</t>
  </si>
  <si>
    <t>10,458</t>
  </si>
  <si>
    <t>104.6</t>
  </si>
  <si>
    <t>Biological reserve of Duas Bocas</t>
  </si>
  <si>
    <t>2,910</t>
  </si>
  <si>
    <t>29.1</t>
  </si>
  <si>
    <t>National forest of Goytacazes</t>
  </si>
  <si>
    <t>1,425</t>
  </si>
  <si>
    <t>14.3</t>
  </si>
  <si>
    <t>Botanical park of São Luís</t>
  </si>
  <si>
    <t>Brazil (Maranhão)</t>
  </si>
  <si>
    <t>Own</t>
  </si>
  <si>
    <t>110</t>
  </si>
  <si>
    <t>1.1</t>
  </si>
  <si>
    <t>Botanical parl of Tubarão</t>
  </si>
  <si>
    <t>0.3</t>
  </si>
  <si>
    <t>Vale's Natural Reserve</t>
  </si>
  <si>
    <t>22,710</t>
  </si>
  <si>
    <t>227.1</t>
  </si>
  <si>
    <t>Biological Reserve of Sooretama</t>
  </si>
  <si>
    <t>27,800</t>
  </si>
  <si>
    <t>278.0</t>
  </si>
  <si>
    <t>Reservas particulares do patrimônio natural (RPPN) no Quadrilátero Ferrífero de Minas Gerais</t>
  </si>
  <si>
    <t>Brazil (Minas Gerais)</t>
  </si>
  <si>
    <t>12,660</t>
  </si>
  <si>
    <t>126.6</t>
  </si>
  <si>
    <t>Protected area of quatro pequenas centrais hidrelétricas (PCHs)</t>
  </si>
  <si>
    <t>3.3</t>
  </si>
  <si>
    <t>Ecological Center Vale Malásia (Vale Eco Center)</t>
  </si>
  <si>
    <t>Sundaland</t>
  </si>
  <si>
    <t>2.9</t>
  </si>
  <si>
    <t>Biological reserve of Augusto Ruschi</t>
  </si>
  <si>
    <t>3,598</t>
  </si>
  <si>
    <t>36.0</t>
  </si>
  <si>
    <t>Biological reserve of União</t>
  </si>
  <si>
    <t>7,756</t>
  </si>
  <si>
    <t>77.6</t>
  </si>
  <si>
    <t>Biological reserve of Mata Escura</t>
  </si>
  <si>
    <t>50,892</t>
  </si>
  <si>
    <t>508.9</t>
  </si>
  <si>
    <r>
      <rPr>
        <b/>
        <sz val="9"/>
        <color rgb="FF555555"/>
        <rFont val="Arial"/>
        <family val="2"/>
      </rPr>
      <t xml:space="preserve">Note: </t>
    </r>
    <r>
      <rPr>
        <sz val="9"/>
        <color rgb="FF555555"/>
        <rFont val="Arial"/>
        <family val="2"/>
      </rPr>
      <t>Vale has been studying new protection alternatives to compose its 2030 Forest Goal, with a focus on learning and innovation. In 2022, a REDD+ project became part of this set, contributing to the protection of around 50,000 hectares.
[1] Source: Chico Mendes Institute for Biodiversity Conservation (ICMBio) (http://www.icmbio.gov.br/brasil) Ministry of the Environment. 
[2] Source: State Environmental Institute (Inea), Government of Rio de Janeiro.</t>
    </r>
  </si>
  <si>
    <t>GRI 304-4 (2016)</t>
  </si>
  <si>
    <r>
      <rPr>
        <b/>
        <sz val="10"/>
        <color rgb="FF555555"/>
        <rFont val="Arial"/>
        <family val="2"/>
      </rPr>
      <t xml:space="preserve">Description: </t>
    </r>
    <r>
      <rPr>
        <sz val="10"/>
        <color rgb="FF555555"/>
        <rFont val="Arial"/>
        <family val="2"/>
      </rPr>
      <t>IUCN Red List species and national conservation list species with habitats in areas affected by operations</t>
    </r>
  </si>
  <si>
    <t>Species on the IUCN Red List (2019) with habitats in areas affected by operations</t>
  </si>
  <si>
    <t>little concern</t>
  </si>
  <si>
    <t>Vulnerable</t>
  </si>
  <si>
    <t>near threatened</t>
  </si>
  <si>
    <t>In danger</t>
  </si>
  <si>
    <t>critically endangered</t>
  </si>
  <si>
    <t>conservation dependent</t>
  </si>
  <si>
    <t>data deficiency</t>
  </si>
  <si>
    <t>Species on the national conservation list (MMA 2014) with habitats in areas affected by operations</t>
  </si>
  <si>
    <t>Little concern</t>
  </si>
  <si>
    <t>Near threatened</t>
  </si>
  <si>
    <t>Critically endangered</t>
  </si>
  <si>
    <t>Conservation dependent</t>
  </si>
  <si>
    <t>Data deficiency</t>
  </si>
  <si>
    <t>GRI 305-1 (2016)  e  SASB EM-MM-110a.1</t>
  </si>
  <si>
    <r>
      <rPr>
        <b/>
        <sz val="10"/>
        <color rgb="FF555555"/>
        <rFont val="Arial"/>
        <family val="2"/>
      </rPr>
      <t xml:space="preserve">GRI Description: </t>
    </r>
    <r>
      <rPr>
        <sz val="10"/>
        <color rgb="FF555555"/>
        <rFont val="Arial"/>
        <family val="2"/>
      </rPr>
      <t>Direct (Scope 1) GHG emissions</t>
    </r>
  </si>
  <si>
    <r>
      <rPr>
        <b/>
        <sz val="10"/>
        <color rgb="FF555555"/>
        <rFont val="Arial"/>
        <family val="2"/>
      </rPr>
      <t xml:space="preserve">SASB Description: </t>
    </r>
    <r>
      <rPr>
        <sz val="10"/>
        <color rgb="FF555555"/>
        <rFont val="Arial"/>
        <family val="2"/>
      </rPr>
      <t>Scope 1 gross global emissions, percentage covered by emission limitation regulations</t>
    </r>
  </si>
  <si>
    <t>Direct GHG emissions</t>
  </si>
  <si>
    <t>Total Emission</t>
  </si>
  <si>
    <t>Biogenic emissions</t>
  </si>
  <si>
    <t>Biogenic removals</t>
  </si>
  <si>
    <t>9.7 milion of tCO2e</t>
  </si>
  <si>
    <t>293.9 ktCO2e</t>
  </si>
  <si>
    <t>28.6 ktCO2e</t>
  </si>
  <si>
    <t>8.4 milion of tCO2e</t>
  </si>
  <si>
    <t>478.7 ktCO2e</t>
  </si>
  <si>
    <t>35.6 ktCO2e</t>
  </si>
  <si>
    <t>8.7 milion of tCO2e</t>
  </si>
  <si>
    <t>443.5 ktCO2e</t>
  </si>
  <si>
    <t>48.0 ktCO2e</t>
  </si>
  <si>
    <t>8.6 milion of tCO2e</t>
  </si>
  <si>
    <t>286.4 ktCO2e</t>
  </si>
  <si>
    <t>575.1 ktCO2e</t>
  </si>
  <si>
    <t>9.4 milion of tCO2e</t>
  </si>
  <si>
    <t>375.5 ktCO2e</t>
  </si>
  <si>
    <t>345.4 ktCO2e</t>
  </si>
  <si>
    <r>
      <rPr>
        <b/>
        <sz val="9"/>
        <color rgb="FF555555"/>
        <rFont val="Arial"/>
        <family val="2"/>
      </rPr>
      <t xml:space="preserve">Notes: </t>
    </r>
    <r>
      <rPr>
        <sz val="9"/>
        <color rgb="FF555555"/>
        <rFont val="Arial"/>
        <family val="2"/>
      </rPr>
      <t>Information on the gases included in the calculation, as well as the rules, methodologies and calculation assumptions adopted can be found in Vale's response to the CDP Questionnaire. The calculation tool used is the CR360 System. Consolidation approach based on operational control.
Global Warming Potential (GWP) of gases from IPCC AR4 by 2020 and AR5 from 2021. Emission factors from IPCC Guidelines for National Greenhouse Gas Inventories, National Inventory Reports for Canada and Japan, DEFRA Environmental Reporting Guidelines for the UK, Fourth IMO GHG Study for navigation, PBGHG Tool, etc.
Although the information meets both standards (GRI and SASB), only the completeness of the GRI standard was independently ensured.</t>
    </r>
  </si>
  <si>
    <t>CDP Questionnaire</t>
  </si>
  <si>
    <t>GRI 305-2 (2016)</t>
  </si>
  <si>
    <r>
      <rPr>
        <b/>
        <sz val="10"/>
        <color rgb="FF555555"/>
        <rFont val="Arial"/>
        <family val="2"/>
      </rPr>
      <t>Description:</t>
    </r>
    <r>
      <rPr>
        <sz val="10"/>
        <color rgb="FF555555"/>
        <rFont val="Arial"/>
        <family val="2"/>
      </rPr>
      <t xml:space="preserve"> Energy indirect (Scope 2) GHG emissions</t>
    </r>
  </si>
  <si>
    <t>Emissões indiretas de GEE provenientes da aquisição de energia</t>
  </si>
  <si>
    <t>Location-based</t>
  </si>
  <si>
    <t>Marked-based</t>
  </si>
  <si>
    <t>1.0 milion of tCO2e</t>
  </si>
  <si>
    <t>0.4 milion of tCO2e</t>
  </si>
  <si>
    <t>0.7 milion of tCO2e</t>
  </si>
  <si>
    <t>1.2 milion of tCO2e</t>
  </si>
  <si>
    <t>0.3 milion of tCO2e</t>
  </si>
  <si>
    <t>0.6 milion of tCO2e</t>
  </si>
  <si>
    <r>
      <rPr>
        <b/>
        <sz val="9"/>
        <color rgb="FF555555"/>
        <rFont val="Arial"/>
        <family val="2"/>
      </rPr>
      <t xml:space="preserve">Notes: </t>
    </r>
    <r>
      <rPr>
        <sz val="9"/>
        <color rgb="FF555555"/>
        <rFont val="Arial"/>
        <family val="2"/>
      </rPr>
      <t>Consolidation approach based on operational control. The gases included in the calculations are CO2, CH4 and N2O.
The Standard adopted is the GHG Protocol Corporate Value Chain (Scope 3) Standard. Global Warming Potential (GWP) of gases from IPCC AR4 by 2020 and AR5 from 2021. Emission factors from the IPCC Guidelines for National Greenhouse Gas Inventories, Ecoinvent, DEFRA Environmental Reporting Guidelines for the United Kingdom, IMO for the navigation, etc</t>
    </r>
  </si>
  <si>
    <t>GRI 305-3 (2016)</t>
  </si>
  <si>
    <r>
      <rPr>
        <b/>
        <sz val="10"/>
        <color rgb="FF555555"/>
        <rFont val="Arial"/>
        <family val="2"/>
      </rPr>
      <t xml:space="preserve">Description: </t>
    </r>
    <r>
      <rPr>
        <sz val="10"/>
        <color rgb="FF555555"/>
        <rFont val="Arial"/>
        <family val="2"/>
      </rPr>
      <t>Other indirect (Scope 3) GHG emissions</t>
    </r>
  </si>
  <si>
    <t>Other indirect GHG emissions</t>
  </si>
  <si>
    <t>486.6 milion of tCO2e</t>
  </si>
  <si>
    <t>2.7 ktCO2e</t>
  </si>
  <si>
    <t>461.7milion of tCO2e</t>
  </si>
  <si>
    <t>3.5 ktCO2e</t>
  </si>
  <si>
    <t>470.7 milion of tCO2e</t>
  </si>
  <si>
    <t>9.2 ktCO2e</t>
  </si>
  <si>
    <t>457.8 milion of tCO2e</t>
  </si>
  <si>
    <t>45.6 ktCO2e</t>
  </si>
  <si>
    <t>451.2 milion of tCO2e</t>
  </si>
  <si>
    <t>37.0ktCO2e</t>
  </si>
  <si>
    <r>
      <rPr>
        <b/>
        <sz val="9"/>
        <color rgb="FF555555"/>
        <rFont val="Arial"/>
        <family val="2"/>
      </rPr>
      <t>Notes:</t>
    </r>
    <r>
      <rPr>
        <sz val="9"/>
        <color rgb="FF555555"/>
        <rFont val="Arial"/>
        <family val="2"/>
      </rPr>
      <t xml:space="preserve"> Consolidation approach based on operational control.
The Standard adopted is the GHG Protocol Corporate Value Chain (Scope 3) Standard. Global Warming Potential (GWP) of gases from IPCC AR4 by 2020 and AR5 from 2021. Emission factors from the IPCC Guidelines for National Greenhouse Gas Inventories, Ecoinvent, DEFRA Environmental Reporting Guidelines for the United Kingdom, IMO for the navigation, etc.
Scope 3 emissions have been recalculated since the 2018 base year due to the divestments of non-controlled companies: CSP (Companhia Siderúrgica de Pecém and MRN (Mineração Rio do Norte).</t>
    </r>
  </si>
  <si>
    <t>GRI 305-4 (2016)</t>
  </si>
  <si>
    <r>
      <rPr>
        <b/>
        <sz val="10"/>
        <color rgb="FF555555"/>
        <rFont val="Arial"/>
        <family val="2"/>
      </rPr>
      <t>Description:</t>
    </r>
    <r>
      <rPr>
        <sz val="10"/>
        <color rgb="FF555555"/>
        <rFont val="Arial"/>
        <family val="2"/>
      </rPr>
      <t xml:space="preserve"> GHG emissions intensity</t>
    </r>
  </si>
  <si>
    <r>
      <t>24.2 kg CO</t>
    </r>
    <r>
      <rPr>
        <vertAlign val="subscript"/>
        <sz val="8"/>
        <color rgb="FF555555"/>
        <rFont val="Calibri"/>
        <family val="2"/>
        <scheme val="minor"/>
      </rPr>
      <t>2</t>
    </r>
    <r>
      <rPr>
        <sz val="8"/>
        <color rgb="FF555555"/>
        <rFont val="Arial"/>
        <family val="2"/>
      </rPr>
      <t>e per t MFe-eq</t>
    </r>
  </si>
  <si>
    <r>
      <t>22.1 kg CO</t>
    </r>
    <r>
      <rPr>
        <vertAlign val="subscript"/>
        <sz val="8"/>
        <color rgb="FF555555"/>
        <rFont val="Calibri"/>
        <family val="2"/>
        <scheme val="minor"/>
      </rPr>
      <t>2</t>
    </r>
    <r>
      <rPr>
        <sz val="8"/>
        <color rgb="FF555555"/>
        <rFont val="Arial"/>
        <family val="2"/>
      </rPr>
      <t>e per t MFe-eq</t>
    </r>
  </si>
  <si>
    <r>
      <t>22.2 kg CO</t>
    </r>
    <r>
      <rPr>
        <vertAlign val="subscript"/>
        <sz val="8"/>
        <color rgb="FF555555"/>
        <rFont val="Calibri"/>
        <family val="2"/>
        <scheme val="minor"/>
      </rPr>
      <t>2</t>
    </r>
    <r>
      <rPr>
        <sz val="8"/>
        <color rgb="FF555555"/>
        <rFont val="Arial"/>
        <family val="2"/>
      </rPr>
      <t>e per t MFe-eq</t>
    </r>
  </si>
  <si>
    <r>
      <rPr>
        <b/>
        <sz val="9"/>
        <color rgb="FF555555"/>
        <rFont val="Arial"/>
        <family val="2"/>
      </rPr>
      <t>Notes:</t>
    </r>
    <r>
      <rPr>
        <sz val="9"/>
        <color rgb="FF555555"/>
        <rFont val="Arial"/>
        <family val="2"/>
      </rPr>
      <t xml:space="preserve"> Scope 1 and 2 emissions marked-based per ton of iron ore equivalent.
The gases included and the standards and calculation tools adopted are the same used for the calculation of Scope 1 and 2.
Production volumes of Vale's main products, such as pellets, nickel, copper and coal are converted to equivalent iron ore.</t>
    </r>
  </si>
  <si>
    <t>GRI 305-5 (2016)</t>
  </si>
  <si>
    <r>
      <rPr>
        <b/>
        <sz val="10"/>
        <color rgb="FF555555"/>
        <rFont val="Arial"/>
        <family val="2"/>
      </rPr>
      <t xml:space="preserve">Description: </t>
    </r>
    <r>
      <rPr>
        <sz val="10"/>
        <color rgb="FF555555"/>
        <rFont val="Arial"/>
        <family val="2"/>
      </rPr>
      <t>Reduction of greenhouse gas (GHG) emissions</t>
    </r>
  </si>
  <si>
    <r>
      <t>14 ktCO</t>
    </r>
    <r>
      <rPr>
        <vertAlign val="subscript"/>
        <sz val="8"/>
        <color rgb="FF555555"/>
        <rFont val="Calibri"/>
        <family val="2"/>
        <scheme val="minor"/>
      </rPr>
      <t>2</t>
    </r>
    <r>
      <rPr>
        <sz val="8"/>
        <color rgb="FF555555"/>
        <rFont val="Calibri"/>
        <family val="2"/>
        <scheme val="minor"/>
      </rPr>
      <t>e</t>
    </r>
  </si>
  <si>
    <r>
      <t>25 ktCO</t>
    </r>
    <r>
      <rPr>
        <vertAlign val="subscript"/>
        <sz val="8"/>
        <color rgb="FF555555"/>
        <rFont val="Calibri"/>
        <family val="2"/>
        <scheme val="minor"/>
      </rPr>
      <t>2</t>
    </r>
    <r>
      <rPr>
        <sz val="8"/>
        <color rgb="FF555555"/>
        <rFont val="Calibri"/>
        <family val="2"/>
        <scheme val="minor"/>
      </rPr>
      <t>e</t>
    </r>
  </si>
  <si>
    <r>
      <rPr>
        <b/>
        <sz val="9"/>
        <color rgb="FF555555"/>
        <rFont val="Arial"/>
        <family val="2"/>
      </rPr>
      <t>Notes:</t>
    </r>
    <r>
      <rPr>
        <sz val="9"/>
        <color rgb="FF555555"/>
        <rFont val="Arial"/>
        <family val="2"/>
      </rPr>
      <t xml:space="preserve"> Information about the gases included in the calculation, as well as the standards, methodologies and calculation assumptions adopted can be found in Vale's response to the CDP Questionnaire. The calculation tool used is the CR360 System. Consolidation approach based on operational control.</t>
    </r>
  </si>
  <si>
    <t>GRI 305-6 (2016)</t>
  </si>
  <si>
    <r>
      <rPr>
        <b/>
        <sz val="10"/>
        <color rgb="FF555555"/>
        <rFont val="Arial"/>
        <family val="2"/>
      </rPr>
      <t>Description:</t>
    </r>
    <r>
      <rPr>
        <sz val="10"/>
        <color rgb="FF555555"/>
        <rFont val="Arial"/>
        <family val="2"/>
      </rPr>
      <t xml:space="preserve"> Emissions of ozone-depleting substances (ODS)</t>
    </r>
  </si>
  <si>
    <t>0.71 metric tons of ODS issued in the Year.</t>
  </si>
  <si>
    <t>0.86 metric  tons of ODS issued in the Year.</t>
  </si>
  <si>
    <t>0.09 metric tons of ODS issued in the Year.</t>
  </si>
  <si>
    <t>0.08 metric tons of ODS issued in the Year.</t>
  </si>
  <si>
    <t>0.07 metric tons of ODS issued in the Year.</t>
  </si>
  <si>
    <r>
      <rPr>
        <b/>
        <sz val="9"/>
        <color rgb="FF555555"/>
        <rFont val="Arial"/>
        <family val="2"/>
      </rPr>
      <t xml:space="preserve">Notes: </t>
    </r>
    <r>
      <rPr>
        <sz val="9"/>
        <color rgb="FF555555"/>
        <rFont val="Arial"/>
        <family val="2"/>
      </rPr>
      <t>For ODS, we consider Annexes C and E of the Montreal Protocol in addition to the share of HCFCs contained in gas blends.
The main source of emission factors is the Handbook for the Montreal Protocol on Substances that Deplete the Ozone Layer.</t>
    </r>
  </si>
  <si>
    <t>GRI 305-7 (2016)  e  SASB EM-MM-120a.1</t>
  </si>
  <si>
    <r>
      <rPr>
        <b/>
        <sz val="10"/>
        <color rgb="FF555555"/>
        <rFont val="Arial"/>
        <family val="2"/>
      </rPr>
      <t xml:space="preserve">GRI Description: </t>
    </r>
    <r>
      <rPr>
        <sz val="10"/>
        <color rgb="FF555555"/>
        <rFont val="Arial"/>
        <family val="2"/>
      </rPr>
      <t>Nitrogen oxides (NOx), sulfur oxides (SOx), and other significant air emissions</t>
    </r>
  </si>
  <si>
    <r>
      <rPr>
        <b/>
        <sz val="10"/>
        <color rgb="FF555555"/>
        <rFont val="Arial"/>
        <family val="2"/>
      </rPr>
      <t xml:space="preserve">SASB Description: </t>
    </r>
    <r>
      <rPr>
        <sz val="10"/>
        <color rgb="FF555555"/>
        <rFont val="Arial"/>
        <family val="2"/>
      </rPr>
      <t>Atmospheric emissions of the following pollutants: (1) CO, (2) NOx (excluding N2O), (3) SOx, (4) particulate matter (PM10), (5) mercury (Hg), (6) lead ( Pb), and (7) volatile organic compounds (VOCs)</t>
    </r>
  </si>
  <si>
    <t>NOx</t>
  </si>
  <si>
    <t>SOx</t>
  </si>
  <si>
    <t>Material Particulado</t>
  </si>
  <si>
    <t>40.3 thousand metric tons</t>
  </si>
  <si>
    <t>86.3 thousand metric tons</t>
  </si>
  <si>
    <t>9.0 thousand metric tons</t>
  </si>
  <si>
    <t>47.2 thousand metric tons</t>
  </si>
  <si>
    <t>99.1 thousand metric tons</t>
  </si>
  <si>
    <t>9.1 thousand metric tons</t>
  </si>
  <si>
    <t>48.8 thousand metric tons</t>
  </si>
  <si>
    <t>77.5 thousand metric tons</t>
  </si>
  <si>
    <t>4.8 thousand metric tons</t>
  </si>
  <si>
    <t>44.7 thousand metric tons</t>
  </si>
  <si>
    <t>75.7 thousand metric tons</t>
  </si>
  <si>
    <t>4.2 thousand metric tons</t>
  </si>
  <si>
    <t>49.8 thousand metric tons</t>
  </si>
  <si>
    <t>81.6 thousand metric tons</t>
  </si>
  <si>
    <t>6.7 thousand metric tons</t>
  </si>
  <si>
    <r>
      <rPr>
        <b/>
        <sz val="9"/>
        <color rgb="FF555555"/>
        <rFont val="Arial"/>
        <family val="2"/>
      </rPr>
      <t>Note</t>
    </r>
    <r>
      <rPr>
        <sz val="9"/>
        <color rgb="FF555555"/>
        <rFont val="Arial"/>
        <family val="2"/>
      </rPr>
      <t xml:space="preserve">: The main references of emission factors used for SOx are resolutions of the National Agency of Petroleum, Natural Gas and Biofuels (ANP), Appendix A: U.S. Environmental Protection Agency
Contacts (EPA) and for the United Kingdom the UK NAEI - National Atmospheric Emissions Inventory. For NOx, the Report on Vehicle Emissions in the State of São Paulo (CETESB) and AP 42, Fifth Edition (EPA) are used as references.
To compile the information, Vale uses data from direct measurement of emissions, calculation based on site-specific data and based on published emission factors.
Although the information complies with both standards (GRI and SASB), only the completeness of the GRI standard was assured independently.
</t>
    </r>
  </si>
  <si>
    <t xml:space="preserve">NOx </t>
  </si>
  <si>
    <t>Nickel</t>
  </si>
  <si>
    <t>pelletizing</t>
  </si>
  <si>
    <t>Iron ore</t>
  </si>
  <si>
    <t>Logistics</t>
  </si>
  <si>
    <t>Other Business*</t>
  </si>
  <si>
    <t xml:space="preserve">SOx </t>
  </si>
  <si>
    <t>Fertilizers</t>
  </si>
  <si>
    <t>MP</t>
  </si>
  <si>
    <t>Manganese</t>
  </si>
  <si>
    <t>GRI 306-1 (2020)</t>
  </si>
  <si>
    <r>
      <rPr>
        <b/>
        <sz val="10"/>
        <color rgb="FF555555"/>
        <rFont val="Arial"/>
        <family val="2"/>
      </rPr>
      <t xml:space="preserve">Description: </t>
    </r>
    <r>
      <rPr>
        <sz val="10"/>
        <color rgb="FF555555"/>
        <rFont val="Arial"/>
        <family val="2"/>
      </rPr>
      <t>Waste generation and significant waste-related impacts</t>
    </r>
  </si>
  <si>
    <t>Waste management at Vale identifies as significant aspects and impacts those related to the generation, storage, transport and disposal of waste, considering the scale of generation and dangerousness of waste, in a risk approach related to the probability and severity of planned and unplanned impacts. plans for these processes.</t>
  </si>
  <si>
    <t>Waste management at Vale identifies as significant aspects and impacts those related to the generation, storage, transportation and disposal of waste, considering the frequency of generation and hazard of waste, in a risk approach related to the frequency/probability and severity of the planned and unplanned impacts of these processes.</t>
  </si>
  <si>
    <t>GRI 306-2 (2020)</t>
  </si>
  <si>
    <r>
      <rPr>
        <b/>
        <sz val="10"/>
        <color rgb="FF555555"/>
        <rFont val="Arial"/>
        <family val="2"/>
      </rPr>
      <t xml:space="preserve">Description: </t>
    </r>
    <r>
      <rPr>
        <sz val="10"/>
        <color rgb="FF555555"/>
        <rFont val="Arial"/>
        <family val="2"/>
      </rPr>
      <t>Management of significant waste-related impacts</t>
    </r>
  </si>
  <si>
    <t>We adopted the following actions to control and minimize risks related to waste management processes and which must be included in the PGRSs of the units according to PGS-001719:
- Procedures for minimizing generation, prioritizing hazardous and non-hazardous waste of large generation;
- Traceability from generation to final destination, with documentation control;
- Adequate storage;
- Valuation of waste in order to reduce its final disposal in landfills;
- Appropriate destination, with environmental assessment of waste recipients, reducing risks related to improper disposal.
In addition, all units have their own Waste Management Programs, where processes and the respective waste generated are surveyed. From this survey, a critical analysis is carried out to establish the priority, considering quantity and dangerousness. Among the initiatives identified in the operating units, we have:
- Regeneration of refrigeration oils in the maintenance process of heavy equipment, avoiding the generation of contaminated oil residue.
-Initiatives to reduce packaging generation by supplying products in bulk.
-Optimization of the maintenance of conveyor belts and off-road tires, increasing their useful life.</t>
  </si>
  <si>
    <t>We adopted the following actions to control and minimize the risks related to waste management processes and that must be included in the PGRSs of the units according to PGS-001719 regulations:
- Procedures to minimize generation, prioritizing hazardous and non-hazardous waste of large generation;
- Reduction of waste hazards;
- Proper storage;
- Traceability from generation to final destination, with documentation control;
- Valorization of waste in order to reduce its final disposal in landfills;
- Proper disposal, with environmental assessment of waste recipients, reducing the risks related to improper disposal.
In addition, all units have their own Waste Management Programs, where the processes and their respective waste generated are surveyed. From this survey, a critical analysis is carried out to establish the priority, considering quantity and hazard. Among the initiatives identified in the operational units, we can mention: 
- Regeneration of refrigeration oils in the maintenance process of heavy equipment, avoiding the generation of contaminated oil residue.
-Initiatives to reduce the generation of packaging through the supply of products in bulk.
-Optimization of the maintenance of conveyor belts and off-road tires, increasing the service life. 
And as circularity measures we can mention:
 - Project to recover tot-bins used to supply liquid products to Vale, forwarding them to companies that recondition these packages and reinsert them into Vale's supply chain.
- Processing of the oily sludge as re-refining, being inserted back into the chain, thus no longer being destined for co-processing.
- Beginning of the use of the industrial thermal composter to compost the food waste generated in the restaurants of Carajás/PA and São Luis/MA and which are reused in the manufacture of fertilizers, reducing the volume of waste destined for the landfill.</t>
  </si>
  <si>
    <t>GRI 306-3 (2020)</t>
  </si>
  <si>
    <r>
      <rPr>
        <b/>
        <sz val="10"/>
        <color rgb="FF555555"/>
        <rFont val="Arial"/>
        <family val="2"/>
      </rPr>
      <t xml:space="preserve">Description: </t>
    </r>
    <r>
      <rPr>
        <sz val="10"/>
        <color rgb="FF555555"/>
        <rFont val="Arial"/>
        <family val="2"/>
      </rPr>
      <t>Waste generated</t>
    </r>
  </si>
  <si>
    <t>Volume of Waste Generated (thousand metric tons)</t>
  </si>
  <si>
    <t>Dangerous</t>
  </si>
  <si>
    <t>Non-dangerous</t>
  </si>
  <si>
    <t>51.8</t>
  </si>
  <si>
    <t>548.6</t>
  </si>
  <si>
    <t>600.4</t>
  </si>
  <si>
    <t>92.7</t>
  </si>
  <si>
    <t>636.3</t>
  </si>
  <si>
    <t>729.1</t>
  </si>
  <si>
    <t>GRI 306-4 e GRI 306-5 (2020)</t>
  </si>
  <si>
    <r>
      <rPr>
        <b/>
        <sz val="10"/>
        <color rgb="FF555555"/>
        <rFont val="Arial"/>
        <family val="2"/>
      </rPr>
      <t>Description GRI 306-4:</t>
    </r>
    <r>
      <rPr>
        <sz val="10"/>
        <color rgb="FF555555"/>
        <rFont val="Arial"/>
        <family val="2"/>
      </rPr>
      <t xml:space="preserve"> Waste diverted from disposal</t>
    </r>
  </si>
  <si>
    <r>
      <rPr>
        <b/>
        <sz val="10"/>
        <color rgb="FF555555"/>
        <rFont val="Arial"/>
        <family val="2"/>
      </rPr>
      <t>Description GRI 306-5:</t>
    </r>
    <r>
      <rPr>
        <sz val="10"/>
        <color rgb="FF555555"/>
        <rFont val="Arial"/>
        <family val="2"/>
      </rPr>
      <t xml:space="preserve"> Waste directed to disposal</t>
    </r>
  </si>
  <si>
    <t>Disposal and destination (in thousand metric tons)</t>
  </si>
  <si>
    <t>Reprocessing / Recycling / Reuse</t>
  </si>
  <si>
    <t>Arrangement in Soil</t>
  </si>
  <si>
    <t>Other Methods</t>
  </si>
  <si>
    <t>356.8</t>
  </si>
  <si>
    <t>187.6</t>
  </si>
  <si>
    <t>32.5</t>
  </si>
  <si>
    <t>576.9</t>
  </si>
  <si>
    <t>351.1</t>
  </si>
  <si>
    <t>312.2</t>
  </si>
  <si>
    <t>57.8</t>
  </si>
  <si>
    <t>721.1</t>
  </si>
  <si>
    <t>Disposition</t>
  </si>
  <si>
    <t>Arrangement in Soil*</t>
  </si>
  <si>
    <t>Other**</t>
  </si>
  <si>
    <t>Reprocessing / Recycling / Reuse / Reciclagem / Reuso</t>
  </si>
  <si>
    <r>
      <rPr>
        <b/>
        <sz val="9"/>
        <color rgb="FF555555"/>
        <rFont val="Arial"/>
        <family val="2"/>
      </rPr>
      <t>Note:</t>
    </r>
    <r>
      <rPr>
        <sz val="9"/>
        <color rgb="FF555555"/>
        <rFont val="Arial"/>
        <family val="2"/>
      </rPr>
      <t xml:space="preserve"> *Disposal on ground: External sanitary landfill, internal sanitary landfill, disposal in sterile piles and underground.
        ** Others: Co-processing, incineration and biological treatment.</t>
    </r>
  </si>
  <si>
    <t>GRI 308-1 (2016)</t>
  </si>
  <si>
    <r>
      <rPr>
        <b/>
        <sz val="10"/>
        <color rgb="FF555555"/>
        <rFont val="Arial"/>
        <family val="2"/>
      </rPr>
      <t xml:space="preserve">Description: </t>
    </r>
    <r>
      <rPr>
        <sz val="10"/>
        <color rgb="FF555555"/>
        <rFont val="Arial"/>
        <family val="2"/>
      </rPr>
      <t>New suppliers that were screened using environmental criteria</t>
    </r>
  </si>
  <si>
    <t>100% of certified suppliers in supply categories considered critical by Vale's Environment have specific environmental documentation that is analyzed.</t>
  </si>
  <si>
    <t>68% of certified suppliers in supply categories considered critical by Vale's Environment have specific environmental documentation that is analyzed.</t>
  </si>
  <si>
    <t>61% of certified suppliers in supply categories considered critical by Vale's Environment have specific environmental documentation that is analyzed.</t>
  </si>
  <si>
    <t>48% of certified suppliers in supply categories considered critical by Vale's Environment have specific environmental documentation that is analyzed.</t>
  </si>
  <si>
    <t>58% of certified suppliers in supply categories considered critical by Vale's Environment have specific environmental documentation that is analyzed.</t>
  </si>
  <si>
    <r>
      <rPr>
        <b/>
        <sz val="9"/>
        <color rgb="FF555555"/>
        <rFont val="Arial"/>
        <family val="2"/>
      </rPr>
      <t xml:space="preserve">Note: </t>
    </r>
    <r>
      <rPr>
        <sz val="9"/>
        <color rgb="FF555555"/>
        <rFont val="Arial"/>
        <family val="2"/>
      </rPr>
      <t>The process is applied to 100% of suppliers (Brazil scope - legal companies with which Vale maintains a commercial relationship) certified in the supply categories considered critical by Vale's Environment.</t>
    </r>
  </si>
  <si>
    <t>GRI 308-2 (2016)</t>
  </si>
  <si>
    <r>
      <rPr>
        <b/>
        <sz val="10"/>
        <color rgb="FF555555"/>
        <rFont val="Arial"/>
        <family val="2"/>
      </rPr>
      <t xml:space="preserve">Description: </t>
    </r>
    <r>
      <rPr>
        <sz val="10"/>
        <color rgb="FF555555"/>
        <rFont val="Arial"/>
        <family val="2"/>
      </rPr>
      <t>Negative environmental impacts in the supply chain and actions taken</t>
    </r>
  </si>
  <si>
    <t>Vale does not manage the information necessary to report this content.</t>
  </si>
  <si>
    <t>GRI - G4 MM1</t>
  </si>
  <si>
    <r>
      <rPr>
        <b/>
        <sz val="10"/>
        <color rgb="FF555555"/>
        <rFont val="Arial"/>
        <family val="2"/>
      </rPr>
      <t xml:space="preserve">Description: </t>
    </r>
    <r>
      <rPr>
        <sz val="10"/>
        <color rgb="FF555555"/>
        <rFont val="Arial"/>
        <family val="2"/>
      </rPr>
      <t>Amount of land (owned or leased, used for productive or extractive activities) altered or rehabilitated</t>
    </r>
  </si>
  <si>
    <t>Amount of land altered or rehabilitated (in km²)</t>
  </si>
  <si>
    <t>Impacted areas 
(Opening balance)</t>
  </si>
  <si>
    <t>Areas impacted in the Year</t>
  </si>
  <si>
    <t>Areas undergoing permanent recovery in the Year</t>
  </si>
  <si>
    <t>Impacted areas 
(Closing balance)</t>
  </si>
  <si>
    <t>627.6</t>
  </si>
  <si>
    <t>9.8</t>
  </si>
  <si>
    <t>9.3</t>
  </si>
  <si>
    <t>628.1</t>
  </si>
  <si>
    <t>10.1</t>
  </si>
  <si>
    <t>18.0</t>
  </si>
  <si>
    <t>620.2</t>
  </si>
  <si>
    <t>612.3</t>
  </si>
  <si>
    <t>10.9</t>
  </si>
  <si>
    <t>610.3</t>
  </si>
  <si>
    <t>13.9</t>
  </si>
  <si>
    <t>8.1</t>
  </si>
  <si>
    <t>616.1</t>
  </si>
  <si>
    <t>GRI - G4 MM2</t>
  </si>
  <si>
    <r>
      <rPr>
        <b/>
        <sz val="10"/>
        <color rgb="FF555555"/>
        <rFont val="Arial"/>
        <family val="2"/>
      </rPr>
      <t>Description:</t>
    </r>
    <r>
      <rPr>
        <sz val="10"/>
        <color rgb="FF555555"/>
        <rFont val="Arial"/>
        <family val="2"/>
      </rPr>
      <t xml:space="preserve"> Number and percentage of operational units that need planos for biodiversity management according to established criteria and number (percentage) of these units with planos in force</t>
    </r>
  </si>
  <si>
    <t>- 54 operating units analyzed;
- 46 (85.2%) of the areas require a Biodiversity Management Plan;
- 49 in total have already been implemented (including areas with more than one plan);
- In only one unit, the required plan will still be implemented.</t>
  </si>
  <si>
    <t>- 61 operating units analyzed;
- 51 (83.62%) of the areas require a Biodiversity Management plan;
- 58 in total have already been implemented (including areas with more than one plan);
- In only one unit, the required plan will still be implemented.</t>
  </si>
  <si>
    <t>- 61 operating units analyzed;
- 55 (88.5%) of the areas require a Biodiversity Management plan;
- 47 in total have already been implemented (including areas with more than one plan);
- 7 plans are being prepared and 1 is in the future proposal phase.</t>
  </si>
  <si>
    <t>- 53 operational units analyzed;
- 47 (88.7%) of the areas require a Biodiversity Management plan;
- 48 in total have already been implemented (including areas with more than one plan);
- 6 plans are being prepared and 3 are in the future proposal phase.</t>
  </si>
  <si>
    <t>- 54 operational units analyzed;
- 50 (92.6%) of the areas require a Biodiversity Management plan;
- 56 in total have already been implemented (including areas with more than one plan);
- 2 plans are being prepared and 2 are in the future proposal phase.</t>
  </si>
  <si>
    <t>GRI - G4 MM3</t>
  </si>
  <si>
    <r>
      <rPr>
        <b/>
        <sz val="10"/>
        <color rgb="FF555555"/>
        <rFont val="Arial"/>
        <family val="2"/>
      </rPr>
      <t xml:space="preserve">Description: </t>
    </r>
    <r>
      <rPr>
        <sz val="10"/>
        <color rgb="FF555555"/>
        <rFont val="Arial"/>
        <family val="2"/>
      </rPr>
      <t>Total overburden, rocks, tailings and sludge and their associated risks</t>
    </r>
  </si>
  <si>
    <t>Total weight of mineral processing waste
Iron ore
  Waste Rock: 235.7 million metric tons;
  Tailings: 55.2 million metric tons;
other business
  335 million metric tons of waste rock and tailings from coal mining, nickel, copper, manganese, slag (manganese and nickel alloy) and non-inert waste rock (nickel).
Total: 625.9 million metric tons</t>
  </si>
  <si>
    <t>Total weight of mineral processing waste
Iron ore
  Waste Rock: 191.6 million metric tons;
  Tailings: 45.4 million metric tons;
other business
  290.7 million metric tons of waste rock and tailings from coal mining, nickel, copper, manganese, slag (manganese and nickel alloy) and non-inert waste rock (nickel).
Total: 527.8 million metric tons</t>
  </si>
  <si>
    <t>Total weight of mineral processing waste
Iron ore
  Waste Rock: 207.6 million metric tons;
  Tailings: 47.2 million metric tons;
other business
  260.4 million metric tons of waste rock and tailings from coal mining, nickel, copper, manganese, slag (manganese and nickel alloy) and non-inert waste rock (nickel).
Total: 515.3 million metric tons</t>
  </si>
  <si>
    <t>Total weight of mineral processing waste
Iron ore
  Waste Rock: 208.5 million metric tons;
  Tailings: 46.9 million metric tons;
other business
  150.6 million metric tons of waste rock and tailings from coal mining, nickel, copper, manganese, slag (manganese and nickel alloy) and non-inert waste rock (nickel).
Total: 406.1 million metric tons</t>
  </si>
  <si>
    <r>
      <t xml:space="preserve">Total weight of mineral processing waste
</t>
    </r>
    <r>
      <rPr>
        <u/>
        <sz val="9"/>
        <color rgb="FF555555"/>
        <rFont val="Arial"/>
        <family val="2"/>
      </rPr>
      <t>Iron ore</t>
    </r>
    <r>
      <rPr>
        <sz val="9"/>
        <color rgb="FF555555"/>
        <rFont val="Arial"/>
        <family val="2"/>
      </rPr>
      <t xml:space="preserve">
  Waste Rock: 282.4 million metric tons;
  Tailings: 48.5 million metric tons;
O</t>
    </r>
    <r>
      <rPr>
        <u/>
        <sz val="9"/>
        <color rgb="FF555555"/>
        <rFont val="Arial"/>
        <family val="2"/>
      </rPr>
      <t>ther business*</t>
    </r>
    <r>
      <rPr>
        <sz val="9"/>
        <color rgb="FF555555"/>
        <rFont val="Arial"/>
        <family val="2"/>
      </rPr>
      <t xml:space="preserve">
  153.0 million metric tons of waste rock and tailings from coal mining, nickel, copper, manganese, slag (manganese and nickel alloy) and non-inert waste rock (nickel).
Total: 483.9 million metric tons</t>
    </r>
  </si>
  <si>
    <t>Total weight of waste</t>
  </si>
  <si>
    <t>Iron ore - Waste Rock</t>
  </si>
  <si>
    <t>Iron ore - Tailings</t>
  </si>
  <si>
    <t>Other business areas*</t>
  </si>
  <si>
    <r>
      <rPr>
        <b/>
        <sz val="9"/>
        <color rgb="FF555555"/>
        <rFont val="Arial"/>
        <family val="2"/>
      </rPr>
      <t xml:space="preserve">Note: </t>
    </r>
    <r>
      <rPr>
        <sz val="9"/>
        <color rgb="FF555555"/>
        <rFont val="Arial"/>
        <family val="2"/>
      </rPr>
      <t>Includes waste rock, tailings and slag from nickel, copper, manganese.
Although the information meets both standards (GRI and SASB), only the completeness of the GRI standard was independently ensured.</t>
    </r>
  </si>
  <si>
    <t>GRI - G4 MM10</t>
  </si>
  <si>
    <t>Description: Number and percentage of operations with a plan to close activities.</t>
  </si>
  <si>
    <t>Number of operations</t>
  </si>
  <si>
    <t>Number of operations with
Closing Plan</t>
  </si>
  <si>
    <t>% of operations with Closing Plan</t>
  </si>
  <si>
    <t>2023*</t>
  </si>
  <si>
    <r>
      <rPr>
        <b/>
        <sz val="9"/>
        <color rgb="FF555555"/>
        <rFont val="Arial"/>
        <family val="2"/>
      </rPr>
      <t xml:space="preserve">Note: </t>
    </r>
    <r>
      <rPr>
        <sz val="9"/>
        <color rgb="FF555555"/>
        <rFont val="Arial"/>
        <family val="2"/>
      </rPr>
      <t>the amounts referring to financial provisions for the decommissioning of assets can be verified in the company's financial statements. For 2022, the values can be found on page 77 of the IFRS, which can be downloaded from the download center on the Vale website.
*There was a reduction in the number of operations compared to 2022 due to clusters of units.</t>
    </r>
  </si>
  <si>
    <t>SASB - EM-MM-110a.2</t>
  </si>
  <si>
    <r>
      <rPr>
        <b/>
        <sz val="10"/>
        <color rgb="FF555555"/>
        <rFont val="Arial"/>
        <family val="2"/>
      </rPr>
      <t>Description:</t>
    </r>
    <r>
      <rPr>
        <sz val="10"/>
        <color rgb="FF555555"/>
        <rFont val="Arial"/>
        <family val="2"/>
      </rPr>
      <t xml:space="preserve"> Discussion of the long and short term strategy or plan to manage Scope 1 emissions, emission reduction targets and a review of performance against these targets</t>
    </r>
  </si>
  <si>
    <t>Vale aims to act actively to induce the neutrality of greenhouse gas emissions in the steel, metallurgical and shipping chains. In this context, the company's main commitment is to become carbon neutral in its operations (scopes 1 and 2) by 2050.
To see Vale's 2030 agenda with its Climate Change target, please consult the 2019 Sustainability Report (p.42).</t>
  </si>
  <si>
    <t>Vale has invested efforts and resources to reduce greenhouse gas emissions and mitigate impacts related to climate change. The company has the following goals: (i) Become a carbon neutral mining company (Scopes 1 and 2) by 2050; (ii) Reduce absolute Scope 1 and 2 emissions by 33%, by 2030, in relation to the base year of 2017, in line with the Paris Agreement; (iii) Reduce Scope 3 net emissions by 15%, by 2035, compared to the base year of 2018; (iv) Consume 100% of electricity from renewable sources by 2025 in Brazil and, globally, by 2030; (v) Rehabilitate and protect an additional 500 thousand hectares by 2030. In 2020, total expenditure was USD 77 million, encompassing a series of initiatives. To guide the implementation and delivery of the commitments assumed in the area of climate change, Vale created the Low Carbon Forum, a group led by the CEO and composed of executive directors and their technical teams. In 2020, targets related to the Low Carbon theme represented 10% of the short-term variable compensation of employees, including the CEO and Executive Board. To achieve its commitment to reducing Scope 1 and 2 emissions, the company mapped, in 2020, more than 35 projects and uses the marginal abatement cost curve to prioritize the most efficient initiatives in terms of cost and potential for reducing emissions. emissions to be implemented.
To check the Vale Carbon Neutra Strategy commitments, please consult the 2020 Integrated Report (p. 107)</t>
  </si>
  <si>
    <t>Vale's decarbonization strategy is public and based on a global policy. Vale understands the importance of providing transparency to the plan (roadmap) for delivering the targets assumed for reducing emissions and neutrality (Net-zero), which is why it has been disclosing information on the CDP since 2003, on the ESG Portal and, in 2021, published its first climate report.
Our annual performance is evaluated by specialized institutions such as Sustainalytics, Climate Action 100+, RFC Ambrian, New Climate Institute and Carbon Market Watche and, in 2021, we received an “A-” rating, above the average of the mining sector, in the CDP assessment.</t>
  </si>
  <si>
    <t>Our goal of a 33% reduction of Scope 1 and 2 emissions by 2030 is intended to be aligned with the Paris Agreement goal of limiting global warming to less than 2°C and is based on 2017 emissions. The goal was established according to the SBTi methodology. To achieve our greenhouse gas emission reduction goals, we expect investments in our operations of between 4 and 6 billion dollars by 2030. In the medium and long term, we will aim to reduce GHG emissions at our operations seeking to increase by increasing the energy efficiency of processes and developing solutions based on the replacement of fossil energy sources by renewable alternatives. These may include the use of electricity and alternative fuels in trucks and locomotives, as well as the replacement of coal and other fossil fuels by renewable or low-carbon fuels in pelletizing and in our metallurgical processing. 
In 2017, Vale aligned with the Task Force on Climate-Related Financial Disclosures (TCFD) guidelines to understand, assess, govern and report on the impacts of the transition to a low-carbon economy and the physical impacts of climate change on our operations, and we continue to participate in existing major assessments. In 2022, we received an A- rating in the CDP Climate Change assessment for the third year in a row , an above average score for the mining sector. The CDP has updated its scoring methodology and added new questions to the document, which has made the assessment more rigorous as compared to previous years.</t>
  </si>
  <si>
    <t>The first pillar of Vale's climate action is related to minimizing our operational emissions. We have a goal of reducing scope 1 and 2 emissions by 33% by 2030, in line with the Paris Agreement's goal of limiting the increase in global average temperature to less than 2 degrees Celsius. To achieve our commitment to reduce scope 1 and 2 emissions, we announced in 2021 that we will invest US$4-6 billion by 2030. An important component to this reduction is achieving 100% renewable electricity consumption in our operations. We will do this in Brazil in just 4 years, by 2025, and globally, by 2030. To prioritize the most cost-effective initiatives to implement, the company has an annually updated marginal abatement cost curve (MACC).
Our current portfolio of initiatives comprises more than 40 projects, prioritizing the most cost-competitive in an effort to achieve the 2030 target, based on a marginal abatement cost curve (MACC).
We are committed to the development and implementation of innovative low-carbon technologies, and about 50% of the commercial initiatives mapped out in our MACC are already entering the FEL stage.
 In addition, about 80% of the mapped initiatives have positive NPV² at the shadow price of US$ 50/tCO₂e.
In 2022, our direct emissions, including fuels, industrial processes and other minor sources (Scope 1) and indirect market-based emissions related to the purchase of electricity (Scope 2) totaled 8.9 MtCO₂e, a 27% reduction from the 2017 baseline. This reduction is mainly due to the decrease in production volumes compared to 2017.
However, an increase in production is expected in the near term, according to Vale's production and sales report, which could lead to an increase in emissions, given the current correlation between production volume and emissions. In the medium term, a drop in emissions is expected, in line with decarbonization efforts, which is related to the implementation of low-carbon initiatives by the PowerShift program.
In 2017, we aligned with the standards of the Task Force on Climate Change-Related Financial Disclosures (TCFD), aiming to understand, manage and report on the impacts of the transition to a low-carbon economy and the physical impacts of climate change on our operations, in addition to participating in the main existing assessments. In 2023, for the fourth year in a row, we received an A- rating in the CDP Climate Change assessment, a score above the mining industry average.</t>
  </si>
  <si>
    <t>SASB - EM-MM-130a.1</t>
  </si>
  <si>
    <r>
      <rPr>
        <b/>
        <sz val="10"/>
        <color rgb="FF555555"/>
        <rFont val="Arial"/>
        <family val="2"/>
      </rPr>
      <t>Description:</t>
    </r>
    <r>
      <rPr>
        <sz val="10"/>
        <color rgb="FF555555"/>
        <rFont val="Arial"/>
        <family val="2"/>
      </rPr>
      <t xml:space="preserve"> (1) Total Energy Consumed, (2) Percentage of Grid Electricity, (3) Percentage of Renewable Energy</t>
    </r>
  </si>
  <si>
    <t>Renewable: 47 thousand TJ - this value corresponds to the Electric Energy Consumption (own and purchased generation) and represents 29.7% of the energy consumed in the Year 2019.
non-renewable: 117 thousand TJ</t>
  </si>
  <si>
    <t>Renewable: 44 thousand TJ - this value corresponds to the Electric Energy Consumption (own and purchased generation) and represents 30.8% of the energy consumed in the Year of 2020.
non-renewable: 99 thousand TJ</t>
  </si>
  <si>
    <t>Renewable: 45 thousand TJ - this value corresponds to the Electric Energy Consumption (own and purchased generation) and represents 30.7% of the energy consumed in the Year of 2021.
non-renewable: 101 thousand TJ</t>
  </si>
  <si>
    <t>SASB - EM-MM-140a.1</t>
  </si>
  <si>
    <r>
      <rPr>
        <b/>
        <sz val="10"/>
        <color rgb="FF555555"/>
        <rFont val="Arial"/>
        <family val="2"/>
      </rPr>
      <t xml:space="preserve">Description: </t>
    </r>
    <r>
      <rPr>
        <sz val="10"/>
        <color rgb="FF555555"/>
        <rFont val="Arial"/>
        <family val="2"/>
      </rPr>
      <t>(1) Total water withdrawn, (2) Total water consumed, percentage of each in regions with High or Extremely High Baseline Water Stress</t>
    </r>
  </si>
  <si>
    <t>Underground collection (m³): 37 million
Surface capture (m³): 105 million
Supply company (m³): 7 million
Others (m³): 124 million
Total: 237 million m³ of captured water
Percentage of new water abstracted according to the region's water risk:
Low: 95%
Low to medium: 1%
Medium to high: 3%
High: 1%
Extremely high: There was no uptake in regions with this risk.</t>
  </si>
  <si>
    <t>Underground collection (m³): 35 million
Surface capture (m³): 103 million
Supply company (m³): 6 million
Total: 145 million m³ of water captured for Vale production
Percentage of new water abstracted according to the region's water risk:
Low: 90%
Low to medium: 7%
Medium to high: 2%
High: 1%
Extremely high: There was no uptake in regions with this risk.</t>
  </si>
  <si>
    <t>Underground collection (m³): 42.8 million
Surface capture (m³): 69.8 million
Supply company (m³): 6.2 million
Stored fresh water: 4.5 million m³
Total freshwater abstraction for use (others): 0.9 million of m²
Total: 118.8 million m³ of water captured for Vale production
Total volume of new water abstracted according to the region's water risk:
Low: 95.8 million m³
Superficial: 66.8 million m³
Underground: 26 million m³
Supply company: 3 million of m³
Low to medium: 17.1 million m³
Surface: 2.1 million m³
Underground: 15 million m³
Medium to high: 3.2 million m³
Superficial: 0.178 million m³
Underground: 1.5 million m³
Supply company: 1.5 million of m³
High: 2 million m³
Supply company: 2 million of m³
Extremely high: 0</t>
  </si>
  <si>
    <t>SASB - EM-MM-140a.2</t>
  </si>
  <si>
    <r>
      <rPr>
        <b/>
        <sz val="10"/>
        <color rgb="FF555555"/>
        <rFont val="Arial"/>
        <family val="2"/>
      </rPr>
      <t xml:space="preserve">Description: </t>
    </r>
    <r>
      <rPr>
        <sz val="10"/>
        <color rgb="FF555555"/>
        <rFont val="Arial"/>
        <family val="2"/>
      </rPr>
      <t>Number of incidents of non-compliance associated with water quality licenses, standards and regulations</t>
    </r>
  </si>
  <si>
    <t>In 2019, 8 incidents related to discharges of non-standard effluents and with consequent environmental impact of alteration of water quality were recorded.</t>
  </si>
  <si>
    <t>In 2020, 11 incidents related to non-standard effluent releases were recorded, with consequent environmental impact of changes in water quality.</t>
  </si>
  <si>
    <t>In 2021, 14 incidents related to non-standard effluent releases were recorded and with consequent environmental impact of changes in water quality.</t>
  </si>
  <si>
    <t>In 2022, 24 environmental incidents with an impact on the quality of water, soil and air were recorded.</t>
  </si>
  <si>
    <t>In 2023, 16 environmental incidents with an impact on the quality of water, soil and air were recorded.</t>
  </si>
  <si>
    <t>SASB - EM-MM-150a.4</t>
  </si>
  <si>
    <r>
      <rPr>
        <b/>
        <sz val="10"/>
        <color rgb="FF555555"/>
        <rFont val="Arial"/>
        <family val="2"/>
      </rPr>
      <t xml:space="preserve">Description: </t>
    </r>
    <r>
      <rPr>
        <sz val="10"/>
        <color rgb="FF555555"/>
        <rFont val="Arial"/>
        <family val="2"/>
      </rPr>
      <t>Total weight of non-mineral waste generated</t>
    </r>
  </si>
  <si>
    <t>The amount of non-mineral waste generated was 600.4 million metric tons.</t>
  </si>
  <si>
    <t>The amount of non-mineral waste generated was 729.1 million metric tons.</t>
  </si>
  <si>
    <t>SASB - EM-MM-150a.5</t>
  </si>
  <si>
    <r>
      <rPr>
        <b/>
        <sz val="10"/>
        <color rgb="FF555555"/>
        <rFont val="Arial"/>
        <family val="2"/>
      </rPr>
      <t xml:space="preserve">Description: </t>
    </r>
    <r>
      <rPr>
        <sz val="10"/>
        <color rgb="FF555555"/>
        <rFont val="Arial"/>
        <family val="2"/>
      </rPr>
      <t>Total weight of tailings produced</t>
    </r>
  </si>
  <si>
    <t>The total amount of tailings produced was 79.8 million metric tons.</t>
  </si>
  <si>
    <t>The total amount of tailings produced was 95.4 million metric tons.</t>
  </si>
  <si>
    <t>SASB - EM-MM-150a.6</t>
  </si>
  <si>
    <r>
      <rPr>
        <b/>
        <sz val="10"/>
        <color rgb="FF555555"/>
        <rFont val="Arial"/>
        <family val="2"/>
      </rPr>
      <t>Description:</t>
    </r>
    <r>
      <rPr>
        <sz val="10"/>
        <color rgb="FF555555"/>
        <rFont val="Arial"/>
        <family val="2"/>
      </rPr>
      <t xml:space="preserve"> Total weight of waste rock generated</t>
    </r>
  </si>
  <si>
    <t>The total amount of waste rock generated was 293.6 million metric tons.</t>
  </si>
  <si>
    <t>The total amount of waste rock generated was 354.0 million metric tons.</t>
  </si>
  <si>
    <t>SASB - EM-MM-150a.7</t>
  </si>
  <si>
    <r>
      <rPr>
        <b/>
        <sz val="10"/>
        <color rgb="FF555555"/>
        <rFont val="Arial"/>
        <family val="2"/>
      </rPr>
      <t xml:space="preserve">Description: </t>
    </r>
    <r>
      <rPr>
        <sz val="10"/>
        <color rgb="FF555555"/>
        <rFont val="Arial"/>
        <family val="2"/>
      </rPr>
      <t>Total weight of hazardous waste generated</t>
    </r>
  </si>
  <si>
    <t>The total amount of hazardous waste generated was 53.5 thousand metric tons.</t>
  </si>
  <si>
    <t>The total amount of hazardous waste generated was 92.7 thousand metric tons.</t>
  </si>
  <si>
    <t>SASB - EM-MM-150a.8</t>
  </si>
  <si>
    <r>
      <rPr>
        <b/>
        <sz val="10"/>
        <color rgb="FF555555"/>
        <rFont val="Arial"/>
        <family val="2"/>
      </rPr>
      <t>Description:</t>
    </r>
    <r>
      <rPr>
        <sz val="10"/>
        <color rgb="FF555555"/>
        <rFont val="Arial"/>
        <family val="2"/>
      </rPr>
      <t xml:space="preserve"> Total weight of recycled hazardous waste</t>
    </r>
  </si>
  <si>
    <t>The total weight of hazardous waste that was recycled was 21.3 thousand metric tons, being considered waste used in energy recovery, composting, reprocessing/recycling, re-refining, and reuse.</t>
  </si>
  <si>
    <t>The total weight of hazardous waste that was recycled was 42.8 thousand metric tons, being considered waste used in energy recovery, composting, reprocessing/recycling, re-refining, and reuse.</t>
  </si>
  <si>
    <t>SASB - EM-MM-150a.9</t>
  </si>
  <si>
    <r>
      <rPr>
        <b/>
        <sz val="10"/>
        <color rgb="FF555555"/>
        <rFont val="Arial"/>
        <family val="2"/>
      </rPr>
      <t xml:space="preserve">Description: </t>
    </r>
    <r>
      <rPr>
        <sz val="10"/>
        <color rgb="FF555555"/>
        <rFont val="Arial"/>
        <family val="2"/>
      </rPr>
      <t>Number of significant incidents associated with hazardous materials and waste management</t>
    </r>
  </si>
  <si>
    <t>In 2022 there were 4 significant incidents associated with hazardous materials and waste management, all identified as changes in soil quality.</t>
  </si>
  <si>
    <t>In 2023 there were 3 significant incidents associated with hazardous materials and waste management, all identified as changes in soil quality.</t>
  </si>
  <si>
    <t>SASB - EM-MM-150a.10</t>
  </si>
  <si>
    <r>
      <rPr>
        <b/>
        <sz val="10"/>
        <color rgb="FF555555"/>
        <rFont val="Arial"/>
        <family val="2"/>
      </rPr>
      <t xml:space="preserve">Description: </t>
    </r>
    <r>
      <rPr>
        <sz val="10"/>
        <color rgb="FF555555"/>
        <rFont val="Arial"/>
        <family val="2"/>
      </rPr>
      <t>Description of waste and hazardous material management policies and procedures for active and inactive operations</t>
    </r>
  </si>
  <si>
    <t>SASB - EM-MM-160a.1</t>
  </si>
  <si>
    <r>
      <rPr>
        <b/>
        <sz val="10"/>
        <color rgb="FF555555"/>
        <rFont val="Arial"/>
        <family val="2"/>
      </rPr>
      <t>Description:</t>
    </r>
    <r>
      <rPr>
        <sz val="10"/>
        <color rgb="FF555555"/>
        <rFont val="Arial"/>
        <family val="2"/>
      </rPr>
      <t xml:space="preserve"> Description of environmental management policies and practices for active sites</t>
    </r>
  </si>
  <si>
    <t>Throughout 2019, Vale maintained its activities in the Sustainability area, through initiatives to mitigate and compensate for the impacts of its activities, in addition to the development of environmental actions and the creation of value for communities.
Vale adopts an integrated territory management approach, incorporating and applying concepts related to the Impact Mitigation Hierarchy (HMI) focusing on the management of risks and impacts, both potential and detected, considering important attributes of the territory and working for the continuous improvement of its Law Suit. Initiatives aimed at reducing atmospheric emissions, improving the disposal of its waste, improving the management of water resources and environmental conservation stand out.</t>
  </si>
  <si>
    <t>Vale depends on natural resources and ecosystem services, such as water supply and climate regulation. At the same time, it generates impacts on biodiversity and on these services. This demonstrates the importance of natural capital for the business.
Management of the topic is based on the guidelines of the Sustainability Policy and prioritizes risk analysis, measures to prevent and mitigate impacts, neutralizing impacts on biodiversity, in addition to creating a positive environmental and social impact on the locations of operations.
For more information, please access the 2020 Integrated Report.</t>
  </si>
  <si>
    <t>We remain committed to increasingly reducing our impacts, in addition to recovering and compensating the areas and habitats we affect, in line with our long-term goal of neutralizing impacts on biodiversity in new projects. We adopt an integrated territory management approach and, in the particular case of biodiversity, incorporating and applying concepts referring to the Impact Mitigation Hierarchy (HMI) in the search for a Neutral Net Impact (in English, No Net Loss) in the territories in which we operate.
In the risk and impact management work, specific diagnoses are prepared, ranging from the planning of entry into new territories to the final design of projects, aiming to assess possible interference in areas of natural heritage, protected areas, as well as sensitive habitats and species. All expansions of operations and new projects are preceded by environmental impact studies in accordance with the rules and regulations of each country and region in which they operate.
Information on Biodiversity Management plans, please consult the 2021 Integrated Report and the MM2 indicator in the "GRI - Environmental" tab.</t>
  </si>
  <si>
    <t>Aiming at integrating nature with our activities and our impacts, we work on different lines of action. The reduction and management of our impacts is the first front, seeking new technologies and methods that can avoid and reduce impacts on nature and, when this is not possible, recover and compensate. Biodiversity management in our operations and projects is based on the stages of the Impact Mitigation Hierarchy (HMI). All new projects located in areas of high value for biodiversity must start at the planning stage with a biodiversity risk assessment, culminating with the prioritization of attributes and the elaboration of a Biodiversity Action Plan. These guidelines are part of a normative document and are in line with our commitment to neutralize impacts in order to reduce the significant loss of biodiversity in new projects and expansions. In addition, all expansions of operations and new projects are preceded by environmental impact studies in accordance with the rules and regulations of each country and region in which they operate.
Scientific research and innovation are essential to seek increasingly effective processes and methods to manage our impacts, recover areas and restore habitats, in addition to conserving increasingly significant and effective areas for the maintenance of habitats and species.
Information on Biodiversity Management plans, please refer to the 2022 Integrated Report and the MM2 indicator in the "Environmental Data" tab.</t>
  </si>
  <si>
    <t>We have made public commitments to minimize them, through the adoption of more efficient and sustainable processes and new control technologies. We aim to go beyond the obligations set out in the legislation, in line with our global strategy to lead the transition to low-carbon mining. We have a special attention to reducing the impacts caused by atmospheric emissions on communities near operations.
We adopt a mitigation hierarchy to predict and avoid impacts arising from changes in air quality or to minimize them, when it is not possible to avoid and, in cases where residual impacts remain, to compensate/neutralize the risks and impacts to workers, affected communities and the environment.
We seek to reduce our emissions through a series of measures, such as improving control systems, testing dust suppressant products, and improving management processes, among others. The equipment used to monitor emissions and air quality makes it possible to act quickly in case of deviations.
In compliance with environmental constraints, we also maintain and operate air quality monitoring networks in some operations and nearby communities. These initiatives support the adoption of control systems, monitoring plans and emissions management.
Biodiversity is a cross-cutting theme when it comes to nature. We map our impacts by assessing the interface of our operations with areas of high value for biodiversity. This assessment supports the prioritization of our actions, focusing on the management of impacts and risks, as well as the mapping of opportunities.
In 2019, Vale launched its 2030 agenda, which sets goals of reducing pressures on nature, reducing our emissions and capturing new water, as well as the pursuit of positive results beyond impact management.
Among them are the Forest Goal – to recover and protect 500,000 hectares beyond our walls, and the Water Goal – to achieve a further 7% reduction in our specific water use, both by 2030. These are voluntary commitments, which go beyond our legal obligations and our borders, seeking to bring together economic development with environmental protection and well-being to the communities where we operate.</t>
  </si>
  <si>
    <t>SASB - EM-MM-160a.2</t>
  </si>
  <si>
    <r>
      <rPr>
        <b/>
        <sz val="10"/>
        <color rgb="FF555555"/>
        <rFont val="Arial"/>
        <family val="2"/>
      </rPr>
      <t xml:space="preserve">Description: </t>
    </r>
    <r>
      <rPr>
        <sz val="10"/>
        <color rgb="FF555555"/>
        <rFont val="Arial"/>
        <family val="2"/>
      </rPr>
      <t>Percentage of mine sites where acid rock drainage is present: (1) predicted to occur, (2) actively mitigated, and (3) under treatment or remediation</t>
    </r>
  </si>
  <si>
    <t>Vale has some acid drainage processes in its operations, where risks are being managed and controlled. In addition to operational management, there is an integrated corporate action to anticipate critical issues and avoid/minimize environmental impacts at all stages of the projects' life cycle.</t>
  </si>
  <si>
    <t>Vale has some acid drainage processes in its operations, where risks are being managed and controlled.
Vale has initiatives to prevent and anticipate critical issues and prevent and minimize environmental impacts at all stages of the project's life cycle, as well as studies to fully understand the process of generating acid mine drainage and evolve towards more assertive solutions.
In order to improve the risk management of this topic, Vale is developing corporate training in partnership with a University of Ouro Preto in the State of Minas Gerais to implement a guide for acid mine drainage and establish a technical group for a multidisciplinary approach. .</t>
  </si>
  <si>
    <t>Vale has some acid drainage processes at operational sites, where risks are being managed and controlled. Over the years, the sites in operation have adopted initiatives to prevent and control acid drainage, considering local realities.
This year, Vale will publish a Global Acid Drainage Management Model. We will have a standardized approach for new projects and operational site, considering forecasting, prevention and mitigation throughout the production chain: Geology, Extraction, Mineral Processing, Geotechnics and Environment, in addition to stages such as dam decommissioning and mine closure. The implementation of this new process will be measured by a scale of maturity and adherence to the procedure.</t>
  </si>
  <si>
    <t>Vale implements several procedures related to acid drainage in its operations, with a focus on the management and control of associated risks. It currently has an internal normative standard that deals with the management of acid drainage in the company, based on the best national and international protocols. The operating sites adopt specific initiatives to prevent, manage and mitigate the potential generation of acid drainage, taking into account the particularities of each region. These actions are part of Vale's ongoing commitment to being a sustainable and safe mining company.
Percentage of mine sites where there is acid drainage of rocks: 
(1) Predicted to occur: 33% (6 sites with potential out of 18)
(2) actively mitigated: 83% (5 sites with mitigated DAM, out of 6 sites with potential)
(3) undergoing treatment or remediation: 75% (3 sites with treatment or remediation measures from 4 with areas contaminated by DAM)</t>
  </si>
  <si>
    <t xml:space="preserve"> </t>
  </si>
  <si>
    <t>SASB - EM-MM-540a.1</t>
  </si>
  <si>
    <r>
      <rPr>
        <b/>
        <sz val="10"/>
        <color rgb="FF555555"/>
        <rFont val="Arial"/>
        <family val="2"/>
      </rPr>
      <t>Description:</t>
    </r>
    <r>
      <rPr>
        <sz val="10"/>
        <color rgb="FF555555"/>
        <rFont val="Arial"/>
        <family val="2"/>
      </rPr>
      <t xml:space="preserve"> Tailings storage facility inventory table: (1) facility name, (2) location, (3) ownership status, (4) operational status, (5) construction method, (6) maximum allowable capacity storage, (7) current amount of tailings stored, (8) consequence classification, (9) date of most recent independent technical review, (10) material discoveries, (11) mitigation measures, (12) preparedness plan and site-specific emergency response</t>
    </r>
  </si>
  <si>
    <t>For information on dams, see the Dams tab on the ESG Portal.</t>
  </si>
  <si>
    <t>For information about Vale's Tailings Storage Structures, please visit the Vale Tailings Storage Facilities Information Portal</t>
  </si>
  <si>
    <t>Vale Tailings Storage Facilities Information Portal: Iron Ore Solutions</t>
  </si>
  <si>
    <t>Vale Tailings Storage Facilities Information Portal: Metals for Energy Transition</t>
  </si>
  <si>
    <t>ESG Portal: Dams</t>
  </si>
  <si>
    <t>SASB - EM-MM-540a.2</t>
  </si>
  <si>
    <r>
      <rPr>
        <b/>
        <sz val="10"/>
        <color rgb="FF555555"/>
        <rFont val="Arial"/>
        <family val="2"/>
      </rPr>
      <t>Description:</t>
    </r>
    <r>
      <rPr>
        <sz val="10"/>
        <color rgb="FF555555"/>
        <rFont val="Arial"/>
        <family val="2"/>
      </rPr>
      <t xml:space="preserve"> Summary of tailings management systems and governance structure used to monitor and maintain the stability of tailings storage facilities</t>
    </r>
  </si>
  <si>
    <t>For information about dam control and management, see the Dams tab in the ESG Portal</t>
  </si>
  <si>
    <t>For information about dam control and management, see the Dams tab in the ESG Portal.</t>
  </si>
  <si>
    <t>Dams - ESG Portal</t>
  </si>
  <si>
    <t>SASB - EM-MM-540a.3</t>
  </si>
  <si>
    <r>
      <rPr>
        <b/>
        <sz val="10"/>
        <color rgb="FF555555"/>
        <rFont val="Arial"/>
        <family val="2"/>
      </rPr>
      <t>Description:</t>
    </r>
    <r>
      <rPr>
        <sz val="10"/>
        <color rgb="FF555555"/>
        <rFont val="Arial"/>
        <family val="2"/>
      </rPr>
      <t xml:space="preserve"> Approach to developing Emergency Preparedness and Response plans (EPRPs) for tailings storage facilities</t>
    </r>
  </si>
  <si>
    <t>In Brazil, all dams classified with high associated potential damage (DPA) have a technical document that defines immediate actions that should take place in case of emergency . The Emergency Action Plans for Mining Dams (PAEBM), developed according to legal criteria and filed with the Municipal and State Civil Defense bodies, determines that if emergency level 2 is reached, Vale must should undertake preventive relocation of the population located in Self-Rescue Zones to safe areas outside the floodplain.
Vale has teams dedicated in implementing the PAEBMs. In order to ensure understanding of the actions outlined in the PAEBM and to clarify how to proceed in an emergency situation, Orientation Seminars/Public Meetings and emergency drills are held annually with the participation of communities located in the Self-Rescue Zones (ZAS) downstream of the dams, employees, civil defense agencies and municipalities. In 2022, 21 Orientation Seminars/Public Meetings and 17 external emergency drills were held.
For further information see the dam control and management tab on the ESG Portal https://www.vale.com/web/esg/control-and-management-of-dams</t>
  </si>
  <si>
    <t>The Emergency Action Plans for Mining Dams (PAEBM/PAE) are technical documents that define immediate actions in cases of emergency and aim to provide measures to minimize risks to communities and environmental impacts and cultural heritage. All of Vale's dams in Brazil, included in the National Dam Safety Policy (PNSB), as well as all dams included in the Minas Gerais State on Dam Safety (PESB), have PAEBM/PAE. 
Each plan is drawn up, developed, implemented and managed in accordance with the requirements of the law and the emergency guidelines of the civil protection and defence bodies. The PAEBMs are filed with the city halls and Civil Defenses (municipal and state) and are available for consultation by the external public here (insert link https://vale.com/pt/paebm).
In addition, Vale is committed to transparency, the dissemination of good practices in the sector and compliance with legislation. For this reason, we maintain a routine of dialogue with the communities about dam safety and risk prevention. In order for mining to be carried out safely, we carry out several prevention actions, such as emergency signals, drills, siren tests, public meetings and training. In 2023, we had:
- 19 municipalities involved in PAEBM actions;
- 25 external simulated exercises with the participation of the communities; 
- 32 orientation seminars/public meetings with communities; 
- 116 thousand people registered in emergency plans;
- 16 thousand buildings visited in order to invite the population to participate in seminars and public meetings and other actions related to dam safety.</t>
  </si>
  <si>
    <t>Vale - PAEBM</t>
  </si>
  <si>
    <t>GRI 2-7</t>
  </si>
  <si>
    <t>Employees</t>
  </si>
  <si>
    <t>GRI 2-8</t>
  </si>
  <si>
    <t>Workers who are not employees</t>
  </si>
  <si>
    <t>GRI 402-1</t>
  </si>
  <si>
    <t>Minimum notice periods regarding operational changes</t>
  </si>
  <si>
    <t>Diversity of governance bodies and employees</t>
  </si>
  <si>
    <t>Operations with significant actual and potential negative impacts on local communities</t>
  </si>
  <si>
    <t>GRI 414-1</t>
  </si>
  <si>
    <t>New suppliers that were screened using social criteria</t>
  </si>
  <si>
    <t>GRI 414-2</t>
  </si>
  <si>
    <t>Negative social impacts in the supply chain and actions taken</t>
  </si>
  <si>
    <t>GRI 415-1</t>
  </si>
  <si>
    <t>Political contributions</t>
  </si>
  <si>
    <t>GRI G4 MM4</t>
  </si>
  <si>
    <t>Number of strikes and lockouts lasting more than one week,
broken down by country</t>
  </si>
  <si>
    <t>Total number of operations located in or adjacent to indigenous peoples' territories, and number and percentage of operations or locations where there are formal agreements with communities of indigenous peoples</t>
  </si>
  <si>
    <t>GRI G4 MM8</t>
  </si>
  <si>
    <t>Number and percentage of operational areas where artisanal and small-scale mining occurs, including adjacent areas; the associated risks and actions taken to manage and mitigate them</t>
  </si>
  <si>
    <t>GRI G4 EM-MM-210a.1</t>
  </si>
  <si>
    <t>GRI G4 EM-MM-210a.2</t>
  </si>
  <si>
    <t>GRI G4 EM-MM-210a.3</t>
  </si>
  <si>
    <t>GRI G4 EM-MM-210b.1</t>
  </si>
  <si>
    <t>GRI G4 EM-MM-210b.2</t>
  </si>
  <si>
    <t>GRI G4 EM-MM-310a.1</t>
  </si>
  <si>
    <t>Percentage of active workforce covered by collective bargaining agreements, broken down by US and foreign employees</t>
  </si>
  <si>
    <t>GRI G4 EM-MM-310a.2</t>
  </si>
  <si>
    <t>GRI G4 EM-MM-320a.1</t>
  </si>
  <si>
    <t>GRI 401-1 (2016)</t>
  </si>
  <si>
    <r>
      <rPr>
        <b/>
        <sz val="10"/>
        <color rgb="FF555555"/>
        <rFont val="Arial"/>
        <family val="2"/>
      </rPr>
      <t xml:space="preserve">Description: </t>
    </r>
    <r>
      <rPr>
        <sz val="10"/>
        <color rgb="FF555555"/>
        <rFont val="Arial"/>
        <family val="2"/>
      </rPr>
      <t>New employee hires and employee turnover</t>
    </r>
  </si>
  <si>
    <t>Hires</t>
  </si>
  <si>
    <t>Turnover rate by Gender</t>
  </si>
  <si>
    <t>Turnover Rate by Age Group</t>
  </si>
  <si>
    <t>Turnover rate</t>
  </si>
  <si>
    <t>Men</t>
  </si>
  <si>
    <t>Women</t>
  </si>
  <si>
    <t>Under 30 years 
old</t>
  </si>
  <si>
    <t>Between 30 and 50 years old</t>
  </si>
  <si>
    <t>Over 50 years 
old</t>
  </si>
  <si>
    <t>6,529</t>
  </si>
  <si>
    <t>8.2%</t>
  </si>
  <si>
    <t>12.1%</t>
  </si>
  <si>
    <t>14.0%</t>
  </si>
  <si>
    <t>7.0%</t>
  </si>
  <si>
    <t>10.0%</t>
  </si>
  <si>
    <t>9.0%</t>
  </si>
  <si>
    <t>9,187</t>
  </si>
  <si>
    <t>9.3%</t>
  </si>
  <si>
    <t>19.7%</t>
  </si>
  <si>
    <t>20.7%</t>
  </si>
  <si>
    <t>8.4%</t>
  </si>
  <si>
    <t>12.6%</t>
  </si>
  <si>
    <t>10.7%</t>
  </si>
  <si>
    <t>6,485</t>
  </si>
  <si>
    <t>14.5%</t>
  </si>
  <si>
    <t>16.4%</t>
  </si>
  <si>
    <t>4.8%</t>
  </si>
  <si>
    <t>4,912</t>
  </si>
  <si>
    <t>5.2%</t>
  </si>
  <si>
    <t>15.2%</t>
  </si>
  <si>
    <t>14.1%</t>
  </si>
  <si>
    <t>5.6%</t>
  </si>
  <si>
    <t>8.7%</t>
  </si>
  <si>
    <t>6,888</t>
  </si>
  <si>
    <t>6.9%</t>
  </si>
  <si>
    <t>15.3%</t>
  </si>
  <si>
    <t>21.7%</t>
  </si>
  <si>
    <t>6.3%</t>
  </si>
  <si>
    <t>8.8%</t>
  </si>
  <si>
    <t>Rate of new hires</t>
  </si>
  <si>
    <t>Age group &lt; 30</t>
  </si>
  <si>
    <t>Age group 30 - 50</t>
  </si>
  <si>
    <t>Age group &gt; 50</t>
  </si>
  <si>
    <t>n/d</t>
  </si>
  <si>
    <t>Churn Rate</t>
  </si>
  <si>
    <t>GRI 401-2 (2016)</t>
  </si>
  <si>
    <r>
      <rPr>
        <b/>
        <sz val="10"/>
        <color rgb="FF555555"/>
        <rFont val="Arial"/>
        <family val="2"/>
      </rPr>
      <t>Description:</t>
    </r>
    <r>
      <rPr>
        <sz val="10"/>
        <color rgb="FF555555"/>
        <rFont val="Arial"/>
        <family val="2"/>
      </rPr>
      <t xml:space="preserve"> Benefits provided to full-time employees that are not provided to temporary or part-time employees</t>
    </r>
  </si>
  <si>
    <t>Medical and dental assistance is among the main benefits granted, as well as life insurance, private pension plan, personal accident insurance, transportation allowance, educational training and food allowance.</t>
  </si>
  <si>
    <t>Medical and dental care is among the main benefits granted, as well as life insurance, private pension plan, personal accident insurance, transportation allowance, educational training, food allowance and housing subsidy (for employees located in remote areas).</t>
  </si>
  <si>
    <t>Medical and dental assistance is among the main benefits granted, as well as life insurance, private pension, personal accident insurance, educational training, annual incentive plan and subsidy for the purchase of medicines.</t>
  </si>
  <si>
    <t>Medical and dental care is among the main benefits granted, as well as life insurance, private pension, personal accident insurance, educational training, annual incentive plan.</t>
  </si>
  <si>
    <t xml:space="preserve">At Vale, medical and dental care is among the main benefits granted, as well as life insurance, private pension, personal accident insurance, educational training, annual incentive plan and subsidy for the purchase of medicines. 
For Brazil, Vale has a series of initiatives and benefits structured to promote a better quality of life and well-being of its employees. 
For the physical health care of Vale employees, we offer the benefits of Medical Assistance, Dental Assistance, Pharmacy Assistance, Vaccines, Benefits for PWD's, Incentive to physical activity, among others. Occupational health programs are also available, such as Chronic Management, Health Campaigns, Health Screenings, Fatigue and Ergonomics Program and Occupational Hygiene Program. 
For emotional health care, we offer Minas por Mentes: Vale's initiative that focuses on the prevention, promotion and rehabilitation of employees, and operates based on four major pillars: literacy, care, intervention and governance. Within this initiative, we have a series of employee support tools such as self-assessments in emotional health, proactive contact with psychologists, training of employees, leaders and health professionals on emotional health issues, psychoeducation materials, individual follow-ups of leaves, conversation circles, lectures, in addition to the benefits of Pharmacy, Psychology and Psychiatry Online Aid,  the PAE (employee support program) and wellness apps. 
To take care of financial well-being, employees have programs and benefits for their organization in the short and long term, such as supplementary private pension, life insurance, funeral assistance, transportation, ergonomic assistance, food vouchers, meal vouchers and vacation loans. With a focus on promoting financial and social security education, it is made available by Valia, a platform where employees and their dependents can take financial profile tests and access learning paths according to their life context. 
Finally, in order to take care of social and family well-being, we will offer the stork program for pregnant women, extended maternity and paternity leave, daycare/nanny assistance, incentive to professional training, teleworking, Christmas benefits consisting of a basket and toy card. </t>
  </si>
  <si>
    <r>
      <rPr>
        <b/>
        <sz val="9"/>
        <color rgb="FF555555"/>
        <rFont val="Arial"/>
        <family val="2"/>
      </rPr>
      <t xml:space="preserve">Note: </t>
    </r>
    <r>
      <rPr>
        <sz val="9"/>
        <color rgb="FF555555"/>
        <rFont val="Arial"/>
        <family val="2"/>
      </rPr>
      <t>In Brazil, benefits are offered to all own employees, including own employees for a fixed period (temporary) or part-time (4/6 hour shift). In some countries, such as Canada, there are differences in benefits for temporary employees or those who work part-time if the temporary contract is less than one year.</t>
    </r>
  </si>
  <si>
    <t>Benefits offered to employees, by work regime (2023)</t>
  </si>
  <si>
    <t>Benefits</t>
  </si>
  <si>
    <t xml:space="preserve">Permanent </t>
  </si>
  <si>
    <t>Temporary</t>
  </si>
  <si>
    <t>Health care</t>
  </si>
  <si>
    <t>Offered</t>
  </si>
  <si>
    <t>Not offered</t>
  </si>
  <si>
    <t>Dental care</t>
  </si>
  <si>
    <t>Life Insurance</t>
  </si>
  <si>
    <t>Private Pension Plan</t>
  </si>
  <si>
    <t>Personal Accident Insurance</t>
  </si>
  <si>
    <t>Education</t>
  </si>
  <si>
    <t>Not offered*</t>
  </si>
  <si>
    <t>Annual Incentive Plan</t>
  </si>
  <si>
    <t>Subsidy for the purchase of medicines</t>
  </si>
  <si>
    <t>GRI 401-3 (2016)</t>
  </si>
  <si>
    <r>
      <rPr>
        <b/>
        <sz val="10"/>
        <color rgb="FF555555"/>
        <rFont val="Arial"/>
        <family val="2"/>
      </rPr>
      <t xml:space="preserve">Description: </t>
    </r>
    <r>
      <rPr>
        <sz val="10"/>
        <color rgb="FF555555"/>
        <rFont val="Arial"/>
        <family val="2"/>
      </rPr>
      <t>Parental leave</t>
    </r>
  </si>
  <si>
    <t>In 2019, maternity and paternity leave complied with local legislation. The retention rates of employees who returned to work after maternity and paternity leave in Brazil were 95.6% and 88.5%, respectively. Still in Brazil, the company announced its adhesion to Empresa Cidadã, which extends maternity leave to 180 days and paternity leave to 20 days. With the extension of the license, the employees will be able to breastfeed their baby in those first 6 months of life.</t>
  </si>
  <si>
    <t>The retention rates of employees returning to work after maternity and paternity leave in Brazil in 2020 were 100% and 99.6%, respectively.</t>
  </si>
  <si>
    <t>The retention rates of employees returning to work after maternity and paternity leave in Brazil in 2021 were 98% for both leaves.
Maternity leave:
Employees entitled in the reference year: 13,439
Employees who took maternity leave in the reference year: 498
Employees who returned to work after maternity leave ended: 487
Employees who returned to work after leave ended and remained employed twelve months after returning to work: 388
Paternity leave:
Employees entitled in the reference year: 52,542
Employees who took leave in the reference year: 2012
Employees who returned to work after leave ended: 1,968
Employees who returned to work after leave ended and remained employed twelve months after returning to work: 2,110</t>
  </si>
  <si>
    <t>The retention rates of employees returning to work after maternity and paternity leave in Brazil in 2022 were 99% for both leaves.
Maternity leave:
Female employees entitled in the reference year: 15,113
Female employees who took maternity leave in the reference year: 588
Female employees who returned to work after the end of maternity leave: 582
Female employees who returned to work after their leave ended and remained employed twelve months after their return to work: 471
Paternity leave:
Male employees entitled in the reference year: 51,060
Male employees who took leave in the reference year: 1,713
Male employees who returned to work after the end of leave: 1,690
Male employees who returned to work after their leave ended and remained employed twelve months after their return to work: 2,048</t>
  </si>
  <si>
    <t>The retention rates of employees returning to work after maternity and paternity leave in Brazil, in 2023, were 75% for maternity leave and 93% for paternity leave.
Maternity leave:
Female employees entitled in the reference year: 17,132
Female employees who took maternity leave in the reference year: 845
Female employees who returned to work after the end of maternity leave: 630
Female employees who returned to work after their leave ended and remained employed twelve months after their return to work: 603
Paternity leave:
Male employees entitled in the reference year: 49,730
Male employees who took leave in the reference year: 1,740
Male employees who returned to work after the end of leave: 1,620
Male employees who returned to work after their leave ended and remained employed twelve months after their return to work: 1,539</t>
  </si>
  <si>
    <t>GRI 402-1 (2016)</t>
  </si>
  <si>
    <r>
      <rPr>
        <b/>
        <sz val="10"/>
        <color rgb="FF555555"/>
        <rFont val="Arial"/>
        <family val="2"/>
      </rPr>
      <t xml:space="preserve">Description: </t>
    </r>
    <r>
      <rPr>
        <sz val="10"/>
        <color rgb="FF555555"/>
        <rFont val="Arial"/>
        <family val="2"/>
      </rPr>
      <t>Minimum notice periods regarding operational changes</t>
    </r>
  </si>
  <si>
    <t>Vale communicates about structural changes or changes in the company's processes four weeks in advance, on average. This minimum notification period is provided for in collective bargaining agreements of 33% of the projects that reported this information, in 2019.</t>
  </si>
  <si>
    <t>Collective agreements entered into with all unions in Brazil establish the need to notify unions in advance of relevant operational changes. The agreements do not establish a minimum advance period for this communication, which may vary depending on the case. As an estimate, we work with 4 weeks on average. For countries like Canada, Oman and New Caledonia we also have an average of 4 weeks. Mozambique and Paraguay an average of 2 weeks. For the other countries where Vale is present, the average was not informed.</t>
  </si>
  <si>
    <t>Collective agreements entered into with all unions in Brazil establish the need to notify unions in advance of relevant operational changes. The agreements do not establish a minimum advance period for this communication, which may vary depending on the case. As an estimate, we work with 4 weeks on average. For countries like Canada, Oman and the United Kingdom we also have an average of 4 weeks. Mozambique, Malaysia and Paraguay an average of 2 weeks. For the other countries where Vale is present, the average was not informed.</t>
  </si>
  <si>
    <t>Collective agreements entered into with all unions in Brazil establish the need to notify unions in advance of relevant operational changes. The agreements do not establish a minimum advance period for this communication, which may vary depending on the case. As an estimate, we work with 4 weeks on average. For countries like Oman and the UK we also have an average of 4 weeks, for Canada an average of 5 weeks and for Malaysia an average of 2 weeks. For the other countries where Vale is present, the average was not informed.</t>
  </si>
  <si>
    <t>Collective agreements entered into with all unions in Brazil establish the need to notify unions in advance of relevant operational changes. The agreements do not establish a minimum advance period for this communication, which may vary depending on the case. As an estimate, for Brazil, we work with 4 weeks on average. For countries like Oman and the UK we also have an average of 4 weeks, for Canada an average of 5 weeks and for Malaysia an average of 2 weeks. For the other countries where Vale is present, the average was not informed.</t>
  </si>
  <si>
    <t>GRI 403-1 (2018)</t>
  </si>
  <si>
    <r>
      <rPr>
        <b/>
        <sz val="10"/>
        <color rgb="FF555555"/>
        <rFont val="Arial"/>
        <family val="2"/>
      </rPr>
      <t xml:space="preserve">Description: </t>
    </r>
    <r>
      <rPr>
        <sz val="10"/>
        <color rgb="FF555555"/>
        <rFont val="Arial"/>
        <family val="2"/>
      </rPr>
      <t>Occupational health and safety management system</t>
    </r>
  </si>
  <si>
    <t>Vale's Health, Safety and Operational Risk management processes are part of the Vale Production System (VPS), which establishes policies, principles, criteria and procedures for managing hazards and risks, as well as for the environmental aspects and impacts arising from activities, products and services. The VPS is fully aligned with ISO standards for operational health and safety (SSO) and environmental management and contains technical, management and leadership requirements according to the PDCA model, based on the Planning (Plan) / Execution (Do) / Verification ( Check) and Action (Act). The VPS is being implemented in 100% of the company by 2021.</t>
  </si>
  <si>
    <t>Vale's Health, Safety and Operational Risk management processes are part of the Vale Production System (VPS), which establishes policies, principles, criteria and procedures for managing hazards and risks, as well as for the environmental aspects and impacts arising from activities, products and services. The VPS was implemented at Vale following the guidelines of the standards: ISO 9001; ISO 14001; ISO 45001 and; ISO 31000. The VPS is fully aligned with the ISO 45001 standards, a norm relating to the operational health and safety (SSO) and environmental management system and contains technical, management and leadership requirements according to the PDCA model, based on the Planning stages (Plan ) / Execution (Do) / Verification (Check) and Action (Act). The VPS is being implemented in 100% of the company and covers all workers (employees and third parties).</t>
  </si>
  <si>
    <t>Vale's Health, Safety, Environment and Operational Risk (HSE) management processes are integrated with Vale's Production System (VPS) management system, which establishes policies, principles, criteria and procedures for the management of hazards, risks, as well as environmental aspects and impacts arising from the company's activities, products and services. The implementation of VPS at Vale follows the guidelines of ISO 9001, ISO 14001, ISO 45001 and ISO 31000.
VPS is fully aligned to ISO 45001 and ISO 14001 standards, which covers the occupational health and safety (OHS) and environmental (AM) management system. This system incorporates technical, management and leadership requirements, following the PDCA model (Plan, Do, Check, Act). The implementation of VPS is underway in 100% of the company, covering all workers, both employees and contractors.</t>
  </si>
  <si>
    <r>
      <rPr>
        <b/>
        <sz val="9"/>
        <color rgb="FF555555"/>
        <rFont val="Arial"/>
        <family val="2"/>
      </rPr>
      <t xml:space="preserve">Note: </t>
    </r>
    <r>
      <rPr>
        <sz val="9"/>
        <color rgb="FF555555"/>
        <rFont val="Arial"/>
        <family val="2"/>
      </rPr>
      <t>As of 2020, Vale is following the GRI 403 Occupational Health and Safety (2018) standard.</t>
    </r>
  </si>
  <si>
    <t>GRI 403-2 (2018)</t>
  </si>
  <si>
    <r>
      <rPr>
        <b/>
        <sz val="10"/>
        <color rgb="FF555555"/>
        <rFont val="Arial"/>
        <family val="2"/>
      </rPr>
      <t>Description:</t>
    </r>
    <r>
      <rPr>
        <sz val="10"/>
        <color rgb="FF555555"/>
        <rFont val="Arial"/>
        <family val="2"/>
      </rPr>
      <t xml:space="preserve"> Hazard identification, risk assessment, and incident investigation</t>
    </r>
  </si>
  <si>
    <t>Vale uses a set of methodologies for Identifying Hazards and carrying out Risk Analyzes that are appropriate and applicable to its operations. Based on this process, Critical Controls are defined that aim to keep risks at acceptable levels, guaranteeing the safety and integrity of all employees, third parties and the community in which we operate. Between 2019 and 2020, an operational risk scan (HIRA) was updated, aimed at scenarios classified as Unwanted Material Events (MUE) - high consequence incidents - that require the highest level of attention, which can even be classified as a risk of business. Other highlights were the revisions of the RAC's (Requirements for Critical Activity) and the PTS (Safe Work Permit), with the objective of guaranteeing the best practices in carrying out the tasks considered critical. The quality of this process is accompanied by the governance structure, consisting of 3 independent lines of defense regarding the qualification process, Vale has a complete portfolio of resources aimed at training, qualification and certification required for the safe and effective execution of our operations. It covers all our employees and third parties, considering the degree of risk and complexity of the activities and meeting the minimum requirements for the function.
For continuous improvement, the VPS system (Vale Production System) provides in its process an evaluation of the management model and results, where it is established that all processes must undergo self-evaluations and formal evaluations to identify opportunities for improvement in the use of the VPS and evaluate the achieved results. In addition to this point, external and internal audits are carried out in order to verify compliance with standards, certifications and legal requirements.
All own workers and collaborators are encouraged to proactively bring risk scenarios identified in their daily assignments to their supervisors and managers, in order to mitigate and control them. In cases where it is impossible to take these situations directly to the local person in charge, all employees and collaborators have access to the internal Whistleblower Channel, managed by the Ombudsman, where it is possible to anonymously report risk scenarios that may exist. In addition to this point, everyone has access to the internal Whistleblower Channel, managed by the Ombudsman, where an employee can, anonymously, inform risk scenarios that may exist.
Vale has in its Health and Safety policy several documents and processes that advocate the protection of all workers and collaborators, such as the HIRA - Hazard Identification and Risk Analysis for Unwanted Material Events (MUEs), the guidelines for Risk Analysis of Tasks, guidelines for managing health, safety and environmental risks, corporate guidelines for preventing occupational risks, among others. We implemented the Golden Rules in 2019, a set of tangible and non-negotiable behaviors to minimize the main risks that can cause accidents with a high potential for severity in our company. Among these points is the right of refusal, in which any worker who feels that his/her integrity and that of his/her colleagues are at risk, can refuse to carry out a certain activity.
Regarding the investigation of accidents that occurred, Vale, from 2019, defined the SOLOGIC methodology, based on a tree of causes, as official for accident analysis. This methodology became mandatory for all high potential events. In addition to this point, this methodology also defines the effectiveness of the proposed actions, considering the proposed control hierarchy, such as the HIRA - Hazard Identification and Risk Analysis for Undesired Material Events (MUEs), the Guidelines for Task Risk Analysis, among others.</t>
  </si>
  <si>
    <t>Vale uses a set of methodologies for Identifying Hazards and carrying out Risk Analyzes that are appropriate and applicable to its operations. Based on this process, Critical Controls are defined that aim to keep risks at acceptable levels, guaranteeing the safety and integrity of all employees, third parties and the community in which we operate. Among these methodologies, the HIRA stands out, which is characterized as a systematic and continuous assessment of operational risks, directed towards scenarios classified as Unwanted Material Events (MUE). Other highlights were the revisions of the RAC's (Requirements for Critical Activity) and the PTS (Safe Work Permit), with the objective of guaranteeing the best practices in carrying out the activities considered critical. See some of them below:
• Hazard Identification and Risk Analysis (HIRA): mapping that identifies hazards and risk analysis, describes scenarios for accidents, existing protections and the criticality of risks to people, the environment, assets and the business;
• Safe Work Permit (PTS): also called “Contract for Life”, it is an operational security process with protocols and procedures that act as the last protection barrier before carrying out the activity;
• Critical Activity Requirements (RAC): are intended to preserve people's lives during the execution of activities classified as critical. This categorization is based on the history of fatalities and serious accidents that occurred in the company and in the mining sector, including the risk of drowsiness;
• Golden Rules: these are rules that meet the basic requirements for carrying out any activity at Vale and do not replace other health and safety requirements.
• Exposure to health risks: global corporate guideline for the management and creation of programs to monitor and control the occupational health of employees, which include quantitative objectives for reducing health risk scenarios in the medium term.
Vale has a process for identifying, recording, communicating, investigating and analyzing unwanted events. The SOLOGIC methodology, based on a tree of causes, is one of the recommended methodologies in this process, and mandatory for all high potential events. This process also provides for comprehensive actions and verification of the effectiveness of the proposed actions.
Governance over the risk management process is made up of 3 independent lines of defense, with clearly defined roles and responsibilities for this management. Vale has a complete portfolio of resources aimed at training, qualification and certification required for the safe and effective execution of our operations. It covers all our employees and third parties, considering the degree of risk and complexity of the activities and meeting the minimum requirements for the function. For continuous improvement, the VPS system (Vale Production System) provides in its process an evaluation of the management model and results, where it is established that all processes must undergo self-evaluations and formal evaluations to identify opportunities for improvement in the use of the VPS and evaluate the achieved results. In addition to this point, external and internal audits are carried out in order to verify compliance with standards, certifications and legal requirements.
All own workers and collaborators are encouraged to proactively bring risk scenarios identified in their daily assignments to their supervisors and managers, in order to mitigate and control them. In cases where it is impossible to take these situations directly to the local person in charge, all employees and collaborators have access to the internal Whistleblower Channel, managed by the Ombudsman, where it is possible to anonymously report risk scenarios that may exist.</t>
  </si>
  <si>
    <t>Vale uses a set of methodologies for Identifying Hazards and carrying out Risk Analyzes that are suitable and applicable to its operations. Based on this process, Critical Controls are defined that aim to keep risks at acceptable levels, guaranteeing the safety and integrity of all employees, third parties and the community in which we operate. Among these methodologies, the HIRA stands out, which is characterized as a systematic and continuous assessment of operational risks, directed towards scenarios classified as Unwanted Material Events (MUE). Other highlights were the revisions of the RAC's (Requirements for Critical Activity) and the PTS (Safe Work Permit), with the objective of guaranteeing the best practices in carrying out the activities considered critical. See some of them below:
• Hazard Identification and Risk Analysis (HIRA): mapping that identifies hazards and risk analysis, describes scenarios for accidents, existing protections and the criticality of risks to people, the environment, assets and the business;
• Safe Work Permit (PTS): also called “Contract for Life”, it is an operational security process with protocols and procedures that act as the last protection barrier before carrying out the activity;
• Critical Activity Requirements (RAC): are intended to preserve people's lives during the execution of activities classified as critical. This categorization is based on the history of fatalities and serious accidents that occurred in the company and in the mining sector, including the risk of drowsiness;
• Golden Rules: these are rules that meet the basic requirements for carrying out any activity at Vale and do not replace other health and safety requirements.
• Exposure to health risks: global corporate guideline for the management and development of programs to monitor and control employees' occupational health, which includes quantitative objectives for reducing health risk scenarios in the medium term, as well as primary and secondary actions and tertiary in health with a focus on preventing work incapacity.
Vale has a process for identifying, recording, communicating, investigating and analyzing unwanted events. The SOLOGIC methodology, based on a tree of causes, is one of the recommended methodologies in this process, and mandatory for all high potential events. This process also provides for comprehensive actions and verification of the effectiveness of the proposed actions.
Governance over the risk management process is made up of 3 independent lines of defense, with clearly defined roles and responsibilities for this management. Vale has a complete portfolio of resources aimed at training, qualification and certification required for the safe and effective execution of our operations. It covers all our employees and third parties, considering the degree of risk and complexity of the activities and meeting the minimum requirements for the function. For continuous improvement, the VPS system (Vale Production System) provides in its process an evaluation of the management model and results, where it is established that all processes must undergo self-evaluations and formal evaluations to identify opportunities for improvement in the use of the VPS and evaluate the achieved results. In addition to this point, external and internal audits are carried out in order to verify compliance with standards, certifications and legal requirements.
All own workers and collaborators are encouraged to proactively bring risk scenarios identified in their daily assignments to their supervisors and managers, in order to mitigate and control them. In cases where it is impossible to take these situations directly to the local person in charge, all employees and collaborators have access to the internal Whistleblower Channel, managed by the Ombudsman, where it is possible to anonymously report risk scenarios that may exist.</t>
  </si>
  <si>
    <t>Vale uses a set of methodologies for Identifying Hazards and carrying out Risk Analyzes that are suitable and applicable to its operations. Based on this process, Critical Controls are defined that aim to keep risks at acceptable levels, guaranteeing the safety and integrity of all employees, third parties and the community in which we operate. Among these methodologies, the HIRA stands out, which is characterized as a systematic and continuous assessment of operational risks, directed towards scenarios classified as Unwanted Material Events (MUE). Other highlights were the revisions of the RAC's (Requirements for Critical Activity) and consolidation of the ART (Task Risk Analysis), PTS (Safe Work Permit) and Golden Rules processes. Here are some initiatives:
• Hazard Identification and Risk Analysis (HIRA): mapping that identifies hazards and risk analysis, describes scenarios for accidents, existing protections and the criticality of risks to people, the environment, assets and the business;
• Task Risk Analysis (ART): This process is applied to the entire Vale and used to identify the causes, consequences and control measures associated with the risk situations of the tasks. The ART precedes and is connected with the planning, standardization, and Safe Work Permit processes.
• Safe Work Permit (PTS): also called “Contract for Life”, it is an operational security process with protocols and procedures that act as the last protection barrier before carrying out the activity;
• Critical Activity Requirements (RAC): are intended to preserve people's lives during the execution of activities classified as critical. This categorization is based on the history of fatalities and serious accidents that occurred in the company and in the mining sector, including the risk of drowsiness;
• Golden Rules: these are rules that meet the basic requirements for carrying out any activity at Vale and do not replace other health and safety requirements.
• Exposure to health risks: global corporate guideline for the management and development of programs to monitor and control employees' occupational health, which includes quantitative objectives for reducing health risk scenarios in the medium term, as well as primary and secondary actions and tertiary in health with a focus on preventing work incapacity.
Vale has a process for identifying, recording, communicating, investigating and analyzing unwanted events. The SOLOGIC methodology, based on a tree of causes, is one of the recommended methodologies in this process, and mandatory for all high potential events. This process also provides for comprehensive actions and verification of the effectiveness of the proposed actions.
Governance over the risk management process is made up of 3 independent lines of defense, with clearly defined roles and responsibilities for this management. Vale has a complete portfolio of resources aimed at training, qualification and certification required for the safe and effective execution of our operations. It covers all our employees and third parties, considering the degree of risk and complexity of the activities and meeting the minimum requirements for the function. For continuous improvement, the VPS system (Vale Production System) provides in its process an evaluation of the management model and results, where it is established that all processes must undergo self-evaluations and formal evaluations to identify opportunities for improvement in the use of the VPS and evaluate the achieved results. In addition to this point, external and internal audits are carried out in order to verify compliance with standards, certifications and legal requirements.
All own workers and collaborators are encouraged to proactively bring risk scenarios identified in their daily assignments to their supervisors and managers, in order to mitigate and control them. In cases where it is impossible to take these situations directly to the local person in charge, all employees and collaborators have access to the internal Whistleblower Channel, managed by the Ombudsman, where it is possible to anonymously report risk scenarios that may exist.</t>
  </si>
  <si>
    <t>GRI 403-3 (2018)</t>
  </si>
  <si>
    <r>
      <rPr>
        <b/>
        <sz val="10"/>
        <color rgb="FF555555"/>
        <rFont val="Arial"/>
        <family val="2"/>
      </rPr>
      <t xml:space="preserve">Description: </t>
    </r>
    <r>
      <rPr>
        <sz val="10"/>
        <color rgb="FF555555"/>
        <rFont val="Arial"/>
        <family val="2"/>
      </rPr>
      <t>Occupational health services</t>
    </r>
  </si>
  <si>
    <t>The functions of occupational health services that contribute to the identification and elimination of hazards and minimization of risks are carried out in order to prevent the occurrence of injury or illness or damage to quality of life and emotional health. These functions are performed through programs that identify environmental, organizational, and individual risk factors for injury or illness where risk control measures are also implemented to limit exposure to these risk factors. Employees and dependents have an emotional self-assessment tool, access to psychological support and health promotion services, and online psychotherapy. Coordinated actions aimed at preventing work disability and promoting the health of people with permanent disabilities and/or chronic diseases include education, encouraging healthy habits and preventing illness through early detection, treatment, rehabilitation and support in the work environment.
The Ergonomics and Occupational Hygiene professionals who make up the Health teams are responsible for identifying health risks in work environments and managing risks by prioritizing and updating risk scenarios. In order to control these scenarios, they work with see and act solutions and, together with the leadership of the area. identify control solutions that aim to eliminate critical risk scenarios from the environment.</t>
  </si>
  <si>
    <t>The functions of occupational health services that contribute to the identification and elimination of hazards and minimization of risks are carried out in order to prevent the occurrence of injury or illness or damage to quality of life and emotional health. These functions are performed through programs that identify environmental, organizational, and individual risk factors for injury or illness where risk control measures are also implemented to limit exposure to these risk factors. Employees and dependents have an emotional self-assessment tool, access to psychological support and health promotion services, and online psychotherapy. Coordinated actions aimed at preventing work disability and promoting the health of people with permanent disabilities and/or chronic diseases include education actions, encouraging healthy habits and preventing illness through early detection, treatment, rehabilitation and support in the work environment .
The Ergonomics and Occupational Hygiene professionals who make up the Health teams are responsible for identifying health risks in work environments and managing risks by prioritizing and updating risk scenarios. In order to control these scenarios, they work with see and act solutions and, together with the leadership of the area. identify control solutions that aim to eliminate critical risk scenarios from the environment.
All interventions aim to promote risk management measures associated with exposure to individual and collective risk factors for which we have health surveillance in place. Physicians, when evaluating each employee individually, can identify health effects not related to the mapped occupational risks and request investigation of the cause, providing feedback to occupational risk management. The multidisciplinary team supports actions focused on prevention, promotion, education and psychosocial support that increase effectiveness in reducing the loss of work capacity, increasing well-being, emotional health and productivity. The implemented predictive tool has the character of discovering behavioral patterns and risk factors, and may even anticipate them, being an important driver of greater probability of disabilities. Once these probabilities are followed, the performance of the multidisciplinary team becomes even more assertive.
  The management of data, indicators and results has been expanded and improved with the aid of software and advanced statistical tools to direct actions and prioritize more assertive strategies for the health of employees. Additionally, we are expanding and consolidating the multidisciplinary and multiprofessional approach with the active involvement of employees, leaders and HR teams in the search for collective solutions, in the work environment and in case management.</t>
  </si>
  <si>
    <t>Vale has expanded and improved the management of data, indicators and results with the aid of software and advanced statistical tools to direct actions and prioritize more assertive strategies for health services to VALE employees. We are expanding and consolidating the multidisciplinary and multiprofessional approach with the active involvement of employees, leaders and HR teams in the search for collective solutions, in the work environment and in the handling of individual cases.
We act in the identification and prioritization of risks and health problems through the integrated analysis of legal requirements, strategic guidelines and risk profile related to the health of employees and the general population. Considering the identified and prioritized scenarios and risks, as well as the other health management processes, strategic guidelines are established, defining the triggers that will guide the preparation of health promotion plans and programs.
All interventions aim to promote measures to manage risks associated with exposure to individual and collective risk factors for which we have health surveillance in place.
Vale does not have a high incidence of occupational diseases due to the effectiveness of its programs for promoting health and preventing occupational diseases, which consist of monitoring and controlling the levels of risk agents in the work environment, resulting in satisfactory working conditions. The management and monitoring of exposure to biological and ergonomic risks, among others, and the controls of periodic health examinations based on risk management measures have contributed to the low rate of occupational diseases.</t>
  </si>
  <si>
    <t xml:space="preserve">Vale has expanded and improved the management of data, indicators and results with the help of advanced software and statistical tools to direct actions and prioritize more assertive strategies for health services to VALE employees, with multidisciplinary operations.
We work in the identification and prioritization of health risks and injuries through the integrated analysis of legal requirements, strategic drivers and risk profile related to the health of employees and the general population. Considering the scenarios and risks identified and prioritized, as well as the other health management processes, the strategic drivers for health promotion programs are established. 
All actions aim to promote measures to manage risks associated with exposure, individual and collective risk factors for which we have health surveillance in place. 
The management and monitoring of exposure to biological, ergonomic, and other hazards, as well as the control of periodic health examinations based on risk management measures, has contributed to the low rate of occupational diseases. Vale does not have a high incidence of occupational diseases due to the effectiveness of its health promotion and occupational disease prevention programs and their monitoring, resulting in satisfactory working conditions. </t>
  </si>
  <si>
    <t>GRI 403-4 (2018)</t>
  </si>
  <si>
    <r>
      <rPr>
        <b/>
        <sz val="10"/>
        <color rgb="FF555555"/>
        <rFont val="Arial"/>
        <family val="2"/>
      </rPr>
      <t>Description:</t>
    </r>
    <r>
      <rPr>
        <sz val="10"/>
        <color rgb="FF555555"/>
        <rFont val="Arial"/>
        <family val="2"/>
      </rPr>
      <t xml:space="preserve"> Worker participation, consultation and communication on occupational health and safety</t>
    </r>
  </si>
  <si>
    <t>Vale's employees and third parties are consulted during the development, implementation and evaluation of the occupational health and safety management system. Currently, there is the SESMT (Specialized Service in Safety Engineering and Occupational Medicine) and CIPAs (Internal Accident Prevention Commission) in each of the locations where Vale is present, and in addition there are fatality prevention committees, RACs (Critical Activities Requirements) and risks. Monthly meetings of the Internal Commission for the Prevention of Occupational Accidents are held, where Vale employees and representatives of outsourced companies participate in discussions, receive information about accidents, risks in the work environment, prevention actions and have the opportunity to report unsafe conditions, liable to causing accidents in operations. CIPA members prepare an annual work plan that includes, among other actions, inspections in the areas and preparation of campaigns. Relevant information on health and safety at work is made available through communication channels for all employees and third parties, via the "Vale Informar" email or our intranet. In addition, some information is made available in the FMDS, visual management boards, health and safety bulletins. Formal local health and safety committees have their own charter and report to the corporate fatality prevention committee.</t>
  </si>
  <si>
    <t>Workers are involved in different processes related to the health and safety system, Vale employees and third parties are consulted during the development, implementation and evaluation of the health and safety at work management system. In each location where Vale is present, SESMT and local CIPAs are set up, in addition to fatality, RAC and risk prevention committees. Formal local health and safety committees have their own charter and report to the corporate fatality prevention committee.
Information on health and safety is available on the FMDS (meetings held in the areas to present and discuss problems and follow up on results), visual management charts, the "Vale Informar" e-mail, intranet and bulletins.</t>
  </si>
  <si>
    <t>All Vale workers are represented, in one way or another, by Vale's Health and Safety system. Employees are involved in different processes linked to the health and safety system, Vale employees and third parties are consulted during the development, implementation and evaluation of the health and safety at work management system. In each location where Vale is present, there are SESMT (Specialized Service in Safety Engineering and Occupational Medicine) and local CIPAs (Internal Accident Prevention Commission), fatality prevention committees, RACs (Critical Activities Requirements) and risks, in addition to involvement with health and safety committees, worker participation takes place through training, programs and health and safety campaigns, periodic consultations and audits/inspections, in some locations employees can report unsafe conditions via IRIS and participate in the DSSMA on a daily basis. Workers are encouraged to bring up problems experienced in their daily lives and discuss them with leadership. At that moment, the leader learns about the points and controls that are not working and generates corrective actions, feeding back the VPS (Vale Production System).
Information on health and safety is available on the FMDS (meetings held in the areas to present and discuss problems and follow up on results), visual management charts, the "Vale Informar" e-mail, intranet and bulletins. These forums take place at different intervals, ranging from weekly meetings (FMDS) to monthly meetings (Performance Meetings).</t>
  </si>
  <si>
    <t>All Vale workers are represented, in one way or another, by Vale's Health and Safety system.
Employees are involved in different processes linked to the health and safety system. Vale employees and third parties are consulted during the development, implementation and evaluation of the health and safety at work management system. In each location where Vale is present, there are SESMT (Specialized Service in Safety Engineering and Occupational Medicine) and local CIPAs (Internal Accident Prevention Commission), fatality prevention committees, RACs (Critical Activities Requirements) and risks, in addition to involvement with health and safety committees. 
Worker participation takes place through training, programs and health and safety campaigns, periodic consultations and audits/inspections, in some locations employees can report unsafe conditions via IRIS and participate in the DSSMA on a daily basis. Workers are encouraged to bring up problems experienced in their daily lives and discuss them with leadership, exercising the key behavior of Open and Transparent Dialogue in the periodic meetings of routine management.  At that moment, the leader learns about the points and controls that are not working and generates corrective actions, feeding back the VPS (Vale Production System).
Information on health and safety is available on the FMDS (meetings held in the areas to present and discuss problems and follow up on results), visual management charts, the "Vale Informar" e-mail, intranet and bulletins. These forums take place at different intervals, ranging from weekly meetings (FMDS) to monthly meetings (Performance Meetings).</t>
  </si>
  <si>
    <r>
      <rPr>
        <b/>
        <sz val="9"/>
        <color rgb="FF555555"/>
        <rFont val="Arial"/>
        <family val="2"/>
      </rPr>
      <t>Note:</t>
    </r>
    <r>
      <rPr>
        <sz val="9"/>
        <color rgb="FF555555"/>
        <rFont val="Arial"/>
        <family val="2"/>
      </rPr>
      <t xml:space="preserve"> As of 2020, Vale is following the GRI 403 Occupational Health and Safety (2018) standard.</t>
    </r>
  </si>
  <si>
    <t>GRI 403-5 (2018)</t>
  </si>
  <si>
    <r>
      <rPr>
        <b/>
        <sz val="10"/>
        <color rgb="FF555555"/>
        <rFont val="Arial"/>
        <family val="2"/>
      </rPr>
      <t>Description:</t>
    </r>
    <r>
      <rPr>
        <sz val="10"/>
        <color rgb="FF555555"/>
        <rFont val="Arial"/>
        <family val="2"/>
      </rPr>
      <t xml:space="preserve"> Worker training on occupational health and safety</t>
    </r>
  </si>
  <si>
    <t>There are several training courses offered both for Health and Safety professionals, as well as for task performers and their respective leaders. All training is managed by the Vale Education System - VES, which includes training on emergency response, risk identification and management and their respective mitigation controls. We have an obligation to train employees in Regulatory Standards, from the employee's entry into the company to the execution of their activities, as well as employees exposed to Critical activities and HSE operational procedures.</t>
  </si>
  <si>
    <t>There are several training courses offered both for Health and Safety professionals, as well as for task performers and their respective leaders. All training is managed by the Vale Education System - VES, which includes training on emergency response, risk identification and management and their respective mitigation controls. There are procedures (PGS 000791 - Guidelines for Competence, Training and Awareness) that guide on the need to identify training according to activities performed, which should result in the preparation of training and qualification matrices. The training follows some minimum criteria that aim to observe the adequacy of the training to the public involved and the scope of the operation, in accordance with corporate guidelines. There are basic training courses that are mandatory for the entire company, such as: introduction to the VPS, codes of ethics and conduct. From there, a training track is developed for the employee, according to their function.</t>
  </si>
  <si>
    <t>There are several training courses offered both for Health and Safety professionals, as well as for task performers and their respective leaders. All training is managed by the Vale Education System - VES, which includes training on emergency response, risk identification and management and their respective mitigation controls. There are procedures (PGS 000791 - Guidelines for Competence, Training and Awareness) that guide on the need to identify training according to activities performed, which should result in the preparation of training and qualification matrices. The Integrated Technical Training Model (MICT) was created to also assist in mapping and implementing training to ensure improvement in the performance of our employees in their functions. The training follows some minimum criteria that aim to observe the adequacy of the training to the public involved and the scope of the operation, in accordance with corporate guidelines. There are basic training courses that are mandatory for the entire company, such as: introduction to the VPS, codes of ethics and conduct. From there, a training track is developed for the employee, according to their function.</t>
  </si>
  <si>
    <t>There are several training and qualifications offered both for Health and Safety professionals and for those performing the tasks and their respective leaders. All training is managed by the Vale Education System - VES, which includes training on emergency response, risk identification and management and their respective mitigation controls. There are procedures (PGS 000791 - Guidelines for Competence, Training and Awareness) that guide on the need to identify training according to activities performed, which should result in the elaboration of training and qualification matrices. The Integrated Technical Training Model (MICT) was created to also assist in the mapping and implementation of training to ensure improvement in the performance of our employees in their functions. The training complies with some minimum criteria that aim to observe the adequacy of the training to the public involved and the scope of the operation, according to corporate guidelines. There are basic onboarding skills that are mandatory for the entire company, such as: introduction to VPS, codes of ethics and conduct, combating harassment. From there, a training path is developed for the employee, according to their function. Some examples of safety training: Elaboration of task Risk Analysis; Insurance Work Permit; Training for the execution of critical activities (RACs).</t>
  </si>
  <si>
    <r>
      <rPr>
        <b/>
        <sz val="10"/>
        <color rgb="FF555555"/>
        <rFont val="Arial"/>
        <family val="2"/>
      </rPr>
      <t>Note:</t>
    </r>
    <r>
      <rPr>
        <sz val="10"/>
        <color rgb="FF555555"/>
        <rFont val="Arial"/>
        <family val="2"/>
      </rPr>
      <t xml:space="preserve"> As of 2020, Vale is following the GRI 403 Occupational Health and Safety (2018) standard.</t>
    </r>
  </si>
  <si>
    <t>GRI 403-6 (2018)</t>
  </si>
  <si>
    <r>
      <rPr>
        <b/>
        <sz val="10"/>
        <color rgb="FF555555"/>
        <rFont val="Arial"/>
        <family val="2"/>
      </rPr>
      <t>Description:</t>
    </r>
    <r>
      <rPr>
        <sz val="10"/>
        <color rgb="FF555555"/>
        <rFont val="Arial"/>
        <family val="2"/>
      </rPr>
      <t xml:space="preserve"> Promotion of worker health</t>
    </r>
  </si>
  <si>
    <t>In Brazil, all company employees and their legal dependents have access to medical and health services not related to work through the PASA self-managed health plan. In other countries where we operate, health plans are offered through outsourcing.
The promotion of workers' health also occurs through health promotion programs, where both employers and third parties are eligible to participate. Throughout 2020, we carried out campaigns to promote health, such as flu vaccinations, an employee assistance program, a program for monitoring pregnant women, raising awareness about men's and women's health, a healthy lifestyle and emotional health. The campaigns were carried out both remotely, for those employees who are working from home, and in person, respecting all preventive measures against COVID-19. In response to the COVID-19 pandemic, Vale mobilized its health workforce for coordinated risk mitigation actions across all its operations globally. Such actions include continuous and intensive education for disease prevention, as well as tools for rapid detection and isolation of cases and contact tracing in operations. Through PASA, a specialized health team has offered support to employees and their dependents in Brazil to facilitate clinical screening and diagnostic investigation. Employees and dependents have an emotional self-assessment tool for self-knowledge and early screening, access to psychological and psychosocial support 24/7 and online psychotherapy.</t>
  </si>
  <si>
    <t>In Brazil, all company employees and their legal dependents have access to medical and health services not related to work through the PASA self-managed health plan. In other countries where we operate, health plans are offered through outsourcing.
Throughout 2021, we carried out campaigns to promote health, such as flu vaccinations, an employee assistance program, a program to monitor pregnant women, awareness of men's and women's health, a healthy lifestyle and emotional health.
We also launched VP-GO, a global program to promote healthy habits, which had over 18,000 people enrolled in all locations where the company has offices and/or operations. All participants who requested received the “MaxBuzz” at home free of charge, a smartwatch that monitored physical activity and sleep. The main event, Destination GO, was a nine-week fitness challenge. Participants competed with co-workers to see who took the most steps while virtually walking around the world.
Before starting the challenge, each participant was asked to respond to the Health Check survey, which assessed seven aspects of well-being, from mental health to nutrition. After that, the participants received a personalized report with recommendations for actions to promote well-being to be carried out. Any physical activity such as walking, running, swimming, dancing were converted into steps through a physical activity monitor. Over four months, employees also had the opportunity to choose other challenges, such as Covid-19 prevention, healthy eating, emotional health, among others. The purpose of VP GO was to involve employees in a journey of learning and commitment to their well-being. Globally, a total of 4,269,751,953 steps were taken and a total of 2,134,876 miles were covered.
In response to the COVID-19 pandemic, Vale mobilized its health workforce for coordinated risk mitigation actions across all its operations globally. Such actions include continuous and intensive education for disease prevention, as well as tools for rapid detection and isolation of cases and contact tracing in operations. Through PASA, a specialized health team has offered support to employees and their dependents in Brazil to facilitate clinical screening and diagnostic investigation. Employees and dependents have an emotional self-assessment tool for self-knowledge and early screening, access to psychological and psychosocial support 24/7 and online psychotherapy.</t>
  </si>
  <si>
    <t>In Brazil, all company employees and their legal dependents have access to medical and health services not related to work through the self-managed health plan AMS PASA. In other countries where we operate, health plans are offered through outsourcing.
In Brazil, most of the services offered by the company are provided through PASA in Vitória, São Luis and Itabira. We also have hospitals in Carajás and Sorowako, Indonesia. Vale also has a Cassi health plan reciprocity partnership for employees who work in the remote model and who do not reside in the large poles where the PASA clinics are located.
Medical and health services not related to work are not offered by Vale to non-employees, but they are eligible to participate in collective health promotion campaigns and SIPATs.
Throughout 2022, we carried out campaigns to promote health, such as flu vaccinations, an employee assistance program, a program to monitor pregnant women, awareness of men's and women's health, a healthy lifestyle and emotional health.
In response to the COVID-19 pandemic, Vale mobilized its health workforce for coordinated risk mitigation actions across all its operations globally. Such actions included continuous and intensive education for disease prevention, as well as tools for rapid detection and isolation of cases, as well as contact tracing in operations. A daily reporting process for employees (checklist) was implemented, in which their health status was reported on a daily basis. If the answers were positive to the symptoms of covid-19, as a protocol, the employee was not allowed to work in person and the local health team started monitoring the employee until he was released for work activities. We also rely on the work of PASA by providing a specialized health team to support employees and their dependents in Brazil to facilitate clinical screening and diagnostic investigation for necessary cases. As for mental health, employees and dependents have an emotional self-assessment tool for self-knowledge and early screening. If the screening detects the need for evaluation by a health professional, the service is offered to the employee or dependent who may or may not accept it. They also have 24/7 psychological and psychosocial support and online psychotherapy. We offer the traveler's health service for health guidance to employees who will be traveling internationally for work. Health promotion campaigns were carried out both remotely, for those employees who are at home office, and in person, respecting all preventive measures against COVID-19 (during the pandemic), and the health care services have telemedicine and telepsychology assistance via the AMS/PASA health plan.</t>
  </si>
  <si>
    <t xml:space="preserve">In Brazil, all employees and their legal dependents have access to non-work-related medical and health services through the AMS PASA self-managed health plan. In the other countries where we operate, health plans are offered through external contracting.  
In Brazil, most of the services offered by the company are provided through PASA in Vitória, São Luis and Itabira.We also have hospitals in Carajás and Sorowako, Indonesia. Vale also has the reciprocity partnership of the Cassi health plan for employees who work in the remote model and who do not live in the large centers where the PASA clinics are located, in addition to the accredited network in the national territory where Vale operates.
Non-work-related medical and health services are not offered by Vale to employees who are not its own employees, but they are eligible to participate in collective health promotion campaigns and SIPATs. 
Throughout 2022, we carried out health promotion campaigns such as flu vaccination, employee assistance program, pregnancy monitoring program, awareness of men's and women's health, healthy lifestyle, and emotional health. </t>
  </si>
  <si>
    <t>GRI 403-7 (2018)</t>
  </si>
  <si>
    <r>
      <rPr>
        <b/>
        <sz val="10"/>
        <color rgb="FF555555"/>
        <rFont val="Arial"/>
        <family val="2"/>
      </rPr>
      <t xml:space="preserve">Description: </t>
    </r>
    <r>
      <rPr>
        <sz val="10"/>
        <color rgb="FF555555"/>
        <rFont val="Arial"/>
        <family val="2"/>
      </rPr>
      <t>Prevention and mitigation of occupational health and safety impacts directly linked by business relationships</t>
    </r>
  </si>
  <si>
    <t>Workplace Risk Prevention Programs and Occupational Health Medical Control Programs are in place in operations through which we manage risks, monitor work environments and biological monitoring, that is, the effects of exposure to agents on people, prevention training and functional capacity assessments. We use personal protective equipment intensively when other measures of a collective nature are not yet applicable, actions to replace materials and chemicals with safer ones.
The purpose of the measures mentioned above is to identify possible risks to workers' health at an early stage in order to minimize or eliminate them, when possible.
We have global guidelines for managing health risks involving Occupational Hygiene and Ergonomics, which aim to establish minimum requirements for managing these risks and a global corporate guideline that aims to establish guidelines for the management and development of programs to monitor health occupational health of employees as well as influencing the health management of controlled companies. In addition, we have established quantitative targets for reducing scenarios of exposure to agents that are harmful to health in the medium term, with the aim of making our work environments safer and healthier for all our workers.</t>
  </si>
  <si>
    <t>Workplace Risk Prevention Programs and Occupational Health Medical Control Programs are in place in operations, through which we manage risks, monitor work environments and biological monitoring, that is, the effects of exposure to agents on people, training for prevention and assessments of functional capacity. We work focused on eliminating risks, through actions to replace materials and chemicals with safer ones, in addition to defining and implementing collective measures to minimize them, however, when these measures are not possible, our employees and contractors use Personal Protective Equipment (PPE) intensively.
We have global guidelines for the management of health risks involving the themes of Occupational Hygiene and Ergonomics, which aims to establish minimum requirements for the management of these risks, guidelines for the management and development of programs to monitor the occupational health of employees, as well as to influence the health management of the controlled companies. 
In addition, we have set quantitative targets for reducing scenarios of exposure to agents harmful to health in the medium term with the aim of making our work environments safer and healthier for all our workers.</t>
  </si>
  <si>
    <t>GRI 403-8 (2018)</t>
  </si>
  <si>
    <r>
      <rPr>
        <b/>
        <sz val="10"/>
        <color rgb="FF555555"/>
        <rFont val="Arial"/>
        <family val="2"/>
      </rPr>
      <t xml:space="preserve">Description: </t>
    </r>
    <r>
      <rPr>
        <sz val="10"/>
        <color rgb="FF555555"/>
        <rFont val="Arial"/>
        <family val="2"/>
      </rPr>
      <t>Workers covered by an occupational health and safety management system</t>
    </r>
  </si>
  <si>
    <t>The Vale Management Model, known as VPS (Vale Production System), is Vale's current health and safety management system. The VPS is focused on results and provides for the deep and comprehensive implementation of policies and practices to enable safe and environmentally responsible operations and ensure the integrity of our assets. The VPS is composed of 3 dimensions: Leadership, Technical and Management, which have 17 elements.
100% of Vale's employees and third parties are covered by the VPS.</t>
  </si>
  <si>
    <t>The Vale Management Model, known as VPS (Vale Production System), is Vale's current health and safety management system. The VPS is focused on results and provides for the deep and comprehensive implementation of policies and practices to enable safe and environmentally responsible operations and ensure the integrity of our assets. The VPS is composed of 3 dimensions: Leadership, Technical and Management, which have 17 elements.
213,413 (100%) of Vale's employees and third parties are covered by the VPS, and 77,424 (36%) are covered by the system that has been internally audited, and 33,654 (14%) are covered by the externally audited system.</t>
  </si>
  <si>
    <t>The Vale Management Model, known as VPS (Vale Production System), is Vale's current health and safety management system. The VPS is focused on results and provides for the deep and comprehensive implementation of policies and practices to enable safe and environmentally responsible operations and ensure the integrity of our assets. The VPS is composed of 3 dimensions: Leadership, Technical and Management, which have 17 elements.
100% of Vale's employees and third parties are covered by the VPS and internal audits are carried out annually, with the objective of guaranteeing the implementation of the elements and requirements that compose them.</t>
  </si>
  <si>
    <r>
      <rPr>
        <b/>
        <sz val="9"/>
        <color rgb="FF555555"/>
        <rFont val="Arial"/>
        <family val="2"/>
      </rPr>
      <t xml:space="preserve">Note: </t>
    </r>
    <r>
      <rPr>
        <sz val="9"/>
        <color rgb="FF555555"/>
        <rFont val="Arial"/>
        <family val="2"/>
      </rPr>
      <t>From 2020 on, Vale is following the GRI 403 Occupational Health and Safety (2018) standard.</t>
    </r>
  </si>
  <si>
    <t>GRI 403-9 (2018)</t>
  </si>
  <si>
    <r>
      <rPr>
        <b/>
        <sz val="10"/>
        <color rgb="FF555555"/>
        <rFont val="Arial"/>
        <family val="2"/>
      </rPr>
      <t>Description:</t>
    </r>
    <r>
      <rPr>
        <sz val="10"/>
        <color rgb="FF555555"/>
        <rFont val="Arial"/>
        <family val="2"/>
      </rPr>
      <t xml:space="preserve"> Work-related injuries</t>
    </r>
  </si>
  <si>
    <t>Some of the dangers that caused or contributed to the occurrence of accidents at work were: mobile equipment operations, blocking, identification and zero energy, work at heights, protection of machines, lifting loads, light motor vehicles, electrical work, stability of soil. The procedures for the requirements of critical activities are being reviewed and several actions are being taken, such as the implementation of motion sensors in mobile equipment, drowsiness detection system, etc.
Several procedures are being written and revised, together with the operational areas, in order to minimize the risk of accidents happening. There is also the implementation of the Safe Work Permit that helps to minimize these risks.</t>
  </si>
  <si>
    <t>In 2021, there were two cases of fatality at Vale, an employee and a third party.
Some of the dangers that caused or contributed to the occurrence of accidents at work were: mobile equipment operations, blocking, identification and zero energy, work at heights, protection of machines, lifting loads, light motor vehicles, electrical work, stability of soil. Occupational hazards were identified using Vale's Preliminary Risk Assessment (APR) methodology and Task Risk Assessment (ART) methodology. Process hazards were identified from HIRA assessments.
Process Safety management at Vale is undergoing restructuring, where process risks are identified using a robust methodology, the HIRA. Next, Vale adopts the Critical Control Verification methodology, which takes into account the identification, implementation and monitoring of critical controls that prevent the materialization of risks, based on asset management. The elimination of sources of danger are prioritized whenever possible. And when such elimination is not possible or immediate, engineering controls are implemented.
Health and Safety management at Vale is aligned with the principles of the VPS - Vale Management System, which takes into account the identification, implementation and monitoring of controls (barriers) that prevent the materialization of risks. Elimination of sources of danger are prioritized whenever possible. And when such elimination is not possible or immediate, engineering controls are implemented. Vale has been working on a cultural transformation aimed at safety and risk management, and the Safety Transformation project is one of the levers that introduce the use of cutting-edge technology to eliminate or reduce risks in the work environment. Some examples are: the implementation of motion sensors in mobile equipment, drowsiness detection system, zero energy in electrical substations, etc.
◦ Rate of deaths resulting from accidents at work
      Own employees: 0.0064 (1 fatality)
      Third parties: 0.004 (1 fatality)
◦ Rate of accidents at work with serious consequences (except deaths)
      Own employees: 0.35 (54 occurrences)
      Third parties: 0.412 (114 occurrences)
◦Mandatory communication accident rate
      Own employees: 4.08 (637 occurrences)
      Third parties: 4.52 (1,243 occurrences)
◦Number of hours worked
      Own employees: 156,209,220
      Third parties: 276,502,361</t>
  </si>
  <si>
    <t>In 2022, there were five fatalities at Vale, in addition to 13 injuries with a high potential for fatality.
Some of the activities that were being carried out at the time of these accidents at work were: operations of mobile equipment, blocking, identification and zero energy, work at heights, protection of machines, lifting loads, light motor vehicles and electrical work. The main types of accidents at work were, both for own employees and third parties: wrist and hand injuries, insect bites and stings, head injuries, superficial injuries to the wrist and joint dislocation, sprains and strains.
In addition to using the Preliminary Risk Assessment (APR) and Task Risk Assessment (ART) methodologies, used to identify occupational hazards associated with the activities to be carried out, Vale, in line with the principles of its Management System (VPS) , takes into account the identification, implementation and monitoring of controls that prevent the materialization of risks, with the objective of guaranteeing the functioning of such controls. The elimination of hazardous sources is prioritized and when this elimination is not possible or immediate, engineering controls are implemented. Vale has been working on a cultural transformation aimed at safety and risk management, and the Safety Transformation Program is one of the levers that introduce the use of cutting-edge technology to eliminate or reduce risks in the work environment with initiatives such as: the implementation of motion sensors in mobile equipment, drowsiness detection system, zero energy in electrical substations, etc.
◦ Rate of deaths resulting from accidents at work
      Own employees: 0.021 (3 fatalities)
      Third parties: 0.0067 (2 fatalities)
◦ Rate of accidents at work with serious consequences (except deaths)
      Own employees: 0.3015 (43 occurrences)
      Third parties: 0.253 (75 occurrences)
◦Mandatory communication accident rate
      Own employees: 5.44 (776 occurrences)
      Third parties: 3.48 (1,030 occurrences)
◦Number of hours worked
      Own employees: 142,636,980
      Third parties: 296,363,078</t>
  </si>
  <si>
    <t>In 2023, there were one fatality at Vale.
In addition to using the Preliminary Risk Assessment (PRA) and Task Risk Assessment (TRA) methodologies, used to identify occupational hazards associated with the activities to be carried out, Vale, in line with the principles of its Management System (VPS) , takes into account the identification, implementation and monitoring of controls that prevent the materialization of risks, with the objective of guaranteeing the functioning of such controls. The elimination of hazardous sources is prioritized and when this elimination is not possible or immediate, engineering controls are implemented. Vale has been working on a cultural transformation aimed at safety and risk management, and the Safety Transformation Program is one of the levers that introduce the use of cutting-edge technology to eliminate or reduce risks in the work environment with initiatives such as: the implementation of motion sensors in mobile equipment, drowsiness detection system, zero energy in electrical substations, etc.
◦ Rate of deaths resulting from accidents at work
      Own employees: 0.0068 (1 fatality)
      Third parties: 0
◦ Rate of accidents at work with serious consequences (except deaths)
      Own employees: 0.251 (37 occurrences)
      Third parties: 0.1896 (62 occurrences)
◦Mandatory communication accident rate
      Own employees: 5.92 (876 occurrences)
      Third parties: 3.508 (1,147 occurrences)
◦Number of hours worked
      Own employees: 147,394,080
      Third parties: 326,936,368</t>
  </si>
  <si>
    <r>
      <rPr>
        <b/>
        <sz val="9"/>
        <color rgb="FF555555"/>
        <rFont val="Arial"/>
        <family val="2"/>
      </rPr>
      <t>Note:</t>
    </r>
    <r>
      <rPr>
        <sz val="9"/>
        <color rgb="FF555555"/>
        <rFont val="Arial"/>
        <family val="2"/>
      </rPr>
      <t xml:space="preserve"> From 2020 on, Vale is following the GRI 403 Occupational Health and Safety (2018) standard.
The indices were calculated based on 1,000,000 hours worked and no employee or third party was excluded from reporting this indicator.</t>
    </r>
  </si>
  <si>
    <t>Occupational Injury Frequency Rate with Leave - LTIFR</t>
  </si>
  <si>
    <t>Vale</t>
  </si>
  <si>
    <t>0.8</t>
  </si>
  <si>
    <t>0.7</t>
  </si>
  <si>
    <t>0.4</t>
  </si>
  <si>
    <t>0.2</t>
  </si>
  <si>
    <t>0.6</t>
  </si>
  <si>
    <t>2.3</t>
  </si>
  <si>
    <t>0.5</t>
  </si>
  <si>
    <t>1.5</t>
  </si>
  <si>
    <t>0.1</t>
  </si>
  <si>
    <t>1.7</t>
  </si>
  <si>
    <t>−</t>
  </si>
  <si>
    <t>2.4</t>
  </si>
  <si>
    <r>
      <rPr>
        <b/>
        <sz val="10"/>
        <color rgb="FF555555"/>
        <rFont val="Arial"/>
        <family val="2"/>
      </rPr>
      <t xml:space="preserve">Nota: </t>
    </r>
    <r>
      <rPr>
        <sz val="10"/>
        <color rgb="FF555555"/>
        <rFont val="Arial"/>
        <family val="2"/>
      </rPr>
      <t>LTIFR = (Occupational Injuries with Leave / Man Hours Worked) * 1,000,000</t>
    </r>
  </si>
  <si>
    <t>Recordable Occupational Injury Frequency Rate - TRIFR</t>
  </si>
  <si>
    <t>1.4</t>
  </si>
  <si>
    <t>2.7</t>
  </si>
  <si>
    <t>1.2</t>
  </si>
  <si>
    <t>0.9</t>
  </si>
  <si>
    <t>3.2</t>
  </si>
  <si>
    <t>11.6</t>
  </si>
  <si>
    <t>7.5</t>
  </si>
  <si>
    <t>6.6</t>
  </si>
  <si>
    <t>4.2</t>
  </si>
  <si>
    <t>0.7 </t>
  </si>
  <si>
    <t>3.4</t>
  </si>
  <si>
    <t>1.22</t>
  </si>
  <si>
    <t>4.8</t>
  </si>
  <si>
    <r>
      <rPr>
        <b/>
        <sz val="10"/>
        <color rgb="FF555555"/>
        <rFont val="Arial"/>
        <family val="2"/>
      </rPr>
      <t xml:space="preserve">Nota: </t>
    </r>
    <r>
      <rPr>
        <sz val="10"/>
        <color rgb="FF555555"/>
        <rFont val="Arial"/>
        <family val="2"/>
      </rPr>
      <t>TRIFR = (Occupational Injuries / Man Hours Worked) * 1,000,000</t>
    </r>
  </si>
  <si>
    <t>GRI 403-10 (2018)</t>
  </si>
  <si>
    <r>
      <rPr>
        <b/>
        <sz val="10"/>
        <color rgb="FF555555"/>
        <rFont val="Arial"/>
        <family val="2"/>
      </rPr>
      <t>Description:</t>
    </r>
    <r>
      <rPr>
        <sz val="10"/>
        <color rgb="FF555555"/>
        <rFont val="Arial"/>
        <family val="2"/>
      </rPr>
      <t xml:space="preserve"> Work-related ill health</t>
    </r>
  </si>
  <si>
    <t>There were no deaths resulting from occupational diseases, but 409 occupational diseases of mandatory reporting were registered and the main diseases were: musculoskeletal diseases, traumas, injuries and intoxications. These numbers refer to Vale's own employees, health statistics on third-party employees are not managed by Vale, but by the contracted company.
Hazards that present a risk of occupational diseases are identified through discussion with the technical teams in the operational areas, with identification of the most severe risks and with the highest number of exposed employees. All hazards whose measurement is above the NA (action level) are subject to contribution. Depending on the Operation's PPRA mapping.</t>
  </si>
  <si>
    <t>There were no deaths resulting from occupational diseases, but 259 occupational diseases of mandatory reporting were registered and the main diseases were: musculoskeletal diseases, traumas, injuries and intoxications. These numbers refer to Vale's own employees, health statistics on third-party employees are not managed by Vale, but by the contracted company.
Hazards that present a risk of occupational diseases are identified through discussion with the technical teams in the operational areas, with identification of the most severe risks and with the highest number of exposed employees. All hazards whose measurement is above the NA (action level) are subject to contribution. Depending on the Operation's PPRA mapping.</t>
  </si>
  <si>
    <t>In the last year, there were no deaths resulting from occupational diseases, but a total of 248 occupational diseases of mandatory reporting were registered. The main groups of diseases reported were: musculoskeletal, neurological and mental and behavioral disorders. Hazards that present a risk of occupational diseases are identified through discussion with the technical teams of the operational health areas, aiming to identify the most severe risks and with the highest number of exposed employees. All hazards measured above the NA (action level) require action to minimize risks to the collective health of employees.
Vale has been working on several initiatives in the Health area in order to reduce the number of people on leave due to occupational illnesses, such as: Minas por Mentes – focus on emotional health –, Ergo Office – focus on adapting the work environment at home, Prevention of disability – focus on acting preventively in the management of employees' health on an individual basis, etc.</t>
  </si>
  <si>
    <t>In the last year, there were no deaths resulting from occupational diseases, but a total of 204 occupational diseases of mandatory reporting were registered. The main groups of diseases reported were: musculoskeletal, neurological and mental and behavioral disorders. Hazards that present a risk of occupational diseases are identified through discussion with the technical teams of the operational health areas, aiming to identify the most severe risks and with the highest number of exposed employees. All hazards measured above the AL (action level) require action to minimize risks to the collective health of employees.
Vale has been working on several initiatives in the Health area in order to reduce the number of people on leave due to occupational illnesses, such as: Minas por Mentes – focus on emotional health –, Ergo Office – focus on adapting the work environment at home, Prevention of disability – focus on acting preventively in the management of employees' health on an individual basis, etc.</t>
  </si>
  <si>
    <r>
      <rPr>
        <b/>
        <sz val="9"/>
        <color rgb="FF555555"/>
        <rFont val="Arial"/>
        <family val="2"/>
      </rPr>
      <t xml:space="preserve">Note: </t>
    </r>
    <r>
      <rPr>
        <sz val="9"/>
        <color rgb="FF555555"/>
        <rFont val="Arial"/>
        <family val="2"/>
      </rPr>
      <t>As of 2020, Vale is following the GRI 403 Occupational Health and Safety (2018) standard.
The total number of occupational diseases is calculated considering the number of employees on leave due to occupational diseases registered in 2022 and the number of employees who remain on leave in 2022 (number of employees on leave due to occupational diseases registered in previous years, but who remain on leave in 2022).
Occupational diseases arising from accidents at work are also accounted for in the total number of occupational diseases. The data reported here is only about own employees, health statistics about third-party employees are managed by the contracting company.</t>
    </r>
  </si>
  <si>
    <t>GRI 404-1 (2016)</t>
  </si>
  <si>
    <t>Average total training hours</t>
  </si>
  <si>
    <t>50.4</t>
  </si>
  <si>
    <t>50.5</t>
  </si>
  <si>
    <t>63.3</t>
  </si>
  <si>
    <t>75.8</t>
  </si>
  <si>
    <t>78.8</t>
  </si>
  <si>
    <t xml:space="preserve">Training hours per employee (annual average by leadership functional category) </t>
  </si>
  <si>
    <t>Directors</t>
  </si>
  <si>
    <t>General Manager</t>
  </si>
  <si>
    <t>Manager</t>
  </si>
  <si>
    <t xml:space="preserve"> Coordinator</t>
  </si>
  <si>
    <t>Supervisor</t>
  </si>
  <si>
    <t>Technical Specialist</t>
  </si>
  <si>
    <t>9.0</t>
  </si>
  <si>
    <t>12.5</t>
  </si>
  <si>
    <t>23.4</t>
  </si>
  <si>
    <t>48.9</t>
  </si>
  <si>
    <t>67.1</t>
  </si>
  <si>
    <t>13.3</t>
  </si>
  <si>
    <t xml:space="preserve">Hours of training per employee (annual average per staff category) </t>
  </si>
  <si>
    <t>Operational Staff</t>
  </si>
  <si>
    <t>Administrative Staff</t>
  </si>
  <si>
    <t>Professional Technician</t>
  </si>
  <si>
    <t>95.9</t>
  </si>
  <si>
    <t>50.7</t>
  </si>
  <si>
    <t>43.4</t>
  </si>
  <si>
    <t>Director</t>
  </si>
  <si>
    <t>Coordinator</t>
  </si>
  <si>
    <t>Woman</t>
  </si>
  <si>
    <t>Man</t>
  </si>
  <si>
    <t>GRI 404-2 (2016)</t>
  </si>
  <si>
    <r>
      <rPr>
        <b/>
        <sz val="10"/>
        <color rgb="FF555555"/>
        <rFont val="Arial"/>
        <family val="2"/>
      </rPr>
      <t xml:space="preserve">Description: </t>
    </r>
    <r>
      <rPr>
        <sz val="10"/>
        <color rgb="FF555555"/>
        <rFont val="Arial"/>
        <family val="2"/>
      </rPr>
      <t>Programs for upgrading employee skill and transition assistance programs</t>
    </r>
  </si>
  <si>
    <t>Valer - Vale's Corporate University, has the main objective of developing professionals to meet the challenges of the business. Vale's educational model consists of Technical Tracks, Management and Leadership Track, Business Academies, Transversal Skills. With this segmentation, it is possible to reach, in a structured way, the three main audiences: operational technicians, specialist technicians and leaders, keeping the focus on training employees for current or future work processes and functions.
In 2019, a total of approximately 16,000 employees, 22.4% of Vale's global workforce, were evaluated in the performance, career and succession process, including managers, supervisors, coordinators, specialists and staff. The other evaluations were carried out during the year 2020.</t>
  </si>
  <si>
    <t>Through its Corporate University – Valer –, Vale has structured a portfolio of training and development actions for its various audiences, focused on technical, management and leadership skills, as well as transversal skills, related to themes central to the company's strategy. Company, such as security, Vale management model - VPS (Vale Production System), risk management and sustainability.</t>
  </si>
  <si>
    <t>Valer - Vale's Corporate University, has the main objective of developing professionals to meet the challenges of the business. Vale's educational model consists of Technical Trails, Business Academy and Leadership Academy. With this segmentation, it is possible to reach the three main audiences in a structured way: operational technicians, specialist technicians and leaders, keeping the focus on training for processes, work functions and key behaviors</t>
  </si>
  <si>
    <t>Valer - Vale's Corporate University, has the main objective of developing professionals to meet the challenges of the business. Vale's educational model consists of Technical Trails, Business Academy and Leadership Academy. With this segmentation, it is possible to reach the three main audiences in a structured way: operational technicians, specialist technicians and leaders, keeping the focus on training for processes, work functions and key behaviors. In addition to these training actions, development actions are available such as coaching, mentoring, job rotation, among others.</t>
  </si>
  <si>
    <t xml:space="preserve">The Valer Learning Ecosystem is composed of a set of interconnected elements, such as internal and external partners, communities, educational agents and technological platforms that support the development of employees and the generation of shared value with the community. Our learning solutions are designed based on Vale's strategic objectives and the specific needs of each audience, whether technical/functional or behavioral. Valer segments its operations into 5 main audiences: all employees and communities, future employees, operational technicians, specialists and leaders. For each audience, it offers solutions that include not only the traditional training format, but also learning solutions that take place from daily exchanges and practice. The focus is on the transfer of learning to the day-to-day work, so Valer meets not only the demands of development for the present, but also prepares Vale's workforce for the future. </t>
  </si>
  <si>
    <t>GRI 404-3 (2016)</t>
  </si>
  <si>
    <r>
      <rPr>
        <b/>
        <sz val="10"/>
        <color rgb="FF555555"/>
        <rFont val="Arial"/>
        <family val="2"/>
      </rPr>
      <t>Description:</t>
    </r>
    <r>
      <rPr>
        <sz val="10"/>
        <color rgb="FF555555"/>
        <rFont val="Arial"/>
        <family val="2"/>
      </rPr>
      <t xml:space="preserve"> Percentage of employees receiving regular performance and career development reviews</t>
    </r>
  </si>
  <si>
    <t>Percentage of own employees who received performance analysis</t>
  </si>
  <si>
    <t>Total employees percentage</t>
  </si>
  <si>
    <t>22.4%</t>
  </si>
  <si>
    <t>64.9%</t>
  </si>
  <si>
    <t>86.1%</t>
  </si>
  <si>
    <t>82.8%</t>
  </si>
  <si>
    <t>88.9%</t>
  </si>
  <si>
    <t>97.3%</t>
  </si>
  <si>
    <t>97.7%</t>
  </si>
  <si>
    <t>98.0%</t>
  </si>
  <si>
    <t>85.2%</t>
  </si>
  <si>
    <t>78.2%</t>
  </si>
  <si>
    <t>84.5%</t>
  </si>
  <si>
    <t>92.0%</t>
  </si>
  <si>
    <t>Gender</t>
  </si>
  <si>
    <t>GRI 405-1 (2016)</t>
  </si>
  <si>
    <r>
      <rPr>
        <b/>
        <sz val="10"/>
        <color rgb="FF555555"/>
        <rFont val="Arial"/>
        <family val="2"/>
      </rPr>
      <t xml:space="preserve">Description: </t>
    </r>
    <r>
      <rPr>
        <sz val="10"/>
        <color rgb="FF555555"/>
        <rFont val="Arial"/>
        <family val="2"/>
      </rPr>
      <t>Diversity of governance bodies and employees</t>
    </r>
  </si>
  <si>
    <t>Percentage of women by leadership functional category</t>
  </si>
  <si>
    <t>20.5%</t>
  </si>
  <si>
    <t>25.1%</t>
  </si>
  <si>
    <t>31.8%</t>
  </si>
  <si>
    <t>29.5%</t>
  </si>
  <si>
    <t>24.0%</t>
  </si>
  <si>
    <t>24.2%</t>
  </si>
  <si>
    <t>Percentage of women by staff category</t>
  </si>
  <si>
    <t>19.8%</t>
  </si>
  <si>
    <t>54.5%</t>
  </si>
  <si>
    <t>45.0%</t>
  </si>
  <si>
    <t>Employees by Functional Category</t>
  </si>
  <si>
    <t>Leadership</t>
  </si>
  <si>
    <t xml:space="preserve">Managers </t>
  </si>
  <si>
    <t>Supervisors</t>
  </si>
  <si>
    <t>Specialists</t>
  </si>
  <si>
    <t>Operational Technicians</t>
  </si>
  <si>
    <t>Operational Technician</t>
  </si>
  <si>
    <t>Employees by employee category by age group</t>
  </si>
  <si>
    <t>Age group</t>
  </si>
  <si>
    <t>&lt; 30 years</t>
  </si>
  <si>
    <t>30 a 50 years</t>
  </si>
  <si>
    <t>&gt; 50 years</t>
  </si>
  <si>
    <t>Individuals on Governance Bodies 
by gender</t>
  </si>
  <si>
    <t>Individuals on Governance Bodies 
by age group</t>
  </si>
  <si>
    <t>GRI 405-2 (2016)</t>
  </si>
  <si>
    <r>
      <rPr>
        <b/>
        <sz val="10"/>
        <color rgb="FF555555"/>
        <rFont val="Arial"/>
        <family val="2"/>
      </rPr>
      <t>Description:</t>
    </r>
    <r>
      <rPr>
        <sz val="10"/>
        <color rgb="FF555555"/>
        <rFont val="Arial"/>
        <family val="2"/>
      </rPr>
      <t xml:space="preserve"> Ratio of basic salary and remuneration of women to men</t>
    </r>
  </si>
  <si>
    <t>Vale respects the local minimum wage defined by law and there is no difference in base wages between women and men who perform the same functions, as determined by the Human Resources Policy. Any variations result from different levels of seniority and maturity of employees in their functional category.</t>
  </si>
  <si>
    <t>Vale respects the local minimum wage defined by law, and there is no significant difference in base salaries between women and men who perform the same functions, as determined by the Human Resources Policy. Any variations result from different levels of seniority and maturity of employees in their functional category.</t>
  </si>
  <si>
    <t xml:space="preserve">Vale pays no less than the legal minimum wage, and there is no significant* difference in remuneration between men and women in the same roles, as established in our Human Resources Policy. Any differences in compensation relate to employees’ varying seniority levels and maturity in their positions. </t>
  </si>
  <si>
    <r>
      <rPr>
        <b/>
        <sz val="9"/>
        <color rgb="FF555555"/>
        <rFont val="Arial"/>
        <family val="2"/>
      </rPr>
      <t xml:space="preserve">Note: </t>
    </r>
    <r>
      <rPr>
        <sz val="9"/>
        <color rgb="FF555555"/>
        <rFont val="Arial"/>
        <family val="2"/>
      </rPr>
      <t xml:space="preserve">*The current difference is a maximum of 4 percentage points more or less.
The data has no differentiation of important Operational Units, as these are the values referring to local purchases for the entire company. The reporting will be improved for the next cycles. </t>
    </r>
  </si>
  <si>
    <t>GRI 406-1 (2016)</t>
  </si>
  <si>
    <r>
      <rPr>
        <b/>
        <sz val="10"/>
        <color rgb="FF555555"/>
        <rFont val="Arial"/>
        <family val="2"/>
      </rPr>
      <t>Description:</t>
    </r>
    <r>
      <rPr>
        <sz val="10"/>
        <color rgb="FF555555"/>
        <rFont val="Arial"/>
        <family val="2"/>
      </rPr>
      <t xml:space="preserve"> Incidents of discrimination and corrective actions taken</t>
    </r>
  </si>
  <si>
    <t>In 2019, 2 cases of discrimination were registered, both of which were analyzed by the company with their respective repair plans implemented, resulting in the dismissal of employees.</t>
  </si>
  <si>
    <t>In 2020, 2 cases of discrimination were registered, both of which were analyzed by the company, resulting in the dismissal of employees.</t>
  </si>
  <si>
    <t>In 2021, 3 cases of discrimination were registered, being notified to the contracted company, employee dismissal, demobilization of outsourced employee, DSS on the subject of discrimination, among other actions.</t>
  </si>
  <si>
    <t>In 2022, 8 cases of discrimination were confirmed by Vale's Whistleblower Channel. All these cases resulted in the application of disciplinary and preventive measures, which include dismissal of employees, demobilization of outsourced employees, holding conversation circles on the subject, among other actions. There is still 1 action plan in progress and 9 have already been implemented in the current period. Data related to cases of discrimination are frequently presented at senior management meetings and at the Audit and Conduct and Integrity Committees and are used as input for carrying out campaigns at the company related to diversity and inclusion issues.</t>
  </si>
  <si>
    <t>In 2023, 8 cases of discrimination were registered, all cases were analyzed by the company, which resulted in dismissal of employees, demobilization of outsourced employees, training, feedback, HSD on the subject, among other actions. There are still 14 repair plans to be implemented and 13 plans have already been implemented in the current period, these plans aim to apply consequence measures according to the identified conduct, in addition to awareness actions in the areas with the realization of Health and Safety Dialogues (HSD) and training on the subject. Data related to cases of discrimination are frequently presented at meetings of the Audit and Compliance Board and the Conduct and Integrity Committee, and are used as inputs to carry out campaigns in the company related to diversity and inclusion.</t>
  </si>
  <si>
    <t>GRI 407-1 (2016)</t>
  </si>
  <si>
    <r>
      <rPr>
        <b/>
        <sz val="10"/>
        <color rgb="FF555555"/>
        <rFont val="Arial"/>
        <family val="2"/>
      </rPr>
      <t xml:space="preserve">Description: </t>
    </r>
    <r>
      <rPr>
        <sz val="10"/>
        <color rgb="FF555555"/>
        <rFont val="Arial"/>
        <family val="2"/>
      </rPr>
      <t>Operations and suppliers where the right to freedom of association and collective bargaining may be at risk</t>
    </r>
  </si>
  <si>
    <t>Three risk cases or incidents were identified in which the right to exercise freedom of association and collective bargaining may be being violated. All cases were reported from operations in the VNL - Valley Newfoundland &amp; Labrador region. The measures taken were collective agreement procedures.</t>
  </si>
  <si>
    <t>Four risk cases or incidents were identified in which the right to exercise freedom of association and collective bargaining may be being violated. All cases were reported from operations in the VNL - Valley Newfoundland &amp; Labrador region. The measures taken were collective agreement procedures.
Suppliers are committed to expected standards of behavior in accordance with Vale's Policies, and undertake, through contractual clauses, to provide dignified working conditions, including respect for freedom of association and collective bargaining. Vale's standard contractual draft also includes anti-corruption, Health, Safety and Environment (HSE) and Human Rights clauses.</t>
  </si>
  <si>
    <t>Four risk cases or incidents were identified in which the right to exercise freedom of association and collective bargaining may be being violated. All cases were reported from operations in the VNL - Valley Newfoundland &amp; Labrador region. The measures taken were collective agreement procedures.</t>
  </si>
  <si>
    <t>GRI 408-1 (2016)</t>
  </si>
  <si>
    <r>
      <rPr>
        <b/>
        <sz val="10"/>
        <color rgb="FF555555"/>
        <rFont val="Arial"/>
        <family val="2"/>
      </rPr>
      <t>Description:</t>
    </r>
    <r>
      <rPr>
        <sz val="10"/>
        <color rgb="FF555555"/>
        <rFont val="Arial"/>
        <family val="2"/>
      </rPr>
      <t xml:space="preserve"> Operations and suppliers at significant risk for incidents of child labor</t>
    </r>
  </si>
  <si>
    <t>There was no record or complaint involving the company in child labor or young people exposed to hazardous work.
Vale requires, through contractual clauses, that its suppliers prohibit child labor and any type of employment practice that may be interpreted as equivalent to forced or slave labor. Failure to comply with these clauses implies breach of contract. In order to detect these and other risks in contractors and suppliers, Vale establishes controls such as response and complaint listening channels, document analysis, field inspections, including interviews with workers. Contracts with suppliers have a clause committing to respect Human Rights and an obligation to respect Vale's Global Human Rights Policy and the Supplier Conduct Guide. The registration process for new suppliers checks for possible inappropriate conduct related to Human Rights.</t>
  </si>
  <si>
    <t>In 2020, there was no record or complaint involving Vale in cases of child or slave labor, of young people exposed to hazardous work, forced or compulsory labor and human trafficking, in any of the Company's operations.
Suppliers commit to expected standards of behavior in accordance with Vale's Policies, and undertake, through contractual clauses, to provide dignified working conditions, combat forced labor or labor analogous to slavery, child labor and sexual exploitation child abuse and not tolerate discrimination, respect freedom of association and collective bargaining.</t>
  </si>
  <si>
    <t>In its Global Human Rights Policy and Code of Conduct, Vale prohibits the use of child labor in its activities and in its suppliers and assesses and monitors this risk in all stages of the life cycle of its projects and operations, adopting measures preventive control measures such as: the Contract Management System (SGC) used to mobilize third parties, which establishes barriers for hiring minors under 18 years of age; for Vale employees in Brazil, minors under 18 are admitted in accordance with the Apprenticeship Law (Law 10097/2000 - Young Apprentice Program). In addition, Vale's suppliers are committed to expected standards of behavior in accordance with Vale's Policies, and are responsible, through contractual clauses, for combating child labor. The company does not maintain commercial relationships with suppliers that act in violation of its Supplier Code of Ethics and Conduct. Vale performs human rights due diligence on high-risk suppliers.
Vale dedicates efforts to respect and promote the Human Rights of children and adolescents, prioritizing the fight against child sexual exploitation and child labor, establishing a continuous process of engagement with communities and suppliers in the areas of influence of the projects. As examples, Vale has a partnership and implements programs together with Childhood Brasil and acts through the Vale Foundation in structuring social programs, contributes to strengthening the public social protection network and acts directly with children and their families.
In 2021, there was no record or report of incidents of child labor involving Vale's operations, but Vale still recognizes the fragility of the issue in its value chain and is working to minimize these impacts.</t>
  </si>
  <si>
    <t>In 2022, there was no record or report of confirmed occurrence of child labor involving Vale's operations and suppliers in the due diligence conducted. However, we recognize this risk as a critical theme in our iron ore and pellet, copper and nickel production and logistics operations in Brazil, nickel production in Canada and Indonesia, logistics in Malaysia, pelletizing in Oman, and in the Brumadinho repair works. Regarding suppliers, Vale considers the sectors listed as high risk or with the highest incidence of forced and child labor classified by Resolution Nº 24 of the Ministry of Industry, Foreign Trade and Services, by the "Global Estimates of Modern Slavery" of highest risk and by the Secretary of Labor Inspection 2012 to 2020, and we act to prevent, monitor and manage such occurrences in our suppliers and operations.</t>
  </si>
  <si>
    <t xml:space="preserve">The risk related to the possibility of child labor is mapped in the operations in Brazil, Indonesia and Malaysia; in projects in Brazil, Canada, Chile, Peru and Indonesia; and brazilian and international suppliers, with emphasis on the following countries where Vale has operations and projects: Chile, China, UAE, Indonesia, Malaysia, Oman and Peru. The risk related to the possibility of young workers exposed to hazardous work is mapped in the operations in Brazil and Indonesia; in projects in Brazil, Indonesia, Chile and Peru; and brazilian and international suppliers, with emphasis on the following countries where Vale has operations and projects: Chile, China, UAE, Indonesia, Malaysia, Oman and Peru. </t>
  </si>
  <si>
    <t>GRI 409-1 (2016)</t>
  </si>
  <si>
    <r>
      <rPr>
        <b/>
        <sz val="10"/>
        <color rgb="FF555555"/>
        <rFont val="Arial"/>
        <family val="2"/>
      </rPr>
      <t xml:space="preserve">Description: </t>
    </r>
    <r>
      <rPr>
        <sz val="10"/>
        <color rgb="FF555555"/>
        <rFont val="Arial"/>
        <family val="2"/>
      </rPr>
      <t>Operations and suppliers at significant risk for incidents of forced or compulsory labor</t>
    </r>
  </si>
  <si>
    <t>In 2022, there was no record or report of confirmed occurrence of forced or compulsory labor involving Vale's operations and suppliers in the due diligence conducted. However, we recognize this risk as a critical theme in our iron ore and pellet, copper and nickel production and logistics operations in Brazil, nickel production in Canada and Indonesia, logistics in Malaysia, pelletizing in Oman, and in the Brumadinho repair works. Regarding suppliers, Vale considers the sectors listed as high risk or with the highest incidence of forced and child labor classified by Resolution Nº 24 of the Ministry of Industry, Foreign Trade and Services, by the "Global Estimates of Modern Slavery" of highest risk and by the Secretary of Labor Inspection 2012 to 2020, and we act to prevent, monitor and manage such occurrences in our suppliers and operations.</t>
  </si>
  <si>
    <t>The risk related to the possibility of forced or compulsory labor is mapped in operations in Brazil, Canada, Oman, Indonesia, Malaysia, Japan and Wales; in projects in Brazil, Indonesia, Canada, Chile and Peru; and brazilian and international suppliers, with emphasis on the following countries where Vale has operations and projects: Chile, China, UAE, Indonesia, Malaysia, Oman and Peru.</t>
  </si>
  <si>
    <t>GRI 410-1 (2016)</t>
  </si>
  <si>
    <r>
      <rPr>
        <b/>
        <sz val="10"/>
        <color rgb="FF555555"/>
        <rFont val="Arial"/>
        <family val="2"/>
      </rPr>
      <t>Description:</t>
    </r>
    <r>
      <rPr>
        <sz val="10"/>
        <color rgb="FF555555"/>
        <rFont val="Arial"/>
        <family val="2"/>
      </rPr>
      <t xml:space="preserve"> Security personnel trained in human rights policies or procedures</t>
    </r>
  </si>
  <si>
    <t>Percentage of security personnel trained in human rights</t>
  </si>
  <si>
    <t>Own employees</t>
  </si>
  <si>
    <t>Third party employees</t>
  </si>
  <si>
    <t>GRI 411-1 (2016)</t>
  </si>
  <si>
    <r>
      <rPr>
        <b/>
        <sz val="10"/>
        <color rgb="FF555555"/>
        <rFont val="Arial"/>
        <family val="2"/>
      </rPr>
      <t>Description:</t>
    </r>
    <r>
      <rPr>
        <sz val="10"/>
        <color rgb="FF555555"/>
        <rFont val="Arial"/>
        <family val="2"/>
      </rPr>
      <t xml:space="preserve"> Incidents of violation involving rights of indigenous peoples</t>
    </r>
  </si>
  <si>
    <t>In 2019, there was a record of a case of violation of the rights of indigenous peoples in Brazil. The case was monitored by the Corporate Management for the Relationship with Indigenous Peoples and Tribal Peoples and is in the process of drawing up recovery and reparation plans together with the affected indigenous and tribal peoples.</t>
  </si>
  <si>
    <t>There was a record of a case of violation of the rights of indigenous peoples in Brazil. This case is in the process of continuous analysis by the company, observing the procedures and determinations established in the Term of Adjustment of Conduct (TAC) entered into with the Federal Public Ministry (MPF/MG).</t>
  </si>
  <si>
    <t>There was no record of cases of violation of the rights of indigenous peoples.</t>
  </si>
  <si>
    <t>There was a record of a case of violation of the rights of indigenous peoples in Brazil. This case is in the process of continuous monitoring by the company, as well as its performance, in compliance with the court decision deliberated in 2022.</t>
  </si>
  <si>
    <t xml:space="preserve">In 2023, there were no new cases of violation of the rights of Indigenous Peoples in Brazil and international units. The cases reported in Brazil were from previous years and are ongoing. They are continuously monitored by the company, as well as its performance in compliance with judicial decisions already deliberated.  </t>
  </si>
  <si>
    <r>
      <rPr>
        <b/>
        <sz val="9"/>
        <color rgb="FF555555"/>
        <rFont val="Arial"/>
        <family val="2"/>
      </rPr>
      <t>Note:</t>
    </r>
    <r>
      <rPr>
        <sz val="9"/>
        <color rgb="FF555555"/>
        <rFont val="Arial"/>
        <family val="2"/>
      </rPr>
      <t xml:space="preserve"> The records of cases of violation of rights of indigenous peoples, in Brazil, reported in the years 2019, 2020 and 2022 refer to the repair of damages related to the rupture of dam I of Córrego do Feijão, Brumadinho, related to indigenous people Pataxó (residents of the Naô Xohã village, in São Joaquim de Bicas (MG)).</t>
    </r>
  </si>
  <si>
    <t>GRI 413-1 (2016)</t>
  </si>
  <si>
    <r>
      <rPr>
        <b/>
        <sz val="10"/>
        <color rgb="FF555555"/>
        <rFont val="Arial"/>
        <family val="2"/>
      </rPr>
      <t xml:space="preserve">Description: </t>
    </r>
    <r>
      <rPr>
        <sz val="10"/>
        <color rgb="FF555555"/>
        <rFont val="Arial"/>
        <family val="2"/>
      </rPr>
      <t>Operations with local community engagement, impact assessments, and development programs</t>
    </r>
  </si>
  <si>
    <t>In 2019, 53% of operations carried out social impact assessments and 68% environmental ones. In the same year, 71% of our operations implemented local development programs based on the needs of local communities, as well as 71% of them promoted committees or social dialogue groups. Around 76% of operations had stakeholder engagement plans.</t>
  </si>
  <si>
    <t>In 2020, Vale internationalized the community relationship standards for all countries where the company has operations, except for Malaysia scheduled for 2021. This initiative made it possible to qualify the global management of social action - based on the integration of information - and promote greater transparency in area reports. Currently, Vale has mapped 1,726 local relationship communities, distributed as follows: Brazil – 1,215, Atlântico Norte – 32, Mozambique – 243, Malawi – 99, Peru – 46, Oman – 12, Indonesia – 74 and Chile – 05.
In Brazil, according to data consolidated in October 2020, of the 1,215 local communities, distributed among 120 municipalities, 411 are priority communities for engagement. The company's goal is for all priority communities to have a Relationship Plan drawn up. In 2020, 236 of these priority communities had a plan, totaling 57% coverage.</t>
  </si>
  <si>
    <t>Currently, Vale has mapped 2,092 local relationship communities, 1,304 in Brazil, 80 in Canada, 355 in Mozambique, 163 in Malawi, 47 in Peru, 27 in Oman, 110 in Indonesia and 6 in Malaysia. To engage them, Vale seeks to establish structured dialogue spaces for the construction of Relationship Plans with Communities, whose principle is mobilization and social participation in the definition and prioritization of actions to be implemented in the territory.
In 2021, in Brazil we had 411 priority communities for engagement, out of a total of 1,304 communities, distributed among 130 municipalities. During the period, 69% of the communities were covered by Relationship and Investment Plans and by 2030 our goal is to reach 100%. In 2021, 63% of operations carried out an assessment/monitoring of the project's socio-environmental impacts on local communities.
As a result of projects and initiatives underway in 2021, more than 1.5 million direct beneficiaries were reached globally. In Brazil, 57% of the projects/initiatives were focused on job and income generation, 15% on education, 6% on Environmental Education, and the rest in areas such as security, social protection, health, culture, sport, among others.</t>
  </si>
  <si>
    <t>Vale's social action is guided by international industry standards and constitutes a necessary foundation towards our Social Ambition. Our operating model is guided by the following guiding principles: transparency, active listening, social participation, engagement, social capacity, diversity and inclusion, adherence to international pacts and operational responsibility. The Model directs our actions throughout the life cycle of the projects, based on respect for Human Rights, which is a non-negotiable condition, where each employee or contractor must be attentive to avoid any type of violation. Respecting Human Rights is the basis that makes our model of social action strong and consistent, extending to all the company's activities. And the relationship, which is the means by which we build respect and trust with the communities and other stakeholders with whom we interact. It is through engagement with people, groups and institutions that we manage the effects of risks and impacts; we share our practices; and we learn how to be a better company every day, becoming a partner company in the development of territories.
With the aim of engaging communities, Vale seeks to establish structured spaces for dialogue to build the Community Relationship Plans. The plans have as a principle the mobilization and social participation in the definition and prioritization of actions to be implemented in the territory. In addition, the structuring of the plan aims at sharing responsibilities between the company, the community and other social actors for local development.
The Relationship Plans are monitored by the community relationship teams that have a systematic routine of participatory meetings to monitor the execution of actions, evaluating the adherence and effectiveness of the results with the community.
Currently, Vale has mapped 1532 local relationship communities, 1,156 in Brazil, 82 in Canada, 52 in Andean America, 28 in Oman, 206 in Indonesia, 6 in Malaysia and 2 in Wales. To engage them, Vale seeks to establish structured dialogue spaces for the construction of Relationship Plans with Communities, whose principle is mobilization and social participation in the definition and prioritization of actions to be implemented in the territory.
In the period, 78.8% of communities, with very high and high priority, were covered by Relationship Plans and our commitment is that 100% of these have a Relationship Plan implemented by 2026.
As a result of projects and initiatives underway in 2021, more than 1.5 million direct beneficiaries were reached globally. In Brazil, 43% of the projects/initiatives were focused on job and income generation, 12% on education, 6% on Environmental Education, 7% on strengthening community institutions and 6% on environmental education.
In 2022, 77% of operations carried out an assessment/monitoring of the project's socio-environmental impacts on local communities.</t>
  </si>
  <si>
    <t>Vale's social performance is guided by the international standards of the sector and constitutes a necessary foundation towards our Social Ambition. Our operating model is guided by the following guiding principles: transparency, active listening, social participation, engagement, social capacity, diversity and inclusion, adherence to international best practices and operational responsibility. The Model directs our performance throughout the life cycle of the enterprises, based on respect for Human Rights, which is a non-negotiable condition, where each employee or contractor must be attentive to avoid any type of violation. Respecting Human Rights is the basis that makes our social action model strong and consistent, extending to all the company's activities. And the relationship, which is the means by which we build respect and trust with the communities and other stakeholders with whom we interact.  It is by engaging with people, groups and institutions that we manage the effects of risks and impacts; we share our practices; And we learn how to be a better company every day, becoming a partner company in the development of territories.
In order to engage communities, Vale seeks to establish structured spaces for dialogue for the construction of Community Relationship Plans. The plans are based on the principle of mobilization and social participation in the definition and prioritization of actions to be implemented in the territory. In addition, the structuring of the plan aims to share responsibilities between the company, the community and other social actors for local development.
The Relationship Plans are monitored by the community relations teams, which have a systematic routine of participatory meetings to monitor the execution of the actions, evaluating the adherence and effectiveness of the results with the community. 
Currently, Vale has mapped 1,574 local relationship communities, 1,106 in Brazil, 82 in Canada, 53 in Andean America, 33 in Oman, 292 in Indonesia, 6 in Malaysia and 2 in Wales. 
In all, 88% of the 177 very high and high priority communities have been covered by Relationship Plans and our commitment is that 100% of these will have Relationship Plans implemented by 2026.
As a result of the projects and initiatives underway in 2022/2023, more than 1.9 million direct beneficiaries were reached globally. In Brazil, 48% of the projects and initiatives were focused on job and income generation, 17% on strengthening community institutions, 13% on education and 6% on environmental education. In 2023, 91% of the operations carried out an assessment/monitoring of the project's social and environmental impacts on local communities.</t>
  </si>
  <si>
    <t>GRI 413-2 (2016)</t>
  </si>
  <si>
    <r>
      <rPr>
        <b/>
        <sz val="10"/>
        <color rgb="FF555555"/>
        <rFont val="Arial"/>
        <family val="2"/>
      </rPr>
      <t>Description:</t>
    </r>
    <r>
      <rPr>
        <sz val="10"/>
        <color rgb="FF555555"/>
        <rFont val="Arial"/>
        <family val="2"/>
      </rPr>
      <t xml:space="preserve"> Operations with significant actual and potential negative impacts on local communities</t>
    </r>
  </si>
  <si>
    <t>All activities carried out in operations carried out at Vale are supported by specific procedures aimed not only at carrying them out, but also at identifying hazards and associated risks, as well as defining critical controls that allow risks to be maintained at tolerable levels.</t>
  </si>
  <si>
    <t>In 2020, Vale structured its risk assessment model, implementation will begin in 2021. During this structuring, the main significant negative impacts observed on local communities were: change in air quality due to the emission of non-toxic particulate matter, noise pollution (noise) and pressure on public education, health and safety services. The main potential impacts identified were the occurrence of accidents and pollution of natural resources due to accidental leaks.</t>
  </si>
  <si>
    <t>Motivated by its Cultural Transformation process, Vale is reviewing the ways in which its activities impact society. One of the vectors of this review encompasses the theme of community safety, which involves the risk to people's physical integrity, as a result of Vale's presence in the territories.
The challenge of expanding the security approach implies extending risk and impact management to communities. In this context, we are implementing a structured community safety process, including the execution of preventive actions, response to occurrences, crisis management, investigation of events and the implementation of actions to mitigate the risk of recurrence of events. The direct participation of communities in the process is evolving and tends to be more and more.
Vale took on the practice of recording events regardless of fault or responsibility, transforming the analysis of these occurrences into lessons learned for actions to continuously improve operational safety in relation to communities. This understanding represents a change in the way Vale understands its role as a productive agent that induces transformations in the territory.
The main significant negative impacts observed on local communities were: changes in air quality due to the emission of non-toxic particulate matter, noise pollution (noise) and pressure on public education, health and safety services. The main potential impacts identified were the occurrence of accidents involving community members and pollution of natural resources due to accidental leaks.</t>
  </si>
  <si>
    <t>In line with its Cultural Transformation, Vale defined its key social performance indicator for 2022 linked to the Community Safety process. This process includes the monitoring and analysis of accidents that pose a risk, fatal or non-fatal, to the physical integrity of people, as a result of Vale's activity in the territories.
As a result, the company had, in 2022, 8.7% fewer accidents compared to 2021 and a 32% reduction in total fatalities, with members of the community, resulting from Vale's presence.
To achieve this result, the various operations put efforts into preventive actions, responding to incidents and investigating events, in addition to implementing actions to mitigate the risk of recurrence of events.
The ferrous metal business, for example, carried out a robust plan to achieve the target, which began by evaluating the accidents that occurred in 2021, identifying the root causes, and then defining and implementing actions with the aim of mitigating the recurrence of cases in 2022. actions were monitored periodically and resulted in a 15.5% decrease in events in the board.
These results represent a change in the way Vale understands its role as a productive agent that induces transformations in the territory.
Complementing the year's analyzes and efforts, the company has been structuring Integrated Community Safety Plans for the territories in which it is present. These Plans integrate the necessary actions to incorporate the Community Safety perspective into Vale's operations and project activities, containing controls and initiatives that meet the Risk Management and Impact Management dimensions.
The main significant negative impacts observed in the communities impacted by Vale's projects (Brazil and abroad) were: changes in the quality of water resources and air, due to the emission of particulate matter, sound pollution (noise) and vibration, flooding and accidents involving members of the community. In addition to these, for communities affected by mining activities in Brazil, the following significant impacts also stand out: risk of dam failure, landscape changes, pressure on public services and equipment, increased flow of vehicles (mobility) , change in the health conditions of the population, change in the job market and in goods and services, change in demographic dynamics and change in economic dynamics.
The main potential impacts identified were the occurrence of accidents involving community members and pollution of natural resources due to accidental leaks.</t>
  </si>
  <si>
    <t xml:space="preserve">Projects that have actual and potential negative impacts on communities that are located in Brazil, Canada, Malaysia and Indonesia. The main negative impacts identified for railways are: particulate emissions, noise and vibration; change in local mobility and risk of accidents. To manage these impacts, the following mitigation/compensation measures are implemented: monitoring of air quality, noise and vibration; environmental education; social communication and mobility actions. For ports, the following main impacts are identified: particulate emissions; interference in traffic due to the increase in the flow of vehicles near the project; restriction of access and use to the dredging channel; Suspension of material in the water during dredging. To manage these impacts, the following mitigation/compensation measures are implemented: air quality monitoring; environmental education; and social communication. For mining they are: particulate emission, noise and vibration; change in water dynamics; interference in traffic due to the increase in the flow of vehicles near the project; changing the socio-political dynamics of the region; and visual disturbance due to the alteration of the landscape. To manage these impacts, the following mitigation/compensation measures are implemented: monitoring of air quality, noise, vibration and water bodies; environmental education; social communication; mobility actions; support for territorial development; and monitoring of socioeconomic indicators.  There are still some negative impacts that relate specifically to Indigenous Peoples and Traditional Communities: alteration of the dynamics of hunting, fishing, mobility; territorial pressure and alteration in the traditional way of life. To manage these impacts, the following mitigation/compensation measures are agreed with the communities and implemented: support for ethnodevelopment; Institutional strengthening; cultural strengthening; Territorial and Environmental Management and Protection. </t>
  </si>
  <si>
    <t>GRI 414-1 (2016)</t>
  </si>
  <si>
    <r>
      <rPr>
        <b/>
        <sz val="10"/>
        <color rgb="FF555555"/>
        <rFont val="Arial"/>
        <family val="2"/>
      </rPr>
      <t>Description:</t>
    </r>
    <r>
      <rPr>
        <sz val="10"/>
        <color rgb="FF555555"/>
        <rFont val="Arial"/>
        <family val="2"/>
      </rPr>
      <t xml:space="preserve"> New suppliers that were screened using social criteria</t>
    </r>
  </si>
  <si>
    <t>Vale conducts a verification process of H&amp;S and Environment (SSM), integrity and Human Rights (eg modern slavery, among other critical issues) when the supplier completes the request to enter the Supplier List. Assessments are carried out on 100% of link 1 suppliers through a background check and the submission of documents, such as a self-declaration form, presenting the details of the supplier's SSM qualification. In Brazil, in each edition of the Dirty List, the entire supplier base is checked and if a legal or natural person is identified on the list, the contract is suspended.
100% of suppliers (Brazil scope - companies and self-employed persons with whom Vale maintains a commercial relationship) are considered considering the lists of companies sanctioned by the Federal Government - CEIS, CEPIM and CNEP. Environmental document analysis is carried out and suppliers are registered through the certification process, which is the standard process for registering suppliers for approval of contracts.</t>
  </si>
  <si>
    <t>Upon registration at Vale, all suppliers undergo a risk analysis, which includes an assessment of Human Rights, Health and Safety and the Environment (HSE) and Integrity. In addition, the company encourages suppliers to implement compliance programs and follow the same guidelines in their production chains. At this stage, third-party due diligence is performed globally on 100% of new registered suppliers. The company periodically monitors, both in the certification and registration phase and throughout the supplier's life cycle, updates to the Blacklist of Slave Labor, cross-referencing the information with 100% of its supplier base in Brazil.
100% of suppliers (Brazil scope - companies and self-employed persons with whom Vale maintains a commercial relationship) are analyzed considering the lists of companies sanctioned by the Federal Government - CEIS, CEPIM and CNEP. Environmental document analysis is carried out and suppliers are registered through the standard process for registering suppliers for approval of contracts.</t>
  </si>
  <si>
    <t>For all suppliers globally, third-party due diligence is applied, which evaluates various parameters such as history at Vale, negative media, checks on market compliance portals, among others, for the company and its partners.
For suppliers in Brazil, for 100% of companies and self-employed workers with whom Vale maintains a commercial relationship, they are analyzed considering the lists of companies sanctioned by the Federal Government - CEIS, CEPIM and CNEP. Environmental document analysis is carried out and suppliers are registered through the standard process for registering suppliers for approval of contracts.</t>
  </si>
  <si>
    <t>Vale's supplier registry verifies their condition with public agencies. Further consultation of public sanction lists may be applied in specific cases. It should be noted that all suppliers go through an analysis process, which includes Due Diligence and risk assessment.</t>
  </si>
  <si>
    <t>GRI 414-2 (2016)</t>
  </si>
  <si>
    <r>
      <rPr>
        <b/>
        <sz val="10"/>
        <color rgb="FF555555"/>
        <rFont val="Arial"/>
        <family val="2"/>
      </rPr>
      <t>Description:</t>
    </r>
    <r>
      <rPr>
        <sz val="10"/>
        <color rgb="FF555555"/>
        <rFont val="Arial"/>
        <family val="2"/>
      </rPr>
      <t xml:space="preserve"> Negative social impacts in the supply chain and actions taken</t>
    </r>
  </si>
  <si>
    <t>In order to identify and seek to minimize some possible negative social impacts, we have practices such as supplier registration requirements, signature of Vale's Code of Ethics and Conduct for the Supplier (in which the supplier undertakes to agree with Vale's values (as per example: promoting adequate working conditions for its employees, health and safety, complying with labor legislation, not agreeing with slave or child labor practices, among others), monitoring suppliers in compliance with the Global Anti-Corruption Program, in the level of financial risk ( avoiding breakages, ruptures, default by the supplier to its employees), crossing with blacklists of Slave Labor and blacklists of the Federal Government, compliance with environmental requirements, NACT (Nucleus for Service to Contracts with Third Parties).</t>
  </si>
  <si>
    <t>In 2020, Vale established a pilot process for managing Human Rights risks for suppliers in Brazil, assessing the criticality of its contracts under three aspects: supply segments; location of operation; and mobilized labor. It also assessed the vulnerability of its suppliers' management based on the response to a self-diagnosis questionnaire covering seven dimensions: policies and regulations; risk and impact management; whistleblower channel; working relationships and conditions; relationships with communities; supplier management; and diversity and inclusion.
The result of this work culminated in the pilot performance of due diligence of suppliers considered critical from the perspective of Human Rights. An action plan is under development to address the identified risks.
In Brazil, there is also the Third-Party Contract Assessment Center (NACT) which monitors selected suppliers in relation to Health and Safety issues and labor conditions
Vale also has the Supplier Performance Index (IDF), an indicator that monitors the performance of suppliers based on technical criteria of health and safety, protection of the environment, respect for labor rights and continuous improvement through a actions, reviewed and improved in 2020.</t>
  </si>
  <si>
    <t>The main potential social impacts in the supply chain are associated with the social security and labor obligations of suppliers towards their employees and the working conditions to which these employees are exposed.</t>
  </si>
  <si>
    <t>GRI 415-1 (2016)</t>
  </si>
  <si>
    <r>
      <rPr>
        <b/>
        <sz val="10"/>
        <color rgb="FF555555"/>
        <rFont val="Arial"/>
        <family val="2"/>
      </rPr>
      <t xml:space="preserve">Description: </t>
    </r>
    <r>
      <rPr>
        <sz val="10"/>
        <color rgb="FF555555"/>
        <rFont val="Arial"/>
        <family val="2"/>
      </rPr>
      <t>Political contributions</t>
    </r>
  </si>
  <si>
    <t>In accordance with Brazilian law, we do not make any contribution of any kind to political parties and/or politicians.</t>
  </si>
  <si>
    <t>GRI 2-7 e GRI 2-8</t>
  </si>
  <si>
    <r>
      <rPr>
        <b/>
        <sz val="10"/>
        <color rgb="FF555555"/>
        <rFont val="Arial"/>
        <family val="2"/>
      </rPr>
      <t>Description GRI 2-7:</t>
    </r>
    <r>
      <rPr>
        <sz val="10"/>
        <color rgb="FF555555"/>
        <rFont val="Arial"/>
        <family val="2"/>
      </rPr>
      <t xml:space="preserve"> Employees</t>
    </r>
  </si>
  <si>
    <r>
      <rPr>
        <b/>
        <sz val="10"/>
        <color rgb="FF555555"/>
        <rFont val="Arial"/>
        <family val="2"/>
      </rPr>
      <t>Description GRI 2-8:</t>
    </r>
    <r>
      <rPr>
        <sz val="10"/>
        <color rgb="FF555555"/>
        <rFont val="Arial"/>
        <family val="2"/>
      </rPr>
      <t xml:space="preserve"> Workers who are not employees</t>
    </r>
  </si>
  <si>
    <t>Number of own employees by country</t>
  </si>
  <si>
    <t>58,249</t>
  </si>
  <si>
    <t>55,067</t>
  </si>
  <si>
    <t>53,341</t>
  </si>
  <si>
    <t>6,166</t>
  </si>
  <si>
    <t>6,443</t>
  </si>
  <si>
    <t>6,561</t>
  </si>
  <si>
    <t>3,082</t>
  </si>
  <si>
    <t>3,040</t>
  </si>
  <si>
    <t>3,023</t>
  </si>
  <si>
    <t>5,793</t>
  </si>
  <si>
    <t>6,713</t>
  </si>
  <si>
    <t>74,316</t>
  </si>
  <si>
    <t>72,266</t>
  </si>
  <si>
    <t>64,516</t>
  </si>
  <si>
    <t>Number of third parties employees by country</t>
  </si>
  <si>
    <t>90,877</t>
  </si>
  <si>
    <t>161,924</t>
  </si>
  <si>
    <t>136,467</t>
  </si>
  <si>
    <t>152,977</t>
  </si>
  <si>
    <t>4,617</t>
  </si>
  <si>
    <t>4,311</t>
  </si>
  <si>
    <t>4,633</t>
  </si>
  <si>
    <t>1,946</t>
  </si>
  <si>
    <t>6,499</t>
  </si>
  <si>
    <t>7,515</t>
  </si>
  <si>
    <t>7,278</t>
  </si>
  <si>
    <t>10,639</t>
  </si>
  <si>
    <t>1,140</t>
  </si>
  <si>
    <t>1,115</t>
  </si>
  <si>
    <t>1,016</t>
  </si>
  <si>
    <t>8,512</t>
  </si>
  <si>
    <t>12,515</t>
  </si>
  <si>
    <t>111,921</t>
  </si>
  <si>
    <t>188,314</t>
  </si>
  <si>
    <t>150,831</t>
  </si>
  <si>
    <t>167,759</t>
  </si>
  <si>
    <t>Staff of professionals</t>
  </si>
  <si>
    <t>Third parties employees</t>
  </si>
  <si>
    <t>Total number of employees by employment contract and by gender (2023)</t>
  </si>
  <si>
    <t>Trainees</t>
  </si>
  <si>
    <t>PCD</t>
  </si>
  <si>
    <t>Fixed</t>
  </si>
  <si>
    <t>Own employees by region and gender (2023)</t>
  </si>
  <si>
    <t>Third parties</t>
  </si>
  <si>
    <t>In project</t>
  </si>
  <si>
    <t>Fixed (Administrative and operational)</t>
  </si>
  <si>
    <t>Eventual</t>
  </si>
  <si>
    <t>GRI - G4 MM4 e EM-MM-310a.2</t>
  </si>
  <si>
    <r>
      <rPr>
        <b/>
        <sz val="10"/>
        <color rgb="FF555555"/>
        <rFont val="Arial"/>
        <family val="2"/>
      </rPr>
      <t>GRI Description:</t>
    </r>
    <r>
      <rPr>
        <sz val="10"/>
        <color rgb="FF555555"/>
        <rFont val="Arial"/>
        <family val="2"/>
      </rPr>
      <t xml:space="preserve"> Number of strikes and lockouts lasting more than one week,broken down by country</t>
    </r>
  </si>
  <si>
    <r>
      <rPr>
        <b/>
        <sz val="10"/>
        <color rgb="FF555555"/>
        <rFont val="Arial"/>
        <family val="2"/>
      </rPr>
      <t xml:space="preserve">Description SASB: </t>
    </r>
    <r>
      <rPr>
        <sz val="10"/>
        <color rgb="FF555555"/>
        <rFont val="Arial"/>
        <family val="2"/>
      </rPr>
      <t>Number and duration of strikes and lockouts</t>
    </r>
  </si>
  <si>
    <t>There was no notification of a strike or stoppage lasting more than a week.</t>
  </si>
  <si>
    <t>In 2021, there was a strike at the Sudbury operation in Canada, lasting 2 months. Employees voted in favor of a strike on June 1, 2021, negotiations were carried out with the assistance of a facilitator, and ratification took place on August 1, 2021.</t>
  </si>
  <si>
    <t>GRI - G4 MM5 e SASB - EM-MM-210a.2</t>
  </si>
  <si>
    <r>
      <rPr>
        <b/>
        <sz val="10"/>
        <color rgb="FF555555"/>
        <rFont val="Arial"/>
        <family val="2"/>
      </rPr>
      <t xml:space="preserve">GRI Description: </t>
    </r>
    <r>
      <rPr>
        <sz val="10"/>
        <color rgb="FF555555"/>
        <rFont val="Arial"/>
        <family val="2"/>
      </rPr>
      <t>Total number of operations located in or adjacent to indigenous peoples' territories, and number and percentage of operations or locations where there are formal agreements with indigenous peoples' communities</t>
    </r>
  </si>
  <si>
    <r>
      <rPr>
        <b/>
        <sz val="10"/>
        <color rgb="FF555555"/>
        <rFont val="Arial"/>
        <family val="2"/>
      </rPr>
      <t>SASB Description:</t>
    </r>
    <r>
      <rPr>
        <sz val="10"/>
        <color rgb="FF555555"/>
        <rFont val="Arial"/>
        <family val="2"/>
      </rPr>
      <t xml:space="preserve"> Percentage of (1) proven reserves and (2) probable reserves on or near indigenous lands</t>
    </r>
  </si>
  <si>
    <t>In 2019, Vale has relationships with 32 indigenous peoples (14 in Brazil and 18 in other countries) and 48 traditional communities (45 in Brazil - mostly quilombolas and coconut breakers, and 3 outside the country). In Brazil, 5 operations have an interface with indigenous territories - Onça Puma, Sossego, Salobo, EFC and EFVM; and 04 with an interface with traditional communities (quilombolas, artisanal fishermen and coconut breakers) - Fábrica Mine, Córrego do Feijão Mine and Ilha Guaíba Terminal (TIG). Outside Brazil, 3 operations were located in or adjacent to indigenous peoples' territories (PTVI in Indonesia, VNC in New Caledonia and Sudbury in Canada). All operations have formal agreements signed with the indigenous peoples and communities present in these areas.</t>
  </si>
  <si>
    <t>In 2020, Vale had 9 operations in Brazil and 3 outside Brazil with interface with traditional communities and indigenous peoples. In Brazil, 5 operations are adjacent to indigenous territories - Onça Puma, Sossego, Salobo, EFC and EFVM; and 04 with interface with traditional communities (quilombolas, artisanal fishermen and coconut breakers) - Barra do Riacho Railway Branch (EFVM), Córrego do Feijão Mine; Fábrica Mine, Guaíba Island Terminal (TIG). Outside Brazil, 3 operations were located in or adjacent to indigenous peoples' territories (PTVI in Indonesia, VNC in New Caledonia and Sudbury in Canada). All operations have formal agreements signed with the indigenous peoples and communities present in these areas.</t>
  </si>
  <si>
    <t>In 2021, Vale had 4 operations in Brazil and 4 outside Brazil with interface with traditional communities and indigenous peoples. In Brazil, 8 operations are adjacent to indigenous territories - Ponta da Madeira Maritime Terminal, Carajás Complex, Itabira Complex, Fábrica Mine, TIG, CPBS, Onça Puma and Mineração Corumbá Complex. Outside Brazil, 3 operations were located in or adjacent to indigenous peoples' territories (Sudbury, Port Colborne and Voisey's bay, Canada). All operations have formal agreements signed with the indigenous peoples and communities present in these areas.</t>
  </si>
  <si>
    <t>In 2022, Vale had 12 operations in Brazil with interface with Traditional Communities and Indigenous Peoples (Reparação Brumadinho, EFC, Portos Norte, EFVM, CPBS, TIG, Salobo, Onça Puma, Serra Norte – Carajás and Serra Sul – S11D, Complexo Itabira and Paraopeba Complex). Outside Brazil, Vale had 4 operations with Indigenous Peoples and Traditional Communities (PTVI, Manitoba, Port Colborne and Sudbury). We have operations that have no formal agreement signed. However, there is some initiative in progress, be it PBA, ECQ, PRC, voluntary initiative or specific actions.</t>
  </si>
  <si>
    <t>In 2023, Vale had 12 operations/processes in Brazil with an interface with Traditional Communities and Indigenous Peoples (Reparação Brumadinho, EFC, Portos Norte, EFVM, CPBS, TIG, Salobo, Onça Puma, Serra Norte – Carajás and Serra Sul – S11D, Itabira Complex and Paraopeba Complex). Outside Brazil, 06 Vale operations had an interface with Indigenous Peoples and Traditional Communities (PTVI, Thompson Complex, Port Colborne Refinery, Sudbury, Long Harbour Operations and Voisey's Bay Complex). Of the aforementioned total, 70% of the operations with an interface with Indigenous Peoples and Traditional Communities have formal agreements and the others have ongoing initiatives, whether they are projects/programs or actions to mitigate and/or compensate for impacts.</t>
  </si>
  <si>
    <r>
      <rPr>
        <b/>
        <sz val="9"/>
        <color rgb="FF555555"/>
        <rFont val="Arial"/>
        <family val="2"/>
      </rPr>
      <t xml:space="preserve">Note: </t>
    </r>
    <r>
      <rPr>
        <sz val="9"/>
        <color rgb="FF555555"/>
        <rFont val="Arial"/>
        <family val="2"/>
      </rPr>
      <t>Although the information complies with both standards (GRI and SASB), only the completeness of the GRI standard has been independently assured.</t>
    </r>
  </si>
  <si>
    <t>GRI - G4 MM6 e MM7 e SASB - EM-MM-210a.1</t>
  </si>
  <si>
    <r>
      <rPr>
        <b/>
        <sz val="10"/>
        <color rgb="FF555555"/>
        <rFont val="Arial"/>
        <family val="2"/>
      </rPr>
      <t xml:space="preserve">Description: </t>
    </r>
    <r>
      <rPr>
        <sz val="10"/>
        <color rgb="FF555555"/>
        <rFont val="Arial"/>
        <family val="2"/>
      </rPr>
      <t>Number and description of significant conflicts relating to land use, customary rights of local communities and indigenous peoples, and the extent to which mechanisms for escalating demands and grievances were used to resolve these conflicts.</t>
    </r>
  </si>
  <si>
    <t>The main conflicts related to the irregular occupation of the company's areas are related to highly complex land contexts marked by historical disputes and lack of legal security in the regularization of properties due to the recent occupation of territories. For more details, see the 2019 Sustainability Report (p. 72).</t>
  </si>
  <si>
    <t>Vale's operational units are installed in regions where land use disputs are part of the territorial context. Currently, Vale is managing the relationship with communities that occupy areas of the Company in four regions of Brazil, Mozambique and Indonesia, through preventive actions to disputs and with permanent dialogue with interested parties, especially public institutions, communities and social movements.</t>
  </si>
  <si>
    <t>Vale currently owns more than 9,000 properties in Brazil, corresponding to approximately 934,000 hectares. Of this total, 63% are operating areas and 37% are non-operating. Part of these areas are located in regions where land use disputs are part of the territorial context and require the company to manage the relationship with communities that have an interest in the company's areas, which occupy them for housing, carry out subsistence activities or for access to natural resources. The main issues related to land use disputs are found in the North region of Brazil, involving local communities and indigenous peoples. Of the total, around 45% of Vale's properties have some type of irregular occupation.
Due to the criticality of the management of irregular occupations, a specific governance was established to bring more agility to analyzes and decision-making. As results already achieved, approximately 68 thousand hectares have already been sold, donated or leased.</t>
  </si>
  <si>
    <t xml:space="preserve">Some of our projects and operations are located in regions where there are land use disputs. The main cases are related to the dependence of third parties on company land, either for habitation by local communities or for access to natural resources, and are located in the state of Pará, in the North region of Brazil. In the municipality of Canaã dos Carajás, areas neighboring the Southeast Pará Railroad branch demand the regularization of land rights for the properties, in exchange for Vale vacating the strip of land on seven properties occupied by 650 families. Negotiations are also underway with 554 families who occupy company properties set aside for the Cristalino Project, aimed at extracting copper and gold in southeastern Pará. In the area reserved for the project, other properties owned by the company were subject to police action coordinated by environmental agencies to demobilize illegal mining activities responsible for the contamination of water resources and damage to the environment.  In Minas Gerais, part of the Xukuru-Kariri indigenous group living in areas granted by the Union in the municipalities of Caldas and Presidente Olegário, both in Minas Gerais, occupied a Vale property in Brumadinho, called Fazenda Bruma, with approximately 50 indigenous people distributed in 16 families. The Bruma Farm is an area acquired by the company for environmental compensation and to comply with the obligation to use the main lake, which has a mechanism for protecting exotic fish species, which requires daily monitoring and maintenance with risks if the proper inspections are not carried out, especially during the rainy season. The monitoring of this property is accompanied by the State Forestry Institute - IEF and AECOM. In addition, nearby, Vale has administrative structures and is also carrying out works related to the Temporary Animal Shelter Center. The aim is also to use the area for the protection of endangered species to preserve the Atlantic Forest and create an APP.  Also in Brumadinho, indigenous people of the Kamakã Mongoió ethnic group, who were originally in the Guayra village in Esmeralda (MG), occupied a property owned by Vale, called Fazenda Córrego de Areia, also intended for environmental compensation, and have remained camped there ever since. Both conflicts have not yet been solved and, until December 2022, these lawsuits were in court, with Vale's intention to take back the occupied areas. 
In Sudbury, Canada, the traditional territory of the Atikameksheng Anishnawbek and Sagamok First Nations24 overlaps with the surroundings of Vale's operation. The relationship is at different stages of maturity with each indigenous people and is generally positive. However, the agreements with these communities need to be reviewed and updated, because since December 2021 conflict situations with these peoples have been registered. In 2022, meetings were held between Vale and the indigenous people's representatives with the objective of constructing the Impact Benefit Agreement (IBA) 25 that meets the interests of the community. This process remains under negotiation and has not impacted our operations to date. </t>
  </si>
  <si>
    <t>The primary instances of land disputes involve third parties, Indigenous Peoples, and local communities. These groups are dependent on the land for shelter and livelihood. Vale strives to resolve conflicts amicably, prioritizing dialogue as a fundamental approach.
In Brazil, in the state of Pará, in Canaã dos Carajás, negotiations are ongoing with 544 families occupying company land dedicated to the Cristalino Project, as per the agreement formalized with social movements and the Pará Public Prosecutor's Office. In 2023, 124 extrajudicial settlements were formalized, 114 were ratified, and 85 lots were vacated.
In Minas Gerais, in 2022, the Xukuru-Kariri Indigenous People occupied a company property, Bruma Farm, in Brumadinho. Sixteen families live there, and the farm was acquired for environmental compensation purposes and to fulfill the obligation of using the main pond, which requires daily maintenance and monitoring by the State Forestry Institute (IEF) and Aecom (an independent external audit in the socio-environmental recovery process). Another Vale property in Brumadinho, Fazenda Córrego de Areia, also earmarked for environmental compensation, was occupied in 2021 by Kamakã Mongoió indigenous people from the south of Bahia. Both properties were acquired free and clear of any occupation or claims by indigenous or traditional communities. Legal proceedings for repossession are underway. Vale has been acting in compliance with the law and respecting the rights involved in both cases.</t>
  </si>
  <si>
    <t>GRI - G4 MM8</t>
  </si>
  <si>
    <r>
      <rPr>
        <b/>
        <sz val="10"/>
        <color rgb="FF555555"/>
        <rFont val="Arial"/>
        <family val="2"/>
      </rPr>
      <t xml:space="preserve">Description: </t>
    </r>
    <r>
      <rPr>
        <sz val="10"/>
        <color rgb="FF555555"/>
        <rFont val="Arial"/>
        <family val="2"/>
      </rPr>
      <t>Number and percentage of operational areas with artisanal and small-scale mining, including adjacent areas; the associated risks and actions taken to manage and mitigate them</t>
    </r>
  </si>
  <si>
    <t>In 2019, 17 occurrences of artisanal or small-scale mining were recorded inside or in the vicinity of the company's operations, in Moatize and Pará. All of them not legalized.</t>
  </si>
  <si>
    <t>In 2020, a multidisciplinary internal group was established and the topic was included in the company's integrated business risk map. An initial georeferenced mapping using high-resolution satellite images of small-scale artisanal mining areas in southeastern Pará, Brazil, was carried out. Preliminary data will be refined throughout 2021 and 2022 along with the review of the engagement strategy with this audience.</t>
  </si>
  <si>
    <t>In 2020, a multidisciplinary internal group was established and the topic was included in the company's integrated business risk map. An initial georeferenced mapping using high-resolution satellite images of small-scale artisanal mining areas in southeastern Pará, Brazil, was carried out. Additional mappings were carried out, covering the state of Minas Gerais. The data has since been refined for purposes of reviewing the engagement strategy with this audience.</t>
  </si>
  <si>
    <r>
      <t xml:space="preserve">Note: </t>
    </r>
    <r>
      <rPr>
        <sz val="9"/>
        <color rgb="FF555555"/>
        <rFont val="Arial"/>
        <family val="2"/>
      </rPr>
      <t>In the event of verification of the existence of illegal mining in areas close to or within its area of operation, Vale involves the public authorities to take the necessary measures and, whenever possible, provides support for the activity to be regularized with to the responsible government agencies, proposing to contribute with the transfer of best practices.</t>
    </r>
  </si>
  <si>
    <t>GRI - G4 MM9</t>
  </si>
  <si>
    <r>
      <rPr>
        <b/>
        <sz val="10"/>
        <color rgb="FF555555"/>
        <rFont val="Arial"/>
        <family val="2"/>
      </rPr>
      <t xml:space="preserve">Description: </t>
    </r>
    <r>
      <rPr>
        <sz val="10"/>
        <color rgb="FF555555"/>
        <rFont val="Arial"/>
        <family val="2"/>
      </rPr>
      <t>Locations where resettlements took place, the number of households resettled in each and how their livelihoods were affected in the process</t>
    </r>
  </si>
  <si>
    <t>In 2019, the company's main initiative is the development of the Means of Life Restitution Program in Mozambique and Malawi to serve 15,500 families affected by the involuntary displacement resulting from the installation of the Nacala Corridor. Currently, the program serves 11,200 families through successful experiences in the regional agricultural sector.</t>
  </si>
  <si>
    <t>In Brazil, in 2020, 671 families were assisted in the North (Maranhão and Pará) and South Systems (Espírito Santo and Minas Gerais). The mischaracterization of dams motivated assistance to 171 families in the municipalities of Rio Preto, Itabirito, Barão de Cocais, Mariana and Nova Lima, all located in the state of Minas Gerais.
The involuntary removal of 34 families from irregular occupations in the EFVM domain, in the municipalities of Nova Era and Antonio Dias, in Minas Gerais, is underway on the Vitória à Minas Railroad (EFVM). Vale is committed to complying with existing agreements with communities resettled in the Involuntary Removal in Indonesia. Close to the Sorowako mine, Vale renovated 7 houses for residents of the Ledu-Ledu resettlement area, is improving the infrastructure to support social and economic activities such as road construction and drainage facilities, as well as contributing to the availability of drinking water for the residents.
In Mozambique, Vale invested USD 2 million in improvements in the resettlements in Moatize, contributing to the restitution of the livelihoods of the 412 families resettled in Cateme and 289 resettled on September 25th. Emphasis on urban infrastructure projects, strengthening food security, income generation and project to provide technical support, quality inputs and access to markets for more than 600 families.
In 2021, the preparation of the Involuntary Removal Assistance Plan (PAR) will continue, involving the negotiation of agreements with 154 resident families registered in 2020 in the expansion area of the Moatize Carvão Mine PIT 3 of Section 2, a process that was delayed in reason for the Covid-19 pandemic. Engineering alternatives were found to minimize the resettlement of 1,349 families in Section 5. This year, a new physical and socioeconomic survey will begin to update the number of families.
In the Nacala Corridor, in a partnership between Nacala Logistics and the World Food Program* (WFP), an initiative linked to the United Nations (UN), school lunches are distributed to more than 25,000 primary school students in the province of Nampula, northern Mozambique (activity partially suspended due to the pandemic, but resumed in March 2021). Additionally, the inclusion of farmers supported by the Means of Life Restitution Program, promoted by Vale and of which more than 13 thousand families are part, in the list of suppliers for the referred program is ongoing. In Nacala Bay, a program is also being developed for impacted fishermen to restore their livelihoods, with the engagement of 400 families, who have migrated from artisanal fishing to safe and responsible fishing on the high seas and to activities to generate income. complementary income, such as trade, poultry and agriculture.
* World Food Program (WFP), which operates in the UN system and is the world's largest humanitarian organization that addresses hunger and promotes food security.</t>
  </si>
  <si>
    <t>In the year 2021, 805 families were involved in involuntary removal processes in Brazil. Of this total, 572 families are being assisted in this process due to works to de-characterize dams in Minas
General.
On the Vitória-Minas Railroad, a dialogue was held to agree on assistance measures with families living in the railroad's right-of-way in the municipalities of Antonio Dias and Nova Era in Minas Gerais. Even in the case of eviction of the company's area, support is being made available to the 34 vulnerable families in obtaining new housing and restitution of their livelihoods in a new location. On the same railway, Vale carried out studies to promote the involuntary removal of 161 families for duplication and modernization of the railway section in Belo Horizonte.
Also in Minas Gerais, in the municipality of Itabira, a diagnosis was made of 13 families to analyze the feasibility of involuntary removal for drainage works in the Pontal System.
In northern Brazil, Vale carried out a socioeconomic diagnosis to learn about the reality of 25 families that will be assisted to make the duplication project for the road-rail bridge over the Tocantins River in the municipality of Marabá, state
from Pará.
In Mozambique, Vale promoted public consultations for the resettlement of 96 agricultural producers due to the construction of a new pipeline to supply the Carvão Moatize mine. During the same period, consultations were carried out
public for the resettlement of another 171 families from the communities of Mphandwe and Ntchenga located in the future expansion area of the enterprise. After the communities chose the host area, Vale promoted a participatory process to design the resettlement project, which will have infrastructure that will also serve the host community. The model house was built by Vale and approved by the government and communities, with a built area of 70m².
Vila de Cateme was built by Vale to accommodate the resettlement of 712 families from rural communities located where the Carvão Moatize Mine is currently located. On site, Vale maintains a social project for the
agricultural and economic development for resettled families. At Fazenda Modelo, small producers receive training based on sustainable techniques for food production, whose revenue is reverted as income for the
families, thus contributing to the restoration of their livelihoods.</t>
  </si>
  <si>
    <t xml:space="preserve">In the year 2022, Vale involved 1,465 families in involuntary removal processes. 
Breakdown of Dam B1 in Brumadinho:   
Vale is providing assistance to families affected by the rupture of Dam B1 at the Córrego do Feijão Mine, with 40 families remaining in temporary care, while another 13 families have moved on to definitive care.  
Decharacterization of dams: 
Projects to decharacterize dams involved 412 families, all in Minas Gerais. Vale provides services to 374 families in the municipalities of Ouro Preto, Barão de Cocais, Nova Lima and Itabirito. In the municipality of Itabira, 38 families were registered, and at the end of 2022 they were awaiting the start of negotiations to vacate an area that will make the decommissioning of the Pontal System possible. 
Instability of geotechnical structures:
The provided assistance to 3 families that had to leave their properties on an emergency basis due to instability of structures caused by the intensity of rainfall in the state of Minas Gerais. 
Regularization of company properties: 
In Brazil, 88 families mapped irregularly occupy areas of company domain. In Minas Gerais, in the municipalities of Antonio Dias and Nova Era, 35 families occupy the domain range, while in São Luis, Maranhão, another 52 families occupy a concession area neighboring the Ponta da Madeira Terminal. Vale is evaluating the feasibility of involuntary removal of these families.
Impacts of operations and projects: 
Vale is serving 261 families in Indonesia arising from the resettlement projects of the Longi and Lembo South projects. In Brazil, another 648 families are involved in involuntary removal processes. In the state of Pará, the project to duplicate the bridge over the Tocantins River in Marabá required assistance to 36 families, a number that reflects the updating of the socioeconomic registry.  In the municipality of Ourilândia do Norte, Vale concluded negotiations and provided definitive assistance to 56 families that were left over from the involuntary removal process carried out to install the Onça Puma Mine. In the state of Espírito Santo, 451 families have been mapped out in the first alternative location for the project to build the Anchieta branch of the Vitória-Minas Railroad (EFVM), while in Minas Gerais, another 70 families have been mapped out in the project to duplicate the railroad stretch in Belo Horizonte. Vale is seeking alternatives to reduce the number of families that could be affected by the installation of these two projects. In the municipality of Brumadinho, 39 families are being assisted as a result of the execution of the Reparation works. </t>
  </si>
  <si>
    <t xml:space="preserve">In 2023, 1018 families were involved in forced relocation processes in Brazil. Of these, 171 received permanent care, and another 274 are receiving provisional care, with the right to adequate housing and income safeguarded by Vale. A total of 573 families were mapped through preliminary socioeconomic surveys to support alternatives that seek to minimize and avoid involuntary resettlement.
In São Luis, Maranhão state, the findings of a socioeconomic assessment involving 52 families from the Praia do Boqueirão community were disclosed. In Ourilândia do Norte, Pará state, an agreement was reached with 35 families from the Madalena community to avoid resettlement. Also in Pará, in the municipality of Marabá, we provided care for 56 families living in the area necessary for the Tocantins Bridge Duplication Project. On the Vitória-to-Minas Railroad, the number of families impacted by the duplication project between Sabará and Capitão Eduardo was reduced from 70 to 39. On the same railroad, within the municipalities of Antônio Dias and Nova Era, the progression of negotiations for family support has been put on hold until government agencies approve the new right-of-way
In Indonesia, 55 families encroached on a protected forest under the responsibility of PT Vale Indonesia (PTVI) and received financial compensation to vacate it. However, these families raise issues regarding the restoration of their livelihoods. PTVI is committed to finding a peaceful solution.
</t>
  </si>
  <si>
    <t>SASB - EM-MM-210a.3</t>
  </si>
  <si>
    <r>
      <rPr>
        <b/>
        <sz val="10"/>
        <color rgb="FF555555"/>
        <rFont val="Arial"/>
        <family val="2"/>
      </rPr>
      <t>Description:</t>
    </r>
    <r>
      <rPr>
        <sz val="10"/>
        <color rgb="FF555555"/>
        <rFont val="Arial"/>
        <family val="2"/>
      </rPr>
      <t xml:space="preserve"> Discussion of engagement processes and due diligence practices with respect to human rights, indigenous rights and operation in conflict areas</t>
    </r>
  </si>
  <si>
    <t>In 2019, Human Rights risk assessments were carried out in 55 of 67 operations, representing 82% of operations (11 projects that were suspended due to the dam decommissioning process and the company Biopalma, which underwent external due diligence, did not participate) . This initial process contributed to the mapping of risks associated with the company's activities and allowed the identification of preventive and mitigating controls. Even though in the methodological adaptation phase, the operational areas have developed action plans that are being implemented from 2020. In addition to human rights risk assessments, Vale also carries out due diligence, as part of human rights management. It is important to highlight that mergers and acquisitions of new projects also undergo a verification/due diligence process.
In 2019, three due diligence pilots were carried out related to operations and JVs and two pilots in suppliers with contracts in force with Vale.
The company incorporates the theme of indigenous peoples and traditional communities across the various internal analysis processes on risk and viability of undertakings, effectively considering the rights and interests of these communities in decision-making. Vale has been working on improving its management strategy, with intense training of its own employees and third parties, with constant review of processes and development of planning tools and support for relationship actions with these stakeholders.
Vale's guidelines are based on international commitments and references related to indigenous issues, based on the ICMM position on Mining and Indigenous Peoples, ILO Convention No. 169 and the United Nations Declaration on the Rights of Indigenous Peoples .</t>
  </si>
  <si>
    <t>In 2020, 100% of Vale's operations included their risks in the company's risk management system. The causes considered applicable by Vale's operations have preventive or mitigating control measures, or an action plan for reviewing existing controls or adopting new controls. In 2020, as part of Human Rights management, Vale developed a methodology for carrying out verification or due diligence processes.
During the year, four types of operational due diligence were carried out - one in an operational complex (still in progress), another with critical suppliers (pilot project included the verification and evaluation of 15 suppliers), a third in the Brumadinho Repair process (MG ) (expected to close in 2021), and another in more than 128 Vale lodgings in Pará, Maranhão and Minas Gerais. When the indigenous issue is material, it is considered in the due diligence.
Vale incorporates the indigenous theme and that of traditional communities transversally in the various internal analysis processes on risk and viability of undertakings, effectively considering the rights and interests of these communities in decision-making.
When planning its projects, it seeks to encourage the active participation of Indigenous Peoples and Traditional Communities in solving issues related to Vale's activities that generate risks and/or impacts on these populations, in line with the concept of Consultation and Free, Prior and Informed Consent ( FPIC), as well as monitoring compliance with control and/or mitigation measures.
Vale's relationship with indigenous peoples and traditional communities is in line with the main international commitments and standards, such as the ICMM declaration on Mining and Indigenous Peoples, Convention No. 169 of the International Labor Organization (ILO), and the United Nations Declaration on Rights of Indigenous Peoples.</t>
  </si>
  <si>
    <t>In 2021, 100% of Vale's operations assessed the risk of human rights violations, periodically monitoring them along with other business risks. In addition, operations adopted prevention and mitigation control measures for these risks and carried out tests to ensure their effectiveness.</t>
  </si>
  <si>
    <t>In 2022, 10 human rights due diligences were completed, covering a total of 22 operations assessed by specialized external consultants in the Southeast and South corridors*, concluding the process in 100% of Vale's active operations in Brazil.  The main results pointed to critical issues related to potential and real impacts on working conditions, sexual and moral harassment, discrimination and impacts on coexistence with the community.</t>
  </si>
  <si>
    <t xml:space="preserve">Human Rights Due Diligence (HRDD) is an in-depth assessment of actual and potential impacts conducted by independent external experts on all critical operations and projects, in three- to five-year cycles. The integration of the results of the HRDD is also done through corrective actions of the operation, with monitoring and reporting on the treatment of the risks and impacts detected. 
In 2023, HRDD was completed in 100% of our operations in Brazil (including active, halted and de-characterized) and in the Iron Ore Solutions operation in Malaysia. The results of the HRDD carried out in Brazil pointed to challenges related to third-party working conditions, infrastructure and facilities management, property security, moral and sexual harassment, discrimination, and diversity and inclusion.   </t>
  </si>
  <si>
    <r>
      <t>Note:</t>
    </r>
    <r>
      <rPr>
        <sz val="9"/>
        <color rgb="FF555555"/>
        <rFont val="Arial"/>
        <family val="2"/>
      </rPr>
      <t xml:space="preserve"> *Corridor is a nomenclature used by Vale's operations in Brazil, considering activities from mine sites to port operations.</t>
    </r>
  </si>
  <si>
    <t>SASB - EM-MM-210b.1</t>
  </si>
  <si>
    <r>
      <rPr>
        <b/>
        <sz val="10"/>
        <color rgb="FF555555"/>
        <rFont val="Arial"/>
        <family val="2"/>
      </rPr>
      <t xml:space="preserve">Description: </t>
    </r>
    <r>
      <rPr>
        <sz val="10"/>
        <color rgb="FF555555"/>
        <rFont val="Arial"/>
        <family val="2"/>
      </rPr>
      <t>Discussion of the process for managing risks and opportunities associated with community rights and interests</t>
    </r>
  </si>
  <si>
    <t>The relationship with communities is guided by Vale's Social Action model, built and implemented through the management of human rights processes, socio-environmental risks and impacts, community health and safety, involuntary removal, relations with local communities, relations with indigenous peoples and traditional communities, actions to support local development, socio-environmental investments and conflict management with communities.
For more information, please consult the chapter "Commitment to people
and human rights" of the 2019 Sustainability Report.</t>
  </si>
  <si>
    <t>In 2020, Vale internationalized the community relationship standards for all countries where the company has operations, except for Malaysia scheduled for 2021. This initiative made it possible to qualify the global management of social action - based on the integration of information - and promote greater transparency in area reports.
For more information, please consult the 2020 Integrated Report.</t>
  </si>
  <si>
    <t>Vale's Social Action model is effective through the management of risks and impacts on communities and the promotion of a positive social legacy through territorial development, the promotion of human rights, the empowerment of communities and the strengthening of policies and public Management.
This model is supported by the relationship with communities, which is based on gaining trust, active listening, a transparent posture, engagement in decision-making through participatory processes, and is guided by respect for Human Rights.
Relationship with Communities is a strategic process for Vale's social action, and consists of establishing interactions and engagement with communities, as well as with other local actors in the territories where the company is present.
With the aim of engaging communities, Vale seeks to establish structured dialogue spaces for the construction of Community Relationship Plans. The plans have as a principle the mobilization and social participation in the definition and prioritization of actions to be implemented in the territory. Furthermore, the structuring of the plan aims at sharing responsibilities between the company, the community and other social actors for local development.
The Relationship Plans are monitored by the community relationship teams that have a systematic routine of participatory meetings to monitor the execution of actions, evaluating the adherence and effectiveness of the results with the community. This follow-up is recorded in the Stakeholders, Demands and Issues System (SDI).</t>
  </si>
  <si>
    <t>Our social action is guided by the international standards of the sector and constitutes a necessary foundation towards our Social Ambition.
The operating model is guided by the following guiding principles: transparency, active listening, social participation, engagement, social capacity, diversity and inclusion, adherence to international pacts and operational responsibility. It directs our actions throughout the entire lifecycle of the projects, based on respect for Human Rights, which is a non-negotiable condition, where each employee or contractor must be attentive to avoid any type of violation.
Respecting Human Rights is the basis that makes our model of social action strong and consistent, extending to all the company's activities. And the relationship, which is the means by which we build respect and trust with the communities and other stakeholders with whom we interact. It is through engagement with people, groups and institutions that we manage the effects of risks and impacts; we share our practices; and we learn how to be a better company every day, becoming a partner company in the development of territories.
With the aim of engaging communities, we seek to establish structured dialogue spaces for the construction of Community Relationship Plans. The plans have as a principle the mobilization and social participation in the definition and prioritization of actions to be implemented in the territory. In addition, the structuring of the plan aims at sharing responsibilities between the company, the community and other social actors for local development.
The Relationship Plans are monitored by the community relationship teams that have a systematic routine of participatory meetings to monitor the execution of actions, evaluating the adherence and effectiveness of the results with the community. Our commitment is that 100% of very high and high priority communities have a Relationship Plan implemented by 2026.
Priority communities are those that affect and/or are affected by the company's activities. For the characterization of these communities, risk, impact and relationship indicators are evaluated, in addition to the analysis of socioeconomic aspects.</t>
  </si>
  <si>
    <t>We understand that we are part of and can contribute to the territories where we operate. In this sense, we have built our Social Ambition, in which we highlight the objective of being a partner company in the development of autonomous communities, engaged in topics relevant to humanity and committed to sustainable mining. Learn more about our Social Operations.  
Starting in 2023, we implemented a new integrated model to improve your local performance with communities, municipal governments, regulatory bodies, and other relationship stakeholders in Brazil. This involves identifying and mitigating risks and impacts of our operations, assessing the priorities of the communities where the company operates, and defining how we can contribute to the development of the regions where we operate. We have the challenge of integrating the agendas of these territories and stakeholders, implementing the action strategy, including territorial development programs that aim to strengthen local capacities and promote the development of these communities, together with the government and partners.</t>
  </si>
  <si>
    <t>Social Performance</t>
  </si>
  <si>
    <t>SASB - EM-MM-210b.2</t>
  </si>
  <si>
    <r>
      <rPr>
        <b/>
        <sz val="10"/>
        <color rgb="FF555555"/>
        <rFont val="Arial"/>
        <family val="2"/>
      </rPr>
      <t xml:space="preserve">Description: </t>
    </r>
    <r>
      <rPr>
        <sz val="10"/>
        <color rgb="FF555555"/>
        <rFont val="Arial"/>
        <family val="2"/>
      </rPr>
      <t>Number and duration of non-technical delays</t>
    </r>
  </si>
  <si>
    <t>Vale does not have information on non-technical delays.</t>
  </si>
  <si>
    <t>SASB - EM-MM-310a.1</t>
  </si>
  <si>
    <r>
      <rPr>
        <b/>
        <sz val="10"/>
        <color rgb="FF555555"/>
        <rFont val="Arial"/>
        <family val="2"/>
      </rPr>
      <t xml:space="preserve">Description: </t>
    </r>
    <r>
      <rPr>
        <sz val="10"/>
        <color rgb="FF555555"/>
        <rFont val="Arial"/>
        <family val="2"/>
      </rPr>
      <t>Percentage of active workforce covered by collective bargaining agreements, broken down by US and foreign employees</t>
    </r>
  </si>
  <si>
    <t>96% of Vale's own employees are covered by collective agreements.</t>
  </si>
  <si>
    <t>95.9% of Vale's own employees are covered by collective agreements.</t>
  </si>
  <si>
    <t>92% of Vale's own employees are covered by collective agreements.</t>
  </si>
  <si>
    <t>94% of Vale's own employees are covered by collective agreements.</t>
  </si>
  <si>
    <t>SASB - EM-MM-320a.1</t>
  </si>
  <si>
    <r>
      <rPr>
        <b/>
        <sz val="10"/>
        <color rgb="FF555555"/>
        <rFont val="Arial"/>
        <family val="2"/>
      </rPr>
      <t>Description:</t>
    </r>
    <r>
      <rPr>
        <sz val="10"/>
        <color rgb="FF555555"/>
        <rFont val="Arial"/>
        <family val="2"/>
      </rPr>
      <t xml:space="preserve"> (1) MSHA (Mine Safety and Health Administration) total incidence rate, (2) fatality rate, (3) near miss frequency rate (NMFR), and (4) average hours of health, safety and health training emergency response for (a) full-time employers and (b) contract employees.</t>
    </r>
  </si>
  <si>
    <r>
      <rPr>
        <b/>
        <sz val="9"/>
        <color rgb="FF555555"/>
        <rFont val="Arial"/>
        <family val="2"/>
      </rPr>
      <t xml:space="preserve">(1) </t>
    </r>
    <r>
      <rPr>
        <sz val="9"/>
        <color rgb="FF555555"/>
        <rFont val="Arial"/>
        <family val="2"/>
      </rPr>
      <t>Total Occupational Injury Frequency Rate (TRIFR): 3.46
      Frequency Rate of Occupational Injuries with Leave: 0.81</t>
    </r>
    <r>
      <rPr>
        <b/>
        <sz val="9"/>
        <color rgb="FF555555"/>
        <rFont val="Arial"/>
        <family val="2"/>
      </rPr>
      <t xml:space="preserve">
(2)</t>
    </r>
    <r>
      <rPr>
        <sz val="9"/>
        <color rgb="FF555555"/>
        <rFont val="Arial"/>
        <family val="2"/>
      </rPr>
      <t xml:space="preserve"> Fatality rate: 0.77</t>
    </r>
    <r>
      <rPr>
        <b/>
        <sz val="9"/>
        <color rgb="FF555555"/>
        <rFont val="Arial"/>
        <family val="2"/>
      </rPr>
      <t xml:space="preserve">
(3) </t>
    </r>
    <r>
      <rPr>
        <sz val="9"/>
        <color rgb="FF555555"/>
        <rFont val="Arial"/>
        <family val="2"/>
      </rPr>
      <t>n/a</t>
    </r>
    <r>
      <rPr>
        <b/>
        <sz val="9"/>
        <color rgb="FF555555"/>
        <rFont val="Arial"/>
        <family val="2"/>
      </rPr>
      <t xml:space="preserve">
(4) </t>
    </r>
    <r>
      <rPr>
        <sz val="9"/>
        <color rgb="FF555555"/>
        <rFont val="Arial"/>
        <family val="2"/>
      </rPr>
      <t>Vale does not have information on the average number of hours spent on health and safety training by employees.</t>
    </r>
  </si>
  <si>
    <r>
      <rPr>
        <b/>
        <sz val="9"/>
        <color rgb="FF555555"/>
        <rFont val="Arial"/>
        <family val="2"/>
      </rPr>
      <t xml:space="preserve">(1) </t>
    </r>
    <r>
      <rPr>
        <sz val="9"/>
        <color rgb="FF555555"/>
        <rFont val="Arial"/>
        <family val="2"/>
      </rPr>
      <t xml:space="preserve">Total Occupational Injury Frequency Rate (TRIFR): 1.98
      Frequency Rate of Occupational Injuries with Leave: 0.69
</t>
    </r>
    <r>
      <rPr>
        <b/>
        <sz val="9"/>
        <color rgb="FF555555"/>
        <rFont val="Arial"/>
        <family val="2"/>
      </rPr>
      <t>(2)</t>
    </r>
    <r>
      <rPr>
        <sz val="9"/>
        <color rgb="FF555555"/>
        <rFont val="Arial"/>
        <family val="2"/>
      </rPr>
      <t xml:space="preserve"> Fatality rate: 0.08
</t>
    </r>
    <r>
      <rPr>
        <b/>
        <sz val="9"/>
        <color rgb="FF555555"/>
        <rFont val="Arial"/>
        <family val="2"/>
      </rPr>
      <t>(3)</t>
    </r>
    <r>
      <rPr>
        <sz val="9"/>
        <color rgb="FF555555"/>
        <rFont val="Arial"/>
        <family val="2"/>
      </rPr>
      <t xml:space="preserve"> n/a
</t>
    </r>
    <r>
      <rPr>
        <b/>
        <sz val="9"/>
        <color rgb="FF555555"/>
        <rFont val="Arial"/>
        <family val="2"/>
      </rPr>
      <t>(4)</t>
    </r>
    <r>
      <rPr>
        <sz val="9"/>
        <color rgb="FF555555"/>
        <rFont val="Arial"/>
        <family val="2"/>
      </rPr>
      <t xml:space="preserve"> Vale has the obligation to train employees in regulatory standards, from the employee's entry into the company to the execution of their activities, as well as employees exposed to critical activities and HSE operational procedures. However, there is no information on the average number of hours spent on health and safety training by employees.</t>
    </r>
  </si>
  <si>
    <r>
      <rPr>
        <b/>
        <sz val="9"/>
        <color rgb="FF555555"/>
        <rFont val="Arial"/>
        <family val="2"/>
      </rPr>
      <t xml:space="preserve">(1) </t>
    </r>
    <r>
      <rPr>
        <sz val="9"/>
        <color rgb="FF555555"/>
        <rFont val="Arial"/>
        <family val="2"/>
      </rPr>
      <t>Total Occupational Injury Frequency Rate (TRIFR): 1.41
      Frequency Rate of Occupational Injuries with Leave: 0.38</t>
    </r>
    <r>
      <rPr>
        <b/>
        <sz val="9"/>
        <color rgb="FF555555"/>
        <rFont val="Arial"/>
        <family val="2"/>
      </rPr>
      <t xml:space="preserve">
(2) </t>
    </r>
    <r>
      <rPr>
        <sz val="9"/>
        <color rgb="FF555555"/>
        <rFont val="Arial"/>
        <family val="2"/>
      </rPr>
      <t>Fatality rate: 0.04</t>
    </r>
    <r>
      <rPr>
        <b/>
        <sz val="9"/>
        <color rgb="FF555555"/>
        <rFont val="Arial"/>
        <family val="2"/>
      </rPr>
      <t xml:space="preserve">
(3) </t>
    </r>
    <r>
      <rPr>
        <sz val="9"/>
        <color rgb="FF555555"/>
        <rFont val="Arial"/>
        <family val="2"/>
      </rPr>
      <t>n/a</t>
    </r>
    <r>
      <rPr>
        <b/>
        <sz val="9"/>
        <color rgb="FF555555"/>
        <rFont val="Arial"/>
        <family val="2"/>
      </rPr>
      <t xml:space="preserve">
(4) </t>
    </r>
    <r>
      <rPr>
        <sz val="9"/>
        <color rgb="FF555555"/>
        <rFont val="Arial"/>
        <family val="2"/>
      </rPr>
      <t>Vale has the obligation to train employees in regulatory standards, from the employee's entry into the company to the execution of their activities, as well as employees exposed to critical activities and HSE operational procedures. However, there is no information on the average number of hours spent on health and safety training by employees.</t>
    </r>
  </si>
  <si>
    <r>
      <rPr>
        <b/>
        <sz val="9"/>
        <color rgb="FF555555"/>
        <rFont val="Arial"/>
        <family val="2"/>
      </rPr>
      <t>(1)</t>
    </r>
    <r>
      <rPr>
        <sz val="9"/>
        <color rgb="FF555555"/>
        <rFont val="Arial"/>
        <family val="2"/>
      </rPr>
      <t xml:space="preserve"> Total Occupational Injury Frequency Rate (TRIFR): 1.12
      Frequency Rate of Occupational Injuries with Leave: 0.30
</t>
    </r>
    <r>
      <rPr>
        <b/>
        <sz val="9"/>
        <color rgb="FF555555"/>
        <rFont val="Arial"/>
        <family val="2"/>
      </rPr>
      <t>(2)</t>
    </r>
    <r>
      <rPr>
        <sz val="9"/>
        <color rgb="FF555555"/>
        <rFont val="Arial"/>
        <family val="2"/>
      </rPr>
      <t xml:space="preserve"> Fatality rate: 0.011
</t>
    </r>
    <r>
      <rPr>
        <b/>
        <sz val="9"/>
        <color rgb="FF555555"/>
        <rFont val="Arial"/>
        <family val="2"/>
      </rPr>
      <t>(3)</t>
    </r>
    <r>
      <rPr>
        <sz val="9"/>
        <color rgb="FF555555"/>
        <rFont val="Arial"/>
        <family val="2"/>
      </rPr>
      <t xml:space="preserve"> n/a
</t>
    </r>
    <r>
      <rPr>
        <b/>
        <sz val="9"/>
        <color rgb="FF555555"/>
        <rFont val="Arial"/>
        <family val="2"/>
      </rPr>
      <t>(4)</t>
    </r>
    <r>
      <rPr>
        <sz val="9"/>
        <color rgb="FF555555"/>
        <rFont val="Arial"/>
        <family val="2"/>
      </rPr>
      <t xml:space="preserve"> Vale has the obligation to train employees in regulatory standards, from the employee's entry into the company to the execution of their activities, as well as employees exposed to critical activities and HSE operational procedures. However, there is no information on the average number of hours spent on health and safety training by employees.</t>
    </r>
  </si>
  <si>
    <r>
      <rPr>
        <b/>
        <sz val="9"/>
        <color rgb="FF555555"/>
        <rFont val="Arial"/>
        <family val="2"/>
      </rPr>
      <t>(1)</t>
    </r>
    <r>
      <rPr>
        <sz val="9"/>
        <color rgb="FF555555"/>
        <rFont val="Arial"/>
        <family val="2"/>
      </rPr>
      <t xml:space="preserve"> Total Occupational Injury Frequency Rate (TRIFR): 1.06
      Frequency Rate of Occupational Injuries with Leave: 0.20
</t>
    </r>
    <r>
      <rPr>
        <b/>
        <sz val="9"/>
        <color rgb="FF555555"/>
        <rFont val="Arial"/>
        <family val="2"/>
      </rPr>
      <t>(2)</t>
    </r>
    <r>
      <rPr>
        <sz val="9"/>
        <color rgb="FF555555"/>
        <rFont val="Arial"/>
        <family val="2"/>
      </rPr>
      <t xml:space="preserve"> Fatality rate: 0.002
</t>
    </r>
    <r>
      <rPr>
        <b/>
        <sz val="9"/>
        <color rgb="FF555555"/>
        <rFont val="Arial"/>
        <family val="2"/>
      </rPr>
      <t>(3)</t>
    </r>
    <r>
      <rPr>
        <sz val="9"/>
        <color rgb="FF555555"/>
        <rFont val="Arial"/>
        <family val="2"/>
      </rPr>
      <t xml:space="preserve"> n/a
</t>
    </r>
    <r>
      <rPr>
        <b/>
        <sz val="9"/>
        <color rgb="FF555555"/>
        <rFont val="Arial"/>
        <family val="2"/>
      </rPr>
      <t>(4)</t>
    </r>
    <r>
      <rPr>
        <sz val="9"/>
        <color rgb="FF555555"/>
        <rFont val="Arial"/>
        <family val="2"/>
      </rPr>
      <t xml:space="preserve"> Vale has the obligation to train employees in regulatory standards, from the employee's entry into the company to the execution of their activities, as well as employees exposed to critical activities and HSE operational procedures. However, there is no information on the average number of hours spent on health and safety training by employees.</t>
    </r>
  </si>
  <si>
    <t>Framework</t>
  </si>
  <si>
    <t>ICMM Mineral Exploration Principles</t>
  </si>
  <si>
    <t>ICMM performance expectations</t>
  </si>
  <si>
    <t>GRI Index (Global Reporting Initiative)</t>
  </si>
  <si>
    <t>GRI index</t>
  </si>
  <si>
    <t>SASB Index (Sustainability Accounting Standards Board)</t>
  </si>
  <si>
    <t>SASB index</t>
  </si>
  <si>
    <t>ICMM Mining Principles</t>
  </si>
  <si>
    <t>Principle</t>
  </si>
  <si>
    <t>Principle 1: Ethical Business</t>
  </si>
  <si>
    <t>Principle 2: Decision making</t>
  </si>
  <si>
    <t>Principle 3: Human rights</t>
  </si>
  <si>
    <t>Principle 4: Risk management</t>
  </si>
  <si>
    <t>Principle 5: Health and safety</t>
  </si>
  <si>
    <t>Principle 6: Environmental performance</t>
  </si>
  <si>
    <t>Principle 7: Conservation of biodiversity</t>
  </si>
  <si>
    <t>Principle 8: Responsible production</t>
  </si>
  <si>
    <t>Principle 9: Social performance</t>
  </si>
  <si>
    <t>Principle 10: Stakeholder Engagement</t>
  </si>
  <si>
    <t>International Council on Mining and Metals (ICMM)</t>
  </si>
  <si>
    <t>Self-assessed sites</t>
  </si>
  <si>
    <t>Units that went through external verification</t>
  </si>
  <si>
    <r>
      <t xml:space="preserve">ICMM's MINING PRINCIPLES 
</t>
    </r>
    <r>
      <rPr>
        <sz val="12"/>
        <color indexed="21"/>
        <rFont val="Arial"/>
        <family val="2"/>
      </rPr>
      <t>Self-assessment results</t>
    </r>
  </si>
  <si>
    <t>Vitória-Minas Railroad</t>
  </si>
  <si>
    <t>Malaysia Port</t>
  </si>
  <si>
    <t>Porto de Tubarão</t>
  </si>
  <si>
    <t>Itaguaí Maritime Terminal - Cia. Portuária Baía de Sepetiba ("CPBS")</t>
  </si>
  <si>
    <t>Ilha Guaíba Terminal ("TIG")</t>
  </si>
  <si>
    <t>PT Vale Indonesia Tbk (PTVI)</t>
  </si>
  <si>
    <t>Long Harbour Operations</t>
  </si>
  <si>
    <t>Voisey's Bay - Complex</t>
  </si>
  <si>
    <t>Thompson Complex</t>
  </si>
  <si>
    <t>Port Colborne - Complex</t>
  </si>
  <si>
    <t>Sudbury -
 Complex</t>
  </si>
  <si>
    <t>Clydach Refinery</t>
  </si>
  <si>
    <t>Itabira Complex</t>
  </si>
  <si>
    <t>Mariana Complex</t>
  </si>
  <si>
    <t>Água Limpa and Brucutu Complex</t>
  </si>
  <si>
    <t>Paraopeba Complex</t>
  </si>
  <si>
    <t>Vargem Grande Complex</t>
  </si>
  <si>
    <t>Vargem Grande Pelletizing Plant</t>
  </si>
  <si>
    <t>Tubarão Pelletizing Plant</t>
  </si>
  <si>
    <t>Oman Pelletizing Plant</t>
  </si>
  <si>
    <t xml:space="preserve"> São Luís Pelletizing Plant</t>
  </si>
  <si>
    <t>Serra Sul - S11D</t>
  </si>
  <si>
    <t>Serra Norte - Carajás</t>
  </si>
  <si>
    <t>Carajás Railroad</t>
  </si>
  <si>
    <t>Azul Mine</t>
  </si>
  <si>
    <t>Ponta da Madeira Maritime Terminal</t>
  </si>
  <si>
    <t xml:space="preserve">Vale Corporate </t>
  </si>
  <si>
    <t>Notes</t>
  </si>
  <si>
    <t>Documents &amp; Publications</t>
  </si>
  <si>
    <t>Iron Ore</t>
  </si>
  <si>
    <t>Pelletizing</t>
  </si>
  <si>
    <t>Corporate</t>
  </si>
  <si>
    <t>United Kingdom</t>
  </si>
  <si>
    <t>Principle 1: Apply ethical business practices and sound systems of corporate governance and transparency to support sustainable development.</t>
  </si>
  <si>
    <t xml:space="preserve">Performance Expectation 1.1: Establish systems to maintain compliance with applicable law. </t>
  </si>
  <si>
    <t>Corporate and Asset Level</t>
  </si>
  <si>
    <t xml:space="preserve">Vale complies with all applicable laws in the countries where we operate. Mechanisms are in place to identify relevant environmental legal requirements at various levels. These mechanisms (systems) identify and monitor environmental legal requirements applicable to Vale's activities, ensuring legal compliance. Vale periodically monitors the legal compliance of its operations with environmental legal obligations at all levels.
Partially compliant units have identified opportunities to improve compliance with permit conditions in order to avoid delays, and have implemented an internal system to improve tracking and monitoring.
</t>
  </si>
  <si>
    <t xml:space="preserve">Performance Expectation 1.2: Implement policies and practices to prevent bribery and corruption and to publicly disclose facilitation payments. </t>
  </si>
  <si>
    <t>Vale has zero tolerance for corruption and bribery. In addition to its Code of Conduct, the Ethics &amp; Compliance Program introduces anti-corruption rules. The Global Anti-Corruption Policy is the main document on the subject and reiterates Vale's commitment to doing business with integrity.</t>
  </si>
  <si>
    <r>
      <t xml:space="preserve">
</t>
    </r>
    <r>
      <rPr>
        <sz val="12"/>
        <color indexed="21"/>
        <rFont val="Arial"/>
        <family val="2"/>
      </rPr>
      <t xml:space="preserve"> </t>
    </r>
  </si>
  <si>
    <t xml:space="preserve">Performance Expectation 1.3: Implement policies and standards consistent with the ICMM policy framework. </t>
  </si>
  <si>
    <t>Corporate Level</t>
  </si>
  <si>
    <t xml:space="preserve">Vale's policies, standards and procedures are aligned with ICMM's policy framework. As we are board members, we are required to conduct an annual self-assessment, checking the adherence of Vale's operational and corporate units with the ICMM Mining Principles. We carried out the self-assessment in the years 2019 to 2023. The third-party validation, for the prioritized sites, of the information from the 2023 self-assessment cycle is being conducted by PWC.
</t>
  </si>
  <si>
    <t xml:space="preserve">Performance Expectation 1.4: Assign accountability for sustainability performance at the Board and/or Executive Committee level. </t>
  </si>
  <si>
    <t xml:space="preserve">In 2021, Vale improved its dialog and engagement with shareholders, communities and society, to act in greater alignment with their expectations. With this focus, Vale's Board of Directors has expanded its oversight of issues essential to the company's sustainability, with special attention to best corporate governance practices, the safety of people, communities and assets, remediation processes and its long-term strategic plan. Vale has a Sustainability Committee which is responsible for advising the Board on matters related to sustainability, including evaluation of our performance, current and proposed investments and research, as well as our institutional, social, environmental and community relations. </t>
  </si>
  <si>
    <t xml:space="preserve">Performance Expectation 1.5: Disclose the value and beneficiaries of financial and in-kind political contributions whether directly or through an intermediary. </t>
  </si>
  <si>
    <t>Vale prohibits any kind of direct or indirect donation or political contribution in the name of the company. The prohibition is explicit in its By-Laws and in its Global Anti-corruption Policy. The company has an Ethics &amp; Compliance Program that acts: (1) preventively in promoting anti-corruption guidelines and rules; (2) in detecting possible deviations through its Monitoring &amp; Risks and Reporting Channel pillars, and (3) in correcting confirmed deviations through Consequence Management.</t>
  </si>
  <si>
    <t>Principle 2: Integrate sustainable development in company strategy and decision-making processes.</t>
  </si>
  <si>
    <t>Performance Expectation 2.1: Integrate sustainable development principles into corporate strategy and decision-making processes relating to investments in the design, operation and closure of facilities.</t>
  </si>
  <si>
    <t xml:space="preserve">Vale is committed to integrating sustainability into its business, building a strong and positive economic, social and environmental legacy, and mitigating the impacts of its operations. Our global sustainability objectives are aligned with the Sustainable Development Goals (SDGs) of the United Nations Agenda 2030.
For more information, please visit: ESG Portal - Our Strategy and Commitments </t>
  </si>
  <si>
    <t>Performance Expectation 2.2: Support the adoption of responsible health and safety, environmental, human rights and labour policies and practices by joint venture partners, suppliers and contractors, based on risk.</t>
  </si>
  <si>
    <t>Vale has a Supplier Code of Conduct, which has become a mandatory part of the registration process for new suppliers globally. The code helps to ensure that our partners are aligned with Vale's values and practices, in compliance with various commitments in relation to issues such as Health &amp; Safety and the Environment, Sustainability, Human Rights and Local Legislation (labor, fiscal and tax). In 2021, the Human Rights area, in partnership with the Procurement area, developed the Human Rights management process for suppliers, based on the UN Guiding Principles on Business and Human Rights.</t>
  </si>
  <si>
    <t>Principle 3: Respect human rights and the interests, cultures, customs and values of employees and communities affected by our activities.</t>
  </si>
  <si>
    <t>Performance Expectation 3.1: Support the UN Guiding Principles on Business and Human Rights by developing a policy commitment to respect human rights, undertaking human rights due diligence and providing for or cooperating in processes to enable the remediation of adverse human rights impacts that members have caused or contributed to</t>
  </si>
  <si>
    <t>Since 2009, Vale has a Human Rights Policy aligned with the "Protect, Respect and Remedy" framework established by the United Nations (UN). It was updated in 2014 and later in 2019 to ensure alignment with the UN Guiding Principles for Business and Human Rights. In order to bring the Policy closer to employees, the third edition of the Human Rights Guide was produced, in addition to specific documents to delve into relevant topics on the subject in the extractive sector. An opportunity was identified to advance in the inclusion of the Human Rights topic in all company processes and decision-making.</t>
  </si>
  <si>
    <t>Performance Expectation 3.2: Avoid the involuntary physical or economic displacement of families and communities. Where this is not possible apply the mitigation hierarchy and implement actions or remedies that address residual adverse effects to restore or improve livelihoods and standards of living of displaced people.</t>
  </si>
  <si>
    <t>Asset Level</t>
  </si>
  <si>
    <t>Vale is committed to ensuring that the involuntary removal process provides for the livelihoods in conditions equivalent or better than those prevailing prior to the involuntary removal. This requires, among other measures, restoring impacted land, housing and economic activities. The process adopted by Vale follows the guidelines of international organizations such as the International Finance Corporation (IFC), the World Bank, the United Nations
United Nations (UN) and the International Council on Mining and Metals (ICMM).
The operational units that considered themselves partially adherent follow the guidelines established by Vale, but the processes are in a post-change monitoring phase.  For the operational units that answered N/A, there are no removal processes mapped.</t>
  </si>
  <si>
    <t>Performance Expectation 3.3: Implement, based on risk, a human rights and security approach consistent with the Voluntary Principles on Security and Human Rights</t>
  </si>
  <si>
    <t xml:space="preserve">As recommended by the Voluntary Principles on Security and Human Rights (VPSHR), Vale is committed to collaborate with public security providers and to communicate its Global Human Rights Policy to demonstrate its commitment to respect the human rights of its managers and employees and of all members of the communities where it operates. 
The operational units that self-assessed themselves as partially adherent stated that the Security area carries out human rights risk assessment based on the local context, but there is no consultation with external stakeholders, or they are still in the process of implementing some mechanisms. </t>
  </si>
  <si>
    <t>Performance Expectation 3.4: Respect the rights of workers by: not employing child or forced labour; avoiding human trafficking; not assigning hazardous/dangerous work to those under 18; eliminating harassment and discrimination; respecting freedom of association and collective bargaining; and providing a mechanism to address workers grievances.</t>
  </si>
  <si>
    <t>Vale understands and recognizes that in its activities, due to the inherent characteristics of the extractive sector and the regions where it operates, there are numerous challenges regarding respect for Human Rights.
In addition, some regions are remote, and public social policies that guarantee the human rights of the communities that live there are not always fully present. When an extractive sector enterprise is launched in regions with these characteristics, the risk of aggravating previously vulnerable situations increases. It is necessary to take firm action in the management of the company's human rights, as well as intersectoral approach which allows the confrontation of complex and systemic problems.
That is reason for the company commitment with the UN Guiding Principles on Business and Human Rights and is aligned with international principles and standards.
Thus, Vale's Human Rights strategy and management is based on the respect, awareness and promotion of the theme, as well as the prevention of risks and the management of adverse impacts and Human Rights violations, including mitigation and remediation in Vale's activities and throughout its supply chain. The company values ​​engagement with stakeholders, midful that there is still room for improvement in this process.</t>
  </si>
  <si>
    <t>Performance Expectation 3.5: Remunerate employees with wages that equal or exceed legal requirements or represent a competitive wage within that job market (whichever is higher) and assign regular and overtime working hours within legally required limits.</t>
  </si>
  <si>
    <t>Vale believes in human potential and offers remuneration that is compatible with the complexity of the positions, with the performance of its employees and aligned with market practices, supported by its positioning strategy in relation to the market. In addition, we are guided by the Vale Management Model (VPS), working for continuous improvement of our processes and the continuous search for excellence in our practices.</t>
  </si>
  <si>
    <t>Performance Expectation 3.6: Respect the rights, interests, aspirations, culture and natural resource-based livelihoods of Indigenous Peoples in project design, development and operation; apply the mitigation hierarchy to address adverse impacts; and deliver sustainable benefits for Indigenous Peoples.</t>
  </si>
  <si>
    <t>The relationship between Vale and indigenous peoples and traditional communities is based on respect for cultural diversity and for the rights of these populations, recognizing the different relationship that they have with their territory, which involves not only physical and socio-economic aspects, but also cultural and spiritual aspects. It is guided by Vale's Global Human Rights Policy, which is aligned with the main national and international policies It is guided by Vale's Global Human Rights Policy, which is aligned with the main national and international references and legislation related to the topic.
Vale does not conduct any mineral research or mining activities in Indigenous Lands
Indigenous Lands (TIs) in Brazil and had already given up or renounced 104 mining processes between 2019 and 2021.
The operational units that self-assessed themselves as partially adherent follow the guidelines established by Vale, but identified opportunities for improvement regarding the assessment of impacts on indigenous communities.</t>
  </si>
  <si>
    <t>Performance Expectation 3.7: Work to obtain informed, prior and free consent from Indigenous Peoples on whom significant adverse impacts are likely to occur as a result of relocation, disturbance of lands and territories or critical cultural heritage, and to obtain the results of consent and commitment processes in contracts</t>
  </si>
  <si>
    <t xml:space="preserve">Our relationship with Indigenous Peoples and Traditional Communities is guided by Vale's Global Human Rights Policy, which is aligned with the main international references related to the subject, such as the UN Guiding Principles on Business and Human Rights, the Equator Principles, the International Council on Mining and Metals Positioning on Mining and Indigenous Peoples the International Labor Organization Convention 169, the UN Global Compact, the Global Reporting Initiative, IFC Performance Standard 07, and the UN Declaration on the Rights of Indigenous Peoples, as well as the legislation of the countries where Vale operates.
These principles and international standards are developed into guidelines that orient the work of the professionals responsible for the relationship with these populations, such as the application of participative methodologies (formation of forums and/or community committees) for the process of consultation and free, prior and informed consent.
The operational units that assessed themselves as partially adherent follow the guidelines established by Vale, but have some consultation processes in place, such as the Work Plan to carry out a Quilombola Component Study, and identified opportunities for improvement in agreements with indigenous and local communities. </t>
  </si>
  <si>
    <t>Performance Expectation 3.8: Implement policies and practices to respect the rights and interests of women and support diversity in the workplace.</t>
  </si>
  <si>
    <t>These principles and international standards are unfolded into guidelines that guide the work of the professionals responsible for the relationship with these populations, such as the application of participatory methodologies (formation of forums and/or community committees) for the process of consultation and free, prior and informed consent.</t>
  </si>
  <si>
    <t>Performace Expectation 3.9: Implement policies and practices to respect the rights and interests of all workers and improve workforce representation in the workplace so it is more inclusive.</t>
  </si>
  <si>
    <t>These policies and practices unfold in professional qualification programs, career development and training focused on combating harassment, discrimination and prejudice, which were priorities in the Diversity, Equity and Inclusion (DEI) strategy.</t>
  </si>
  <si>
    <t>Principle 4: Implement effective risk-management strategies and systems based on sound science and which account for stakeholder perceptions of risks.</t>
  </si>
  <si>
    <t>Performance Expectation 4.1: Assess environmental and social risks and opportunities of new projects and of significant changes to existing operations in consultation with interested and affected stakeholders, and publicly disclose assessment results.</t>
  </si>
  <si>
    <t>. The environmental licensing process is required for all phases of enterprises and operations, during all phases of the enterprise, including the operating phases and its license renewal. In the licensing process, public consultation with impacted communities is mandatory.
Vale has guidelines for engagement with stakeholders and encourages the participatory process.
The process of maturing sustainable practices has been continuously improved at the company, integrated into the Vale Management Model, the VPS.</t>
  </si>
  <si>
    <t>Performance Expectation 4.2: Undertake risk-based due diligence on conflict and human rights that aligns with the OECD Due Diligence Guidance on Conflict-Affected and High-Risk Areas, when operating in, or sourcing from, a conflict-affected or high-risk area.</t>
  </si>
  <si>
    <t>PE 4.2 does not apply to Vale because we do not operate in conflict areas.</t>
  </si>
  <si>
    <t>Performance Expectation 4.3: Implement risk-based controls to avoid/prevent, minimise, mitigate and/or remedy health, safety and environmental impacts to workers, local communities, cultural heritage and the natural environment, based upon a recognised international standard or management system.</t>
  </si>
  <si>
    <t xml:space="preserve">Vale has an integrated Risk Management Governance flow, based on the concept of Lines of Defense, which represents how periodic reassessments are carried out, and is oriented by ISO 31000, ISO 55000, COSO- ERM and, for operational safety, by an operational safety management system, RBPS (Risk Based Process Safety). Vale has measures for environmental monitoring and control, such as Preliminary Risk Analysis and Survey of Environmental Aspects and Impacts, and for health and safety, and has mechanisms for listening and responding. 
For the units that self-assessed themselves as partially compliant, opportunities for improvement were identified regarding the comprehensive analysis of risks and impacts on the local community in relation to the effects of mining on community demographics, migration of workers, impacts on the availability of services, and diseases. As an improvement, the inclusion of the indicator for reduction of events (incidents) with communities in the variable remuneration of leaders.
In the 2023 cycle, we made an adjustment to the adherence calculation for the sites, which may lead to a variation between the 2022 and 2023 adherences. </t>
  </si>
  <si>
    <t>Performance Expectation 4.4: Develop, maintain and test emergency response plans. Where risks to external stakeholders are significant, this should be in collaboration with potentially affected stakeholders and consistent with established industry good practice.</t>
  </si>
  <si>
    <t>Vale has standardized the emergency planning and response process and made its implementation mandatory in all units globally.
The operational units that assessed themselves as partially compliant identified opportunities for improvement in the critical analysis of the simulations and are in the process of implementing the Incident Command System (ICS ) and training employees to understand and apply the methodology.</t>
  </si>
  <si>
    <t>Principle 5: Pursue continual improvement in health and safety performance with the ultimate goal of zero harm.</t>
  </si>
  <si>
    <t>Performance Expectation 5.1: Implement practices aimed at continually improving workplace health and safety, and monitor performance for the elimination of workplace fatalities, serious injuries and prevention of occupational diseases, based upon a recognised international standard or management system.</t>
  </si>
  <si>
    <t xml:space="preserve">Vale has standardized the incident management process and made its implementation mandatory in all units globally. Safety and risk management are included in the Vale Management Model (VPS), which establishes policies and technical guidelines with the objective of ensuring occupational health and safety, aligned with ISO 45001 standards (Occupational Health and Safety Management System).
The operational units that assessed themselves as partially compliant identified opportunities for improvement in terms of organizational learning from incidents that occurred in other areas. </t>
  </si>
  <si>
    <t>Performance Expectation 5.2: Provide workers with training in accordance with their responsibilities for health and safety, and implement health surveillance and risk-based monitoring programmes based on occupational exposures.</t>
  </si>
  <si>
    <t>Guidelines have been defined to identify and ensure that any person who performs activities that impact health and safety for Vale, or on its behalf, is competent based on appropriate education, training, skills and experience. There is an internal procedure where the flow is established to identify the competencies needed to perform the functions, identify training needs and plan, carry out and register the training.
The operational units that self-assessed themselves as partially adherent identified opportunities for improvement in the development of training matrices and in the monitoring of these trainings.</t>
  </si>
  <si>
    <t>Principle 6:  Pursue continual improvement in environmental performance issues, such as water stewardship, energy use and climate change.</t>
  </si>
  <si>
    <t>Performance Expectation 6.1: Plan and design for closure in consultation with relevant authorities and stakeholders, implement measures to address closure-related environmental and social aspects, and make financial provision to enable agreed closure and post-closure commitments to be realised.</t>
  </si>
  <si>
    <t>Mine closure plans are applicable only for mining units, so all of Vale's mining operating units have related closure plans. The provision applies to the pelletizing units of Vale S.A. and again to the mining units, therefore ports, railroads, parks/reserves, corporate units and other assets that do not have a long term tangible useful life are classified as not applicable.</t>
  </si>
  <si>
    <t>Performance Expectation 6.2: Implement water stewardship practices that provide for strong and transparent water governance, effective and efficient management of water at operations, and collaboration with stakeholders at a catchment level to achieve responsible and sustainable water use.</t>
  </si>
  <si>
    <t>There is an internal standard that defines minimum monitoring according to ICMM guidelines.
The TBN operation answered N/A because it is a transit/river transport operation. 
The other units that are partially compliant stated that they have water resources management, but there is still the need to map risks and opportunities according to some internal standards and procedures. Besides that, some flow measuring instruments are still in the implementation process. 
As an action plan it will be necessary to establish and maintain a structured process to evaluate the adherence to water balance policies and normative standards. Besides opportunities such as the expansion of the hydric monitoring network and the search for new technologies.</t>
  </si>
  <si>
    <t>Performance Expectation 6.3: Design, construct, operate, monitor and decommission tailings disposal/storage facilities using comprehensive, risk-based management and governance practices in line with internationally recognised good practice, to minimise the risk of catastrophic failure.</t>
  </si>
  <si>
    <t xml:space="preserve"> All tailings facilities operated by Vale with "extreme" or "very high" potential consequences will be GISTM compliant by August 5, 2023. All other tailings facilities operated by Vale that are not in a safe closure state will be GISTM compliant by August 5, 2025.
Serra Sul - S11D has a natural humidity processing technology, without the use of tailings dams.</t>
  </si>
  <si>
    <t>Performance Expectation 6.4: Apply the mitigation hierarchy to prevent pollution, manage releases and waste, and address potential impacts on human health and the environment.</t>
  </si>
  <si>
    <t>The units have programs for monitoring atmospheric emissions and air, water, effluent and waste quality. The risks are mapped through preliminary analysis of aspects and risks of the processes.
The partially adherent units have control measures in place, but they are still partially efficient and/or in the process of being adapted. Opportunities were identified in terms of consolidating the implementation of the Integrated Data Management System, managing controversies related to particulate emissions and advancing global management taking into account local specificities.</t>
  </si>
  <si>
    <t>Performance Expectation 6.5: Implement measures to improve energy efficiency and contribute to a low-carbon future, and report the outcomes based on internationally recognised protocols for measuring CO2 equivalent (GHG) emissions.</t>
  </si>
  <si>
    <t>Vale recognizes that climate change represents one of the greatest challenges facing society, and we are committed to contributing to solutions that limit the rise in temperature to 2°C, as defined in the Paris Agreement. To this end, Vale has established a number of targets and commitments. To learn more, access the ESG Portal and the Climate Change Report. 
For the units that assessed themselves as partially compliant, opportunities for improvement were identified regarding the reduction of GHG emissions.  Initiatives and measures are being implemented, such as investments in equipment and systems for continuous improvement of energy efficiency.</t>
  </si>
  <si>
    <t>Principle 7: Contribute to the conservation of biodiversity and integrated approaches to land-use planning.</t>
  </si>
  <si>
    <t>Performance Expectation 7.1: Neither explore nor develop new mines in World Heritage sites, respect legally designated protected areas, and design and operate any new operations or changes to existing operations to be compatible with the value for which such areas were designated.</t>
  </si>
  <si>
    <t>Vale is committed to the principles established by ICMM and ED 7.1, to respect areas of high biodiversity value and to implement and strengthen the impact mitigation hierarchy, seeking to neutralize significant losses of biodiversity. There is a normative standard, published in 2020 and under implementation since then in Brazil, which brings a specific guideline about UNESCO World Natural Heritage Sites, and in 2021, Vale has publicly committed not to operate in UNESCO World Natural Heritage Sites.
For partially compliant units, a need has been identified to implement detailed review of biodiversity impacts at smaller projects. Opportunities were identified for improvement in the global expansion of regulatory standards and biodiversity plans, in addition to more efficient integration of biodiversity management into Vale's value chain.</t>
  </si>
  <si>
    <t>Performance Expectation 7.2: Assess and address risks and impacts to biodiversity and ecosystem services by implementing the mitigation hierarchy, with the ambition of achieving no net loss to biodiversity.</t>
  </si>
  <si>
    <t>Vale is committed to seeking no net loss/net gain in new projects and expansions and understands that it is on the path to achieving this commitment. There is a need to make the areas and projects increasingly adherent to biodiversity standards and procedures. Currently, the operations and projects are supported in their adherence to these policies, norms and guidelines, through an evaluation in relation to the areas' performance and improvements are proposed.</t>
  </si>
  <si>
    <t>Principle 8 : Facilitate and support the knowledge-base and systems for responsible design, use, re-use, recycling and disposal of products containing metals and minerals.</t>
  </si>
  <si>
    <t>Performance Expectation 8.1: In project design, operation and de-commissioning, implement cost-effective measures for the recovery, re-use or recycling of energy, natural resources, and materials.</t>
  </si>
  <si>
    <t xml:space="preserve">Vale adopts a FEL methodology for project management and has an Engineering Standardization System (SPE) that provides tools and guidelines for all projects. Among these documents is the Energy Optimization Guide, which defines that the Value Improving Practice (VIP) - Energy Optimization (OE), in accordance with the best practices observed in the global industry, must be applied to all projects, in order to identify the best sources of energy and optimize their use in processes, equipment and facilities through technical and economic analysis, considering the project's life cycle.
In addition, Vale invests in technology and innovation to encourage the use of tailings, slag and industrial waste generated by the company's activities. Vale currently sends a large part of the industrial waste generated at its units for recycling.
The operational units that assessed themselves as partially compliant have some projects under implementation aiming at reduction, reuse and recycling of energy and natural resources. Such as the exploration of new alternatives and initiatives to reduce energy consumption, processes in progress to hire a cooperative to recycle materials that are currently sent to landfills. Some studies related to energy derived from waste/discharges are still in progress. </t>
  </si>
  <si>
    <t>Performance Expectation 8.2: Assess the hazards of the products of mining according to UN Globally Harmonised System of Hazard Classification and Labelling or equivalent relevant regulatory systems and communicate through safety data sheets and labelling as appropriate.</t>
  </si>
  <si>
    <t>Production areas perform their product evaluations according to the UN Globally Harmonized System of Hazard Classification and Labeling guidelines, and communicate the information from safety data sheets and labeling as appropriate.
This PE does not apply to logistics units.</t>
  </si>
  <si>
    <t>Principle 9:  Pursue continual improvement in social performance and contribute to the social, economic and institutional development of host countries
and communities.</t>
  </si>
  <si>
    <t>Performance Expectation 9.1: Implement inclusive approaches with local communities to identify their development priorities and support activities that contribute to their lasting social and economic wellbeing, in partnership with government, civil society and development agencies, as appropriate.</t>
  </si>
  <si>
    <t>Vale's community relations standards are adopted globally and include identifying, engaging and monitoring the relationship with these stakeholders. In order to engage them, Vale seeks to establish structured spaces for dialogue to build Community Relations Plans, which are based on the principle of mobilization and social participation in defining and prioritizing the actions to be implemented in the territory.</t>
  </si>
  <si>
    <t>Performance Expectation 9.2: Enable access by local enterprises to procurement and contracting opportunities across the project life cycle, both directly and by encouraging larger contractors and suppliers, and also by supporting initiatives to enhance economic opportunities for local communities.</t>
  </si>
  <si>
    <t>Through the business rounds and the relationship of the regional managers with the Trade Associations, channels are opened for local suppliers to get to know each other, be registered and, if there is demand, participate in the contracting process.
In addition, Vale has developed the Partilhar (Share) program in Brazil, an initiative that aims to support the company in its social progress agenda, seeking to foster the socioeconomic development of the communities surrounding its operations, seeking to promote and generate jobs, encourage local purchases, stimulate increased tax collection, and encourage income generation by expanding the wage bill. The first cycle of the Share program took place in 2020 in Brazil and there are plans to expand operations in the other countries where Vale operates.</t>
  </si>
  <si>
    <t>Performance Expectation 9.3: Conduct stakeholder engagement based upon an analysis of the local context and provide local stakeholders with access to effective mechanisms for seeking resolution of grievances related to the company and its activities.</t>
  </si>
  <si>
    <t>Vale's Listening and Response Mechanism is composed of several listening channels, which are the structures responsible for the process of managing manifestations and which provide different means of contact (telephone, letter, e-mail, among others) for the interested parties to interact with the company. In addition, it is guided by the human rights and is in accordance with the General Law of Protection of Personal Data.</t>
  </si>
  <si>
    <t>Performance Expectation 9.4: Collaborate with government, where appropriate, to support improvements in environmental and social practices of local Artisanal and Small-scale Mining (ASM).</t>
  </si>
  <si>
    <t xml:space="preserve">Vale is a member (or is represented) of the EITI multi-stakeholder groups in the EITI countries where it operates mines, most notably in Indonesia. Vale has also published a statement of its own support for the EITI and also contributes financially.
PT Vale Indonesia is a member (or is represented) of the local EITI multi-stakeholder groups. Vale's EITI participating entities have implemented processes to comply with their local reporting obligations. In addition, Vale Canada and its subsidiaries comply with the Extractive Sector Transparency Measures Act (ESTMA) and publish their payments in accordance with this reporting requirement.
In the other countries where Vale operates, EITI is not mandatory. </t>
  </si>
  <si>
    <t>Principle 10: Proactively engage key stakeholders on sustainable development challenges and opportunities in an open and transparent manner. Effectively report and independently verify progress and performance.</t>
  </si>
  <si>
    <t>Performance Expectation 10.1: Identify and engage with key corporate-level external stakeholders on sustainable development issues in an open and transparent manner.</t>
  </si>
  <si>
    <t xml:space="preserve">Relationship and engagement actions are conducted with key stakeholders globally. Vale seeks to practice dialogue and active listening with its stakeholders to act in building a positive legacy for future generations. </t>
  </si>
  <si>
    <t>Performance Expectation 10.2: Publicly support the implementation of the Extractive Industries Transparency Initiative (EITI) and compile information on all material payments, at the appropriate levels of government, by country and by project.</t>
  </si>
  <si>
    <t>Performance Expectation 10.3: Report annually on economic, social and environmental performance at the corporate level using the GRI Sustainability Reporting Standards.</t>
  </si>
  <si>
    <t>Since 2006, Vale has disclosed its environmental, social and economic impacts through its Sustainability Report, following the guidelines of the Global Reporting Initiative (GRI) standard.  In 2020, Vale adopted a new format for reporting ESG information, replacing the Sustainability Report, the Integrated Report, which in addition to the GRI, follows the guidelines of the International Integrated Reporting Council (IIRC) framework. In addition, the ESG databook is also published, which includes information on different sustainability standards such as GRI, SASB, TCFD, WEF, ICMM Mining Principles and SDGs, with their respective historical series.</t>
  </si>
  <si>
    <t>Performance Expectation 10.4: Each year, conduct independent assurance of sustainability performance following the ICMM guidance on assuring and verifying membership requirements.</t>
  </si>
  <si>
    <t xml:space="preserve">Vale annually performs third-party validation following the guidelines of the Global Reporting Initiative (GRI) standard and the ICMM Assurance and Validation Procedure. _x000D_
</t>
  </si>
  <si>
    <t>TCFD - Taskforce on Clima-Related Financial Disclosures</t>
  </si>
  <si>
    <t>1. Governance - Transparency regarding the governance of risks and opportunities related to climate change</t>
  </si>
  <si>
    <r>
      <rPr>
        <b/>
        <sz val="10"/>
        <color rgb="FF555555"/>
        <rFont val="Arial"/>
        <family val="2"/>
      </rPr>
      <t xml:space="preserve">TCFD Recommendation: </t>
    </r>
    <r>
      <rPr>
        <sz val="10"/>
        <color rgb="FF555555"/>
        <rFont val="Arial"/>
        <family val="2"/>
      </rPr>
      <t>1.1. Description of the supervision of the Board of Directors</t>
    </r>
  </si>
  <si>
    <t>Sustainability Committee and Board of Directors responsible for validating and monitoring low carbon guidelines.
“Governance” or “Sustainability Governance” chapter of the 2019 Sustainability Report; CDP question C1.1.</t>
  </si>
  <si>
    <t>Sustainability Committee and Board of Directors responsible for validating and monitoring low carbon guidelines.
Compliance and Risk Committee incorporates climate into its analyses.
“Governance” Chapter of the 2020 Integrated Report; CDP question C1.1.</t>
  </si>
  <si>
    <t>Sustainability Committee and Board of Directors responsible for validating and monitoring low carbon strategic guidelines.
Compliance and Risk Committee incorporates climate into its analyses.
“Governance” Chapter of the 2021 Integrated Report; CDP question C1.1.</t>
  </si>
  <si>
    <t>Sustainability Committee and Board of Directors responsible for validating and monitoring low carbon strategic guidelines.
Compliance and Risk Committee incorporates climate into its analyses.
Chapter “Governance” of the 2022 Integrated Report; CDP question C1.1.</t>
  </si>
  <si>
    <t>Sustainability Committee and Board of Directors responsible for validating and monitoring low carbon strategic guidelines.
Compliance and Risk Committee incorporates climate into its analyses.
Chapter “Governance” of the 2023 Integrated Report; CDP question C1.1.</t>
  </si>
  <si>
    <r>
      <rPr>
        <b/>
        <sz val="10"/>
        <color rgb="FF555555"/>
        <rFont val="Arial"/>
        <family val="2"/>
      </rPr>
      <t xml:space="preserve">TCFD Recommendation: </t>
    </r>
    <r>
      <rPr>
        <sz val="10"/>
        <color rgb="FF555555"/>
        <rFont val="Arial"/>
        <family val="2"/>
      </rPr>
      <t>1.2. Role of executives in mapping and managing the agenda</t>
    </r>
  </si>
  <si>
    <t>Low Carbon Forum, with monthly meetings to assess the unfolding and implementation of the Vale Carbon Neutral strategy. This forum is coordinated by the Sustainability and Institutional Relations Executive Board with support from the Executive Boards: Coal, Strategy and Mineral Exploration, Business Support, Ferrous, Base Metals and with the participation of the CEO and CFO of Vale . The meetings involve senior leadership and technical groups from the business and corporate areas.
“Climate change and energy” chapter of the 2019 Sustainability Report; CDP question C1.2.</t>
  </si>
  <si>
    <t>Low Carbon Forum, with monthly meetings to guide the implementation and delivery of the commitments assumed through the Vale Carbon Neutra strategy. This forum consists of a group led by the CEO, and coordinated by the Sustainability Executive Board, with the participation of the Executive Directors and their technical teams. The meetings involve senior leadership and technical groups from the business and corporate areas.
In 2020, goals related to the climate agenda represented 10% of the short-term variable compensation of employees, including the CEO and Executive Board. A target comprising indicators of greenhouse gas emissions, recovery and protection of forest areas, and assurance of renewable energy was also linked to the long-term remuneration of leadership.
Sounding Panel, an advisory board within the Board of Directors comprised of global ESG experts.
Chapter “Climate Change” and “Relationship with Stakeholders” of the 2020 Integrated Report; CDP questions C1.1 and C1.2.</t>
  </si>
  <si>
    <t>The Sustainability Vice-Presidency is the highest governance body for the topic of climate change. It is responsible for proposing policies, plans, projects and goals on climate change for approval by the Executive Committee, as well as implementing the general policies and guidelines established by the Board of Directors. It is also responsible for evaluating, monitoring and communicating to the Board of Directors the performance, risks and opportunities for Vale in relation to climate change. Also at the executive level, the company created the Low Carbon Forum, a group led by the CEO and composed of executive directors and their technical teams. The initiative reflects senior leadership engagement in the topic, helps monitor performance in relation to the commitments assumed, in addition to driving constant advances in Vale's climate agenda. Meetings take place monthly, with broad participation of leaders and technical teams that deal with the topic on a daily basis
In 2021, goals related to the climate agenda represent 5% of short-term compensation (from 10% related to Sustainability) for all Vale employees and 6% of long-term compensation (from 20% related to ESG) for all leadership, including the President and Executive Committee. A target comprising indicators of greenhouse gas emissions, recovery and protection of forest areas, and assurance of renewable energy was also linked to the long-term remuneration of leadership. The corporate areas, which work on climate change, and the operational areas, which implement the decarbonization strategy, also have goals linked to variable, additional and specific remuneration for implementing projects, managing emissions and/or managing risks associated with climate changes. Sounding Panel, an advisory board within the Board of Directors comprised of global ESG experts.
Chapter “Climate Change” and “Relationship with Stakeholders” of the 2021 Integrated Report; CDP questions C1.1 and C1.2.</t>
  </si>
  <si>
    <t>The Sustainability Vice-Presidency is the highest governance body for the topic of climate change. It is responsible for proposing policies, plans, projects and goals on climate change for approval by the Executive Committee, as well as implementing the general policies and guidelines established by the Board of Directors. It is also responsible for evaluating, monitoring and communicating to the Board of Directors the performance, risks and opportunities for Vale in relation to climate change. Also at the executive level, the company created the Low Carbon Forum, a group led by the CEO and composed of executive directors and their technical teams. The initiative reflects senior leadership engagement in the topic, helps monitor performance in relation to the commitments assumed, in addition to driving constant advances in Vale's climate agenda. Meetings take place monthly, with broad participation of leaders and technical teams that deal with the topic on a daily basis
The variable compensation of Executive Committee members includes, among others, metrics focused on environmental, social and governance (ESG) issues, both in short-term and long-term compensation. Long-term compensation is applied to the entire leadership, including the president and Executive Committee. In the cycle starting in 2022, the portion referring to the greenhouse gas emissions targets accounts for 10% of the remuneration, making up with the Dow Jones Sustainability Performance Index - DJSI indicators and injuries registered with high potential (N2) the 25% referring to ESG. This goal is made up of indicators of greenhouse gas emissions (10%), Dow Jones Sustainability Index Performance - DJSI and registered injuries with high potential (N2). The corporate areas, which work on climate change, and the operational areas, which implement the decarbonization strategy, also have goals linked to variable, additional and specific remuneration for implementing projects, managing emissions and/or managing risks associated with climate changes. Sounding Panel, an advisory board within the Board of Directors comprised of global ESG experts.
Chapter “Climate Change” and “Relationship with Stakeholders” of the 2022 Integrated Report; CDP questions C1.1 and C1.2.</t>
  </si>
  <si>
    <t>Our climate governance structure encompasses the Board of Directors (BoD), the Sustainability Committee that advises the BoD, the Executive Committee and leadership. Since 2021, we have established the Low Carbon Forum, where we periodically count on the participation of the C-Level and the Company's senior leaders in monitoring progress in relation to climate goals and global best practices. The initiative considers both the instances of technical-operational discussion and executive deliberation and supervision.  
Commitments to reducing GHG emissions are also linked to the long-term variable compensation of our executives, in line with the objectives for sustainable value creation across the company.
More information about Vale's commitments can be found on the ESG Portal.</t>
  </si>
  <si>
    <t>Vale - ESG Portal</t>
  </si>
  <si>
    <t>2. Strategy - Current and potential impacts on the company's business, strategy and financial planning</t>
  </si>
  <si>
    <r>
      <rPr>
        <b/>
        <sz val="10"/>
        <color rgb="FF555555"/>
        <rFont val="Arial"/>
        <family val="2"/>
      </rPr>
      <t xml:space="preserve">TCFD Recommendation: 2.1. </t>
    </r>
    <r>
      <rPr>
        <sz val="10"/>
        <color rgb="FF555555"/>
        <rFont val="Arial"/>
        <family val="2"/>
      </rPr>
      <t>Transparency regarding the risks and opportunities identified in the short, medium and long term.</t>
    </r>
  </si>
  <si>
    <t>Preliminary, qualitative assessment of potential transitional and physical risks and low-carbon opportunities. The studies will be deepened throughout 2020
Chapter “Climate Change and Energy” of the 2019 Sustainability Report and CDP item C2.4, C2.5</t>
  </si>
  <si>
    <t>Transition climate risks: Regulatory and Legal (changes in policies to restrict emissions or requirements to adapt to the effects of climate change, imposing costs on issuers, litigation for non-compliance with policies to mitigate climate impacts); Technological (replacement of products and/or processes by more efficient and/or current technologies); Market (Changes in supply and demand due to alternative products); Reputation (Consumer and investor perception of the company's adherence to the transition to a low-carbon economy). Physical risks: Direct damage to assets and indirect impacts on the supply chain caused by floods, droughts, incidence of strong winds and increased incidence of lightning. The causes are related to climate change and the physical impacts are operational risks.</t>
  </si>
  <si>
    <t>Transition climate risks: Regulatory and Legal (changes in policies to restrict emissions or requirements to adapt to the effects of climate change, imposing costs on emitters, carbon pricing, litigation for non-compliance with policies to mitigate climate impacts); Technological (replacement of products and/or processes by more efficient and/or current technologies); Market (Changes in supply and demand due to alternative products); Reputation (Consumer and investor perception of the company's adherence to the transition to a low-carbon economy). Physical risks: Direct damage to assets and indirect impacts on the supply chain caused by floods, droughts, incidence of strong winds and increased incidence of lightning. The causes are related to climate change and the physical impacts are operational risks. 67% of Vale's assets were analyzed for exposure to physical risks arising from climate change. Publication of the Climate Change Report aligned with the TCFD in 2021. Implementation of the "Vale Climate Forecast" Methodology and mapping of physical risks for operations in Canada.</t>
  </si>
  <si>
    <t>Climate-related transition risks: Regulatory and Legal (changes in policies for restricting emissions or requiring adaptation to the effects of climate change, imposing costs on emitters, carbon pricing, litigation for non-compliance with policies to mitigate climate impacts); Technological (replacement of products and/or processes by more efficient and/or current technologies); Market (Changes in supply and demand due to alternative products); Reputation (Consumer and investor perception of the company's adherence to the transition to a low-carbon economy). Physical risks: Direct damage to assets and indirect impacts on the supply chain caused by floods, droughts, incidence of strong winds and increased incidence of lightning. The causes are related to climate change and the physical impacts are operational risks. Around 70% of Vale's assets were analyzed for exposure to physical risks arising from climate change. . Implementation of the "Vale Climate Forecast" Methodology and mapping of physical risks for operations in the North Corridor including Ponta da Madeira Port Terminal, Carajás Railroad and Carajás region. For Canada, additional analyzes related to snowfall were carried out in the Long Harbor region.</t>
  </si>
  <si>
    <t>Climate-related transition risks: Regulatory and Legal (changes in policies to restrict emissions or require adaptation to the effects of climate change, imposing costs on emitters, carbon pricing, litigation for failure to achieve policies to mitigate climate impacts); Technological (replacement of products and/or processes with more efficient and/or current technologies); Market (Changes in supply and demand as a result of alternative products); Reputation (Consumers' and investors' perception of the company's adherence to the transition to a low-carbon economy). As part of global value chains, and new global policies related to climate change evolve, uncertainty and misalignment between national and regional governments, as well as sectoral actions, can impose significant financial impacts, especially when the principles of a fair transition are not considered. We continuously identify and monitor transition risks in the aforementioned categories and highlight: (i) the lack of incentives and technology transfer for the decarbonization of hard-to-abate sectors in developing and emerging economies, (ii) carbon leakage due to economic protectionism and significant increase in operating costs, (iii) reputational impact and climate litigation in the event of non-compliance with commitments,  (iv) delay in the adoption of public policies related to the transition to a less intensive economy that may impact global commodity demand.  Physical risks: Direct damage to assets and indirect impacts on the supply chain caused by floods, droughts, high winds, and increased incidence of lightning strikes.  The causes are related to climate change and the physical impacts are operational risks. In the year 2023, the vulnerability analysis of the Hu'u capital project in Indonesia was conducted. In addition, the mapping of the Southern and Southeast Corridors of Brazil, including mines, processing, railways and ports, was initiated. The analysis of the financial impact of unmitigated risks will be finalised in 2024.</t>
  </si>
  <si>
    <r>
      <rPr>
        <b/>
        <sz val="10"/>
        <color rgb="FF555555"/>
        <rFont val="Arial"/>
        <family val="2"/>
      </rPr>
      <t>TCFD Recommendation:</t>
    </r>
    <r>
      <rPr>
        <sz val="10"/>
        <color rgb="FF555555"/>
        <rFont val="Arial"/>
        <family val="2"/>
      </rPr>
      <t xml:space="preserve"> 2.2. Impact of identified themes on the portfolio and strategy</t>
    </r>
  </si>
  <si>
    <t>Adoption of an ongoing internal carbon pricing (shadow price) of US$50/tCO2e in line with what is needed to limit temperature increases to 2°C, to be integrated into the analysis of capital projects, current projects, budget cycle and strategic planning in 2020
“Climate change and energy” chapter of the 2019 Sustainability Report and CDP questions C2.4, C2.5</t>
  </si>
  <si>
    <t>Transition risks that could lead to increased costs, reduced market share and profitability. Physical risks eventually negatively impacting the company through operational interruption, increased costs and reduced revenues.</t>
  </si>
  <si>
    <t>Transition risks that could lead to increased costs, reduced market share and profitability and reputational impacts due to non-compliance with public commitments assumed, such as the goals for reducing Greenhouse Gases. Physical risks eventually negatively impacting the company through operational interruption, increased costs and reduced revenues.</t>
  </si>
  <si>
    <t>Transition risks that may lead to increased costs, reduced market share and revenue, impacting the company's market value, and reputational impacts due to non-compliance with public commitments such as Greenhouse Gas reduction targets. Physical risks negatively impacting the company, eventually, through operational disruption, increased costs, and reduced revenues.</t>
  </si>
  <si>
    <r>
      <rPr>
        <b/>
        <sz val="10"/>
        <color rgb="FF555555"/>
        <rFont val="Arial"/>
        <family val="2"/>
      </rPr>
      <t xml:space="preserve">TCFD Recommendation: </t>
    </r>
    <r>
      <rPr>
        <sz val="10"/>
        <color rgb="FF555555"/>
        <rFont val="Arial"/>
        <family val="2"/>
      </rPr>
      <t>2.3. Business resilience in the face of climate scenarios</t>
    </r>
  </si>
  <si>
    <t>Initial exercise prepared in 2018 regarding EBITDA sensitivity to International Energy Agency scenarios, including 2°C scenario. Preliminary analyzes on physical risks of increased temperature and rainfall prepared by Instituto Tecnológico Vale. Sensitivity analysis to ongoing climate scenarios within the scope of the current Strategic Planning cycle, based on International Energy Agency scenarios.
Chapter “Climate Change and Energy” of the 2019 Sustainability Report and CDP item C3.1</t>
  </si>
  <si>
    <t>As the TCFD itself suggests, in 2020 Vale chose to use the International Energy Agency (IEA) scenarios, which are recognized by the industry and have international support.
The different supply and demand behaviors in the three IEA scenarios result in changes in the dynamics of competitiveness that affect the long-term price of Vale's main commodities and its strategy.
For the company, the Current Policy Scenario impacts, in part, its ability to generate value. In addition to greater exposure to physical risks, the Current Policies Scenario (CPS) does not consider the opportunity for growth in renewables, the electrification of transport and the need to decarbonize the steel industry, which are now fundamental parts of Vale's strategy.
The Sustainable Development Scenario (SDS), in turn, creates an ecosystem that encourages the company's growth options and amplifies the relevance of its strategic pillars, namely, the transformation of base metals and the maximization of the flight-to-quality of iron ore.
The coal asset is negatively impacted in the Stated Policies Scenario (STEPS) and SDS scenarios, but is not representative in the consolidated result. On the path towards carbon neutrality, Vale evaluated its asset portfolio and announced in early 2021 the divestment of the coal business, a strategy that is in line with the company's focus on prioritizing its core businesses and its ESG agenda.
Under a variety of climate change scenarios, Vale's EBITDA performs in a range of 90% to 140% compared to the base case used in our strategic planning. This resilience is the result of a flexible portfolio, capable of adapting to different market conditions and which has a strategic positioning well aligned with the transition trends towards a low-carbon economy.</t>
  </si>
  <si>
    <t>As the TCFD itself suggests, in 2020 the company carried out an analysis of the resilience of its portfolio to scenarios of climate change, based on International Energy Agency (IEA) scenarios, which are industry recognized and internationally supported. The different supply and demand behaviors in the three IEA scenarios result in changes in the dynamics of competitiveness that affect the long-term price of Vale's main commodities and its strategy.
For the company, the Current Policy Scenario impacts, in part, its ability to generate value. In addition to greater exposure to physical risks, the Current Policies Scenario (CPS) does not consider the opportunity for growth in renewables, the electrification of transport and the need to decarbonize the steel industry, which are now fundamental parts of Vale's strategy.
The Sustainable Development Scenario (SDS), in turn, creates an ecosystem that encourages the company's growth options and amplifies the relevance of its strategic pillars, namely, the transformation of base metals and the maximization of the flight-to-quality of iron ore.
The coal asset is negatively impacted in the Stated Policies Scenario (STEPS) and SDS scenarios, but is not representative in the consolidated result. On the path towards carbon neutrality, Vale evaluated its portfolio of assets and announced in early 2021 the divestment of the coal business, which had its sale announced in December 2021. The responsible divestment of Moatize and CLN benefits communities and governments where these operations are located and provides a sustainable future for operations. At the same time, the divestment was in line with the company's focus on prioritizing its core businesses, its ESG agenda and a way to mitigate its exposure to transition risks.
Under a variety of climate change scenarios, Vale's EBITDA performs in a range of 90% to 140% compared to the base case used in our strategic planning. This resilience is the result of a flexible portfolio, capable of adapting to different market conditions and which has a strategic positioning well aligned with the transition trends towards a low-carbon economy. In 2022, Vale will update its scenario analysis, adding a scenario in which the global temperature increase is limited to 1.5°C.</t>
  </si>
  <si>
    <t>As the TCFD itself suggests, in 2020 the company carried out an analysis of the resilience of its portfolio to scenarios of climate change, based on International Energy Agency (IEA) scenarios, which are industry recognized and internationally supported. The different supply and demand behaviors in the three IEA scenarios result in changes in the dynamics of competitiveness that affect the long-term price of Vale's main commodities and its strategy.
For the company, the Current Policy Scenario impacts, in part, its ability to generate value. In addition to greater exposure to physical risks, the Current Policies Scenario (CPS) does not consider the opportunity for growth in renewables, the electrification of transport and the need to decarbonize the steel industry, which are now fundamental parts of Vale's strategy.
The Sustainable Development Scenario (SDS), in turn, creates an ecosystem that encourages the company's growth options and amplifies the relevance of its strategic pillars, namely, the transformation of base metals and the maximization of the flight-to-quality of iron ore.
The coal asset is negatively impacted in the Stated Policies Scenario (STEPS) and SDS scenarios, but is not representative in the consolidated result. On the path towards carbon neutrality, Vale evaluated its portfolio of assets and announced in early 2021 the divestment of the coal business, which had its sale announced in December 2021. The responsible divestment of Moatize and CLN benefits communities and governments where these operations are located and provides a sustainable future for operations. At the same time, the divestment was in line with the company's focus on prioritizing its core businesses, its ESG agenda and a way to mitigate its exposure to transition risks.
Under a variety of climate change scenarios, Vale's EBITDA performs in a range of 90% to 140% compared to the base case used in our strategic planning. This resilience is the result of a flexible portfolio, capable of adapting to different market conditions and which has a strategic positioning well aligned with the transition trends towards a low-carbon economy. In 2023, Vale will update its scenario analysis, adding a scenario in which the global temperature increase is limited to 1.5 °C and will also publish its second Climate Change report, following the recommendations and in line with the TCFD.</t>
  </si>
  <si>
    <t xml:space="preserve">As the TCFD itself suggests, in 2020 the company carried out an analysis of the resilience of its portfolio to scenarios of climate change, based on International Energy Agency (IEA) scenarios, which are industry recognized and internationally supported. The different supply and demand behaviors in the three IEA scenarios result in changes in the dynamics of competitiveness that affect the long-term price of Vale's main commodities and its strategy.
For the company, the Current Policy Scenario impacts, in part, its ability to generate value. In addition to greater exposure to physical risks, the Current Policies Scenario (CPS) does not consider the opportunity for growth in renewables, the electrification of transport and the need to decarbonize the steel industry, which are now fundamental parts of Vale's strategy.
The Sustainable Development Scenario (SDS), in turn, creates an ecosystem that encourages the company's growth options and amplifies the relevance of its strategic pillars, namely, the transformation of base metals and the maximization of the flight-to-quality of iron ore.
The coal asset was negatively impacted in the Stated Policies Scenario (STEPS) and SDS scenarios, but was not representative in the consolidated result. On the path towards carbon neutrality, Vale evaluated its portfolio of assets and announced in early 2021 the divestment of the coal business, which had its sale concluded in April 2022. The responsible divestment of Moatize and CLN benefits communities and governments where these operations are located and provides a sustainable future for operations. At the same time, the divestment was in line with the company's focus on prioritizing its core businesses, its ESG agenda and a way to mitigate its exposure to transition risks.
Under a variety of climate change scenarios, Vale's EBITDA performs in a range of 90% to 140% compared to the base case used in our strategic planning. This resilience is the result of a flexible portfolio, capable of adapting to different market conditions and which has a strategic positioning well aligned with the transition trends towards a low-carbon economy. </t>
  </si>
  <si>
    <t>3. Risk Management - Process of identification, assessment and management of corporate risks</t>
  </si>
  <si>
    <r>
      <rPr>
        <b/>
        <sz val="10"/>
        <color rgb="FF555555"/>
        <rFont val="Arial"/>
        <family val="2"/>
      </rPr>
      <t xml:space="preserve">TCFD Recommendation: </t>
    </r>
    <r>
      <rPr>
        <sz val="10"/>
        <color rgb="FF555555"/>
        <rFont val="Arial"/>
        <family val="2"/>
      </rPr>
      <t>3.1. Process for mapping and assessing climate risks</t>
    </r>
  </si>
  <si>
    <t>The Instituto Tecnológico Vale regionalized (downscaling) the global warming models referenced by the Intergovernmental Panel on Climate Change (IPCC) for the Brazilian reality. This allowed Vale to identify changes in rainfall regimes and volumes and temperature variation for all operations in Brazil. The RCP 4.5 and 8.5 models were regionalized. From changes in rainfall and temperature patterns, it was possible to identify the main vulnerable assets and potential changes in the intensity and frequency of operational risks previously identified by the company's risk management process.
“Climate change and energy” chapter of the 2019 Sustainability Report; CDP question 2.2</t>
  </si>
  <si>
    <t>1. Continuous monitoring: The Sustainability Department, through the Executive Management of Environmental Management, acting in the second line of defense, continuously monitors physical and transition risks, as well as opportunities in climate change.
2. Identification of risks based on the business: Based on Vale's strategic planning, risks and opportunities are identified considering the risk management process itself and the monitoring of the regulatory framework on the subject.
For example, the Instituto Tecnológico Vale regionalized (downscaling) the global warming models referenced by the Intergovernmental Panel on Climate Change (IPCC) for the Brazilian reality. This allowed Vale to identify changes in rainfall regimes and volumes and temperature variation for all operations in Brazil. The RCP 4.5 and 8.5 models were regionalized.
Based on the Intergovernmental Panel on Climate Change (IPCC) scenario studies, Vale developed, in partnership with the Vale Technological Institute, the Vale Climate Forecast, a methodology for analyzing risks and opportunities related to climate change. The Vale Climate Forecast enables:
• Very short and short term analysis and seasonal forecast for physical risks, with the main focus on preventing impacts on the operation and shipment of products;
• Assessment of physical hazards and their long-term impacts to identify necessary investments in facilities – for climate change adaptation and/or mitigation.
Chapter “Climate Change: Risks and Opportunities in Climate Change” of the 2020 Integrated Report; ESG Portal - Climate Change; CDP question 2.2.</t>
  </si>
  <si>
    <t>At Vale, the identification and analysis of climate change risks are part of the company's corporate risk management process. The Executive Risk Committee – Sustainability, Institutional Relations and Reputation continuously monitors risks related to climate change and reports them to the Sustainability Committee. The main tools used at Vale to identify risks and opportunities arising from climate change are:
1. Analysis of climate change scenarios and Vale Climate Forecast, with robust methodologies for analyzing risks and opportunities related to climate change. For example, the Instituto Tecnológico Vale regionalized (downscaling) the global warming models referenced by the Intergovernmental Panel on Climate Change (IPCC) for the Brazilian reality. This allowed Vale to identify changes in rainfall regimes and volumes and temperature variation for all operations in Brazil. The RCP 4.5 and 8.5 models were regionalized.
Based on the Intergovernmental Panel on Climate Change (IPCC) scenario studies, Vale developed, in partnership with the Vale Technological Institute, the Vale Climate Forecast, a methodology for analyzing risks and opportunities related to climate change. The Vale Climate Forecast enables:
• Very short and short term analysis and seasonal forecast for physical risks, with the main focus on preventing impacts on the operation and shipment of products;
• Assessment of physical hazards and their long-term impacts to identify necessary investments in facilities – for climate change adaptation and/or mitigation.
2. Monitoring of the external environment, including new regulatory frameworks, emerging technologies, market dynamics and public policies – the company internally consolidates a Monthly Climate Intelligence Bulletin, which maps the
most relevant news for the climate agenda.
3. Engagement with stakeholders in the main industry forums, in order to monitor new positions, trends and regulations.
Chapter “Climate Change: Risks and Opportunities in Climate Change” of the Integrated Report 2021; ESG Portal - Climate Change; CDP issue 2.2., Climate Change Report, 2021. Implementation of the "Vale Climate Forecast" methodology and mapping of operational risks for operations in Canada and the Northern Corridor.</t>
  </si>
  <si>
    <t>At Vale, the identification and analysis of climate change risks are part of the company's corporate risk management process. The Executive Risk Committee – Sustainability, Institutional Relations and Reputation continuously monitors risks related to climate change and reports them to the Sustainability Committee. The main tools used at Vale to identify risks and opportunities arising from climate change are:
1. Analysis of climate change scenarios and Vale Climate Forecast, with robust methodologies for analyzing risks and opportunities related to climate change. For example, the Instituto Tecnológico Vale regionalized (downscaling) the global warming models referenced by the Intergovernmental Panel on Climate Change (IPCC) for the Brazilian reality. This allowed Vale to identify changes in rainfall regimes and volumes and temperature variation for all operations in Brazil. The RCP 4.5 and 8.5 models were regionalized.
Based on the Intergovernmental Panel on Climate Change (IPCC) scenario studies, Vale developed, in partnership with the Vale Technological Institute, the Vale Climate Forecast, a methodology for analyzing risks and opportunities related to climate change. The Vale Climate Forecast enables:
• Very short and short term analysis and seasonal forecast for physical risks, with the main focus on preventing impacts on the operation and shipment of products;
• Assessment of physical hazards and their long-term impacts to identify necessary investments in facilities – for climate change adaptation and/or mitigation.
2. Monitoring of the external environment, including new regulatory frameworks, emerging technologies, market dynamics and public policies – the company internally consolidates a Monthly Climate Intelligence Bulletin, which maps the
most relevant news for the climate agenda.
3. Engagement with stakeholders in the main industry forums, in order to monitor new positions, trends and regulations.
Chapter “Climate Change: Risks and Opportunities in Climate Change” of the 2022 Integrated Report; ESG Portal - Climate Change; CDP question C2.2. and C3 and C3.3 Implementation of the "Vale Climate Forecast" methodology and mapping of operational risks for operations in Canada and the Northern Corridor. Internal publication in 2022 of the Normative Standard for the Management of Physical Risks related to Climate Change.</t>
  </si>
  <si>
    <t>At Vale, the identification and analysis of climate change risks are part of the company's corporate risk management process. The Executive Risk Committee – Sustainability, Institutional Relations and Reputation continuously monitors risks related to climate change and reports them to the Sustainability Committee. The main tools used at Vale to identify risks and opportunities arising from climate change are:
1. Analysis of climate change scenarios and Vale Climate Forecast, with robust methodologies for analyzing risks and opportunities related to climate change. For example, the Instituto Tecnológico Vale regionalized (downscaling) the global warming models referenced by the Intergovernmental Panel on Climate Change (IPCC) for the Brazilian reality. This allowed Vale to identify changes in rainfall regimes and volumes and temperature variation for all operations in Brazil. The RCP 4.5 and 8.5 models were regionalized.
Based on the Intergovernmental Panel on Climate Change (IPCC) scenario studies, Vale developed, in partnership with the Vale Technological Institute, the Vale Climate Forecast, a methodology for analyzing risks and opportunities related to climate change. The Vale Climate Forecast enables:
• Very short and short term analysis and seasonal forecast for physical risks, with the main focus on preventing impacts on the operation and shipment of products;
• Assessment of physical hazards and their long-term impacts to identify necessary investments in facilities – for climate change adaptation and/or mitigation.
2. Monitoring of the external environment, including new regulatory frameworks, emerging technologies, market dynamics and public policies – the company internally consolidates a Monthly Climate Intelligence Bulletin, which maps themost relevant news for the climate agenda.
3. Engagement with stakeholders in the main industry forums, in order to monitor new positions, trends and regulations.
Chapter “Climate Change: Risks and Opportunities in Climate Change” of the 2023 Integrated Report; ESG Portal - Climate Change; CDP question C2.2. and C3 and C3.3 Implementation of the "Vale Climate Forecast" methodology and mapping of operational risks for operations in Canada and the Northern Corridor. Internal publication in 2022 of the Normative Standard for the Management of Physical Risks related to Climate Change.</t>
  </si>
  <si>
    <r>
      <rPr>
        <b/>
        <sz val="10"/>
        <color rgb="FF555555"/>
        <rFont val="Arial"/>
        <family val="2"/>
      </rPr>
      <t>TCFD Recommendation:</t>
    </r>
    <r>
      <rPr>
        <sz val="10"/>
        <color rgb="FF555555"/>
        <rFont val="Arial"/>
        <family val="2"/>
      </rPr>
      <t xml:space="preserve"> 3.2. Climate risk management process</t>
    </r>
  </si>
  <si>
    <t>The main climate risks are included in the company's risk management process. In addition, monitoring of the main risks is also communicated within the scope of the Low Carbon Forum.
“Climate change and energy” chapter of the 2019 Sustainability Report; CDP question 2.2.</t>
  </si>
  <si>
    <t>The main climate risks are included in the company's risk management process, through analysis by the Executive Risk Committee and reporting to the Board of Directors. In addition, monitoring of the main risks is also communicated within the scope of the Low Carbon Forum.
From changes in rainfall and temperature patterns, it was possible to identify the main vulnerable assets and potential changes in the intensity and frequency of operational risks previously identified by the company's risk management process.
For transition risks, analyzes of the strategy's resilience, financial impacts, in the face of different Climate Change scenarios, were prepared, in addition to periodic regulatory monitoring.
Carbon pricing is one of the internal tools for transition risk management. The use of the internal carbon price (shadow price) of US$50/tCO2e is in line with what is necessary to limit the temperature increase to less than 2°C and is integrated into the economic-financial feasibility analyzes of capital projects and projects (sustaining), within the budgetary and strategic planning cycles from 2020 onwards.
For physical risks, we developed an application to standardize short-term physical risk information in operations (Vale Climate Forecast app).
Chapter “Climate Change: Risks and Opportunities in Climate Change” of the 2020 Integrated Report; ESG Portal - Climate Change; CDP question 2.2.</t>
  </si>
  <si>
    <t>The main climate risks are included in the company's risk management process, through analysis by the Executive Risk Committee and reporting to the Board of Directors. In addition, monitoring of the main risks is also communicated within the scope of the Low Carbon Forum.
From changes in rainfall and temperature patterns, it was possible to identify the main vulnerable assets and potential changes in the intensity and frequency of operational risks previously identified by the company's risk management process.
For transition risks, analyzes of the strategy's resilience, financial impacts, in the face of different Climate Change scenarios, were prepared, in addition to periodic regulatory monitoring.
Carbon pricing is one of the internal tools for transition risk management. The use of an internal carbon price (shadow price) of US$50/tCO2e is in line with what is necessary to limit the temperature increase to less than 2°C and with the recommendation of the Carbon Pricing Leadership Coalition (CPLC). Internal pricing is integrated into the decision-making process to guide our capital allocation, enabling and accelerating the transition to a carbon-neutral economy. It is integrated with the economic-financial feasibility analyzes of capital projects and current projects (sustaining), within the budgetary and strategic planning cycles from 2020 onwards.
For physical risks, they are managed using the Vale Climate Forecast Methodology, which was implemented in 2021 in operations in Canada and the North Corridor. This risk mapping and identification process was then integrated into corporate risk management and evaluated according to their severity and probability of occurrence.
Chapter “Climate Change: Risks and Opportunities in Climate Change” of the Integrated Report 2021; ESG Portal - Climate Change; CDP question 2.2. Climate Change Report, 2021.</t>
  </si>
  <si>
    <t>The main climate-related risks are included in the company's risk management process, through analysis by the Executive Risk Committee and reporting to the Board of Directors. The first line of defense is responsible for identifying and managing risks with the support of the company's Risk Management area. In addition, monitoring of the main risks is also communicated within the scope of the Low Carbon Forum.
From the implementation of the "Vale Climate Forecast" Methodology, which indicate changes in rainfall and temperature patterns, it was possible to identify the main vulnerable assets and potential changes in the intensity and frequency of operational risks previously identified by the company's risk management process.
For transition risks, analyzes of the strategy's resilience, financial impacts, in the face of different Climate Change scenarios, were prepared, in addition to periodic regulatory monitoring.
Carbon pricing is one of the internal tools for transition risk management. The use of an internal carbon price (shadow price) of US$50/tCO2e is in line with what is necessary to limit the temperature increase to less than 2°C and with the recommendation of the Carbon Pricing Leadership Coalition (CPLC). Internal pricing is integrated into the decision-making process to guide our capital allocation, enabling and accelerating the transition to a carbon-neutral economy. It is integrated with the economic-financial feasibility analyzes of capital projects and current projects (sustaining), within the budgetary and strategic planning cycles from 2020 onwards.
For physical risks, they are managed via the Vale Climate Forecast Methodology, which was implemented in 2021 in operations in Canada and advanced with the analysis of the North Corridor. This risk mapping and identification process was then integrated into corporate risk management and evaluated according to their severity and probability of occurrence.
Chapter “Climate Change: Risks and Opportunities in Climate Change” of the 2022 Integrated Report; ESG Portal - Climate Change; CDP question 2.2.. Internal publication of Normative Standard for Management of Physical Risks related to Climate.</t>
  </si>
  <si>
    <t>The main climate-related risks are embedded in the company's risk management process, through analyses by the Executive Risk Committee and reporting to the Board of Directors. The first line of defense is responsible for identifying and managing risks with the support of the company's Risk Management area.  In addition, the monitoring of the main risks is also communicated within the framework of the Low Carbon Forum.
From the implementation of the "Vale Climate Forecast" Methodology, which indicates changes in rainfall and temperature patterns, it was possible to identify the main vulnerable assets and potential changes in the intensity and frequency of operational risks previously identified by the company's risk management process.
For transition risks, analyses of the strategy's resilience, financial impacts, in the face of different Climate Change scenarios, in addition to periodic regulatory monitoring, were prepared.
Carbon pricing is one of the internal tools for managing transition risk. The use of the US$50/tCO2e shadow price is in line with what is needed to limit the temperature increase to below 2°C and with the recommendation of the Carbon Pricing Leadership Coalition (CPLC). The internal price is integrated into the decision-making process to guide our capital allocation, enabling and accelerating the transition to a carbon-neutral economy. It is integrated into the economic and financial viability analyses of capital projects and current projects (sustaining), within the budget and strategic planning cycles from 2020 onwards. Furthermore, in 2023, were adopted carbon price curves applicable to commodity pricing trends and premium calculations during the company's Strategic Planning Cycle. 
For physical risks, they are managed via the Vale Climate Forecast Methodology, which has been implemented since 2021 and has already mapped the vulnerability of operations in Canada, the Northern Corridor and recently in the South and Southeast Corridors. The methodology was also deployed for the first time in a capital project located in Indonesia. This process of mapping and identifying risks was then integrated into corporate risk management and evaluated according to their severity and probability of occurrence.
Chapter "Climate Change: Risks and Opportunities in Climate Change" of the Integrated Report 2023; ESG Portal - Climate Change; CDP question 2.2..  Internal publication of the Normative Standard for the Management of Climate-related Physical Risks. Internal publication of the Annual Risk Management Report 2023.</t>
  </si>
  <si>
    <r>
      <rPr>
        <b/>
        <sz val="10"/>
        <color rgb="FF555555"/>
        <rFont val="Arial"/>
        <family val="2"/>
      </rPr>
      <t>TCFD Recommendation:</t>
    </r>
    <r>
      <rPr>
        <sz val="10"/>
        <color rgb="FF555555"/>
        <rFont val="Arial"/>
        <family val="2"/>
      </rPr>
      <t xml:space="preserve"> 3.3. Integration into the corporate risk management process</t>
    </r>
  </si>
  <si>
    <t>Climate risks mapped by different areas within the scope of Corporate Risk Management (GRC), and included in the Operational and Business Risk matrices Regulatory and physical risks included in risk factors (20F).
“Risk Management” chapter of the 2019 Sustainability Report.</t>
  </si>
  <si>
    <t>Climate risks mapped by different areas within the scope of Corporate Risk Management (GRC), and included in the Operational and Business Risk matrices Regulatory and physical risks included in risk factors (20F). Periodically, material risks and opportunities are presented to the Executive Risk Committee for analysis and quarterly reporting to the Board of Directors. The main results are also presented at the Low Carbon Forum.
Chapter “Climate Change: Risks and Opportunities in Climate Change” of the 2020 Integrated Report.</t>
  </si>
  <si>
    <t>At Vale, the identification and analysis of climate change risks are part of the company's corporate risk management process. Climate risks mapped by the different areas within the scope of Corporate Risk Management (GRC), and included in the Operational and Business Risk matrices Regulatory and physical risks are included in the risk factors mentioned in the 20F report. Periodically, material risks and opportunities are presented to the Executive Risk Committee for analysis and quarterly reporting to the Board of Directors. The Executive Risk Committee – Sustainability, Institutional Relations and Reputation continuously monitors risks related to climate change and reports them to the Sustainability Committee. It operates in the second line of defense, continuously evaluating the process of managing the risks and opportunities of climate change. The main results are also presented at the Low Carbon Forum.
Chapter “Climate Change: Risks and Opportunities in Climate Change” of the Integrated Report 2021. Publication of the report on Climate Change, 2021.</t>
  </si>
  <si>
    <t>At Vale, the identification and analysis of climate change risks are part of the company's corporate risk management process. Climate risks mapped by the different areas within the scope of Corporate Risk Management (GRC), and included in the Operational and Business Risk matrices Regulatory and physical risks are included in the risk factors mentioned in the 20F report. Periodically, material risks and opportunities are presented to the Executive Risk Committee for analysis and quarterly reporting to the Board of Directors. The Executive Risk Committee – Sustainability, Institutional Relations and Reputation continuously monitors risks related to climate change and reports them to the Sustainability Committee. It operates in the second line of defense, continuously evaluating the process of managing the risks and opportunities of climate change. The main results are also presented at the Low Carbon Forum.
Chapter “Climate Change: Risks and Opportunities in Climate Change” of the Integrated Report 2022. CDP 2022 Questionnaire, Section TCFD - Business Strategy, C.3. Internal publication in 2022 of the Normative Standard with methodology for managing the Physical Risks of Climate Change at Vale.</t>
  </si>
  <si>
    <t>At Vale, the identification and analysis of climate change risks are part of the company's corporate risk management process. Climate risks are mapped by the different areas within the scope of Corporate Risk Management (GRC), and included in the Operational and Business Risk matrices. Regulatory and physical risks are included in the risk factors mentioned in the 20F report. Periodically, material risks and opportunities are presented to the Executive Risk Committee for analysis and quarterly reporting to the Board of Directors. The Executive Risk Committee – Sustainability, Institutional Relations and Reputation continuously monitors risks related to climate change and reports them to the Sustainability Committee. It operates in the second line of defense, continuously evaluating the process of managing the risks and opportunities of climate change. The main results are also presented at the Low Carbon Forum.
Chapter “Climate Change: Risks and Opportunities in Climate Change” of the Integrated Report 2023. CDP 2023 Questionnaire, Section TCFD - Business Strategy, C.3. Internal publication in 2022 of the Normative Standard with methodology for managing the Physical Risks of Climate Change at Vale.</t>
  </si>
  <si>
    <t>4. Metrics and Goals</t>
  </si>
  <si>
    <r>
      <rPr>
        <b/>
        <sz val="10"/>
        <color rgb="FF555555"/>
        <rFont val="Arial"/>
        <family val="2"/>
      </rPr>
      <t>TCFD Recommendation:</t>
    </r>
    <r>
      <rPr>
        <sz val="10"/>
        <color rgb="FF555555"/>
        <rFont val="Arial"/>
        <family val="2"/>
      </rPr>
      <t xml:space="preserve"> 4.1. Reporting of metrics used to monitor climate risks and opportunities</t>
    </r>
  </si>
  <si>
    <t>• Absolute emissions and intensity;
• Energy consumption, intensity and energy matrix profile;
• Water and land use.
Chapters “Climate Change and Energy”, “Biodiversity” and “Water Resources and Effluents” of the 2019 Sustainability Report; ESG Portal; CDP questions C5., C6., C7. and C8.</t>
  </si>
  <si>
    <t>• Absolute emissions and intensity;
• Energy consumption, intensity and energy matrix profile;
• Water and land use.
• Spending on reducing emissions totaled US$ 81 million in 2020 alone and includes energy efficiency projects, renewable electricity, biofuels, electrification and innovative technologies.
Chapters “Climate Change: Greenhouse Gas (GHG) Emissions”, “Climate Change: Energy and Energy Efficiency”, “Biodiversity” and “Eco-Efficiency: Water Resources” of the 2020 Integrated Report; ESG Portal; CDP questions C5., C6., C7., C8 and C9.</t>
  </si>
  <si>
    <t>• Absolute emissions and intensity;
• Energy consumption, intensity and energy matrix profile;
• Water and land use.
- Percentage of assets analyzed to identify physical risks related to climate change, following the "Vale Climate Forecast" methodology, percentage of assets with high exposure to transition risks, percentage of assets with high exposure to climate opportunities.
• Spending on reducing emissions totaled US$ 187 million in 2021 alone and includes energy efficiency projects, renewable electricity, biofuels, electrification and innovative technologies.
Chapters “Climate Change: Greenhouse Gas Emissions (GHG)”, “Climate Change: Energy and Energy Efficiency”, “Biodiversity” and “Eco-Efficiency: Water Resources” of the 2021 Integrated Report; ESG Portal; CDP questions C5., C6., C7., C8 and C9. Climate Change Report, 2021</t>
  </si>
  <si>
    <t>• Absolute emissions and intensity;
• Energy consumption, intensity and energy matrix profile;
• Water and land use.
- Percentage of assets analyzed to identify physical risks related to climate change, following the "Vale Climate Forecast" methodology, percentage of assets with high exposure to transition risks, percentage of assets with high exposure to climate opportunities.
• Spending on emissions reduction in 2022 totaled $543 million, almost three times as much as in 2021, and covers energy efficiency projects, renewable electricity, biofuels, electrification, and innovative technologies.
Chapters “Climate Change: Greenhouse Gas Emissions (GHG)”, “Climate Change: Energy and Energy Efficiency”, “Biodiversity” and “Eco-Efficiency: Water Resources” of the 2021 Integrated Report; ESG Portal; CDP questions C5., C6., C7., C8 and C9. Climate Change Report, 2021</t>
  </si>
  <si>
    <t>• Absolute emissions and intensity;
• Energy consumption, intensity and energy matrix profile;
• Water and land use.
- Percentage of assets analyzed to identify physical risks related to climate change, following the "Vale Climate Forecast" methodology, percentage of assets with high exposure to transition risks, percentage of assets with high exposure to climate opportunities.
• Spending on emissions reduction in 2022 totaled US$ 543 million, almost three times as much as in 2021, and covers energy efficiency projects, renewable electricity, biofuels, electrification, and innovative technologies.
Chapters “Climate Change: Greenhouse Gas Emissions (GHG)”, “Climate Change: Energy and Energy Efficiency”, “Biodiversity” and “Eco-Efficiency: Water Resources” of the 2023 Integrated Report; ESG Portal; CDP questions C5., C6., C7., C8 and C9. Climate Change Report, 2021</t>
  </si>
  <si>
    <r>
      <rPr>
        <b/>
        <sz val="10"/>
        <color rgb="FF555555"/>
        <rFont val="Arial"/>
        <family val="2"/>
      </rPr>
      <t xml:space="preserve">TCFD Recommendation: </t>
    </r>
    <r>
      <rPr>
        <sz val="10"/>
        <color rgb="FF555555"/>
        <rFont val="Arial"/>
        <family val="2"/>
      </rPr>
      <t>4.2. Transparency regarding scope 1, 2 and 3 emissions.</t>
    </r>
  </si>
  <si>
    <t>Reporting of Scope 1, 2 and 3 emissions in the Sustainability Report, on the ESG Portal and in Vale's response to the CDP Questionnaire.
Chapter “Climate Change: Performance” of the 2019 Sustainability Report; ESG Portal - Climate Change; CDP questions C5., C6. and C7.</t>
  </si>
  <si>
    <t>Reporting of Scope 1, 2 and 3 emissions in the Integrated Report, on the ESG Portal, in Vale's response to the CDP Questionnaire and in the ESG Databook.
Chapter “Climate Change: Greenhouse Gas (GHG) Emissions” of the 2020 Integrated Report; ESG Portal - Climate Change; CDP questions C5., C6. and C7.</t>
  </si>
  <si>
    <t>Reporting of absolute Scope 1, 2 and 3 emissions in the Integrated Report, on the ESG Portal, in Vale's response to the CDP Questionnaire and in the ESG Databook. Reported emissions do not include any type of offsetting.
Chapter “Climate Change: Greenhouse Gas (GHG) Emissions” of the 2021 Integrated Report; ESG Portal - Climate Change; CDP questions C5., C6. and C7.</t>
  </si>
  <si>
    <t>Reporting of absolute Scope 1, 2 and 3 emissions in the Integrated Report, on the ESG Portal, in Vale's response to the CDP Questionnaire and in the ESG Databook. Reported emissions do not include any type of offsetting.
Chapter “Climate Change: Greenhouse Gas (GHG) Emissions” of Integrated Report 2022; ESG Portal - Climate Change; CDP questions C4, C5., C6. and C7.</t>
  </si>
  <si>
    <t>Reporting of absolute Scope 1, 2 and 3 emissions in the Integrated Report, on the ESG Portal, in Vale's response to the CDP Questionnaire and in the ESG Databook. Reported emissions do not include any type of offsetting.
Chapter “Climate Change: Greenhouse Gas (GHG) Emissions” of Integrated Report 2023; ESG Portal - Climate Change; CDP questions C4, C5., C6. and C7.</t>
  </si>
  <si>
    <r>
      <rPr>
        <b/>
        <sz val="10"/>
        <color rgb="FF555555"/>
        <rFont val="Arial"/>
        <family val="2"/>
      </rPr>
      <t xml:space="preserve">TCFD Recommendation: </t>
    </r>
    <r>
      <rPr>
        <sz val="10"/>
        <color rgb="FF555555"/>
        <rFont val="Arial"/>
        <family val="2"/>
      </rPr>
      <t>4.3. Setting goals with clarity</t>
    </r>
  </si>
  <si>
    <t>In December 2019, Vale assumed more ambitious goals in its climate agenda, with 2017 as the base year.
• Become a zero net emissions mining company (Scopes 1 and 2) by 2050.
• Reduce absolute Scope 1 and 2 emissions by 33%, by 2030, compared to the base year of 2017, in line with the Paris Agreement. This target was defined based on the calculation tool of the Science Based Target Initiative (SBTI), and is therefore compatible with an increase in global temperature of less than 2°C (scenario well below 2°C) and considered a target based on the science. For Scopes 1 and 2, no types of compensation are considered and the entire strategy is related to the reduction of internal emissions. This goal is linked to the variable remuneration of all Vale employees.
• Consume 100% of electricity from renewable sources by 2025 in Brazil and, globally, by 2030;
• Establish ambition to reduce scope 3 emissions.
• Restore and protect an additional 500,000 hectares by 2030.
“Global Sustainability Goals” and “Climate Change and Energy” chapters of the 2019 Sustainability Report; ESG Portal - Climate Change; CDP question 4.1.</t>
  </si>
  <si>
    <t>In addition to the goals announced in 2019, in 2020 Vale assumed the target of reducing net Scope 3 emissions by 15% by 2035, compared to the base year of 2018. The volume of reduction was defined based on the calculation tool of the Science Based Target Initiative (SBTI), the Absolute Contraction Approach method, so it is also considered a science-based target.
"Advances in the 2030 Commitments" and "Climate Changes" chapters of the 2020 Integrated Report; ESG Portal - Climate Change; CDP question 4.1.</t>
  </si>
  <si>
    <t>The goals remained the same as in 2019 and 2020.</t>
  </si>
  <si>
    <t>WEF - World Economic Forum</t>
  </si>
  <si>
    <t>Governance Purpose</t>
  </si>
  <si>
    <r>
      <rPr>
        <b/>
        <sz val="10"/>
        <color rgb="FF555555"/>
        <rFont val="Arial"/>
        <family val="2"/>
      </rPr>
      <t xml:space="preserve">Metric: </t>
    </r>
    <r>
      <rPr>
        <sz val="10"/>
        <color rgb="FF555555"/>
        <rFont val="Arial"/>
        <family val="2"/>
      </rPr>
      <t>Definition of purpose.</t>
    </r>
  </si>
  <si>
    <t>Vale began to build a new culture, reflected in the phrase: learning together. Thus, the purpose was defined as:
"We exist to improve life and transform the future. Together."
Vale believes that mining is essential for the development of the world and only serves society by generating prosperity for everyone and taking care of the planet.</t>
  </si>
  <si>
    <t>Vale's purpose is: "We exist to improve life and transform the future. Together."</t>
  </si>
  <si>
    <t>Quality of the Board of Directors</t>
  </si>
  <si>
    <r>
      <rPr>
        <b/>
        <sz val="10"/>
        <color rgb="FF555555"/>
        <rFont val="Arial"/>
        <family val="2"/>
      </rPr>
      <t xml:space="preserve">Metric: </t>
    </r>
    <r>
      <rPr>
        <sz val="10"/>
        <color rgb="FF555555"/>
        <rFont val="Arial"/>
        <family val="2"/>
      </rPr>
      <t>Board composition.</t>
    </r>
  </si>
  <si>
    <t>To learn about the composition of the board of directors and its characteristics, please access the Proxy Statement: http://www.vale.com/PT/investors/corporate-governance/notices-minutes-corporate-documents/atasEditaisDocumentosCorporativos/4. Proxy%20Statement%202021_PT.pdf</t>
  </si>
  <si>
    <t>To learn about the composition of the board of directors and its characteristics, please access the Proxy Statement: https://api.mziq.com/mzfilemanager/v2/d/53207d1c-63b4-48f1-96b7-19869fae19fe/ec478bc8-e308- 2d7a-231e-860a858858d3?origin=1</t>
  </si>
  <si>
    <t>To learn about the composition of the board of directors and its characteristics, please access the Proxy Statement: https://api.mziq.com/mzfilemanager/v2/d/53207d1c-63b4-48f1-96b7-19869fae19fe/d1bca918-527d-94fa-315e-87dcf684a52b?origin=2</t>
  </si>
  <si>
    <t xml:space="preserve">To learn about the composition of the board of directors and its characteristics, please access the Proxy Statement. </t>
  </si>
  <si>
    <t>Proxy Statement</t>
  </si>
  <si>
    <t>Stakeholder involvement</t>
  </si>
  <si>
    <r>
      <rPr>
        <b/>
        <sz val="10"/>
        <color rgb="FF555555"/>
        <rFont val="Arial"/>
        <family val="2"/>
      </rPr>
      <t xml:space="preserve">Metric: </t>
    </r>
    <r>
      <rPr>
        <sz val="10"/>
        <color rgb="FF555555"/>
        <rFont val="Arial"/>
        <family val="2"/>
      </rPr>
      <t>Material topics that affect stakeholders.</t>
    </r>
  </si>
  <si>
    <t>Relationship and engagement actions are carried out with the main stakeholders. It is part of Vale's commitment to identify opportunities to contribute to the achievement of global ESG goals adhered to the business, seeking partnerships, solutions and technologies for the challenges of sustainable development.
To this end, Vale is committed to practicing active and integrated listening with its stakeholders in building a positive legacy for future generations, creating positive social, environmental and economic value throughout the entire mining life cycle .
To access the methods and reasons for engagement of the main stakeholders, please access the 2020 Integrated Report (p. 55)</t>
  </si>
  <si>
    <t>Aware of its potential impact on society, Vale seeks to engage in dialogue and active listening with its stakeholders in order to build a positive legacy for future generations. In the Integrated Report (p.112), we publish relationship and engagement initiatives with the main stakeholders.</t>
  </si>
  <si>
    <t>Aware of its potential impact on society, Vale seeks to engage in dialogue and active listening with its stakeholders in order to build a positive legacy for future generations. In the Integrated Report (p.19 and 20), we publish relationship and engagement initiatives with the main stakeholders.</t>
  </si>
  <si>
    <t>Aware of its potential impact on society, Vale seeks to engage in dialogue and active listening with its stakeholders in order to build a positive legacy for future generations. In the Integrated Report (p.14 and 15), we publish relationship and engagement initiatives with the main stakeholders.</t>
  </si>
  <si>
    <t>Ethical Behavior</t>
  </si>
  <si>
    <r>
      <rPr>
        <b/>
        <sz val="10"/>
        <color rgb="FF555555"/>
        <rFont val="Arial"/>
        <family val="2"/>
      </rPr>
      <t xml:space="preserve">Metric: </t>
    </r>
    <r>
      <rPr>
        <sz val="10"/>
        <color rgb="FF555555"/>
        <rFont val="Arial"/>
        <family val="2"/>
      </rPr>
      <t>Anti-corruption</t>
    </r>
  </si>
  <si>
    <t>Training on anti-corruption policies and procedures:
- Senior governance: : In 2020, no specific training was carried out on anti-corruption rules for Vale's senior governance. Only follow-up meetings were held. Training for this audience was carried out in 2019 and will be repeated in 2021.
- Employees: 74% participated in the global education action on anti-corruption rules in 2020.
- Commercial partners: n/a
Corruption cases confirmed during 2020:
In 2020, 7 cases of private corruption were confirmed, in all cases employees were dismissed or punished. There was also the blocking of 3 suppliers after verification. There were no corruption-related lawsuits filed against the organization or its employees during the reporting period.
For information on managing this issue, see the Vale 2020 Integrated Report.</t>
  </si>
  <si>
    <t>Training on anti-corruption policies and procedures:
- Senior governance: 74%
- Employees: 89%
- Commercial partners: n/a
Corruption cases confirmed during 2021:
In 2021, no cases of corruption involving public agents were identified. Through the company's Whistleblower Channel, 3 cases were identified that resulted in actions to terminate the employees involved.
For information on managing the issue, see the Vale 2021 Integrated Report.</t>
  </si>
  <si>
    <t>Training on anti-corruption policies and procedures:
- High governance: 91%
- Employees: 93%
- Commercial partners: n/a
Corruption cases confirmed during 2022:
In 2022, no cases of corruption involving public agents were identified. Through the company's Whistleblower Channel, 4 cases were identified that resulted in the dismissal of an employee and a notification to a third party.
For information on the management of the topic, consult the Vale 2022 Integrated Report.</t>
  </si>
  <si>
    <t>Training on anti-corruption policies and procedures:
- High governance: 91%
- Employees: 96%
- Commercial partners: n/a
Corruption cases confirmed during 2023:
In 2023, no cases of corruption involving public agents were identified. Through the company's Whistleblower Channel, 2 cases were identified that resulted in the dismissal of an employee and a demobilization of the contract during the investigation process for poor performance.
For information on the management of the topic, consult the Vale 2023 Integrated Report.</t>
  </si>
  <si>
    <t>Risk and Opportunity Supervision</t>
  </si>
  <si>
    <r>
      <rPr>
        <b/>
        <sz val="10"/>
        <color rgb="FF555555"/>
        <rFont val="Arial"/>
        <family val="2"/>
      </rPr>
      <t xml:space="preserve">Metric: </t>
    </r>
    <r>
      <rPr>
        <sz val="10"/>
        <color rgb="FF555555"/>
        <rFont val="Arial"/>
        <family val="2"/>
      </rPr>
      <t>Integrating risk and opportunity into the business process</t>
    </r>
  </si>
  <si>
    <t>The 2020 20-F Report details the company's risks of the following nature: Risks related to the failure of a dam; external risks; financial risks; legal, political, economic, social and regulatory risks; operational risks; health, safety, environmental and social risks; risks related to our mineral reserves; risks related to the corporate structure; risks relating to depository shares.
Risks of another nature can also be found described in the 2020 Reference Form.</t>
  </si>
  <si>
    <t>The 2021 20-F Report details the company's risks of the following nature: Risks related to the failure of a dam; external risks; financial risks; legal, political, economic, social and regulatory risks; operational risks; health, safety, environmental and social risks; risks related to our mineral reserves; risks related to the corporate structure; risks relating to depository shares; risks related to the Covid-19 pandemic.
Risks of another nature can also be found described in the 2021 Reference Form.</t>
  </si>
  <si>
    <t>In Report 20-F 2022, the company's risks of the following nature are detailed: Risks related to the rupture of a dam; external risks; financial risks; legal, political, economic, social and regulatory risks; operational risks; health, safety, environmental and social risks; risks related to our mineral reserves; risks related to the corporate structure; risks relating to depository shares; risks related to the Covid-19 pandemic.
Risks of another nature can also be found described in the 2022 Reference Form.</t>
  </si>
  <si>
    <t>In Report 20-F 2023, the company's risks of the following nature are detailed: Risks related to the rupture of a dam; external risks; financial risks; legal, political, economic, social and regulatory risks; operational risks; health, safety, environmental and social risks; risks related to our mineral reserves; risks related to the corporate structure; risks relating to depository shares.
Risks of another nature can also be found described in the 2023 Reference Form.
Report 20-F and the Reference Form can be found in the "References" tab of this Databook.</t>
  </si>
  <si>
    <t>Climate change</t>
  </si>
  <si>
    <r>
      <rPr>
        <b/>
        <sz val="10"/>
        <color rgb="FF555555"/>
        <rFont val="Arial"/>
        <family val="2"/>
      </rPr>
      <t xml:space="preserve">Metric: </t>
    </r>
    <r>
      <rPr>
        <sz val="10"/>
        <color rgb="FF555555"/>
        <rFont val="Arial"/>
        <family val="2"/>
      </rPr>
      <t>Greenhouse gas (GHG) emissions</t>
    </r>
  </si>
  <si>
    <t>Scope 1:  8.5 millions of tCO2e
Scope 2 - Location-Based: 0.7 millions of tCO2e
Scope 2  - Marked-Based: 0.4 millions of tCO2e
Scope 3:  486.8 million of tCO2e</t>
  </si>
  <si>
    <t>Scope 1:  8.7 millions of tCO2e
Scope 2 - Location-Based: 1.2 millions of tCO2e
Scope 2  - Marked-Based: 0.3 millions of tCO2e
Scope 3:  470.7 million of tCO2e</t>
  </si>
  <si>
    <t>Scope 1:  8.6 millions of tCO2e
Scope 2 - Location-Based: 0.6 millions of tCO2e
Scope 2  - Marked-Based: 0.3 millions of tCO2e
Scope 3:  457.6 million of tCO2e</t>
  </si>
  <si>
    <t>Scope 1:  9.4 millions of tCO2e
Scope 2 - Location-Based: 0.6 millions of tCO2e
Scope 2  - Marked-Based: 0.3 millions of tCO2e
Scope 3:  451.2 million of tCO2e</t>
  </si>
  <si>
    <r>
      <rPr>
        <b/>
        <sz val="10"/>
        <color rgb="FF555555"/>
        <rFont val="Arial"/>
        <family val="2"/>
      </rPr>
      <t>Metric:</t>
    </r>
    <r>
      <rPr>
        <sz val="10"/>
        <color rgb="FF555555"/>
        <rFont val="Arial"/>
        <family val="2"/>
      </rPr>
      <t xml:space="preserve"> TCFD Implementation</t>
    </r>
  </si>
  <si>
    <t>Vale contributed to the construction of the Task Force on Climate Related Financial Disclosures (TCFD) framework, an initiative of which it has supported since 2017.
One of the commitments of the Vale Carbono Neutra strategy is a 15% reduction in net Scope 3 emissions, by 2035, compared to the base year of 2018. The volume of reduction was defined based on the calculation tool of the Science Based Target Initiative (SBTI), Absolute Contraction Approach method, so it is also considered a science-based goal.
Reduce absolute Scope 1 and 2 emissions by 33%, by 2030, compared to the base year of 2017, in line with the Paris Agreement. This target was established based on the methodology defined by the Science Based Target Initiative (SBTI), and is therefore considered a science-based target, at a level compatible with an increase in global temperature of less than 2°C (scenario well below 2° W).</t>
  </si>
  <si>
    <t>Loss of nature</t>
  </si>
  <si>
    <r>
      <rPr>
        <b/>
        <sz val="10"/>
        <color rgb="FF555555"/>
        <rFont val="Arial"/>
        <family val="2"/>
      </rPr>
      <t>Metric:</t>
    </r>
    <r>
      <rPr>
        <sz val="10"/>
        <color rgb="FF555555"/>
        <rFont val="Arial"/>
        <family val="2"/>
      </rPr>
      <t xml:space="preserve"> Land use and ecological sensitivity</t>
    </r>
  </si>
  <si>
    <r>
      <t xml:space="preserve">In </t>
    </r>
    <r>
      <rPr>
        <b/>
        <i/>
        <sz val="11"/>
        <color rgb="FF555555"/>
        <rFont val="Arial"/>
        <family val="2"/>
      </rPr>
      <t>wilderness</t>
    </r>
  </si>
  <si>
    <r>
      <t xml:space="preserve">In </t>
    </r>
    <r>
      <rPr>
        <b/>
        <i/>
        <sz val="11"/>
        <color rgb="FF555555"/>
        <rFont val="Arial"/>
        <family val="2"/>
      </rPr>
      <t>hotspots</t>
    </r>
  </si>
  <si>
    <t>818.39</t>
  </si>
  <si>
    <t>324.82</t>
  </si>
  <si>
    <t>381.77</t>
  </si>
  <si>
    <t>260.24</t>
  </si>
  <si>
    <t>384.19</t>
  </si>
  <si>
    <t>103.89</t>
  </si>
  <si>
    <t>156.36</t>
  </si>
  <si>
    <t>814.57</t>
  </si>
  <si>
    <t>372.46</t>
  </si>
  <si>
    <t>255.43</t>
  </si>
  <si>
    <t>396.28</t>
  </si>
  <si>
    <t>103.41</t>
  </si>
  <si>
    <t>877.31</t>
  </si>
  <si>
    <t>434.87</t>
  </si>
  <si>
    <t>356.99</t>
  </si>
  <si>
    <t>300.53</t>
  </si>
  <si>
    <t>397.22</t>
  </si>
  <si>
    <t>96.23</t>
  </si>
  <si>
    <t>95.95</t>
  </si>
  <si>
    <r>
      <t xml:space="preserve">Note: </t>
    </r>
    <r>
      <rPr>
        <sz val="10"/>
        <color rgb="FF555555"/>
        <rFont val="Arial"/>
        <family val="2"/>
      </rPr>
      <t>Notes: The total area occupied by our operations (total impacted area) includes the areas of the pits currently licensed and under exploration, covering proven and probable reserves. It should be noted that the assessment of mineral resources and reserves currently takes into account the technical, economic, social and environmental points of view, and areas with legal restrictions, such as conservation units (Full Protection UCs and Private Natural Heritage Reserves), are excluded from the impact areas of these new cavas and are therefore not considered a reserve. This process is in line with the new rules set out in the Securities and Exchanges Commission's (SEC) SK-1300 Guide.
Between 2021 and 2022, there was an increase in the Directly Affected Areas (DAAs) of the projects, with a consequent increase in interference in the territories, resulting in a variation in the area impacted in wilderness and protected areas.</t>
    </r>
  </si>
  <si>
    <t>Fresh Water Availability</t>
  </si>
  <si>
    <r>
      <rPr>
        <b/>
        <sz val="10"/>
        <color rgb="FF555555"/>
        <rFont val="Arial"/>
        <family val="2"/>
      </rPr>
      <t xml:space="preserve">Metric: </t>
    </r>
    <r>
      <rPr>
        <sz val="10"/>
        <color rgb="FF555555"/>
        <rFont val="Arial"/>
        <family val="2"/>
      </rPr>
      <t>Consumption and abstraction of water in areas of water stress</t>
    </r>
  </si>
  <si>
    <t>Underground collection (m³): 35 million
Surface capture (m³): 103 million
Supply company (m³): 6 million
Total: 145 million m³ of water captured for Vale production
Total volume of new water abstracted according to the region's water risk:
Low: 131 million m³ (90%)
Low to medium: 10 million m³ (7%)
Medium to high: 3 million m³ (2%)
High: 1 million m³ (1%)
Extremely high: There was no uptake in regions with this risk.</t>
  </si>
  <si>
    <t>Underground collection (m³): 42.8 million
Surface capture (m³): 69.8 million
Supply company (m³): 6.2 million
Stored fresh water: 4.5 million m³
Total freshwater abstraction for use (others): 0.9 million m²
Total: 118.8 million m³ of water captured for Vale production
Total volume of new water abstracted according to the region's water risk:
Low: 95.8 million m³
Superficial: 66.8 million m³
Underground: 26 million m³
Supply company: 3 million m³
Low to medium: 17.1 million m³
Superficial: 2.1 million m³
Underground: 15 million m³
Medium to high: 3.2 million m³
Superficial: 0.178 million m³
Underground: 1.5 million m³
Supply company: 1.5 million m³
High: 2 million m³
Supply company: 2 million m³
Extremely high: 0</t>
  </si>
  <si>
    <t>Dignity and Equality</t>
  </si>
  <si>
    <r>
      <rPr>
        <b/>
        <sz val="10"/>
        <color rgb="FF555555"/>
        <rFont val="Arial"/>
        <family val="2"/>
      </rPr>
      <t xml:space="preserve">Metric: </t>
    </r>
    <r>
      <rPr>
        <sz val="10"/>
        <color rgb="FF555555"/>
        <rFont val="Arial"/>
        <family val="2"/>
      </rPr>
      <t>Equal pay (%)</t>
    </r>
  </si>
  <si>
    <t>The local minimum wage is respected by Vale and base salaries do not differ between men and women who perform the same function, in accordance with the Human Resources Policy. Variations may occur due to the levels of seniority and maturity in which employees fall</t>
  </si>
  <si>
    <t>Vale respects the local minimum wage defined by law, and there is no significant difference* in base salaries between women and men who perform the same functions, as determined by the Human Resources Policy. Any variations result from different levels of seniority and maturity of employees in their functional category.</t>
  </si>
  <si>
    <r>
      <rPr>
        <b/>
        <sz val="10"/>
        <color rgb="FF555555"/>
        <rFont val="Arial"/>
        <family val="2"/>
      </rPr>
      <t xml:space="preserve">Note: </t>
    </r>
    <r>
      <rPr>
        <sz val="8"/>
        <color rgb="FF555555"/>
        <rFont val="Arial"/>
        <family val="2"/>
      </rPr>
      <t>*A non-significant difference represents a variation of up to 2 percentage points more or less.</t>
    </r>
  </si>
  <si>
    <r>
      <rPr>
        <b/>
        <sz val="10"/>
        <color rgb="FF555555"/>
        <rFont val="Arial"/>
        <family val="2"/>
      </rPr>
      <t xml:space="preserve">Metric: </t>
    </r>
    <r>
      <rPr>
        <sz val="10"/>
        <color rgb="FF555555"/>
        <rFont val="Arial"/>
        <family val="2"/>
      </rPr>
      <t>Diversity and inclusion (%)</t>
    </r>
  </si>
  <si>
    <t>Resposta Vale</t>
  </si>
  <si>
    <t>Percentual de mulheres por categoria funcional de liderança</t>
  </si>
  <si>
    <t>Ano</t>
  </si>
  <si>
    <t>Diretores</t>
  </si>
  <si>
    <t>Gerente Geral</t>
  </si>
  <si>
    <t>Gerente</t>
  </si>
  <si>
    <t>Coordenador</t>
  </si>
  <si>
    <t>Especialista Técnico</t>
  </si>
  <si>
    <r>
      <t xml:space="preserve">Percentual de mulheres por categoria funcional de </t>
    </r>
    <r>
      <rPr>
        <b/>
        <i/>
        <sz val="11"/>
        <color rgb="FF555555"/>
        <rFont val="Arial"/>
        <family val="2"/>
      </rPr>
      <t>staff</t>
    </r>
  </si>
  <si>
    <t>Staff Operacional</t>
  </si>
  <si>
    <t>Staff Administrativo</t>
  </si>
  <si>
    <t>Técnico Profissional</t>
  </si>
  <si>
    <r>
      <rPr>
        <b/>
        <sz val="10"/>
        <color rgb="FF555555"/>
        <rFont val="Arial"/>
        <family val="2"/>
      </rPr>
      <t xml:space="preserve">Metric: </t>
    </r>
    <r>
      <rPr>
        <sz val="10"/>
        <color rgb="FF555555"/>
        <rFont val="Arial"/>
        <family val="2"/>
      </rPr>
      <t>Salary level (%)</t>
    </r>
  </si>
  <si>
    <t>The local minimum wage is respected by Vale and base salaries do not differ between men and women who perform the same function, in accordance with the Human Resources Policy.
The information on the proportion between the remuneration of the CEO and other Vale employees is subject to a specific confidentiality restriction: Vale does not disclose the amounts of wages paid.</t>
  </si>
  <si>
    <t>We pay 100% of our employees a living wage¹, according to an external evaluation carried out in 2022. Deductions or restrictions on remuneration that could result in the employee being indebted to the company are prohibited.</t>
  </si>
  <si>
    <r>
      <rPr>
        <b/>
        <sz val="10"/>
        <color rgb="FF555555"/>
        <rFont val="Arial"/>
        <family val="2"/>
      </rPr>
      <t xml:space="preserve">Note: </t>
    </r>
    <r>
      <rPr>
        <sz val="8"/>
        <color rgb="FF555555"/>
        <rFont val="Arial"/>
        <family val="2"/>
      </rPr>
      <t>¹ Pay a living wage means providing the means for an individual/family to purchase the goods and services necessary to attain a basic standard of living (food, housing, education, transportation, leisure, culture, etc.) aligned with the social and cultural expectations of the community and/or country in which the individual is located.</t>
    </r>
  </si>
  <si>
    <r>
      <rPr>
        <b/>
        <sz val="10"/>
        <color rgb="FF555555"/>
        <rFont val="Arial"/>
        <family val="2"/>
      </rPr>
      <t xml:space="preserve">Metric: </t>
    </r>
    <r>
      <rPr>
        <sz val="10"/>
        <color rgb="FF555555"/>
        <rFont val="Arial"/>
        <family val="2"/>
      </rPr>
      <t>Risk of incidence of child, forced or compulsory labor</t>
    </r>
  </si>
  <si>
    <t>Regarding critical issues such as forced labor, child labor, child sexual exploitation and human trafficking, Vale establishes risk management at all stages of the life cycle of its projects. There is a special focus on respecting and promoting the Human Rights of children and adolescents and vulnerable groups.
Upon registration at Vale, all suppliers undergo a risk analysis, which includes an assessment of Human Rights, Health and Safety and the Environment (HSE) and Integrity. In addition, the company encourages suppliers to implement compliance programs and follow the same guidelines in their production chains. At this stage, third-party due diligence is performed globally on 100% of new registered suppliers. Suppliers commit to expected standards of behavior in accordance with Vale's Policies, and undertake, through contractual clauses, to provide dignified working conditions, combat forced labor or labor analogous to slavery, child labor and sexual exploitation child abuse and not tolerate discrimination, respect freedom of association and collective bargaining. The company periodically monitors, both in the certification and registration phase and throughout the supplier's life cycle, updates to the Blacklist of Slave Labor, cross-referencing the information with 100% of its supplier base in Brazil.
To this end, the Company prioritizes and establishes a continuous process of engagement with the communities in the areas of influence of the projects, implements partnerships with Childhood Brasil and InPacto with preventive and mitigating actions, acts through the Vale Foundation in structuring social programs, strengthens the public social protection network and works directly with children and their families.
In 2020, there was no record or complaint involving Vale in cases of child or slave labor, of young people exposed to hazardous work, forced or compulsory labor and human trafficking, in any of the Company's operations.</t>
  </si>
  <si>
    <t>For critical issues, such as forced labor, child labor, sexual exploitation of children and adolescents and human trafficking, risk management processes are determined at all stages of the life cycle of Vale's projects. The mitigation of these risks also occurs through a continuous process of engagement with the communities, as well as through partnerships with Childhood Brasil and InPacto with preventive and mitigating actions.
In 2021, there was no record or report of incidents of child or compulsory labor involving Vale's operations. But Vale still recognizes the fragility of the issue in its value chain and is working to minimize these impacts.</t>
  </si>
  <si>
    <t>For critical issues, such as forced labor, child labor, sexual exploitation of children and adolescents and human trafficking, risk management processes are determined at all stages of the life cycle of Vale's projects. The mitigation of these risks also occurs through a continuous process of engagement with the communities, as well as through partnerships with Childhood Brasil and InPacto with preventive and mitigating actions.
In 2022, there was no record or report of incidents of child labor involving Vale's operations and suppliers. However, we recognize this risk as a critical issue in our operations in Brazil, Canada, Indonesia, Malaysia and Oman. Regarding suppliers, Vale considers the sectors listed as high risk or with the highest incidence of forced and child labor classified by Resolution No. and by the Department of Labor Inspection from 2012 to 2020 and we work to prevent, monitor and manage such occurrences in our suppliers and operations.</t>
  </si>
  <si>
    <t>The risk related to the possibility of child labor is mapped in the operations in Brazil, Indonesia and Malaysia; in projects in Brazil, Canada, Chile, Peru and Indonesia; and Brazilian and international suppliers, with emphasis on the following countries where Vale has operations and projects: Chile, China, UAE, Indonesia, Malaysia, Oman and Peru. The risk related to the possibility of young workers exposed to hazardous work is mapped in the operations in Brazil and Indonesia; in projects in Brazil, Indonesia, Chile and Peru; and Brazilian and international suppliers, with emphasis on the following countries where Vale has operations and projects: Chile, China, UAE, Indonesia, Malaysia, Oman and Peru. 
And risk related to the possibility of forced or compulsory labor is mapped in operations in Brazil, Canada, Oman, Indonesia, Malaysia, Japan and Wales; in projects in Brazil, Indonesia, Canada, Chile and Peru; and brazilian and international suppliers, with emphasis on the following countries where Vale has operations and projects: Chile, China, UAE, Indonesia, Malaysia, Oman and Peru.</t>
  </si>
  <si>
    <t>Health and wellness</t>
  </si>
  <si>
    <r>
      <rPr>
        <b/>
        <sz val="10"/>
        <color rgb="FF555555"/>
        <rFont val="Arial"/>
        <family val="2"/>
      </rPr>
      <t xml:space="preserve">Metric: </t>
    </r>
    <r>
      <rPr>
        <sz val="10"/>
        <color rgb="FF555555"/>
        <rFont val="Arial"/>
        <family val="2"/>
      </rPr>
      <t>Health and safety (%)</t>
    </r>
  </si>
  <si>
    <t>In 2020 we had fatalities and lives changed at Vale, which shows that there is still a long way to go for us to be an effectively safe company. We recorded a total of 4 confirmed fatalities (rate of 0.051) among company employees, 1 of which were employees and 3 were outsourced. The number of accidents at work with serious consequences (excluding deaths) was 232 (rate of 18.36) and the number of accidents at work requiring mandatory reporting was 1,921 (rate of 147.53). The number of hours worked was 341,088,840.13 hours. The main types of accidents at work were: Fatality, Leave, Medical Restriction and Medical Treatment.
In Brazil, all company employees and their legal dependents have access to medical and health services not related to work through the PASA self-managed health plan. In other countries where we operate, health plans are offered through outsourcing.</t>
  </si>
  <si>
    <t>In 2021, there were two cases of fatality at Vale, an employee and a third party.
Some of the dangers that caused, or contributed to, the occurrence of accidents at work were: operations of mobile equipment, blocking, identification and zero energy, work at heights, protection of machines, lifting loads, light motor vehicles, work with electricity, soil stability.
In Brazil, all company employees and their legal dependents have access to medical and health services not related to work through the PASA self-managed health plan. In other countries where we operate, health plans are offered through outsourcing.</t>
  </si>
  <si>
    <t>In 2022, there were five fatalities at Vale.
Some of the activities that were being carried out at the time of these accidents at work were: operations of mobile equipment, blocking, identification and zero energy, work at heights, protection of machines, lifting loads, light motor vehicles and electrical work.
In Brazil, all company employees and their legal dependents have access to medical and health services not related to work through the PASA self-managed health plan. In other countries where we operate, health plans are offered through outsourcing.</t>
  </si>
  <si>
    <t>In Brazil, all employees and their legal dependents have access to non-work-related medical and health services through the AMS PASA self-managed health plan. In the other countries where we operate, health plans are offered through external contracting.  
In Brazil, most of the services offered by the company are provided through PASA in Vitória, São Luis and Itabira.We also have hospitals in Carajás and Sorowako, Indonesia. Vale also has the reciprocity partnership of the Cassi health plan for employees who work in the remote model and who do not live in the large centers where the PASA clinics are located, in addition to the accredited network in the national territory where Vale operates.
Non-work-related medical and health services are not offered by Vale to employees who are not its own employees, but they are eligible to participate in collective health promotion campaigns and SIPATs. 
2023 data:
◦ Rate of deaths resulting from occupational accidents
     Own employees: 0.0068(1 fatality)
     Third Party: 0
◦ Rate of occupational accidents with serious consequences (except deaths)
     Own employees: 0.251 (37 occurrences)
     Third: 0.1896 (62 occurrences)
◦Reporting Occupational Accident Rate
     Own employees: 5.92 (876 occurrences)
     Third: 3,508 (1,147 occurrences)
◦Number of hours worked
     Own employees: 147,394,080
     Third Party: 326,936,368</t>
  </si>
  <si>
    <t>Skills for the Future</t>
  </si>
  <si>
    <r>
      <rPr>
        <b/>
        <sz val="10"/>
        <color rgb="FF555555"/>
        <rFont val="Arial"/>
        <family val="2"/>
      </rPr>
      <t xml:space="preserve">Metric: </t>
    </r>
    <r>
      <rPr>
        <sz val="10"/>
        <color rgb="FF555555"/>
        <rFont val="Arial"/>
        <family val="2"/>
      </rPr>
      <t>Training provided (#)</t>
    </r>
  </si>
  <si>
    <t>The average total hours of training for Vale employees was 51 hours in 2020.</t>
  </si>
  <si>
    <t>The average total hours of training for Vale employees was 63 hours in 2021.</t>
  </si>
  <si>
    <t>The average total hours of training for Vale employees was 76 hours in 2022.</t>
  </si>
  <si>
    <t>The average total hours of training for Vale employees was 79 hours in 2023.</t>
  </si>
  <si>
    <t>Creating Wealth and Employment</t>
  </si>
  <si>
    <r>
      <rPr>
        <b/>
        <sz val="10"/>
        <color rgb="FF555555"/>
        <rFont val="Arial"/>
        <family val="2"/>
      </rPr>
      <t xml:space="preserve">Metric: </t>
    </r>
    <r>
      <rPr>
        <sz val="10"/>
        <color rgb="FF555555"/>
        <rFont val="Arial"/>
        <family val="2"/>
      </rPr>
      <t>Net number of jobs created</t>
    </r>
  </si>
  <si>
    <t>Total hires: 9187
Men: 6,114
Women: 3,073
Turnover rate: 10.7%
Men: 9.3%
Women: 19.7%
By age group (%):
Under 30: 20.7%
Between 30 and 50: 8.4%
Over 50: 12.6%
By region (%):
Brazil: 11.1%
Mozambique: 15.8%
Canada: 9.2%
Indonesia: 2.4%</t>
  </si>
  <si>
    <t>Total hires: 6485
Men: 3,731
Women: 2,754
Turnover rate: 8.2%
Men: 7.0%
Women: 14.5%
By age group (%):
Under 30: 16.4%
Between 30 and 50: 7.0%
Over 50: 4.8%
By region (%):
Brazil: 7.9%
Mozambique: 6.3%
Canada: 6.2%
Indonesia: 1.5%</t>
  </si>
  <si>
    <t>Total hires: 4912
Men: 1967
Women: 2,945
Turnover rate: 7.1%
Men: 5.2%
Women: 15.2%
By age group (%):
Under 30: 14.1%
Between 30 and 50: 5.6%
Over 50: 8.7%
By region (%):
Brazil: 7.6%
Canada: 9.2%
Indonesia: 4.2%</t>
  </si>
  <si>
    <t>Total hires: 6,888
Men: 3,630
Women: 3,258
Turnover rate: 8.8%
Men: 6.9%
Women: 15.3%
By age group (%):
Under 30: 21.7%
Between 30 and 50: 7.1%
Over 50: 6.3%
By region (%):
Brazil: 9.1%
Canada: 8.4%
Indonesia: 6.9%</t>
  </si>
  <si>
    <r>
      <rPr>
        <b/>
        <sz val="10"/>
        <color rgb="FF555555"/>
        <rFont val="Arial"/>
        <family val="2"/>
      </rPr>
      <t xml:space="preserve">Metric: </t>
    </r>
    <r>
      <rPr>
        <sz val="10"/>
        <color rgb="FF555555"/>
        <rFont val="Arial"/>
        <family val="2"/>
      </rPr>
      <t>Net economic contribution</t>
    </r>
  </si>
  <si>
    <t>Vale's economic contributions in 2020 are described in the "Economic Data" tab of this Databook, in the GRI 201-1 indicator.</t>
  </si>
  <si>
    <t>Vale's economic contributions in 2021 are described in the "Economic Data" tab of this Databook, in the GRI 201-1 indicator.</t>
  </si>
  <si>
    <t>Vale's economic contributions in 2022 are described in the "Economic Data" tab of this Databook, in the GRI 201-1 indicator.</t>
  </si>
  <si>
    <t>Vale's economic contributions in 2023 are described in the "Economic Data" tab of this Databook, in the GRI 201-1 indicator.</t>
  </si>
  <si>
    <r>
      <t xml:space="preserve">Metric: </t>
    </r>
    <r>
      <rPr>
        <sz val="10"/>
        <color rgb="FF555555"/>
        <rFont val="Arial"/>
        <family val="2"/>
      </rPr>
      <t>Financial investment contribution</t>
    </r>
  </si>
  <si>
    <t>1. Investment for capital expenditures in 2020 was US$4.4 billion, including approximately US$3.9 billion to sustain our existing operations and replacement projects and approximately US$522 million for project execution.
2. In 2020 there were no share repurchases.</t>
  </si>
  <si>
    <t>1. Investment for capital expenditures in 2021 was US$5 billion, including approximately US$4 billion to sustain our existing operations and replacement projects and approximately US$999 million for project execution.
2. On April 1, 2021, our Board of Directors approved a share buyback program limited to a maximum of 270,000,000 shares and their respective ADRs, representing up to 5.3% of the total number of shares outstanding on that date. This program was completed in November 2021 with the repurchase of all shares, corresponding to the amount of US$5,281 million (R$27,642 million), of which US$2,273 million (R$12,068 million) through wholly-owned subsidiaries and US$ 3,008 (R$15,574 million) directly by Vale S.A.</t>
  </si>
  <si>
    <t>1. Our investment guidance for capital expenditures in 2023 is approximately US$6 billion and after 2023 our average estimated capital expenditures ranges between US$6 billion and US$6.5 billion per year. A principal amount of US$160 million of our debt matures in 2023. We expect to incur a total amount of US$3,486 million relating to the remediation and compensation in connection with the Brumadinho dam collapse, de-characterization of dams and contributions to Fundação Renova in 2023 and after 2023 our aggregate expected expenses with provision is US$7,074 million. We have an aggregate principal amount of US$1,910 million debt maturing between 2024 and 2026, and US$8,964 million maturing after 2026. We expect that our existing cash and cash equivalents and our operating cash flows will be sufficient to satisfy our obligations due in 2023 and thereafter. We are constantly evaluating opportunities for additional cash generation. Finally, we are committed to continue the reduction in our costs and expenses, maintain our debt leverage and discipline in capital allocation. 
2. During 2022, the Company paid dividends and interest on capital to its shareholders in the amount of US$6,615 millions. During 2022, the Company repurchased 357,442,577 common shares or their respective ADRs, corresponding to the total amount of US$6,036 millions.</t>
  </si>
  <si>
    <t>1. Investments made in 2023 totaled US$29.4 billion (US$5.9 billion), in line with guidance, with US$8.2 billion in capital projects and US$21.2 billion in maintenance projects. Investments were 4.5% higher than in 2022, mainly due to higher investments in growth projects. By 2024, we expect to invest US$6.5 billion of our production, support our low-carbon initiatives, and capture growth opportunities.
2. By December 2023, we have completed 72% of our third share repurchase program, initiated in 2022, with the repurchase of 360.3 million shares (out of an anticipated total of 500 million shares), corresponding to a total value of $5.46 billion. Of this total, approximately 181.7 million common shares and their respective ADRs were repurchased in the year, corresponding to a total value of US$ 2.67 billion (R$ 13.37 billion). In October 2023, we initiated a new share buyback program of up to 150 million shares, which will be implemented over an 18-month period. As of December 31, 2023, we have repurchased 3 million common shares and their respective ADRs, corresponding to a total amount of US$ 44.1 million (R$ 218 million).</t>
  </si>
  <si>
    <t>Innovation in Better Products and Services</t>
  </si>
  <si>
    <t>Metric: R&amp;D expense rate (%)</t>
  </si>
  <si>
    <t>Through the adaptation of existing technologies in new ways or the development of new technologies and processes, in research and development (R&amp;D) initiatives, Vale seeks to transform its business. Our research and development expenses amounted to US$443 million in 2020, in line with the US$443 million recorded in 2019.</t>
  </si>
  <si>
    <t>In 2021, research and development expenses totaled US$ 549 million.</t>
  </si>
  <si>
    <t xml:space="preserve">Our research and development expenses totaled US$ 660 million in 2022, a 20.2% increase from US$549 million 
recorded in 2021, mainly due to projects of drilling and geology exploration and mineral exploration in all segments. </t>
  </si>
  <si>
    <t>Our research and development expenses totaled US$ 723 million in 2023, a 9.5% increase from US$ 660 million recorded in 2023.</t>
  </si>
  <si>
    <t>Community and Social Vitality</t>
  </si>
  <si>
    <r>
      <rPr>
        <b/>
        <sz val="10"/>
        <color rgb="FF555555"/>
        <rFont val="Arial"/>
        <family val="2"/>
      </rPr>
      <t xml:space="preserve">Metric: </t>
    </r>
    <r>
      <rPr>
        <sz val="10"/>
        <color rgb="FF555555"/>
        <rFont val="Arial"/>
        <family val="2"/>
      </rPr>
      <t>Total Tax Paid</t>
    </r>
  </si>
  <si>
    <t>In 2020, Vale paid US$5.7 billion in taxes and royalties. Most of this contribution – US$4.9 billion – was paid in Brazil. The total includes all tax payments made during the 2020 fiscal year. In several jurisdictions in which we operate, Vale receives reimbursements from governments. In 2020, such reimbursements totaled $800 million, and are not included in the total numbers reported above.</t>
  </si>
  <si>
    <t>The tax payment data can be consulted in the Fiscal Transparency Report</t>
  </si>
  <si>
    <t>The tax payment data can be consulted in the Fiscal Transparency Report.</t>
  </si>
  <si>
    <t>Link:</t>
  </si>
  <si>
    <t>Databook ESG 2023</t>
  </si>
  <si>
    <t>Índice ICMM - Social and Economic Reporting</t>
  </si>
  <si>
    <t>Indicador</t>
  </si>
  <si>
    <t xml:space="preserve">Localização </t>
  </si>
  <si>
    <t>1. Country-by-country reporting of business activities, revenues, profit and tax</t>
  </si>
  <si>
    <t>2. Workforce composition</t>
  </si>
  <si>
    <t>3. Pay equality</t>
  </si>
  <si>
    <t>4. Wage level</t>
  </si>
  <si>
    <t>5. Training provided</t>
  </si>
  <si>
    <t>6. Local procurement</t>
  </si>
  <si>
    <t>7. Education and skills support</t>
  </si>
  <si>
    <t>Vale supports and implements several programs aimed at promoting education and skills development in local communities. In 2023, more than USD 12 million was invested in external education initiatives. Among the programs, the following stand out:
The Literacy Trails project, present in 36 municipalities, joins forces with city halls, governments and reference institutions to develop actions that contribute to the improvement of the literacy process and education in a perennial and sustainable way. The project includes the training of educators, support for public management and the production and distribution of teaching materials.
Throughout 2023, more than 4,300 education professionals were trained. In all, more than 197,000 students from 2,300 schools benefited, especially in the states of Pará and Maranhão.
In the field of combating school exclusion, the Networked Territories project mapped, in 2023, about 6,400 children and adolescents out of school or at risk of dropping out of school in 14 municipalities where Vale operates, of which 6,264 had their ties with the school reestablished.</t>
  </si>
  <si>
    <t>8. Capacity and institution support</t>
  </si>
  <si>
    <t>Task Force on Nature-related Financial Disclosures Index</t>
  </si>
  <si>
    <t>Métrica</t>
  </si>
  <si>
    <t>GHG emissions</t>
  </si>
  <si>
    <t xml:space="preserve">C 1.0 - Total spatial footprint </t>
  </si>
  <si>
    <t>C 2.1 - Wastewater discharged</t>
  </si>
  <si>
    <t>C 2.2 - Waste generation and disposal</t>
  </si>
  <si>
    <t>GRI 306-4 e GRI 306-5</t>
  </si>
  <si>
    <t>C 2.4 - Non-GHG air pollutants</t>
  </si>
  <si>
    <t>C 3.0 - Water withdrawal and consumption from areas of water scarcity</t>
  </si>
  <si>
    <t xml:space="preserve">The Copper Mark </t>
  </si>
  <si>
    <t xml:space="preserve">Copper Cliff Nickel Refinery - Joint Due Diligence Standard </t>
  </si>
  <si>
    <t xml:space="preserve">OECD Due Diligence Guidance for Minerals – 5-Step Framework </t>
  </si>
  <si>
    <t xml:space="preserve">Description of OECD Requirement </t>
  </si>
  <si>
    <t>Action</t>
  </si>
  <si>
    <t>Detailed Activities</t>
  </si>
  <si>
    <t>Supporting Documents</t>
  </si>
  <si>
    <t>Strong Management Systems</t>
  </si>
  <si>
    <t>· Adopt a policy for responsible mineral supply chains 
· Communicate policy to suppliers and incorporate due diligence expectations into contracts
· Establish traceability or chain of custody system over mineral supply chain</t>
  </si>
  <si>
    <t>Vale Base Metals' Responsible Sourcing Policy Statement for Base Metals Minerals and Metals</t>
  </si>
  <si>
    <t xml:space="preserve">In 2023, Vale Base Metals published the Responsible Sourcing Policy Statement for Base Metals Minerals and Metals, signed  by the Base Metals Chief Corporate Affairs, Sustainability and Communications Officer. </t>
  </si>
  <si>
    <t>Responsible Sourcing Policy Statement for Base Metals Minerals and Metals</t>
  </si>
  <si>
    <t>Responsible Sourcing Practices:
-Adopting a Collaborative and Multi-disciplinary Approach to Responsible Sourcing
-Governing Responsible Sourcing Practices with a Policy Statement
-Identifying and Managing Risks in the Supply Chain through Cross-functional Teams
-Providing Technical Oversight of Materials in Vale's Metallic Supply Chain
-Training Employees and Contractors on Responsible Sourcing Practices</t>
  </si>
  <si>
    <t>Vale Base Metals adopts a collaborative and multi-disciplinary approach to responsible sourcing practices.
The Company's Responsible Sourcing Policy Statement governs its responsible sourcing practices.
The Sustainability, Corporate Integrity, Commercial, Legal, and Procurement teams are responsible for identifying and managing risks associated with responsible sourcing.
The teams ensure that due diligence processes are implemented to assess and mitigate risks in the supply chain.
The Product Management and Material Management teams provide technical oversight of materials entering Vale's metallic supply chain.
Employees and contractors involved in procurement and handling of these materials receive training to manage risks in Vale's processes.</t>
  </si>
  <si>
    <t>Communication and Transparency:
-Communicating Base Metal's Requirements to Suppliers
-Ensuring Access to Vale's Listening-Response Mechanism</t>
  </si>
  <si>
    <t>Base Metals communicates its requirements to suppliers and ensures that Vale's Supplier Code of Conduct is referenced in supplier contracts.
Base Metals ensures that the public and contractors are aware of and understand how to access Vale's listening-response mechanism to register any concerns or grievances.</t>
  </si>
  <si>
    <t>Due Diligence and Risk Mitigation:
-Implementing a Risk Mitigation Approach to Ensure Responsible Sourcing Practices
Maintaining Transparency and Record--Keeping of Feed Suppliers
-Ensuring Implementation of Responsible Sourcing Processes in Material Handling Teams
-Complying with OECD Guidance to Mitigate Risks in Supply Chains
-Conducting Third-Party Audit to Assess Vale's Risk Management
-Assessing Feed Suppliers for Conflict-Affected and High-Risk Areas (CAHRA) and Undertaking Enhanced Due Diligence if Needed</t>
  </si>
  <si>
    <t>Vale Base Metals employs a risk mitigation approach to ensure responsible sourcing practices throughout its supply chain.
The company collaborates with its suppliers, actively monitors their performance, and maintains a zero-tolerance policy towards human rights violations and support of non-state armed groups.
Vale Base Metals' responsible sourcing practices have yielded data that strengthens its due diligence efforts, identifying higher-risk feeds and prompting enhanced due diligence measures to mitigate those risks.
By continuously refining its responsible sourcing practices, Vale Base Metals works towards creating a more sustainable and ethical supply chain that upholds its commitment to responsible mineral and metal sourcing.
To ensure transparency of all feed suppliers from the mine of origin to downstream customers, Vale Base Metals maintains a comprehensive database and record-keeping system. The system includes a product registry, electronic ledger, and enterprise resource planning software.
Vale Base Metals ensures that material handling teams within its operations understand and implement its responsible sourcing processes and work to ensure that only approved feed sources are used in its processes.</t>
  </si>
  <si>
    <t>Identify and Assess Risks in the Supply Chain</t>
  </si>
  <si>
    <t>· Identify and verify traceability or chain of
custody information (e.g. mine of origin,
trade routes, suppliers)
· For red flag locations, suppliers or
circumstances, undertake
on-the-ground assessments to identify
risks of contributing to conflict or
serious abuses (ref Annex II Model
Policy for risks)</t>
  </si>
  <si>
    <t>Risk-Based Assessments and Enhanced Due Diligence Practices</t>
  </si>
  <si>
    <t>Vale Base Metals conducts annual risk-based assessments of metals and minerals suppliers aligned with the 5-Step Due Diligence framework defined in the OECD Guidance.
The company conducts enhanced due diligence on suppliers based on results of risk assessments, including obtaining additional information from Third Parties and on-site assessments.
Vale Base Metals complies with risk mitigation requirements defined in the OECD Guidance.
The company undergoes a third-party audit to assess its risk management in its Base Metals minerals and metals supply chains.
Vale Base Metals assessed 26 feed suppliers across its North Atlantic refineries for Conflict-Affected and High-Risk Areas (CAHRA) red flag risks.
One supplier at Copper Cliff Nickel Refinery was identified as high-risk, and enhanced due diligence was undertaken, including immediate supplier engagement and a supplier site assessment conducted by a third-party auditor. No material findings were presented, and areas for governance improvement were identified. These results were shared with the site and the third-party trader.
No supplier disengagement related to responsible sourcing risks occurred in 2023, in accordance with Vale Base Metals' policy statement that reserves the right to do so if deemed necessary.</t>
  </si>
  <si>
    <t>Risk Mitigation Strategy</t>
  </si>
  <si>
    <t>If anomalies are identified, Vale Base Metals performs a risk assessment to determine the appropriate management strategy.
While mitigating the risk, the company may temporarily assign the contract, continue engagement, or implement measures for residual risks.
Residual risk mitigation measures may include contractual clauses or conducting supplier site assessments.</t>
  </si>
  <si>
    <t>Manage Risks</t>
  </si>
  <si>
    <t xml:space="preserve"> Report identified risks to senior management and fix internal
systems
· Disengage from suppliers associated with the most serious impacts
· Mitigate risk, monitor and track progress</t>
  </si>
  <si>
    <t>Risk Mitigation , Compliance and Performance Monitoring of Suppliers</t>
  </si>
  <si>
    <t>Vale Base Metals prioritizes compliance with risk mitigation requirements, which may include supplier disengagement, contract suspension, or continued sourcing from the supplier while monitoring the mitigation process.
The company actively monitors supplier performance and compliance to ensure that identified risks are effectively managed and mitigated.
Vale Base Metals tracks compliance and engages with suppliers regularly to ensure effective risk management and mitigation.</t>
  </si>
  <si>
    <t>Risk Approach</t>
  </si>
  <si>
    <t>Vale Base Metals reviews the material sourcing locations of suppliers against its defined list of Conflict-Affected and High-Risk Areas (CAHRAs) to identify any potential feed red flags.
Through these assessments, the company identifies potential risks relating to conflict financing, human rights abuses, bribery, fraudulent misrepresentation of mineral origin, money laundering, and involvement with public or private security forces.</t>
  </si>
  <si>
    <t>Audit of Smelter / Refiner Due Diligence Practices</t>
  </si>
  <si>
    <t>Smelters/refiners should participate in industry programs to have their
due diligence practices audited against an audit standard aligned with OECD
Guidance
· Prepare all documentation
for audit (e.g. chain of
custody or traceability
documentation, risk
assessment and management documentation for red
flagged sources)
· Allow auditors to access company documentation, and records.
· Facilitate auditor access to sample of suppliers as appropriate.
· Publish summary audit report with audit conclusions</t>
  </si>
  <si>
    <t>Copper Mark Joint Due Diligence Standard</t>
  </si>
  <si>
    <t>Copper Cliff Nickel Refinery was assessed by The Copper Mark in 2022. Vale Base Metals achieved conformance in 2023.</t>
  </si>
  <si>
    <t>Results of Vale's Copper Mark JDDS assessments.</t>
  </si>
  <si>
    <t>Publicly Report on Due Diligence</t>
  </si>
  <si>
    <t xml:space="preserve"> Annually describe all due diligence efforts (Steps 1-4), e.g. risk
assessment &amp; mitigation, with due regard for business confidentiality
and other competitive or security concerns (e.g. supplier relationships,
price information, or identities of whistle-blowers or sources should
not be disclosed)
· Smelters should publish (a summary of) their independent audit report
· Make report publicly available, in offices and / or on company website</t>
  </si>
  <si>
    <t>Integrated Report and ESG Databook</t>
  </si>
  <si>
    <t>Vale describes and publicly discloses its due diligence efforts inclusive of Steps 1-4 in the 2023 Integrated Report and in this ESG Databook.</t>
  </si>
  <si>
    <t>Long Harbour Processing Plant</t>
  </si>
  <si>
    <t>Vale Base Metals conducts annual risk-based assessments of metals and minerals suppliers aligned with the 5-Step Due Diligence framework defined in the OECD Guidance.
The company conducts enhanced due diligence on suppliers based on the results of risk assessments, including obtaining additional information from Third Parties and on-site assessments.
Vale Base Metals complies with risk mitigation requirements defined in the OECD Guidance.
The company undergoes a third-party audit to assess its risk management in its Base Metals minerals and metals supply chains.
Vale Base Metals assessed 26 feed suppliers across its North Atlantic refineries for red flag risks for Conflict-Affected and High-Risk Areas (CAHRA).
One supplier at Copper Cliff Nickel Refinery was identified as high-risk, and enhanced due diligence was undertaken, including immediate supplier engagement and a supplier site assessment conducted by a third-party auditor. No material findings were presented, and areas for governance improvement were identified. These results were shared with the site and the third-party trader.
No supplier disengagement related to responsible sourcing risks occurred in 2023, in accordance with Vale Base Metals' policy statement that reserves the right to do so if deemed necessary.</t>
  </si>
  <si>
    <t>Long Harbour Processing Plant was assessed by The Copper Mark in 2022. Vale Base Metals achieved conformance in 2023.</t>
  </si>
  <si>
    <t>In 2023, Vale Base Metals published the Responsible Sourcing Policy Statement for Base Metals Minerals and Metals, signed  by the Base Metals Chief Commercial Officer.</t>
  </si>
  <si>
    <t>Clydach Refinery was assessed by The Copper Mark in 2022. Vale Base Metals achieved conformance in 2023.</t>
  </si>
  <si>
    <t>The Responsible Minerals Initiative - Cobalt Refiner Supply Chain Due Diligence Standard</t>
  </si>
  <si>
    <t>Port Colborne Refinery</t>
  </si>
  <si>
    <t xml:space="preserve">Vale Base Metals reviews the material sourcing locations of suppliers against its defined list of Conflict-Affected and High-Risk Areas (CAHRAs) to identify any potential feed red flags.
Through these assessments, the company identifies potential risks relating to conflict financing, human rights abuses, bribery, fraudulent misrepresentation of mineral origin, money laundering,  involvement with public or private security forces, and workers' health and safety (including mental health). </t>
  </si>
  <si>
    <t>Responsible Minerals Initiative (RMI) Cobalt Refiner Standard</t>
  </si>
  <si>
    <t>Vale's Port Colborne Refinery achieved certification with the Responsible Minerals Initiative's Cobalt Refiner Due Diligence Standard in 2023. The certification will be renewed in Q2 2024.</t>
  </si>
  <si>
    <t>RMI's Conformant Cobalt Refiner List.</t>
  </si>
  <si>
    <t>Vale describes and publicly discloses its due diligence efforts inclusive of Steps 1-4 in the 2023 integrated Report and in this ESG Databook.</t>
  </si>
  <si>
    <t>Swiss Code of Obligations - Report and Due Diligence</t>
  </si>
  <si>
    <t>(C) Due diligence and reporting in relation to minerals and metals from conflict-affected areas, and child labour</t>
  </si>
  <si>
    <t>External Links</t>
  </si>
  <si>
    <r>
      <t xml:space="preserve">The Ordinance on Due Diligence and Transparency in relation to Minerals and Metals from Conflict-Affected Areas and Child Labor (DDTrO) provisions (Swiss Code) requires companies to prepare and publish an annual report on compliance with due diligence obligations with respect to child labor. The Swiss Code lists exemptions based on compliance with internationally recognised equivalent regulations (Art. 9). Vale adheres to the internationally recognised equivalent regulations as per listed in Annex 2 of the Swiss Code.
Vale considers child labor as a salient human rights issue. Bellow follows information on Vale´s  human rights due diligence process and  links which cover the adehrence to the internationally recognised regulations.
Vale has policies that establish our committments and expectations from our activities, supplies, and business partners who are expected to know and guide their 
conduct in line with the best international Human Rights practices and principles established in the following Vale policies: 
</t>
    </r>
    <r>
      <rPr>
        <b/>
        <sz val="9"/>
        <color rgb="FF555555"/>
        <rFont val="Arial"/>
        <family val="2"/>
      </rPr>
      <t xml:space="preserve">•  Code of Conduct;	
•  Human Rights Policy; 
•  Principles of Conduct for Third Parties
Vale Human Rights Due Diligence (HRDD)  process considers the elements laid out in the ILO-IOE Child Labour Guidance Tool for Business to help prevent and mitigate negative impacts, including child labour impacts: i.e. policy commitment, assessment of child labor impacts, taking action on findings, tracking performance, communicating (child labor) performance (GRI 408), stakeholder engagement on child labor, and having established grievance mechanisms to receive and treat reports. 
</t>
    </r>
    <r>
      <rPr>
        <sz val="9"/>
        <color rgb="FF555555"/>
        <rFont val="Arial"/>
        <family val="2"/>
      </rPr>
      <t xml:space="preserve">
All of Vale´s operations conduct human rights risk assesments and child labor is one of the salient issues evaluated. The appropriate preventive and mitigating controls on the theme are adopted as a result of the assessments. Vale also  conducts external Human  Rights Due diligence (HRDD)  that evaluates potential and real impacts, considering in its methodology the main aspects laid out in the ILO Child Labor Guidance.Other relevant documents:
</t>
    </r>
    <r>
      <rPr>
        <b/>
        <sz val="9"/>
        <color rgb="FF555555"/>
        <rFont val="Arial"/>
        <family val="2"/>
      </rPr>
      <t xml:space="preserve">• Human Rights Guide;
• Human Rights Training for Vale Employees and Contractors; 
• Human Rights and Decent Work Guide;
• Guide to Preventing and Combating Sexual Exploitation of Children and Adolescents; 
</t>
    </r>
    <r>
      <rPr>
        <sz val="9"/>
        <color rgb="FF555555"/>
        <rFont val="Arial"/>
        <family val="2"/>
      </rPr>
      <t xml:space="preserve">
As per the Human Rights Policy, Vale also conducts human rights due diligence within its supply chain. The process starts with the classification of the level of the risk of our suppliers, which drives the mitigation actions. This involves an self-assessemnt questionnaries, which covers child labor risks, training sessions where the theme is covered, desktop and on-the-ground inspection, and the adoption of action plans to address any impact or vulnerability identified. The suppliers implement the aciton plan wihich is monitored by Vale.  Vale´s supplier management system  requires child labor clauses in all contracts and background check  for suppliers that have reasobale suspicion of child labor practices.
On partnerships and engagement, Vale Foundation’s projects and initiatives are developed and structured on the themes of Education, Basic Health, Productive Inclusion, and Social Protection, and include five Knowledge Stations. Somo of the projects are Doing Sciences, Educational Territories, Knowledge Station, Literacy Trails, Literary Routes and Networks
</t>
    </r>
    <r>
      <rPr>
        <b/>
        <sz val="9"/>
        <color rgb="FF555555"/>
        <rFont val="Arial"/>
        <family val="2"/>
      </rPr>
      <t>Networked Territories</t>
    </r>
    <r>
      <rPr>
        <sz val="9"/>
        <color rgb="FF555555"/>
        <rFont val="Arial"/>
        <family val="2"/>
      </rPr>
      <t>. These projects are implemented in the territories in which Vale operates and support the company´s efforts on the</t>
    </r>
    <r>
      <rPr>
        <b/>
        <sz val="9"/>
        <color rgb="FF555555"/>
        <rFont val="Arial"/>
        <family val="2"/>
      </rPr>
      <t xml:space="preserve"> </t>
    </r>
    <r>
      <rPr>
        <sz val="9"/>
        <color rgb="FF555555"/>
        <rFont val="Arial"/>
        <family val="2"/>
      </rPr>
      <t xml:space="preserve">combat of Child labor and sexual exploitation. Vale also holds a partnership with  </t>
    </r>
    <r>
      <rPr>
        <b/>
        <sz val="9"/>
        <color rgb="FF555555"/>
        <rFont val="Arial"/>
        <family val="2"/>
      </rPr>
      <t>Childhood Brazil</t>
    </r>
    <r>
      <rPr>
        <sz val="9"/>
        <color rgb="FF555555"/>
        <rFont val="Arial"/>
        <family val="2"/>
      </rPr>
      <t xml:space="preserve">, with initiatives to prevent child sexual exploitation across Brazil and </t>
    </r>
    <r>
      <rPr>
        <b/>
        <sz val="9"/>
        <color rgb="FF555555"/>
        <rFont val="Arial"/>
        <family val="2"/>
      </rPr>
      <t xml:space="preserve">InPacto </t>
    </r>
    <r>
      <rPr>
        <sz val="9"/>
        <color rgb="FF555555"/>
        <rFont val="Arial"/>
        <family val="2"/>
      </rPr>
      <t xml:space="preserve">(Instituto Pacto Nacional pela Erradicação do Trabalho Escravo) which works in the fight against child labor, especially in suplly chain.
Vale´s grievance mechanism is available to all stakeholders, including workers and contractors, and the mechanism is structures to receive reports on human rights salient issues including those related to risk of child labor, child sexual exploitation, and forced labor.  To access the page - </t>
    </r>
    <r>
      <rPr>
        <b/>
        <sz val="9"/>
        <color rgb="FF555555"/>
        <rFont val="Arial"/>
        <family val="2"/>
      </rPr>
      <t>Grievance Mechanism Link</t>
    </r>
  </si>
  <si>
    <t>Code of Conduct</t>
  </si>
  <si>
    <t>Human Rights Policy</t>
  </si>
  <si>
    <t>Principles of Conduct for Third Parties</t>
  </si>
  <si>
    <t>Human Rights Guide</t>
  </si>
  <si>
    <t>Human Rights Training for Vale Employees and Contractors</t>
  </si>
  <si>
    <t>Human Rights and Decent Work Guide (Portuguese)</t>
  </si>
  <si>
    <t>Guide to Preventing and Combating Sexual Exploitation of Children and Adolescents (Portuguese)</t>
  </si>
  <si>
    <t>Network Territories</t>
  </si>
  <si>
    <t>Childhood Brazil</t>
  </si>
  <si>
    <t>Inpacto</t>
  </si>
  <si>
    <t>Grievance Mechanism</t>
  </si>
  <si>
    <t>GRI content</t>
  </si>
  <si>
    <t>Detailing the criteria</t>
  </si>
  <si>
    <t>Assured Indicators</t>
  </si>
  <si>
    <t>Exceptions in limits and reporting period</t>
  </si>
  <si>
    <t>Changes in limits and criteria since the last report</t>
  </si>
  <si>
    <t>Justification for changes in limits and criteria since the last report</t>
  </si>
  <si>
    <t>2-6</t>
  </si>
  <si>
    <t>Activities, value chain and other business relationships</t>
  </si>
  <si>
    <t>For Vale, relevant business relationships are relationships treated within a concept of materiality, which considers qualitative aspects (linked to the company's "core" businesses such as the production of iron ore, pellets, nickel and copper, including logistical systems for distribution of products) and quantitative aspects.
In addition, "significant changes" are considered to be changes in the capital structure, acquisition of new businesses, implementation of new projects/operations, portfolio optimization, among others. The company seeks to simplify its operations flow, allowing continuous focus on its main assets and risk reduction.</t>
  </si>
  <si>
    <t>No</t>
  </si>
  <si>
    <t>There were no exceptions</t>
  </si>
  <si>
    <t>There was no change</t>
  </si>
  <si>
    <t>Not applicable</t>
  </si>
  <si>
    <t>2-7</t>
  </si>
  <si>
    <t xml:space="preserve"> Employees</t>
  </si>
  <si>
    <t>For reporting this indicator, the following are considered by Vale:
- President, executive directors, directors, executive managers, managers, coordinators and career leaders technique
- Assigned (they are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The data is compiled through the MDM (monthly updated internal file that represents the workforce) with the necessary Workforce classifications. The numbers considered are from the closing of the year 2022.
Definition of the concepts adopted by the organization for:
- "Permanent employees": employees for an indefinite period, trainees and people with disabilities;
- "Temporary employees": employees for a specific period;
- "Non-guaranteed hours employees": employees who are not guaranteed a minimum or fixed number of hours of work per day, week or month, but who may need to make themselves available for work as required.
- "Full-time": employees with exclusive dedication, according to minimum criteria established to characterize this integrality, which may vary according to the country;
- "Part-time": employees working part-time, according to minimum criteria established to characterize this partiality, which may vary according to the country;
- "Significant fluctuations": organizational movements of great impact, such as demobilizations, new businesses, operational ramp up, etc.</t>
  </si>
  <si>
    <t>2-8</t>
  </si>
  <si>
    <t>Vale understands as "significant fluctuations" organizational movements of great impact, such as demobilizations, new businesses, operational ramp up, etc.
The number of outsourced employees in 2021 was adjusted, reflecting the expansion of the concept of “outsourced workers” which, in 2022, began to include outsourced employees with occasional, short-term work in Brazil.</t>
  </si>
  <si>
    <t>2-16</t>
  </si>
  <si>
    <t>Communication of critical concerns</t>
  </si>
  <si>
    <t>Vale understands as "critical concerns" those concerns about the negative potential of the organization, its commercial conduct in its operations and in its business relationships and its impacts on stakeholders (community), raised through complaint mechanisms and other processes. The company also considers as critical concerns the manifestations and accusations received through the various listening channels and social media.</t>
  </si>
  <si>
    <t>Yes</t>
  </si>
  <si>
    <t>The limit is Vale Global and the period refers to the reference year in the Integrated Report.</t>
  </si>
  <si>
    <t>2-1</t>
  </si>
  <si>
    <t>Organizational details</t>
  </si>
  <si>
    <t>Not applicable.</t>
  </si>
  <si>
    <t xml:space="preserve">There were no exceptions in limit or period. The limit is always Vale Global and the period refers to the reference year in the Integrated Report. </t>
  </si>
  <si>
    <t>2-2</t>
  </si>
  <si>
    <t>Entities included in the organization's sustainability reporting</t>
  </si>
  <si>
    <t>2-3</t>
  </si>
  <si>
    <t>Reporting period, frequency and contact point</t>
  </si>
  <si>
    <t>2-4</t>
  </si>
  <si>
    <t>Restatements of information</t>
  </si>
  <si>
    <t>2-5</t>
  </si>
  <si>
    <t>External assurance</t>
  </si>
  <si>
    <t>2-9</t>
  </si>
  <si>
    <t>Governance structure and composition</t>
  </si>
  <si>
    <t>All members of the Board of Directors are elected for the same two-year term at the annual shareholders' meeting, may be re-elected and are subject to removal at any time. Members of the Fiscal Council are elected by our shareholders for one-year terms. The terms of the members of the Audit Committee expire at the end of the term of office of the members of the Board of Directors or upon removal approved by the Board of Directors, in accordance with the bylaw of the Audit Committee. Our bylaw provides for the appointment of executive officers for three-year terms and provides for a Board of Directors comprised of 11 to 13 members and an alternate member.</t>
  </si>
  <si>
    <t>2-10</t>
  </si>
  <si>
    <t>Nomination and selection of the highest governance body</t>
  </si>
  <si>
    <t>2-11</t>
  </si>
  <si>
    <t>Chair of the highest governance body</t>
  </si>
  <si>
    <t>2-12</t>
  </si>
  <si>
    <t>Role of the highest governance body in overseeing the management of impacts</t>
  </si>
  <si>
    <t xml:space="preserve">2-13
</t>
  </si>
  <si>
    <t>Delegation of responsibility for managing impacts</t>
  </si>
  <si>
    <t xml:space="preserve">2-14
</t>
  </si>
  <si>
    <t>Role of the highest governance body in sustainability reporting</t>
  </si>
  <si>
    <t>2-15</t>
  </si>
  <si>
    <t>Conflicts of interest</t>
  </si>
  <si>
    <t>The concept adopted by Vale for "conflict of interest" is when an individual acts for their own benefit or to benefit family members, close people, shareholders, suppliers or government officials, regardless of whether Vale benefits, harms or not. Conflict of interest management is the subject of Vale's policy for transactions between related parties, with rules and principles to ensure conditions of transparency and independence in transactions with related parties and other situations in which there are potential conflicts of interest.</t>
  </si>
  <si>
    <t>2-17</t>
  </si>
  <si>
    <t>Collective knowledge of the highest governance body</t>
  </si>
  <si>
    <t>2-18</t>
  </si>
  <si>
    <t>Evaluation of the performance of the highest governance body</t>
  </si>
  <si>
    <t>2-19</t>
  </si>
  <si>
    <t>Remuneration policies</t>
  </si>
  <si>
    <t>2-20</t>
  </si>
  <si>
    <t xml:space="preserve">Process to determine remuneration
</t>
  </si>
  <si>
    <t>The compensation components at Vale are:
- Base salary: value received for the work performed and which is fixed according to the degree of complexity and seniority for the performance of the function.
- Short-term variable remuneration.
- Amount received annually by the employee, subject to the celebration or renewal of annual programs, the achievement of goals and the financial performance of Vale. In Brazil, the modality applied to short-term variable compensation is PLR – Profit Sharing, in compliance with its specific legislation.
- Long-term variable remuneration for Leadership:
• Consisting of two programs that use the price of Vale's common shares as a basis and that can generate payments according to the achievement of established performance indicators.
• Each program lasts for at least 3 years and has specific eligibility rules defined globally, with peculiarities or exceptions.
• The implementation of programs is subject to annual approval by the Board of Directors.</t>
  </si>
  <si>
    <t>2-21</t>
  </si>
  <si>
    <t>Annual total compensation ratio</t>
  </si>
  <si>
    <t>Information subject to specific confidentiality restriction: Vale does not disclose the amounts of wages paid.</t>
  </si>
  <si>
    <t>2-22</t>
  </si>
  <si>
    <t xml:space="preserve">Statement on sustainable development strategy
</t>
  </si>
  <si>
    <t>2-23</t>
  </si>
  <si>
    <t>Policy commitments</t>
  </si>
  <si>
    <t xml:space="preserve">"The precautionary principle" for Vale means protection against the main risks that may adversely and significantly impact the objectives outlined by the Company's senior management, its reputation, as well as its financial and operating results. page 220 - Reference Form.
Our risk governance structure is based on the Risk Management Policy, whose main objective is: (i) to support the strategic planning, budget and sustainability of our business; (ii) strengthen the capital structure and asset management of our business, including management concepts and assumptions based on potential risk in operations, maintenance of assets and logistical modes; (iii) strengthen our governance practices, based on lines of defense model; (iv) using the ISO 31000, ISO 55000 and COSO-ERM standards as references for risk management; (v) Adoption of RBPS (Risk Based Process Safety) as an operational safety management system; (vi) The measurement and monitoring of our potential risks, on a consolidated basis, considering the effect of diversification, when applicable, of our entire business; (vii) establish a specialized structure for specific and independent performance, as Second Line of Defense Specialist, in the assessment of potential operational risks, including geotechnical risks; and (viii) assessing the impact of new investments, acquisitions and divestitures on our risk map and risk tolerance.
</t>
  </si>
  <si>
    <t>2-24</t>
  </si>
  <si>
    <t>Embedding policy commitments</t>
  </si>
  <si>
    <t>2-25</t>
  </si>
  <si>
    <t xml:space="preserve">Processes to remediate negative impacts
</t>
  </si>
  <si>
    <t>2-26</t>
  </si>
  <si>
    <t>Mechanisms for seeking advice and raising concerns</t>
  </si>
  <si>
    <t>2-27</t>
  </si>
  <si>
    <t xml:space="preserve">	The definitions for significant cases are, for the corporate themes Brazil:
Labor
To determine the significant cases of non-compliance with labor laws and regulations that resulted in the application of fines or non-monetary sanctions, the following criteria are adopted: (i) criteria based on value: cases in which monetary sanctions were applied in lawsuits with a possible + probable prognosis equal or higher than R$ 4 million (same cutoff used to define relevant labor lawsuits for SARBOX), collective actions and public civil actions; (ii) criteria based on materiality: processes that give rise to image risks to Vale and/or its subsidiaries, even if a monetary penalty of less than R$4 million has been applied or a non-monetary penalty has been applied (same non-monetary relevance parameter adopted by the reference form).
For the purposes of reporting items (i) and (ii), the sanctions applied in the reference year must be considered.
Environmental
To determine significant cases of non-compliance with environmental laws and regulations, the following criteria are adopted: (i) value-based criterion: cases in which a monetary penalty with a possible + probable prognosis equal to or higher than R$ 5 million was applied (the same cutoff used to define relevant environmental cases, which corresponds to 10% of the maximum amount foreseen in the legislation for fines applicable to environmental administrative violations); (ii) materiality criterion: cases in which the imputed illicit conduct is typified in the Environmental Crimes Law (Law 9.605/1998), even if a monetary sanction with an amount of less than R$ 5 million has been applied or if a non-monetary sanction has been applied; and (iii) specifically for non-monetary sanctions, all non-monetary sanctions applied in the reporting year must be reported, with the exception of warnings, which, as expressly provided for in Brazilian environmental law, are applicable to "administrative offenses that are less harmful to the environment" (therefore, not significant).
Regulatory
Strategic sanctions are those resulting from non-compliance with legal obligations or contracts held with the Public Authorities (concessions or authorizations), and that may result in relevant restrictions to Vale's (and controlled companies') rights or interference in operations. Materiality criteria for monetary sanctions: cases in which a monetary sanction of more than R$ 10,000,0000.00 has been applied;
LGPD
- Significant cases will be those that have been judicialized and whose claims discuss fines applied by the Brazilian Authority (ANPD). The cut-off value for these cases will be the same as that defined and applied to lawsuits of a civil nature with possible and/or probable prognosis within the year of reference of the form
- Will be considered the collective or public civil lawsuits (Brazil), regardless of the amount involved, whose prognosis is in the possible and/or probable loss reference year of the form Fonte Espaider (or any other system of control of lawsuits that is used by the legal department of the company)
- Administrative processes instituted by the Data Protection Authority in the reference year of the form (Global), whose privacy incident has necessarily required/implied communication of the incident to the data subjects, in view of image/reputational effects
- Administrative processes that have been judged and sanctions or fines have been applied by the Data Protection Authority (Global) in the year of reference of the form, having as cut-off value an amount equal to or greater than R$ 5 million.
Mining
For the determination of significant cases of non-compliance with the mining legislation, the following criteria are adopted (i) criteria based on value: cases in which a monetary penalty was applied with a possible + probable prognosis equal to or higher than R$ 10,000,000.00 (ten million reais), equivalent to 1% (one percent) of the maximum amount foreseen in the mining legislation; (ii) class actions and public civil actions with a probable prognosis equal to or higher than R$ 10. 000,000.00 (ten million Reais), provided they arise from non-compliance with the mining legislation; (iii) materiality criterion: cases in which the alleged illicit conduct is criminally typified, even if a monetary penalty of less than R$ 10,000,000.00 was applied or a non-monetary penalty was applied; (iv) materiality criterion: cases in which the alleged illicit conduct entails image risk for Vale.
Infringements related to serious mine, pile or dam accidents or those that may lead to unwanted loss of the Mining Right.
Tax
In view of the reformulation in the reporting standards for the Sustainability Report, for which cases of non-compliance with laws and regulations in general must be reported, which now include any and all regulations applicable to the company, in which fines and non-monetary sanctions were applied, the following criteria were adopted for the Tax and Social Security Litigation: inform the cases in which the fine or sanction imposed (i) is typified in the Tax Crime Law (Law 8.137/1990) or (ii) may impact the Company either operationally, socially or reputationally.
Civil
To determine the significant cases of non-compliance with civil and maritime laws and regulations, which resulted in the application of fines or non-monetary sanctions, the following criteria are adopted: (i) criterion based on the value: cases in which a monetary sanction was applied in lawsuits with a possible + probable prognosis equal to or higher than R$ 5 million (the same cutoff used to define the relevant civil and maritime lawsuits of SARBOX), in popular actions, class actions and public civil actions; and (ii) criterion of materiality: lawsuits that give rise to image risks to Vale and/or its subsidiaries, even if a monetary penalty of less than R$ 5 million has been applied or a non-monetary penalty has been applied (same non-monetary relevance parameter adopted by the reference form). For the purposes of reporting items (i) and (ii), the sanctions applied in the reference year must be considered.
CADE, Economic Sanctions, anti-corruption and Intellectual Property:
Any fine or sanctioning activity
The definitions for significant cases by country, except Brazil, are:
Malaysia
(A) Non-compliance with environmental laws and regulations:
- Instances for which fines of MYR100,000 or more have been imposed;
- Instances where the alleged regulatory violation is also considered a crime under the Environmental Crimes Act, regardless of the amount and type of penalty;
- All non-monetary sanctions that resulted in the suspension or interdiction of the company's activities or operations or the withdrawal of licenses.
(B) Failure to comply with tax laws and regulations:
- Instances where the alleged regulatory violation is also considered a crime under the Tax Crimes Act;
- The alleged regulatory violation may have a negative impact on the company's operations and reputation.
(C) Non-compliance with competition and economic sanctions laws and regulations:
- All non-compliance cases for which fines or non-monetary sanctions were incurred are considered significant due to the sensitivity of these matters.
(D) Regional / national &amp;/or international repercussions involving the media / media &amp; government authorities, investors, customers, social groups &amp; unions (reputational):
- All cases of involvement and/or exposure to the media/media &amp; government authorities, investors, customers, social groups &amp; unions, causing negative impact on the company's operations and reputation.
- All cases of involvement and/or exposure to the media / government authorities, investors, customers, social groups &amp; unions, impacting share price &amp; credit rating.
Indonesia
Undesirable event that impacts our ability to run the business, therefore any undesirable event or non-compliance with laws and regulations that leads to a real impact in all dimensions under very critical categories will be considered as significant:
(A) People: More than 1 fatality of people in the community whose cause is related to an inefficiency in Vale's operational process.
(B) Environment: Environmental impact of great magnitude, with municipal or regional impact, that requires the mobilization of internal and/or external resources, corrective and/or compensatory measures that do little to mitigate the negative effects. The affected environment does not restore its integrity. Remedial measures over 3 years. Situation that may cause a penalty of a restrictive nature (suspension, closure or embargo of operations).
(C) Social and Human Rights: Damage to individual or collective assets or activities in more than one region, indigenous peoples or traditional community with remedies that can be achieved in more than 10 years and/or irreparable damage to relevant national cultural assets and/or damage to global cultural assets or relevance. Occurrence of slave labor, child labor, human trafficking, child sexual exploitation at Vale's direct contractors and subcontractors or at Vale.
(D) Reputational: National and/or international repercussions with intense involvement of media and government authorities, investors, customers, social groups and unions, causing great impact/commotion. May reach strategic objectives and the company's mission. Impact on stock price and credit rating. Conviction of NGOs. Revocation of operating license and more difficulty in negotiating new license. Mass demonstration in multiple locations.
(E) Finance: &gt; US$ 500M
Canada and Japan
Any fines, penalties, convictions or damage awards in excess of $10,000 per instance imposed on the Company by a court relating to Health and Safety, Environment, People, Society and Business Affairs, as defined below.
"Health and Safety" refers to health and safety laws and regulations relating to the workplace and industrial operations. Environmental refers to laws and regulations relating to the regulation of soil, groundwater and air, and administrative compliance related to permits, approvals, authorizations or licenses for use or operation. People refers to laws and regulations concerning the Company and its employees. Business Affairs refers to laws and regulations relating to antitrust, anti-corruption and royalties or contractual payments due to the government, community organizations or indigenous groups. Society refers to laws and regulations related to the Company's operational impact on the community.
Oman
- Occurrences for which fines of US$100,000.00 or more are imposed.
- Occurrences where the alleged violation is also considered a crime.
- Occurrences that result in or may (likelihood of possible or probable loss) result in the suspension, closure, interdiction, or significant restriction of the company's activities/operations.
- Occurrences that result in or may (likelihood of possible or probable loss) result in the revocation of significant licenses/grants and/or increased difficulty in negotiating new significant licenses/grants.
- Occurrences of local, national and/or international repercussions, with the involvement of the media, government authorities, investors, customers, social groups and/or unions, with negative impact on the Company's reputation.
- Occurrences involving corruption, sanctions or anti-competitive practices.</t>
  </si>
  <si>
    <t>There were no exceptions in limit or period. The limit is always Vale Global and the period refers to the reference year in the Integrated Report.</t>
  </si>
  <si>
    <t>2-28</t>
  </si>
  <si>
    <t>Membership associations</t>
  </si>
  <si>
    <t>2-29</t>
  </si>
  <si>
    <t>Approach to stakeholder engagement</t>
  </si>
  <si>
    <t>2-30</t>
  </si>
  <si>
    <t>Collective bargaining agreements</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</si>
  <si>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t>
  </si>
  <si>
    <t>3-1</t>
  </si>
  <si>
    <t xml:space="preserve">Process to determine material topics
</t>
  </si>
  <si>
    <t>3-2</t>
  </si>
  <si>
    <t>List of material topics</t>
  </si>
  <si>
    <t>3-3</t>
  </si>
  <si>
    <t>Management of material topics</t>
  </si>
  <si>
    <t>201-1</t>
  </si>
  <si>
    <t>The DVA is prepared in accordance with CPC 09 and all companies consolidated by Vale are included.</t>
  </si>
  <si>
    <t>201-2</t>
  </si>
  <si>
    <t>For Vale, substantial changes related to risks and opportunities presented by climate change mean critical risks with losses above US$ 1 billion, this concept is also used in the CDP and DJSI reports.
Vale adopts, as reported in the CDP, that from USD 1 billion would be a significant financial impact for Vale (even included in Vale's risk matrix), and risks that contain this financial impact would be Business Risks. The costs of the measures taken to manage the risks or opportunities are realized in accordance with the budget for the reporting year.
Vale considers as short term the period of up to 5 years; medium term, from 5 to 10 years; and long term, over 10 years.</t>
  </si>
  <si>
    <t>201-3</t>
  </si>
  <si>
    <t xml:space="preserve">Defined benefit plan obligations and other retirement plans
</t>
  </si>
  <si>
    <t>201-4</t>
  </si>
  <si>
    <t>Financial assistance received from government</t>
  </si>
  <si>
    <t>202-1</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</si>
  <si>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Vale considers as "other workers" those who are not its own employees, that is, third parties.
At Vale, a "significant portion" of employees refers to the number of employees earning the minimum wage. However, Vale pays wages above the minimum wage, as established in the wage floor defined in the Labor Agreements.
To calculate the proportion between the lowest salary and the minimum salary, the lowest salary in the company is considered, without division by employee category.
The minimum wage considered is at the federal level.</t>
  </si>
  <si>
    <t>There were no exceptions.</t>
  </si>
  <si>
    <t>202-2</t>
  </si>
  <si>
    <t>203-1</t>
  </si>
  <si>
    <t>Infrastructure investments and services supported</t>
  </si>
  <si>
    <t>With regard to investments in infrastructure and support services, Vale adopts as "significant" all amounts invested in social and environmental initiatives, that is, socio-environmental investments, related to infrastructure and support services.
In the context of investments, the company adopts the following concepts:
- "positive impacts": the result of the action that generates an improvement for the community or for the environment, with the aim of preserving it.
- "negative impacts": the result of the action that generates some damage to the community or environment.
- "relevant impacts": defined according to the severity matrix, applied only to negative impacts.</t>
  </si>
  <si>
    <t>203-2</t>
  </si>
  <si>
    <t>Significant indirect economic impacts</t>
  </si>
  <si>
    <t>The concept adopted for "significant indirect economic impacts" at Vale are the concepts provided for in the norms and regulations of socio-environmental licensing processes in Brazil and abroad, when applicable. In Brazil, for example, the guidelines of Conama Resolution 1/86 are followed, regarding the analysis of environmental impacts; the classification of direct and indirect impacts seeks to follow the guidelines of this resolution, with direct impacts resulting directly from its activities, and indirect impacts resulting from secondary effects, resulting from direct impacts, descriptions that have been adopted by most environmental studies of Vale's licensing processes. As for the significance of impacts, in addition to the recommendations contained in the aforementioned resolution, among other guidelines relevant to socio-environmental assessment processes, Vale uses the impact severity table; an impact whose classification is above the moderate level can be considered significant, according to the description in the severity table and the efforts and measures necessary to prevent or mitigate its effects.
Among the main significant indirect economic impacts identified in socio-environmental studies, there are some examples: increased pressure on public infrastructure (health, education, security, social protection and housing); road system overload; alteration of the daily life of the population, in the social and cultural relations constructed and uncomfortable for the population; generation of expectations regarding employability and business; strengthening of community organization and social development; generation of opportunities and new businesses, among others.</t>
  </si>
  <si>
    <t>205-1</t>
  </si>
  <si>
    <t>At Vale, the following definitions are adopted:
  - "Business": refers to the type of product or service provided by the company.
  - "Corridor": refers to one or more Logistics Complexes and Corridors, which may have one or more Businesses and several addresses.
  - "Complex": refers to one or more Operating Units. It may have a single gatehouse or several gatehouses and may or may not have more than one Business contained within the site.
  - "Operations": refers to a single location used by the organization for the production, storage and/or distribution of its goods and services, and/or to carry out administrative activities related to operational activities. Within a single operation, there may be multiple assets with multiple production lines, warehouses, administrative offices, or other activities.
  - "Significant Risks": all risks classified as "High" or "Very High" in Vale's risk matrix. Risk: the effect of uncertainty on the objectives, where: effect is a deviation from the expected (positive and/or negative) and uncertainty is the state, even if partial, of lack of information regarding the understanding or knowledge of the event, their impacts or frequency/probability. Risk consists of three interrelated components: cause -&gt; event -&gt; impact. It is also expressed in terms of a combination of the impacts of the event or a change in circumstances, and the associated frequency/probability of occurrence. The Risk Matrix is the combination of frequency/probability and severity of events distributed in their respective scales. According to its quadrant in the Risk Matrix, each event will have its risk classification and its priority classified as Very High, High, Medium or Low and treatment models.
For events of Very Critical severity, with the potential to permanently interrupt the business, these must be monitored regardless of any probability criteria.</t>
  </si>
  <si>
    <t>205-2</t>
  </si>
  <si>
    <t>Communication and training about anti-corruption policies and procedures</t>
  </si>
  <si>
    <t>The numbers reported in this indicator refer only to the reporting period, unless otherwise specified.
The concept adopted by the company for "communication of anti-corruption policies and procedures" considers: for members of Vale's top leadership, email communication about the company's anti-corruption rules and participation in the actions of the Ethics Week and in accountability meetings of the Ethics &amp; Compliance Program; for other employees, there is communication via e-mails about the company's anti-corruption rules and procedures.
The basis of anti-corruption training is made up of the ethics and compliance program assigned to all Vale employees and senior leadership and third parties who represent, act on behalf of or for the benefit of Vale. This training consists of: an educational video on Vale's anti-corruption rules; specific and targeted training on the Anti-Corruption Rules of Vale's Ethics &amp; Compliance Program; and completing the annual Conflict of Interest form. All accounting is done by the number of individuals who carry out activities at Vale and are recorded in specific systems for this purpose, such as the VES (Vale's online training system).
The concept of "business partners" adopted at Vale comprises: any entities (associations, institutions, organizations, etc.) with which Vale and/or its subsidiaries carry out some type of commercial, technical, social or institutional partnership, among others, who are not configured as a customer or supplier.
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The stratification of the employees' functional category considers the type of employment contract or level of the employee in the company and is composed of:
- Chief Executive Officer
- Executive Director
- Director
- Executive Manager
- Manager/Coordinator
- Supervisor
- Technical specialist
- Staff
In Base Metals, additionally, there is the Superintendent hierarchical level, which is positioned between the Manager and the Supervisor.</t>
  </si>
  <si>
    <t>205-3</t>
  </si>
  <si>
    <t>Confirmed incidents of corruption and actions taken</t>
  </si>
  <si>
    <t>We know that corruption happens when someone gives, promises, offers or authorizes favors or Something of Value, directly or indirectly, to influence a decision, to gain an undue advantage or to obtain or retain business, which may occur in the public or private sphere. Vale has zero tolerance for bribery and corruption and does not protect those who use this practice, whether an employee, administrator or supplier. We have an Ethics &amp; Compliance Program, with clear governance, guidelines and rules on corruption, which include periodic training, monitoring and management of consequences, taking care not to obstruct any inspection activity related to this topic.
We handle complaints in an impartial and serious manner. When deciding to make one, provide as much information as possible to prove it, enabling a fair and balanced assessment. When a report is made, an entire corporate structure is mobilized to conduct the investigation and, if necessary, hold those involved accountable. Under no circumstances will have breach of confidentiality, intimidation or retaliation against the whistleblower. Confirmed cases are those in which information from complaints is confirmed after investigations are completed.
There are three risks related to corruption in Vale's consolidated risk map. They are: (1) Public Agent Corruption; (2) Liabilities from unlawful acts related to corruption due to corporate operations; (3) Undue influence during the investigation process, related to corruption, conducted by public bodies.
In total, 17 controls are related to Vale's anti-corruption rules, of which six are classified
as key controls:
• Socio-environmental investments;
• Donations and sponsorships;
• Suppliers in general;
• High risk suppliers;
• Recruitment of
public agents;
• Trainings.
These controls are replicated for 41 risk owners (1st Line of Defense), who must carry out a
closer monitoring in their areas, in view of Vale's risk methodology, based on the three lines of defense.
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t>
  </si>
  <si>
    <t>206-1</t>
  </si>
  <si>
    <t>The main references in the management of the antitrust issue used to compose the basis of judicial actions are the guidelines and decisions of the jurisdictions in the regions where Vale operates, highlighting the decisions of the Administrative Council for Economic Defense in Brazil and the guidelines issued by the antitrust authorities of the European Community.
Vale considers the record of critical antitrust and unfair competition events and the results of these processes to be "main results".</t>
  </si>
  <si>
    <t>303-1</t>
  </si>
  <si>
    <t>Interactions with water as a shared resouce</t>
  </si>
  <si>
    <t>303-2</t>
  </si>
  <si>
    <t>303-3</t>
  </si>
  <si>
    <t>Water withdrawal</t>
  </si>
  <si>
    <t>The company measures information on "dissolved solids" through data collected in the Credit360 system, through direct responses from the operating units.
To define the water stress regions, the indicator defined by the UN (6.4.2 Level of water stress) was adopted in the period from 2014 to 2021. This indicator considers the use of water by all users of the river basins, availability and ecological flows, using public data available from the respective responsible bodies. In this way, factors such as the time interval considered, the climate, the vegetation, the scale of the territory, the use and occupation of the soil and the water demand have a direct impact on the results obtained. The Water Stress Level in the Watershed is calculated by the equation:
WS= [Qwd / (Qav – Qref)] x 100 [%], which:
Qwd: Total flow rate of water withdrawn in the basin
Qav: Average total flow rate of available water
Qref: Reference Flow Rate*
*According to applicable law
The classification Criterion follows the parameter below:
No Stress: WS &lt; 25% 
Low: 25% ≤ WS &lt; 50% 
Medium: 50% ≤ WS &lt; 75% 
High: 75% ≤ WS &lt; 100% 
Critical: WS &gt; 100%
Vale, as a member of the International Council on Mining and Metals (ICMM), carries out an annual self-assessment of the company's assets and corporate areas, globally, following the 10 ICMM Mining Principles:
- Principle 1: Ethical business;
- Principle 2: Decision making;
- Principle 3: Human rights;
- Principle 4: Risk management;
- Principle 5: Health and safety;
- Principle 6: Environmental performance;
- Principle 7: Conservation of biodiversity;
- Principle 8: Responsible production;
- Principle 9: Social performance;
- Principle 10: Stakeholder involvement.
The data may contain estimates considering specifics of the operations.</t>
  </si>
  <si>
    <t>For the mapping of water stress areas, exceptions were considered for the EFVM and EFC railways, projects and the Repair Board</t>
  </si>
  <si>
    <t>303-4</t>
  </si>
  <si>
    <t>To define the water stress regions, the indicator defined by the UN (6.4.2 Level of water stress) was adopted in the period from 2014 to 2021. This indicator considers the use of water by all users of the river basins, availability and ecological flows, using public data available from the respective responsible bodies. In this way, factors such as the time interval considered, the climate, the vegetation, the scale of the territory, the use and occupation of the soil and the water demand have a direct impact on the results obtained. The Water Stress Level in the Watershed is calculated by the equation:
WS= [Qwd / (Qav – Qref)] x 100 [%], which:
Qwd: Total flow rate of water withdrawn in the basin
Qav: Average total flow rate of available water
Qref: Reference Flow Rate*
*According to applicable law
The classification Criterion follows the parameter below:
No Stress: WS &lt; 25% 
Low: 25% ≤ WS &lt; 50% 
Medium: 50% ≤ WS &lt; 75% 
High: 75% ≤ WS &lt; 100% 
Critical: WS &gt; 100%
The company measures information on "dissolved solids" through data collected in the Credit360 system, through direct responses from the operating units.
Vale, as a member of the International Council on Mining and Metals (ICMM), carries out an annual self-assessment of the company's assets and corporate areas, globally, following the 10 ICMM Mining Principles:
- Principle 1: Ethical business;
- Principle 2: Decision making;
- Principle 3: Human rights;
- Principle 4: Risk management;
- Principle 5: Health and safety;
- Principle 6: Environmental performance;
- Principle 7: Conservation of biodiversity;
- Principle 8: Responsible production;
- Principle 9: Social performance;
- Principle 10: Stakeholder involvement.
The data may contain estimates considering specifics of the operations.</t>
  </si>
  <si>
    <t>303-5</t>
  </si>
  <si>
    <t>To define the water stress regions, the indicator defined by the UN (6.4.2 Level of water stress) was adopted in the period from 2014 to 2021. This indicator considers the use of water by all users of the river basins, availability and ecological flows, using public data available from the respective responsible bodies. In this way, factors such as the time interval considered, the climate, the vegetation, the scale of the territory, the use and occupation of the soil and the water demand have a direct impact on the results obtained. The Water Stress Level in the Watershed is calculated by the equation:
WS= [Qwd / (Qav – Qref)] x 100 [%], which:
Qwd: Total flow rate of water withdrawn in the basin
Qav: Average total flow rate of available water
Qref: Reference Flow Rate*
*According to applicable law
The classification Criterion follows the parameter below:
No Stress: WS &lt; 25% 
Low: 25% ≤ WS &lt; 50% 
Medium: 50% ≤ WS &lt; 75% 
High: 75% ≤ WS &lt; 100% 
Critical: WS &gt; 100%
The criterion used by the organization to determine what are “significant impacts” is the internal standard – risk matrix.
Vale, as a member of the International Council on Mining and Metals (ICMM), carries out an annual self-assessment of the company's assets and corporate areas, globally, following the 10 ICMM Mining Principles:
- Principle 1: Ethical business;
- Principle 2: Decision making;
- Principle 3: Human rights;
- Principle 4: Risk management;
- Principle 5: Health and safety;
- Principle 6: Environmental performance;
- Principle 7: Conservation of biodiversity;
- Principle 8: Responsible production;
- Principle 9: Social performance;
- Principle 10: Stakeholder involvement.</t>
  </si>
  <si>
    <t>304-1</t>
  </si>
  <si>
    <t>Operational sites owned, leased, managed in, or adjacent to, protected areas and areas of high biodiversity value outside protected areas</t>
  </si>
  <si>
    <t>Own, leased or managed operating unit - these are Vale's operating areas, mines, ports, railways, power plants, industrial complexes, etc.;
Environmental protection areas - “Protected Area is a clearly defined and recognized geographical space, with a specific objective and managed by effective means, whether legal or otherwise, to achieve long-term conservation of nature, with ecosystem services and associated Cultural values ” (IUCN, 2008) - IUCN and SNUC categories of protected areas are used to address the protection value of areas.
Areas of high value for biodiversity - are areas internationally recognized as of great importance for conservation due to their high biological, ecological, social or cultural values - areas that maintain a high concentration of endangered and/or endemic species, key evolutionary processes – e.g. Hotspots, Wilderness Areas, Key Biodiversity Areas, Ramsar Sites, Priority Areas for Conservation.
The value of biodiversity is evaluated qualitatively, according to the intersection/proximity of the company's operating sites with areas internationally recognized as of great importance for conservation. Vale has reference sites and databases with the location of areas of great importance for conservation.</t>
  </si>
  <si>
    <t>In 2023, Vale Taiwan's assets were divested, and therefore removed from the scope of the 304-1 indicator.</t>
  </si>
  <si>
    <t>Due to the divestment in Vale Taiwan's assets.</t>
  </si>
  <si>
    <t>304-2</t>
  </si>
  <si>
    <t>For Vale, "significant direct and indirect impacts" are those that cause significant changes in the habitats and populations of species. The impacts raised and evaluated in the studies/assessments of environmental impacts carried out to compose the licensing processes of the operational areas and new projects are reported. The significance of the impact consists of the final interpretation of the intensity of the impact based on the correlation of evaluation criteria related to the reversibility, scope and magnitude of the impact.</t>
  </si>
  <si>
    <t>304-3</t>
  </si>
  <si>
    <t>The independent external experts who support the protection and recovery processes and outcomes are consultants and researchers from partner research institutions. The independent external experts who assess the protection and recovery processes are the environmental agencies responsible for authorizing and issuing licenses, as well as researchers who may be consulted for these assessments.
Vale uses the definition given by the International Union for Conservation of Nature (IUCN) through its Guidelines for Applying Protected Area Management Categories (IUCN, 2008), which defines “protected area” as “a clearly defined geographic space, recognized, dedicated and managed, through legal or other effective means, to achieve long-term conservation of nature with associated ecosystem services and cultural values”. This definition is in line with that of the Convention on Biological Diversity (CBD, 1992, Article 2). Therefore, to consolidate the indicator, the categories of the IUCN system of protected areas are used or their adaptations to the legislation of the countries where Vale operates, if any.
Vale does not consolidate “restored areas” in this indicator due to the inherent difficulties in establishing parameters to assess whether a given area or set of areas has been effectively restored.</t>
  </si>
  <si>
    <t>304-4</t>
  </si>
  <si>
    <t>The collection system data library is updated periodically. The last update took place at the end of 2019, considering the last update of the IUCN list available on the website.
In the case of national lists, the lists of endangered fauna and flora species published in 2014 by the MMA were used.</t>
  </si>
  <si>
    <t>401-1</t>
  </si>
  <si>
    <t>New hires: TOTAL number of employees hired in the period* / TOTAL number of own employees
Turnover: Number of own employees who left the company in the period* / TOTAL number of own employees
The period considered is the year in question in the Integrated Report.
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t>
  </si>
  <si>
    <t>401-2</t>
  </si>
  <si>
    <t>401-3</t>
  </si>
  <si>
    <t>403-1</t>
  </si>
  <si>
    <t xml:space="preserve">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t>
  </si>
  <si>
    <t>403-2</t>
  </si>
  <si>
    <t>Hazard identification, risk assessment, and incident investigation</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</si>
  <si>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"Workers who are not employees" are considered the employees of contracted companies, the third parties.
The mechanisms and initiatives described in this indicator do not differ in the management of employees and non-employees.</t>
  </si>
  <si>
    <t>403-3</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</si>
  <si>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"Workers who are not employees" are considered the employees of contracted companies, the third parties.</t>
  </si>
  <si>
    <t>403-4</t>
  </si>
  <si>
    <t>Worker participation, consultation, and communication on occupational health and safety</t>
  </si>
  <si>
    <t>403-5</t>
  </si>
  <si>
    <t>403-6</t>
  </si>
  <si>
    <t>403-7</t>
  </si>
  <si>
    <t>Vale considers as "significant impacts on health and safety at work" those whose potential severity is classified as critical or very critical, that is, those that could result in fatalities or changed lives, given a slight change in time, position or performance of the controls.</t>
  </si>
  <si>
    <t>403-8</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</si>
  <si>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"Workers who are not employees" are considered the employees of contracted companies, the third parties, and all the staff mobilized in active contracts are considered. The standards adopted for the implementation of Vale's occupational health and safety management system (Vale Production System) are: ISO 9001, ISO 14001, ISO 45001 and ISO 31000.</t>
  </si>
  <si>
    <t>403-9</t>
  </si>
  <si>
    <t xml:space="preserve">
For the “Safety” dimension, high potential events are considered those that have their potential severity classified as critical or very critical, that is, those that could have resulted in fatality(ies) or changed life, given a slight change in time, position or actuation of the controls.
- Fatalities or changed lives must be communicated by the event owner as soon as possible (phone/email).
- Every occupational fatality in a controlled activity must be communicated as soon as possible to the Board of Directors, within a period of one hour.
- Any injury must be immediately reported to the local medicine.
The indices of this indicator are calculated based on 1,000,000 hours worked.
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"Workers who are not employees" are considered the employees of contracted companies, the third parties.
The standards adopted for implementation of Vale's occupational health and safety management system (Vale Production System) are: ISO 9001, ISO 14001, ISO 45001 and ISO 31000.
Vale's records and management of health and safety events, including work accidents, are oriented by internal normative. To calculate the indices, we used the methodology established in the GRI standard.</t>
  </si>
  <si>
    <t>For own employees, data refers to operations/offices in the following countries: Argentina, Australia, Brazil, Canada, Chile, China, United States, Netherlands, India, Indonesia, Japan, Malaysia, Oman, Paraguay, Peru, United Kingdom, Singapore, Switzerland, United Arab Emirates - Dubai and Uruguay.
And for third party reporting, the following countries are considered: Brazil, Indonesia, Canada, Malaysia, Oman, United Kingdom, Argentina, Chile, Peru, Japan, Australia and China.</t>
  </si>
  <si>
    <t>403-10</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</si>
  <si>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"Workers who are not employees" are considered the employees of contracted companies, the third parties.
Vale considers "professional illnesses of mandatory communication" to be those of an occupational nature and those resulting from accidents at work. In Brazil, we have a leave reporting system that allows the Health team to obtain data at different granularities. As for the collection of international data, due to the different legal particularities of the countries where we operate, the data is collected manually, aggregated at the board granularity level and once a month.
Illnesses and illnesses resulting from work accidents are accounted for the non-cumulative reporting period.</t>
  </si>
  <si>
    <t>For the countries: Argentina, China, Netherlands, India, United Arab Emirates - Dubai, Paraguay, Singapore, Switzerland, United States and Uruguay there is no reporting of the indicator due to the reduced number of personnel in the locations and the absence of a dedicated health system.</t>
  </si>
  <si>
    <t>404-1</t>
  </si>
  <si>
    <r>
      <rPr>
        <sz val="9"/>
        <color rgb="FF555555"/>
        <rFont val="Arial"/>
        <family val="2"/>
      </rPr>
      <t>Average hours of training per year per employee</t>
    </r>
  </si>
  <si>
    <t xml:space="preserve">- Average hours of training: Total number of hours of training (base year) / Total number of own employees (base year)
- Inclusion of hours trained by companies that use the VES - Vale Educational System;
- The criteria in the workforce field are used, matching the criteria sent by the workforce area;
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The stratification of the employees' functional category considers the type of employment contract or level of the employee in the company and is composed of:
- Chief Executive Officer
- Executive Director
- Director
- Executive Manager
- Manager/Coordinator
- Supervisor
- Technical specialist
- Staff
In Base Metals, there is additionally the Superintendent hierarchical level, which is positioned between the Manager and the Supervisor.
</t>
  </si>
  <si>
    <t>404-2</t>
  </si>
  <si>
    <t>Programs for upgrading employee skills and transition assistance programs</t>
  </si>
  <si>
    <t>404-3</t>
  </si>
  <si>
    <t>For the regular performance and career development assessment, the activities of the People Development Cycle are considered, such as the Performance Assessment processes, such as self-assessment, manager assessment, pre-committee analysis, committee, Individual Development Plan (IDP), Leadership Potential Assessment, Succession, etc.
At Vale, the following are accounted as effective/workforce: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The stratification of the employees' functional category considers the type of employment contract or level of the employee in the company and is composed of:
- Chief Executive Officer
- Executive Director
- Director
- Executive Manager
- Manager/Coordinator
- Supervisor
- Technical specialist
- Staff
In Base Metals, there is additionally the Superintendent hierarchical level, which is positioned between the Manager and the Supervisor.</t>
  </si>
  <si>
    <t>405-1</t>
  </si>
  <si>
    <t>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
The stratification of the employees' functional category considers the type of employment contract or level of the employee in the company and is composed of:
- Chief Executive Officer
- Executive Director
- Director
- Executive Manager
- Manager/Coordinator
- Supervisor
- Technical specialist
- Staff
In Base Metals, there is additionally the Superintendent hierarchical level, which is positioned between the Manager and the Supervisor.</t>
  </si>
  <si>
    <t xml:space="preserve">405-2
</t>
  </si>
  <si>
    <t>The stratification of the employees' functional category considers the type of employment contract or level of the employee in the company and is composed of:
- Chief Executive Officer
- Executive Director
- Director
- Executive Manager
- Manager/Coordinator
- Supervisor
- Technical specialist
- Staff
In Base Metals, there is additionally the Superintendent hierarchical level, which is positioned between the Manager and the Supervisor.
The calculation rationale used to report the proportion between base salary and remuneration is: Average Base Salary for Women (US$)/ Average Base Salary for Men (US$).
Average Base Salary = the minimum average amount paid to an employee for the performance of his duties, excluding any additional compensation such as payments for overtime worked or bonuses.</t>
  </si>
  <si>
    <t>406-1</t>
  </si>
  <si>
    <t>Vale considers "cases of discrimination" to be cases of misconduct and non-compliance with the Code of Conduct, including any form of prejudice, racism, homophobia, moral or sexual harassment, situations of humiliation, intimidation, exposure to ridicule, hostility or embarrassment. We encourage circumstances like these to be reported on our Whistleblowing Channel. This channel is operated by an independent company and is structured to ensure non-retaliation and the anonymity of whistleblowers. All investigations are carried out by the Whistleblowing Channel team, which is independent from the company's executive structure. Periodically, the Whistleblowing Channel reports to the Board of Directors and to the Advisory Committees to the Board of Directors, in addition to subsidizing the Conduct and Integrity Committee with the information from the reports received, for decision-making on the application of consequences and future evolution of the Ethics and Compliance Program.</t>
  </si>
  <si>
    <t>407-1</t>
  </si>
  <si>
    <t>Operations and suppliers in which the right to freedom of association and collective bargaining may be at risk</t>
  </si>
  <si>
    <t>The premises established by Vale giving its employees the right to free association and collective bargaining are established in its Conduct policy (POL-0001-G) and in the Human Rights Policy (POL-0005-G). Furthermore, the company establishes Collective Agreements with its employees, which establish the right to freedom of association and to carry out unionization campaigns within the company by unions, in addition to mechanisms for receiving and investigating complaints and direct resolution of labor disputes.
Regarding collective bargaining, the company maintains permanent negotiations and enters into collective agreements with all unions representing its employees.
The concept adopted for "workers" involves people employed and not employed by Vale.
For reporting this indicator, the following are considered by Vale:
- President, executive directors, directors, executive managers, managers, coordinators and career leaders technique
- Assigned (accounted for in the employee's home company)
- Fly-in/fly-out (they are accounted for in the company in which the employee is paid)
- Expatriates:
- STA - are accounted for in the employee's home company
- LTA - are accounted for in the employee's destination company
- Employees allocated in the structure of the Board, who do not occupy the role of Director
(e.g. secretaries and assistants)
- Paid leave/leavers
- Other employees with contracts for an indefinite period
- Employees in a special situation (e.g. employees in trade unions)
- Trainees
- Other employees with fixed-term contracts
- PwD
- Young apprentices
- Interns
The following are not counted: Unpaid leave/leavers; Counselors; Young apprentices with a workload of 4 hours/daily.</t>
  </si>
  <si>
    <t>408-1</t>
  </si>
  <si>
    <t xml:space="preserve">At Vale, the following definitions are adopted:
- "Significant risks of occurrence":
  All those classified as "High" or "Very High" in Vale's risk matrix. Risk: the effect of uncertainty on the objectives, where: effect is a deviation from the expected (positive and/or negative) and uncertainty is the state, even if partial, of lack of information regarding the understanding or knowledge of the event, their impacts or frequency/probability. Risk consists of three interrelated components: cause -&gt; event -&gt; impact. It is also expressed in terms of a combination of the impacts of the event or a change in circumstances, and the associated frequency/probability of occurrence. The Risk Matrix is the combination of frequency/probability and severity of events distributed in their respective scales. According to its quadrant in the Risk Matrix, each event will have its risk classification and its priority classified as Very High, High, Medium or Low and treatment models. For events of Very Critical severity, with the potential to permanently interrupt the business, these must be monitored regardless of any probability criteria.
- "Child labor":
  Child labor is defined as work that "deprives children of their childhood, their potential and their dignity, and that is harmful to their physical or mental development and even interferes with their education. Specifically, it refers to types of work that are not permitted for children below the relevant minimum age - varying from country to country”.
In the context of the GRI Standards, a “young worker” is defined as a person above the minimum working age and under 18 years of age.
Child labor is subject to International Labor Organization (ILO) Conventions nº 138 “Minimum Age” and nº 182 “Prohibition of the Worst Forms of Child Labor”. The “child labor” relates to an abuse, which should not be mistaken with “children who work” or with “young people who work”, which may not constitute abuse, as stipulated in ILO Convention nº 138.
The minimum age for work differs by country. ILO Convention nº 138 specifies a minimum age of 15 years or the age of completion of compulsory education (whichever is greater). However, there is an exception for certain countries where the economy and education system are insufficiently developed, in which case the minimum age of 14 may apply. Countries enjoying this exception are specified by the ILO in response to a special request from an interested country and after consultation with representative organizations of employers and workers.
- "Young workers":
  In the context of the GRI Standards, a “young worker” is defined as a person above the minimum working age and under 18 years of age.
- "Dangerous work":
  ILO Convention nº 138 stipulates that “national laws or regulations may permit the employment or work of persons between thirteen and fifteen years of age in light work that (a) does not harm their health or development; and (b) do not impair your attendance at school, your participation in vocational guidance or training programs approved by the competent authority, or your ability to benefit from the instruction received.
- "Countries or geographic areas with operations and suppliers considered at risk":
Locations whose condition effectively releases the matter or energy needed to initiate the sequence of events that will end in the unwanted effect. The effects arising from the materialization of risk situations are, for example: injuries, illnesses, fatalities, environmental and social impacts, etc.
All operations and suppliers are assessed for these risks. Contracts with suppliers include clauses that expressly prohibit the use of child, forced or slave-like labor. Failure to comply with these clauses implies breach of contract. This risk is managed at different levels, both in the due diligence processes that are initiated in the pre-contractual phases (supplier registration), with careful analysis of the company's documentation, and throughout the provision of services, with periodic and, even, carrying out an audit in some cases. The same procedures are adopted in different countries and regions where the risk of child labor is higher.
</t>
  </si>
  <si>
    <t>409-1</t>
  </si>
  <si>
    <t>Vale adopts the following definitions:
- "Significant risks of occurrence":
  All those classified as "High" or "Very High" in Vale's risk matrix. Risk: the effect of uncertainty on the objectives, where: effect is a deviation from the expected (positive and/or negative) and uncertainty is the state, even if partial, of lack of information regarding the understanding or knowledge of the event, their impacts or frequency/probability. Risk consists of three interrelated components: cause -&gt; event -&gt; impact. It is also expressed in terms of a combination of the impacts of the event or a change in circumstances, and the associated frequency/probability of occurrence. The Risk Matrix is the combination of frequency/probability and severity of events distributed in their respective scales. According to its quadrant in the Risk Matrix, each event will have its risk classification and its priority classified as Very High, High, Medium or Low and treatment models.
For events of Very Critical severity, with the potential to permanently interrupt the business, these must be monitored regardless of any probability criteria.
- "Forced or compulsory labor":
ILO Convention nº 29 determines that forced labor "means all work or service exacted from an individual under threat of any penalty and for which he has not voluntarily offered himself".
- "Countries or geographic areas with operations and suppliers considered at risk":
Locations whose condition effectively releases the matter or energy needed to initiate the sequence of events that will end in the unwanted effect. The effects arising from the materialization of risk situations are, for example: injuries, illnesses, fatalities, environmental and social impacts, etc.
All operations and suppliers are assessed for these risks. Contracts with suppliers include clauses that expressly prohibit the use of child, forced or slave labor. Failure to comply with these clauses implies breach of contract. This risk is managed at different levels, both in the due diligence processes that are initiated in the pre-contractual phases (supplier registration), with careful analysis of the company's documentation, and throughout the provision of services, with periodic and, even, carrying out an audit in some cases. The same procedures are adopted in different countries and regions where the risk of child labor is higher.</t>
  </si>
  <si>
    <t>410-1</t>
  </si>
  <si>
    <t>The company considers the specific content on human rights in these trainings to be the same criterion adopted by the GRI - specific procedures on human rights and their application in safety.
Calculation rationale: total own employees and third parties trained in human rights procedures / total own employees and third parties (GRI 2-7 and GRI 2-8)</t>
  </si>
  <si>
    <t>411-1</t>
  </si>
  <si>
    <t>Incidents of violations involving rights of indigenous peoples</t>
  </si>
  <si>
    <t>In order to assess and deal with cases of violations of the rights of indigenous peoples, Vale adopts the same guidelines as the GRI 411-1 standard: which defines a "case" as a legal action or complaint registered with the organization or with competent authorities through a formal process, or an occurrence of non-compliance identified by the organization through established procedures. These established procedures for identifying occurrences of non-compliance may include management system audits, formal monitoring programs or grievance mechanisms (for Vale in the company's Listening and Response Mechanism). All cases of possible violations of the rights of indigenous peoples that fit this definition adopted by Vale are evaluated and dealt with.</t>
  </si>
  <si>
    <t>413-1</t>
  </si>
  <si>
    <t xml:space="preserve">To carry out impact assessments for Vale's projects, the socio-environmental legislation of each country in which Vale operates is used, as well as international guidelines. In addition, in order to standardize and guide the internal management of the preparation of environmental impact studies, several procedures are prepared that must be adopted by the entire company, such as: procedure for Preliminary Risk Assessment and Identification and Assessment of Aspects and Impacts, to Expertise in the Environmental Licensing Process and Information Management, Management of Permissions, Environmental Conditions and Demands and Social Management at Vale. Still referring to the environmental impact assessment, Vale follows international concepts such as ISO 9001 - Quality Management System, and ISO 14001 - Environmental Management System. The internal standard for Planning, Development and Management defines Vale's core processes and value chain, indicating its operational processes.
The company identifies the needs of local communities, maps and engages stakeholders and defines the criteria to be adopted in relationship, engagement and development programs with communities, following the internal rules for Social Action and Management of the Relationship and Social Investment Plan with Community.
The consultation processes used by the company follow the guidelines contained in the normative standard for Social Action at Vale and the Listening and Response Mechanisms, as well as the rites and legal requirements for environmental licensing. Additionally, when involving vulnerable groups, the company adopts specific assumptions for engagement and relationships in accordance with the aforementioned internal regulations. It is noteworthy that, at Vale, vulnerable groups are considered those with adverse socioeconomic conditions, gender, ethnicity, age, physical disability and others. Also, when it comes to involuntary removal processes, to define eligibility, the following concept of vulnerable groups is used in addition: people and families living below the poverty line, with a per capita income of less than US$ 1, 90 per day; Situations in which a relevant part of the family income depends on the income obtained through activities related to the property, such as small businesses, family farming or leasing to third parties.
At Vale, the following definitions are adopted:
  - "Business": refers to the type of product or service provided by the company.
  - "Corridor": refers to one or more Logistics Complexes and Corridors, which may have one or more Businesses and several addresses.
  - "Complex": refers to one or more Operating Units. It may have a single gatehouse or several gatehouses and may or may not have more than one Business contained within the site.
  - "Operations": refers to a single location used by the organization for the production, storage and/or distribution of its goods and services, and/or to carry out administrative activities related to operational activities. Within a single operation, there may be multiple assets with multiple production lines, warehouses, administrative offices, or other activities.
</t>
  </si>
  <si>
    <t>413-2</t>
  </si>
  <si>
    <t>At Vale, the following definitions are adopted:
  - "Operations": refers to a single location used by the organization for the production, storage and/or distribution of its goods and services, and/or to carry out administrative activities related to operational activities. Within a single operation, there may be multiple assets with multiple production lines, warehouses, administrative offices, or other activities.
- "Local communities": communities that affect and/or are directly affected by the company's activities.
- "Significant actual and potential negative impacts on local communities": are those that cause damage to the social, economic or environmental aspects related to communities located around the organization's operations. The significance of the impact is determined by crossing the severity of the impact with the probability/frequency with which the event may occur. Therefore, impacts are significant when they have: (1) very critical or critical severity, regardless of probability; (2) severe severity for events with frequency unlikely, likely, or very likely; and (3) moderate severity for probable or very probable events.</t>
  </si>
  <si>
    <t>302-1</t>
  </si>
  <si>
    <t>Energy consumed within the organization corresponds to the energy of all own operations, according to the operational control approach (GHG Protocol).
The indicator refers to the total energy consumption within the organization. An organization can consume energy from different sources: renewable, such as wind, hydro or solar, or non-renewable such as: diesel, coal, or natural gas, and in different ways: through fuels, electricity, heating, cooling or steam . Energy can be acquired from sources outside Vale or be produced by Vale itself (Self-production). When fuel purchases and consumption management are carried out by Vale or its subsidiaries, consumption must be reported in this indicator (Standard 302-1). On the contrary, if the purchase and management of consumption are carried out by contracted third parties, consumption must be reported in the indicator referring to indirect emissions.</t>
  </si>
  <si>
    <t>302-2</t>
  </si>
  <si>
    <t>Energy consumption outside of the organization</t>
  </si>
  <si>
    <t>For the calculation of energy consumption outside the organization, categories 4, 7 and 9 of Scope 3, provided for in the "GHG Protocol Corporate Value Chain (Scope 3) Accounting and Reporting Standard", 2011, are considered.</t>
  </si>
  <si>
    <t>302-3</t>
  </si>
  <si>
    <t>302-4</t>
  </si>
  <si>
    <t>Total energy saved/avoided corresponds to the total energy consumed before the initiative subtracted from the total energy consumed after the initiative.</t>
  </si>
  <si>
    <t>305-1</t>
  </si>
  <si>
    <t>To account for its GHG emissions, Vale follows the guidelines of the GHG Protocol – the guide for corporate inventories – and the specific standard for Scope 3 –, developed by the World Resources Institute (WRI) and the World Business Council for Sustainable Development (WBCSD).</t>
  </si>
  <si>
    <t>305-2</t>
  </si>
  <si>
    <t>305-3</t>
  </si>
  <si>
    <t>To account for its GHG emissions, Vale follows the guidelines of the GHG Protocol – the guide for corporate inventories – and the specific standard for Scope 3 –, developed by the World Resources Institute (WRI) and the World Business Council for Sustainable Development (WBCSD).
Significant changes in the context of emissions are all changes that imply a significant financial impact, according to Vale's severity table (Risk Matrix), in an amount greater than USD 1 billion (critical risk).
In addition to the categories listed in indicator 302-1, Category 6 - Business Travel, and Category 15 - Investments are also calculated and inserted in the Greenhouse Gas Inventory according to the "GHG Protocol Corporate Value Chain (Scope 3) Accounting and Reporting Standard", 2011, since the last reporting cycle of the Integrated Report.</t>
  </si>
  <si>
    <t>305-4</t>
  </si>
  <si>
    <t>305-5</t>
  </si>
  <si>
    <t>Reduction of GHG emissions</t>
  </si>
  <si>
    <t>To account for its GHG emissions, Vale follows the guidelines of the GHG Protocol – the guide for corporate inventories – and the specific standard for Scope 3 –, developed by the World Resources Institute (WRI) and the World Business Council for Sustainable Development (WBCSD).
"Primary effects" are specific GHG reduction activities or elements, as reduced GHG emissions, carbon storage, or increased GHG removals.
"Significant side effects" are minor, unintended consequences of a GHG reduction initiative that are not captured by the primary effects.</t>
  </si>
  <si>
    <t>305-6</t>
  </si>
  <si>
    <t>305-7</t>
  </si>
  <si>
    <t>Significant air emissions are air emissions regulated by international conventions and/or national laws or regulations. These emissions include those mentioned in the organization's environmental operating licenses. The main atmospheric emissions from the mining sector are particulate matter (PM), sulfur oxide (SOx), and nitrogen oxides (NOx).
To account for its GHG emissions, Vale follows the guidelines of the GHG Protocol – the guide for corporate inventories – and the specific standard for Scope 3 –, developed by the World Resources Institute (WRI) and the World Business Council for Sustainable Development (WBCSD).</t>
  </si>
  <si>
    <t>MM1</t>
  </si>
  <si>
    <t>Amount of land (owned or leased, and managed for production activities or extractive use) disturbed or rehabilitated</t>
  </si>
  <si>
    <t>MM2</t>
  </si>
  <si>
    <t>The number and percentage of total sites identified as requiring biodiversity management plans according to stated criteria, and the number (percentage) of sites with a plan in place.</t>
  </si>
  <si>
    <t>MM3</t>
  </si>
  <si>
    <t>Total amounts of overburden, rocks, tailings and sludge and their associated risks</t>
  </si>
  <si>
    <t>MM4</t>
  </si>
  <si>
    <t>Number of strikes and lock-outs exceeding one week’s duration, by country.</t>
  </si>
  <si>
    <t>MM5</t>
  </si>
  <si>
    <t>Total number of operations taking place in or adjacent to indigenous peoples’ territories, and number and percentage of operations or sites where there are formal agreements with indigenous peoples’ communities</t>
  </si>
  <si>
    <t>MM6</t>
  </si>
  <si>
    <t>Number and description of significant disputes relating to land use, customary rights of local communities and indigenous peoples</t>
  </si>
  <si>
    <t>MM7</t>
  </si>
  <si>
    <t>The extent to which grievance mechanisms were used to resolve disputes relating to land use, customary rights of local communities and indigenous peoples, and the outcomes</t>
  </si>
  <si>
    <t>MM9</t>
  </si>
  <si>
    <t>Sites where resettlements took place, the number of households resettled in each, and how their livelihoods were affected in the process</t>
  </si>
  <si>
    <t>MM10</t>
  </si>
  <si>
    <t>Number and percentage of operations with closure plans</t>
  </si>
  <si>
    <t>At Vale, the following definitions are adopted:
  - "Operations": refers to a single location used by the organization for the production, storage and/or distribution of its goods and services, and/or to carry out administrative activities related to operational activities. Within a single operation, there may be multiple assets with multiple production lines, warehouses, administrative offices, or other activities.</t>
  </si>
  <si>
    <t>Preparation Base for the Integrated Report 2023</t>
  </si>
  <si>
    <r>
      <rPr>
        <vertAlign val="superscript"/>
        <sz val="8"/>
        <color rgb="FF555555"/>
        <rFont val="Arial"/>
        <family val="2"/>
      </rPr>
      <t>10</t>
    </r>
    <r>
      <rPr>
        <sz val="8"/>
        <color rgb="FF555555"/>
        <rFont val="Arial"/>
        <family val="2"/>
      </rPr>
      <t xml:space="preserve"> The emergency level it is a category established by Brazilian legislation (ANM 95/2022) to classify potential risks that could compromise dam safety.
</t>
    </r>
    <r>
      <rPr>
        <vertAlign val="superscript"/>
        <sz val="8"/>
        <color rgb="FF555555"/>
        <rFont val="Arial"/>
        <family val="2"/>
      </rPr>
      <t>11</t>
    </r>
    <r>
      <rPr>
        <sz val="8"/>
        <color rgb="FF555555"/>
        <rFont val="Arial"/>
        <family val="2"/>
      </rPr>
      <t xml:space="preserve"> EAR (tailings storage facilities) are structures that include dams, drainage piles and dikes.
</t>
    </r>
    <r>
      <rPr>
        <vertAlign val="superscript"/>
        <sz val="8"/>
        <color rgb="FF555555"/>
        <rFont val="Arial"/>
        <family val="2"/>
      </rPr>
      <t>12</t>
    </r>
    <r>
      <rPr>
        <sz val="8"/>
        <color rgb="FF555555"/>
        <rFont val="Arial"/>
        <family val="2"/>
      </rPr>
      <t xml:space="preserve"> Decharacterization is the process of reshaping the terrain of our upstream tailings dams and partially or totally removing tailings from the reservoir and reintegrating the structure into the environment, so that the structure no longer serves its primary purpose of tailings disposal</t>
    </r>
  </si>
  <si>
    <t>In 2023, Vale contributed around USD 1.6 billion in socio-environmental and institutional expenditures, including those related to Brumadinho, as follows:
- USD 677.3 million dedicated to social and institutional initiatives, of which approximately 40% is related to voluntary investment and institutional relations and operational impact management (USD 269 million); 41% are obligations (USD 277 million) and 19% are investments from Incentivized Resources1 (USD 131 million).
- USD 913.9 million dedicated to environmental initiatives, considering Vale's internal and external expenditures.</t>
  </si>
  <si>
    <t>0.351 TJ / thousand metric tons of iron ore equivalent. (Obtained by dividing indicator 302-1 by Vale Production 2023).</t>
  </si>
  <si>
    <r>
      <t>23.2 kg CO2</t>
    </r>
    <r>
      <rPr>
        <sz val="8"/>
        <color rgb="FF555555"/>
        <rFont val="Arial"/>
        <family val="2"/>
      </rPr>
      <t>e per t MFe-eq</t>
    </r>
  </si>
  <si>
    <r>
      <t>78 ktCO</t>
    </r>
    <r>
      <rPr>
        <vertAlign val="subscript"/>
        <sz val="8"/>
        <color rgb="FF555555"/>
        <rFont val="Calibri"/>
        <family val="2"/>
        <scheme val="minor"/>
      </rPr>
      <t>2</t>
    </r>
    <r>
      <rPr>
        <sz val="8"/>
        <color rgb="FF555555"/>
        <rFont val="Calibri"/>
        <family val="2"/>
        <scheme val="minor"/>
      </rPr>
      <t>e</t>
    </r>
  </si>
  <si>
    <r>
      <t>103 ktCO</t>
    </r>
    <r>
      <rPr>
        <vertAlign val="subscript"/>
        <sz val="8"/>
        <color rgb="FF555555"/>
        <rFont val="Calibri"/>
        <family val="2"/>
        <scheme val="minor"/>
      </rPr>
      <t>2</t>
    </r>
    <r>
      <rPr>
        <sz val="8"/>
        <color rgb="FF555555"/>
        <rFont val="Calibri"/>
        <family val="2"/>
        <scheme val="minor"/>
      </rPr>
      <t>e</t>
    </r>
  </si>
  <si>
    <r>
      <t>64.0 ktCO</t>
    </r>
    <r>
      <rPr>
        <vertAlign val="subscript"/>
        <sz val="8"/>
        <color rgb="FF555555"/>
        <rFont val="Calibri"/>
        <family val="2"/>
        <scheme val="minor"/>
      </rPr>
      <t>2</t>
    </r>
    <r>
      <rPr>
        <sz val="8"/>
        <color rgb="FF555555"/>
        <rFont val="Calibri"/>
        <family val="2"/>
        <scheme val="minor"/>
      </rPr>
      <t>e</t>
    </r>
  </si>
  <si>
    <t>Renewable: 40 thousand TJ - this value corresponds to the Electric Energy Consumption (own and purchased generation) and represents 29.2% of the energy consumed in the Year of 2022.
non-renewable: 97 thousand TJ</t>
  </si>
  <si>
    <t>Renewable: 45 thousand TJ - this value corresponds to the Electric Energy Consumption (own and purchased generation) and represents 30.5% of the energy consumed in the Year of 2023.
non-renewable: 102 thousand TJ</t>
  </si>
  <si>
    <r>
      <rPr>
        <b/>
        <sz val="9"/>
        <color rgb="FF555555"/>
        <rFont val="Arial"/>
        <family val="2"/>
      </rPr>
      <t xml:space="preserve">Note: </t>
    </r>
    <r>
      <rPr>
        <sz val="9"/>
        <color rgb="FF555555"/>
        <rFont val="Arial"/>
        <family val="2"/>
      </rPr>
      <t>* Offered to some temporary employees if the company determines that training is required for the position.</t>
    </r>
  </si>
  <si>
    <t>Paraguay</t>
  </si>
  <si>
    <r>
      <rPr>
        <b/>
        <sz val="14"/>
        <color rgb="FF007A7E"/>
        <rFont val="Arial Black"/>
        <family val="2"/>
      </rPr>
      <t>VALE OECD - Responsible Supply Chains of Minerals from Conflict-Affected and High-Risk Areas</t>
    </r>
    <r>
      <rPr>
        <b/>
        <sz val="14"/>
        <color theme="2" tint="-0.499984740745262"/>
        <rFont val="Arial Black"/>
        <family val="2"/>
      </rPr>
      <t xml:space="preserve">
</t>
    </r>
    <r>
      <rPr>
        <b/>
        <sz val="14"/>
        <color theme="2" tint="-0.499984740745262"/>
        <rFont val="Arial"/>
        <family val="2"/>
      </rPr>
      <t>The Copper Mark's Joint Due Diligence Standard and Responsible Minerals Initiative's (RMI) 
Cobalt Refiner Supply Chain Due Diligence Standard</t>
    </r>
  </si>
  <si>
    <r>
      <rPr>
        <b/>
        <sz val="9"/>
        <color rgb="FF555555"/>
        <rFont val="Arial"/>
        <family val="2"/>
      </rPr>
      <t>Impacts</t>
    </r>
    <r>
      <rPr>
        <sz val="9"/>
        <color rgb="FF555555"/>
        <rFont val="Arial"/>
        <family val="2"/>
      </rPr>
      <t xml:space="preserve">
After the collapse of the Mariana and Brumadinho dams, the issue of dams became one of the biggest challenges for the mining sector, and especially for Vale, due to the risks associated with its existence and the feeling of insecurity in the communities near to the mining operations.
The implementation of the Global Industry Standard for Tailings Management (GISTM) integrates social, environmental and technical aspects with the aim of avoiding any harm to people and the environment, with zero tolerance for human fatalities, among other potential impacts of dam-related incidents.
Main risks: Dam failures, social and environmental Impacts and Evacuation of territories.
Main opportunities: Technologies for less dependence on dams, Co-products from tailings.
</t>
    </r>
    <r>
      <rPr>
        <b/>
        <sz val="9"/>
        <color rgb="FF555555"/>
        <rFont val="Arial"/>
        <family val="2"/>
      </rPr>
      <t>Involvement</t>
    </r>
    <r>
      <rPr>
        <sz val="9"/>
        <color rgb="FF555555"/>
        <rFont val="Arial"/>
        <family val="2"/>
      </rPr>
      <t xml:space="preserve">
As a user of dams in some of its operations, Vale is potentially involved with possible negative impacts, as has already occurred in the collapse of the dam in Brumadinho.
</t>
    </r>
    <r>
      <rPr>
        <b/>
        <sz val="9"/>
        <color rgb="FF555555"/>
        <rFont val="Arial"/>
        <family val="2"/>
      </rPr>
      <t>Policies &amp; Commitments</t>
    </r>
    <r>
      <rPr>
        <sz val="9"/>
        <color rgb="FF555555"/>
        <rFont val="Arial"/>
        <family val="2"/>
      </rPr>
      <t xml:space="preserve">
By adhering to the new Global Industry Standard for Tailings Management (GISTM), which includes 77 cross-cutting requirements, the governance was strengthened with the objective of reducing risks and achieving greater operational safety throughout the life cycle of the structures, including planning, design, operation and post-closure.
</t>
    </r>
    <r>
      <rPr>
        <b/>
        <sz val="9"/>
        <color rgb="FF555555"/>
        <rFont val="Arial"/>
        <family val="2"/>
      </rPr>
      <t xml:space="preserve">Steps taken to manage the theme
</t>
    </r>
    <r>
      <rPr>
        <sz val="9"/>
        <color rgb="FF555555"/>
        <rFont val="Arial"/>
        <family val="2"/>
      </rPr>
      <t xml:space="preserve">Since the collapse of the dam in Brumadinho, Vale has embarked on a journey to develop innovative solutions in the market, aiming to reduce risks in the management and monitoring of its dams. Our risk management model considers a conservative approach to the safety management of the TSSs (Tailings Storage Structures), with a robust governance and a multi-layered protection oversight, improving our ability to prevent accidents.  
Vale has already implemented GISTM in 48 TSSs, 35 of which are in the Iron Ore Solutions unit in Brazil and 13 in Metals for Energy Transition (11 in Canada and 2 in Brazil). Two other Iron Ore Solutions units in Brazil – Torto and Dique de Pedra, will be complying with the GISTM Standard by August 2025. See more on the ESG Portal on the Dams page.
</t>
    </r>
    <r>
      <rPr>
        <b/>
        <sz val="9"/>
        <color rgb="FF555555"/>
        <rFont val="Arial"/>
        <family val="2"/>
      </rPr>
      <t>Effectiveness Tracking</t>
    </r>
    <r>
      <rPr>
        <sz val="9"/>
        <color rgb="FF555555"/>
        <rFont val="Arial"/>
        <family val="2"/>
      </rPr>
      <t xml:space="preserve">
Periodically, reviews are carried out by external and independent companies in order to update the physical and hydraulic safety conditions of the dams. These revisions comply with the legal requirements set forth in Brazilian regulations and in terms signed with official bodies such as the Public Prosecutor's Office (PPO). Ongoing initiatives and the progress made by Vale can be accessed on the ESG Portal.</t>
    </r>
  </si>
  <si>
    <r>
      <rPr>
        <b/>
        <sz val="9"/>
        <color rgb="FF555555"/>
        <rFont val="Arial"/>
        <family val="2"/>
      </rPr>
      <t>Impacts</t>
    </r>
    <r>
      <rPr>
        <sz val="9"/>
        <color rgb="FF555555"/>
        <rFont val="Arial"/>
        <family val="2"/>
      </rPr>
      <t xml:space="preserve">
We recognize that our activities impact and depend on water resources. Therefore, we have an important role to play in the pursuit of responsible, more efficient use and influence the management of this resource with users in the watersheds where we operate. Another relevant point for our eco-efficiency is atmospheric emissions. This is due to the mining activity emits particulate matter (PM), sulfur oxides (SOx) and nitrogen oxides (NOx), which affect air quality and ecosystems around operations. These air pollutants are released by the chimneys of pelletizing and briquetting plants and base metal plants, as well as the burning of fuels in mobile equipment.
Main risks: Water crisis and unavailability of water resources; Compliance with ICMM quality standards for effluent disposal; Atmospheric emissions from operations.
Main opportunities: Expansion of the water monitoring network and search for new technologies, Efficient use of water resources through dry processing, Global strategy to reduce atmospheric emissions.
</t>
    </r>
    <r>
      <rPr>
        <b/>
        <sz val="9"/>
        <color rgb="FF555555"/>
        <rFont val="Arial"/>
        <family val="2"/>
      </rPr>
      <t>Involvement</t>
    </r>
    <r>
      <rPr>
        <sz val="9"/>
        <color rgb="FF555555"/>
        <rFont val="Arial"/>
        <family val="2"/>
      </rPr>
      <t xml:space="preserve">
The impact of Vale over eco-efficiency is directly linked to its operations.
</t>
    </r>
    <r>
      <rPr>
        <b/>
        <sz val="9"/>
        <color rgb="FF555555"/>
        <rFont val="Arial"/>
        <family val="2"/>
      </rPr>
      <t xml:space="preserve">Policies &amp; Commitments
</t>
    </r>
    <r>
      <rPr>
        <sz val="9"/>
        <color rgb="FF555555"/>
        <rFont val="Arial"/>
        <family val="2"/>
      </rPr>
      <t xml:space="preserve">In 2019, Vale launched its 2030 agenda, which sets goals of reducing pressures on nature, reducing our emissions and capturing new water, as well as the pursuit of positive results beyond impact management.  We have made public commitments to minimize them, through the adoption of more efficient and sustainable processes and new control technologies. We aim to go beyond the obligations set out in the legislation, in line with our global strategy to lead the transition to low-carbon mining. Vale has a special attention to reducing the impacts caused by atmospheric emissions on communities near operations.
</t>
    </r>
    <r>
      <rPr>
        <b/>
        <sz val="9"/>
        <color rgb="FF555555"/>
        <rFont val="Arial"/>
        <family val="2"/>
      </rPr>
      <t>Steps taken to manage the theme</t>
    </r>
    <r>
      <rPr>
        <sz val="9"/>
        <color rgb="FF555555"/>
        <rFont val="Arial"/>
        <family val="2"/>
      </rPr>
      <t xml:space="preserve">
Vale adopts a mitigation hierarchy to predict and avoid impacts arising from changes in air quality or to minimize them, when it is not possible to avoid and, in cases where residual impacts remain, to compensate/neutralize the risks and impacts to workers, affected communities and the environment.
We seek to reduce our emissions through a series of measures, such as improving control systems, testing dust suppressant products, and improving management processes, among others. The equipment used to monitor emissions and air quality makes it possible to act quickly in case of deviations.
In compliance with environmental constraints, we also maintain and operate air quality monitoring networks in some operations and nearby communities. These initiatives support the adoption of control systems, monitoring plans and emissions management. See more on the ESG Portal on the "Nature" page.
</t>
    </r>
    <r>
      <rPr>
        <b/>
        <sz val="9"/>
        <color rgb="FF555555"/>
        <rFont val="Arial"/>
        <family val="2"/>
      </rPr>
      <t>Effectiveness Tracking</t>
    </r>
    <r>
      <rPr>
        <sz val="9"/>
        <color rgb="FF555555"/>
        <rFont val="Arial"/>
        <family val="2"/>
      </rPr>
      <t xml:space="preserve">
In 2021, Vale achieved the goal of reducing the specific use of water and committed to updating it. With the understanding that the new water target should broaden the view beyond specific use and consider aspects of availability, quality, access to water and ecological flow in the river basins where we operate, indicator 6.4.2 of the United Nations 2030 Agenda was adopted. The calculation of water stress considers the ratio between the total freshwater collected by the company and the difference between the total water resources available and the water needed for aquatic life.
In 2024, Vale received an A rating on the CDP Water assessment, one of the world's leading impact assessment initiatives.</t>
    </r>
  </si>
  <si>
    <r>
      <rPr>
        <b/>
        <sz val="9"/>
        <color rgb="FF555555"/>
        <rFont val="Arial"/>
        <family val="2"/>
      </rPr>
      <t>Impacts</t>
    </r>
    <r>
      <rPr>
        <sz val="9"/>
        <color rgb="FF555555"/>
        <rFont val="Arial"/>
        <family val="2"/>
      </rPr>
      <t xml:space="preserve">
Main risks: Failure to achieve compliance and legislation targets, non-recovery of biodiversity, Invasion and misuse of land, Low economic diversification, maintaining local dependence on mining activities.
Main opportunities: Minimize risks in the territories where we operate and generate aptitudes for future uses, Generation of value to the territories, economic diversification and implementation of new businesses.
</t>
    </r>
    <r>
      <rPr>
        <b/>
        <sz val="9"/>
        <color rgb="FF555555"/>
        <rFont val="Arial"/>
        <family val="2"/>
      </rPr>
      <t xml:space="preserve">Involvement
</t>
    </r>
    <r>
      <rPr>
        <sz val="9"/>
        <color rgb="FF555555"/>
        <rFont val="Arial"/>
        <family val="2"/>
      </rPr>
      <t xml:space="preserve">The mine closure and future use are directly linked to the impacts of Vale on both its activities and its business relationships.
</t>
    </r>
    <r>
      <rPr>
        <b/>
        <sz val="9"/>
        <color rgb="FF555555"/>
        <rFont val="Arial"/>
        <family val="2"/>
      </rPr>
      <t>Policies &amp; Commitments</t>
    </r>
    <r>
      <rPr>
        <sz val="9"/>
        <color rgb="FF555555"/>
        <rFont val="Arial"/>
        <family val="2"/>
      </rPr>
      <t xml:space="preserve">
100% of our operations have closure plans that are in compliance with the best practices adopted by the International Council on Mining and Metals (ICMM) and legislation. At the same time, we follow up and monitor all mine closure actions and progressive rehabilitation of the units, seeking the correct use of resources and that the assessment of the social, economic and environmental impacts is contemplated.
</t>
    </r>
    <r>
      <rPr>
        <b/>
        <sz val="9"/>
        <color rgb="FF555555"/>
        <rFont val="Arial"/>
        <family val="2"/>
      </rPr>
      <t>Steps taken to manage the theme</t>
    </r>
    <r>
      <rPr>
        <sz val="9"/>
        <color rgb="FF555555"/>
        <rFont val="Arial"/>
        <family val="2"/>
      </rPr>
      <t xml:space="preserve">
Mine closure requires a multidisciplinary approach, which involves environmental, social, economic and regulatory aspects. In addition, the participation of the community is fundamental in this process, so that there is active listening to the expectations for the resignification of the territory, aiming at the generation of shared value and local development. Besides, a reorganization of the management structure was incorporated into the mining planning area, in order to ensure that the issues are worked on together and that operations are carried out in a sustainable and responsible manner from the opening of the mine to its closure. An Executive Committee was also implemented on mine closure and future use, which contributes to integrating technical processes and sustainability assumptions into this agenda.
</t>
    </r>
    <r>
      <rPr>
        <b/>
        <sz val="9"/>
        <color rgb="FF555555"/>
        <rFont val="Arial"/>
        <family val="2"/>
      </rPr>
      <t>Effectiveness Tracking</t>
    </r>
    <r>
      <rPr>
        <sz val="9"/>
        <color rgb="FF555555"/>
        <rFont val="Arial"/>
        <family val="2"/>
      </rPr>
      <t xml:space="preserve">
To offer this legacy to the population, Vale follows and monitors all mine closure and progressive rehabilitation actions, including the correct use of resources and the assessment of social, economic and environmental impacts, having disbursed approximately USD 172 million in 2023. All operations have closure plans in compliance with the best practices of the International Council on Mining and Metals (ICMM) and the respective legislation. Processes are executed in a way that mitigates risks, protects the environment, maintains compliance with laws, and ensures the correct transition to the closure of mining operations and long-term sustainability.</t>
    </r>
  </si>
  <si>
    <r>
      <rPr>
        <b/>
        <sz val="9"/>
        <color rgb="FF555555"/>
        <rFont val="Arial"/>
        <family val="2"/>
      </rPr>
      <t>Impacts</t>
    </r>
    <r>
      <rPr>
        <sz val="9"/>
        <color rgb="FF555555"/>
        <rFont val="Arial"/>
        <family val="2"/>
      </rPr>
      <t xml:space="preserve">
Main risks: Risks related to accidents at work and fatalities; Risks related to the health of employees; Risks of process accidents or catastrophic events (process safety and operational risk management) in activities, including open-pit mining, underground mining, and metals refining and processing.
Main opportunities: Structuring the verification of critical controls; Accelerate the use of technology to keep people away from risks.
</t>
    </r>
    <r>
      <rPr>
        <b/>
        <sz val="9"/>
        <color rgb="FF555555"/>
        <rFont val="Arial"/>
        <family val="2"/>
      </rPr>
      <t>Involvement</t>
    </r>
    <r>
      <rPr>
        <sz val="9"/>
        <color rgb="FF555555"/>
        <rFont val="Arial"/>
        <family val="2"/>
      </rPr>
      <t xml:space="preserve">
Vale's impact on health and safety is directly linked to its operations and, to a lesser extent, to its business relationships.
</t>
    </r>
    <r>
      <rPr>
        <b/>
        <sz val="9"/>
        <color rgb="FF555555"/>
        <rFont val="Arial"/>
        <family val="2"/>
      </rPr>
      <t>Policies &amp; Commitments</t>
    </r>
    <r>
      <rPr>
        <sz val="9"/>
        <color rgb="FF555555"/>
        <rFont val="Arial"/>
        <family val="2"/>
      </rPr>
      <t xml:space="preserve">
We have emergency response policies and procedures aligned with industry best practices and specific requirements. Applicable to all units, these requirements were based on internationally recognized practices developed by agencies such as the Federal Emergency Management Agency (FEMA) and the International Council on Mining and Metals (ICMM), using tools as the Incident Command System (ICS) and Awareness and Preparedness for Emergencies at Local Level (APELL) of the United Nations Environment Program (UNEP), for instance.
</t>
    </r>
    <r>
      <rPr>
        <b/>
        <sz val="9"/>
        <color rgb="FF555555"/>
        <rFont val="Arial"/>
        <family val="2"/>
      </rPr>
      <t xml:space="preserve">Steps taken to manage the theme
</t>
    </r>
    <r>
      <rPr>
        <sz val="9"/>
        <color rgb="FF555555"/>
        <rFont val="Arial"/>
        <family val="2"/>
      </rPr>
      <t xml:space="preserve">The Health and Safety strategy is supported by the Vale Production System (VPS) management system. It has as its value "Life First" and is based on three pillars: prevention of injuries and chronic diseases; fatality prevention; prevention of catastrophic accidents. 
Within the VPS, we have specific elements to prevent and mitigate risks, promote continuous improvement in occupational safety and encourage the health care of our employees, which undergo periodic evaluations. More than identifying and mapping risks, we act in the association of controls, in effective communication and in the reporting of them at all levels of the company.
With the Lead with Safety Program, we worked on behavioral development actions with about 900 leaders between 2022 and 2023, with the aim of integrating safety and accident prevention into our daily decisions. 
The Security Transformation Program, on the other hand, relied on an intense effort to increase the maturity and efficiency of the installed solutions, seeking the best experience for the employees. The focus was on monitoring and sustaining safety solutions, involving analysis of monitoring centers, standardization of journeys, actions to deal with deviations to detect drowsiness and proximity alerts, and management of adoption and efficiency indicators. Find out more on the ESG Portal on the "Occupational Health and Safety" page.
</t>
    </r>
    <r>
      <rPr>
        <b/>
        <sz val="9"/>
        <color rgb="FF555555"/>
        <rFont val="Arial"/>
        <family val="2"/>
      </rPr>
      <t>Effectiveness Tracking</t>
    </r>
    <r>
      <rPr>
        <sz val="9"/>
        <color rgb="FF555555"/>
        <rFont val="Arial"/>
        <family val="2"/>
      </rPr>
      <t xml:space="preserve">
The main control initiatives in Health and Safety are:
Hazard Identification and Risk Analysis (HIRA): identifies hazards and risk analysis, details the causes of scenarios for process accidents, existing protections, criticality of risks in the dimensions of people and environment, as well as critical and very critical operational scenarios with potential for business interruption. The program is in its second cycle (2022 to 2025). 
Asset Integrity Technical Standards (PNR): applicable to the life cycle of assets (engineering, construction, commissioning, operation and decommissioning), define technical requirements to prevent and mitigate unwanted events based on risk scenarios. 
Metrics for process accidents: guidelines for capturing and investigating process accidents (process safety), that is, events involving our production processes that result in an uncontrolled release of energy and/or materials (toxic or not). When fully implemented, the metrics will become an important indicator in our security strategy. 
Safe Work Permit (PTS): assesses risks of routine and non-routine tasks considered critical or very critical. It begins with maintenance planning, continues with a discussion at the activity site, permeates the execution of the activity and ends with the delivery of the service and closing of the maintenance order. 
Critical Activity Requirements (RAC): internal compliance standards for the execution of critical and very critical tasks. These are critical requirements for eliminating fatal accidents in these activities.  
Exposure to health risks: global corporate guideline for the management and development of programs to monitor and control employees’ occupational health, which includes quantitative objectives for reducing health risk scenarios in the medium term, as well as primary, secondary and tertiary health care with a focus on preventing work disability. Find out more in the Vale Integrated Report, in the Health and Safety section.</t>
    </r>
  </si>
  <si>
    <r>
      <rPr>
        <vertAlign val="superscript"/>
        <sz val="9"/>
        <color rgb="FF555555"/>
        <rFont val="Arial"/>
        <family val="2"/>
      </rPr>
      <t>1</t>
    </r>
    <r>
      <rPr>
        <sz val="8"/>
        <color rgb="FF555555"/>
        <rFont val="Arial"/>
        <family val="2"/>
      </rPr>
      <t xml:space="preserve"> Due to the divestments of non-controlled companies: CSP (Companhia Siderúrgica de Pecém) and MRN (Mineração Rio do Norte), Scope 3 emissions for the 2018 base year were revised and reduced from 553 million metric tons of CO</t>
    </r>
    <r>
      <rPr>
        <vertAlign val="subscript"/>
        <sz val="8"/>
        <color rgb="FF555555"/>
        <rFont val="Arial"/>
        <family val="2"/>
      </rPr>
      <t>2</t>
    </r>
    <r>
      <rPr>
        <sz val="8"/>
        <color rgb="FF555555"/>
        <rFont val="Arial"/>
        <family val="2"/>
      </rPr>
      <t>e to 529.5 million metric tons of CO</t>
    </r>
    <r>
      <rPr>
        <vertAlign val="subscript"/>
        <sz val="8"/>
        <color rgb="FF555555"/>
        <rFont val="Arial"/>
        <family val="2"/>
      </rPr>
      <t>2</t>
    </r>
    <r>
      <rPr>
        <sz val="8"/>
        <color rgb="FF555555"/>
        <rFont val="Arial"/>
        <family val="2"/>
      </rPr>
      <t xml:space="preserve">e.
</t>
    </r>
    <r>
      <rPr>
        <vertAlign val="superscript"/>
        <sz val="8"/>
        <color rgb="FF555555"/>
        <rFont val="Arial"/>
        <family val="2"/>
      </rPr>
      <t>2</t>
    </r>
    <r>
      <rPr>
        <sz val="8"/>
        <color rgb="FF555555"/>
        <rFont val="Arial"/>
        <family val="2"/>
      </rPr>
      <t xml:space="preserve"> Reduction of absolute emissions of greenhouse gases (GHG), of scopes 1 and 2 (Market-Based).
</t>
    </r>
    <r>
      <rPr>
        <vertAlign val="superscript"/>
        <sz val="9"/>
        <color rgb="FF555555"/>
        <rFont val="Arial"/>
        <family val="2"/>
      </rPr>
      <t>3</t>
    </r>
    <r>
      <rPr>
        <sz val="8"/>
        <color rgb="FF555555"/>
        <rFont val="Arial"/>
        <family val="2"/>
      </rPr>
      <t xml:space="preserve"> An increase in Vale's scope 3 emissions is expected from sales volume growth due to the likelihood of increased demand for our products, as indicated in the 2021 financial report.
</t>
    </r>
    <r>
      <rPr>
        <vertAlign val="superscript"/>
        <sz val="9"/>
        <color rgb="FF555555"/>
        <rFont val="Arial"/>
        <family val="2"/>
      </rPr>
      <t>4</t>
    </r>
    <r>
      <rPr>
        <sz val="8"/>
        <color rgb="FF555555"/>
        <rFont val="Arial"/>
        <family val="2"/>
      </rPr>
      <t xml:space="preserve"> The percentage of renewable electricity varies from year to year depending on consumption, the volume of certificates obtained, and the electricity generation matrix of each country in which we operate.
</t>
    </r>
    <r>
      <rPr>
        <vertAlign val="superscript"/>
        <sz val="9"/>
        <color rgb="FF555555"/>
        <rFont val="Arial"/>
        <family val="2"/>
      </rPr>
      <t xml:space="preserve">5 </t>
    </r>
    <r>
      <rPr>
        <sz val="8"/>
        <color rgb="FF555555"/>
        <rFont val="Arial"/>
        <family val="2"/>
      </rPr>
      <t xml:space="preserve">In 2021, the method for monitoring the renewable electricity target in Brazil was changed from % renewable self-production to % renewable consumption.
</t>
    </r>
    <r>
      <rPr>
        <vertAlign val="superscript"/>
        <sz val="8"/>
        <color rgb="FF555555"/>
        <rFont val="Arial"/>
        <family val="2"/>
      </rPr>
      <t>6</t>
    </r>
    <r>
      <rPr>
        <sz val="8"/>
        <color rgb="FF555555"/>
        <rFont val="Arial"/>
        <family val="2"/>
      </rPr>
      <t xml:space="preserve"> In this indicator, the production volumes of Vale's main products, such as pellets, coal, nickel and copper, are converted into ton of iron ore equivalent.
</t>
    </r>
    <r>
      <rPr>
        <vertAlign val="superscript"/>
        <sz val="8"/>
        <color rgb="FF555555"/>
        <rFont val="Arial"/>
        <family val="2"/>
      </rPr>
      <t>7</t>
    </r>
    <r>
      <rPr>
        <sz val="8"/>
        <color rgb="FF555555"/>
        <rFont val="Arial"/>
        <family val="2"/>
      </rPr>
      <t xml:space="preserve"> Until 2021, the Energy Intensity indicator considered the main energy sources in Vale's matrix (coal/coke, fuel oil, natural gas and diesel). After 2022, this indicator will consider the sum of all energy consumption within the organization divided by the published production for the year, transformed into MFe-eq. In addition, divestments concluded in 2022 were also reflected in the 2017 target baseline.
</t>
    </r>
    <r>
      <rPr>
        <vertAlign val="superscript"/>
        <sz val="8"/>
        <color rgb="FF555555"/>
        <rFont val="Arial"/>
        <family val="2"/>
      </rPr>
      <t>8</t>
    </r>
    <r>
      <rPr>
        <sz val="8"/>
        <color rgb="FF555555"/>
        <rFont val="Arial"/>
        <family val="2"/>
      </rPr>
      <t xml:space="preserve"> People living on less than USD 2.15 a day, according to the World Bank.
</t>
    </r>
    <r>
      <rPr>
        <vertAlign val="superscript"/>
        <sz val="8"/>
        <color rgb="FF555555"/>
        <rFont val="Arial"/>
        <family val="2"/>
      </rPr>
      <t xml:space="preserve">9 </t>
    </r>
    <r>
      <rPr>
        <sz val="8"/>
        <color rgb="FF555555"/>
        <rFont val="Arial"/>
        <family val="2"/>
      </rPr>
      <t>These reductions are mainly related to lower production compared to 2018 and also to improved operational discipline. The emissions curve tends to rise as production increases in the coming years, being offset by the technological initiatives to be implemented by 2030.</t>
    </r>
  </si>
  <si>
    <r>
      <t>Baseline 2017:
12.2MtCO</t>
    </r>
    <r>
      <rPr>
        <vertAlign val="subscript"/>
        <sz val="9"/>
        <color rgb="FF555555"/>
        <rFont val="Arial"/>
        <family val="2"/>
      </rPr>
      <t>2</t>
    </r>
    <r>
      <rPr>
        <sz val="9"/>
        <color rgb="FF555555"/>
        <rFont val="Arial"/>
        <family val="2"/>
      </rPr>
      <t>e</t>
    </r>
  </si>
  <si>
    <r>
      <t>Baseline 2018:
529.5 MtCO</t>
    </r>
    <r>
      <rPr>
        <vertAlign val="subscript"/>
        <sz val="9"/>
        <color rgb="FF555555"/>
        <rFont val="Arial"/>
        <family val="2"/>
      </rPr>
      <t>2</t>
    </r>
    <r>
      <rPr>
        <sz val="9"/>
        <color rgb="FF555555"/>
        <rFont val="Arial"/>
        <family val="2"/>
      </rPr>
      <t>e</t>
    </r>
    <r>
      <rPr>
        <vertAlign val="superscript"/>
        <sz val="9"/>
        <color rgb="FF555555"/>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</si>
</sst>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_-&quot;R$&quot;\ * #,##0.00_-;\-&quot;R$&quot;\ * #,##0.00_-;_-&quot;R$&quot;\ * &quot;-&quot;??_-;_-@_-"/>
    <numFmt numFmtId="165" formatCode="_(* #,##0.00_);_(* \(#,##0.00\);_(* &quot;-&quot;??_);_(@_)"/>
    <numFmt numFmtId="166" formatCode="General_)"/>
    <numFmt numFmtId="167" formatCode="0.0%"/>
    <numFmt numFmtId="168" formatCode="_-* #,##0_-;\-* #,##0_-;_-* &quot;-&quot;??_-;_-@_-"/>
    <numFmt numFmtId="169" formatCode="0.0"/>
    <numFmt numFmtId="170" formatCode="_-* #,##0.0_-;\-* #,##0.0_-;_-* &quot;-&quot;??_-;_-@_-"/>
    <numFmt numFmtId="171" formatCode="#,##0.0"/>
    <numFmt numFmtId="172" formatCode="_(* #,##0_);_(* \(#,##0\);_(* &quot;-&quot;??_);_(@_)"/>
  </numFmts>
  <fonts count="126"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theme="0"/>
      <name val="Calibri"/>
      <family val="2"/>
      <scheme val="minor"/>
    </font>
    <font>
      <b/>
      <sz val="7"/>
      <color theme="1"/>
      <name val="Calibri"/>
      <family val="2"/>
      <scheme val="minor"/>
    </font>
    <font>
      <sz val="10"/>
      <name val="Arial"/>
      <family val="2"/>
    </font>
    <font>
      <sz val="8"/>
      <color theme="1"/>
      <name val="Calibri"/>
      <family val="2"/>
      <scheme val="minor"/>
    </font>
    <font>
      <i/>
      <sz val="8"/>
      <color theme="1"/>
      <name val="Calibri"/>
      <family val="2"/>
      <scheme val="minor"/>
    </font>
    <font>
      <sz val="8"/>
      <name val="Calibri"/>
      <family val="2"/>
      <scheme val="minor"/>
    </font>
    <font>
      <b/>
      <sz val="10"/>
      <color rgb="FF007E7A"/>
      <name val="Arial"/>
      <family val="2"/>
    </font>
    <font>
      <b/>
      <sz val="10"/>
      <name val="Arial"/>
      <family val="2"/>
    </font>
    <font>
      <b/>
      <sz val="10"/>
      <color indexed="9"/>
      <name val="Arial"/>
      <family val="2"/>
    </font>
    <font>
      <b/>
      <sz val="10"/>
      <color rgb="FFFFFFFF"/>
      <name val="Arial"/>
      <family val="2"/>
    </font>
    <font>
      <sz val="11"/>
      <color indexed="8"/>
      <name val="Calibri"/>
      <family val="2"/>
    </font>
    <font>
      <i/>
      <sz val="10"/>
      <name val="Arial"/>
      <family val="2"/>
    </font>
    <font>
      <i/>
      <sz val="8"/>
      <color indexed="23"/>
      <name val="Arial"/>
      <family val="2"/>
    </font>
    <font>
      <b/>
      <sz val="14"/>
      <color indexed="48"/>
      <name val="Arial Narrow"/>
      <family val="2"/>
    </font>
    <font>
      <b/>
      <i/>
      <sz val="10"/>
      <name val="Arial"/>
      <family val="2"/>
    </font>
    <font>
      <sz val="9"/>
      <name val="Helv"/>
    </font>
    <font>
      <b/>
      <sz val="11"/>
      <name val="Arial"/>
      <family val="2"/>
    </font>
    <font>
      <u/>
      <sz val="11"/>
      <color theme="10"/>
      <name val="Calibri"/>
      <family val="2"/>
      <scheme val="minor"/>
    </font>
    <font>
      <b/>
      <sz val="11"/>
      <color theme="1"/>
      <name val="Calibri"/>
      <family val="2"/>
      <scheme val="minor"/>
    </font>
    <font>
      <sz val="11"/>
      <color theme="1"/>
      <name val="Arial"/>
      <family val="2"/>
    </font>
    <font>
      <u/>
      <sz val="10"/>
      <color theme="10"/>
      <name val="Arial"/>
      <family val="2"/>
    </font>
    <font>
      <b/>
      <sz val="9.5"/>
      <color theme="4"/>
      <name val="Calibri"/>
      <family val="2"/>
      <scheme val="minor"/>
    </font>
    <font>
      <sz val="9.5"/>
      <color theme="4"/>
      <name val="Calibri"/>
      <family val="2"/>
      <scheme val="minor"/>
    </font>
    <font>
      <b/>
      <sz val="7"/>
      <color theme="4"/>
      <name val="Calibri"/>
      <family val="2"/>
      <scheme val="minor"/>
    </font>
    <font>
      <b/>
      <sz val="16"/>
      <color rgb="FF17778D"/>
      <name val="Arial"/>
      <family val="2"/>
    </font>
    <font>
      <b/>
      <sz val="8.5"/>
      <color rgb="FF007E7A"/>
      <name val="Arial"/>
      <family val="2"/>
    </font>
    <font>
      <b/>
      <sz val="10"/>
      <color rgb="FF555555"/>
      <name val="Arial"/>
      <family val="2"/>
    </font>
    <font>
      <sz val="9"/>
      <color rgb="FF555555"/>
      <name val="Arial"/>
      <family val="2"/>
    </font>
    <font>
      <u/>
      <sz val="9"/>
      <color rgb="FF555555"/>
      <name val="Arial"/>
      <family val="2"/>
    </font>
    <font>
      <b/>
      <sz val="10"/>
      <color theme="1" tint="0.249977111117893"/>
      <name val="Arial"/>
      <family val="2"/>
    </font>
    <font>
      <b/>
      <sz val="12"/>
      <color theme="1" tint="0.249977111117893"/>
      <name val="Arial"/>
      <family val="2"/>
    </font>
    <font>
      <b/>
      <sz val="9"/>
      <color rgb="FF555555"/>
      <name val="Arial"/>
      <family val="2"/>
    </font>
    <font>
      <b/>
      <sz val="9.5"/>
      <color rgb="FF555555"/>
      <name val="Arial"/>
      <family val="2"/>
    </font>
    <font>
      <u/>
      <sz val="10"/>
      <color rgb="FF555555"/>
      <name val="Arial"/>
      <family val="2"/>
    </font>
    <font>
      <sz val="10"/>
      <color rgb="FF555555"/>
      <name val="Arial"/>
      <family val="2"/>
    </font>
    <font>
      <b/>
      <sz val="11"/>
      <color theme="1"/>
      <name val="Arial"/>
      <family val="2"/>
    </font>
    <font>
      <sz val="11"/>
      <color rgb="FF555555"/>
      <name val="Arial"/>
      <family val="2"/>
    </font>
    <font>
      <b/>
      <sz val="10"/>
      <color theme="0"/>
      <name val="Arial"/>
      <family val="2"/>
    </font>
    <font>
      <b/>
      <sz val="12"/>
      <color rgb="FF17778D"/>
      <name val="Arial"/>
      <family val="2"/>
    </font>
    <font>
      <b/>
      <sz val="14"/>
      <color theme="0"/>
      <name val="Arial"/>
      <family val="2"/>
    </font>
    <font>
      <b/>
      <sz val="11"/>
      <color rgb="FF555555"/>
      <name val="Arial"/>
      <family val="2"/>
    </font>
    <font>
      <sz val="9"/>
      <color rgb="FFFF0000"/>
      <name val="Arial"/>
      <family val="2"/>
    </font>
    <font>
      <sz val="9"/>
      <color rgb="FF555555"/>
      <name val="Calibri"/>
      <family val="2"/>
      <scheme val="minor"/>
    </font>
    <font>
      <sz val="11"/>
      <color rgb="FFFF0000"/>
      <name val="Arial"/>
      <family val="2"/>
    </font>
    <font>
      <sz val="9"/>
      <color theme="1"/>
      <name val="Arial"/>
      <family val="2"/>
    </font>
    <font>
      <sz val="8"/>
      <color rgb="FF555555"/>
      <name val="Arial"/>
      <family val="2"/>
    </font>
    <font>
      <sz val="11"/>
      <color rgb="FF555555"/>
      <name val="Calibri"/>
      <family val="2"/>
      <scheme val="minor"/>
    </font>
    <font>
      <b/>
      <i/>
      <sz val="10"/>
      <color rgb="FF555555"/>
      <name val="Arial"/>
      <family val="2"/>
    </font>
    <font>
      <b/>
      <i/>
      <sz val="11"/>
      <color theme="2" tint="-0.749992370372631"/>
      <name val="Arial Black"/>
      <family val="2"/>
    </font>
    <font>
      <sz val="10"/>
      <color theme="0"/>
      <name val="Arial"/>
      <family val="2"/>
    </font>
    <font>
      <sz val="9"/>
      <color theme="0" tint="-0.249977111117893"/>
      <name val="Arial"/>
      <family val="2"/>
    </font>
    <font>
      <sz val="18"/>
      <name val="Calibri"/>
      <family val="2"/>
    </font>
    <font>
      <sz val="10"/>
      <color indexed="8"/>
      <name val="Arial"/>
      <family val="2"/>
    </font>
    <font>
      <b/>
      <sz val="18"/>
      <name val="Calibri"/>
      <family val="2"/>
    </font>
    <font>
      <b/>
      <sz val="10"/>
      <color theme="1"/>
      <name val="Arial"/>
      <family val="2"/>
    </font>
    <font>
      <b/>
      <i/>
      <sz val="11"/>
      <color rgb="FF555555"/>
      <name val="Arial"/>
      <family val="2"/>
    </font>
    <font>
      <b/>
      <sz val="10.5"/>
      <color rgb="FF000000"/>
      <name val="Arial"/>
      <family val="2"/>
    </font>
    <font>
      <sz val="10"/>
      <color theme="1"/>
      <name val="Calibri"/>
      <family val="2"/>
      <scheme val="minor"/>
    </font>
    <font>
      <b/>
      <sz val="8"/>
      <color rgb="FFFF0000"/>
      <name val="Arial"/>
      <family val="2"/>
    </font>
    <font>
      <sz val="9"/>
      <color rgb="FF92D050"/>
      <name val="Arial"/>
      <family val="2"/>
    </font>
    <font>
      <sz val="11"/>
      <color rgb="FF92D050"/>
      <name val="Calibri"/>
      <family val="2"/>
      <scheme val="minor"/>
    </font>
    <font>
      <sz val="11"/>
      <color theme="9"/>
      <name val="Calibri"/>
      <family val="2"/>
      <scheme val="minor"/>
    </font>
    <font>
      <sz val="11"/>
      <color rgb="FF00B050"/>
      <name val="Calibri"/>
      <family val="2"/>
      <scheme val="minor"/>
    </font>
    <font>
      <sz val="10"/>
      <name val="Calibri"/>
      <family val="2"/>
      <scheme val="minor"/>
    </font>
    <font>
      <sz val="10"/>
      <color rgb="FFFF0000"/>
      <name val="Calibri"/>
      <family val="2"/>
      <scheme val="minor"/>
    </font>
    <font>
      <sz val="9"/>
      <color rgb="FF00B0F0"/>
      <name val="Arial"/>
      <family val="2"/>
    </font>
    <font>
      <sz val="10"/>
      <color rgb="FF00B0F0"/>
      <name val="Arial"/>
      <family val="2"/>
    </font>
    <font>
      <sz val="11"/>
      <color rgb="FF00B0F0"/>
      <name val="Calibri"/>
      <family val="2"/>
      <scheme val="minor"/>
    </font>
    <font>
      <b/>
      <sz val="16"/>
      <name val="Arial"/>
      <family val="2"/>
    </font>
    <font>
      <sz val="11"/>
      <name val="Arial"/>
      <family val="2"/>
    </font>
    <font>
      <sz val="11"/>
      <name val="Calibri"/>
      <family val="2"/>
      <scheme val="minor"/>
    </font>
    <font>
      <sz val="11"/>
      <color theme="1"/>
      <name val="Calibri Light"/>
      <family val="2"/>
    </font>
    <font>
      <vertAlign val="superscript"/>
      <sz val="9"/>
      <color rgb="FF555555"/>
      <name val="Arial"/>
      <family val="2"/>
    </font>
    <font>
      <b/>
      <sz val="11"/>
      <color rgb="FF007E7A"/>
      <name val="Arial"/>
      <family val="2"/>
    </font>
    <font>
      <vertAlign val="superscript"/>
      <sz val="8"/>
      <color rgb="FF555555"/>
      <name val="Arial"/>
      <family val="2"/>
    </font>
    <font>
      <sz val="10"/>
      <color rgb="FF7030A0"/>
      <name val="Arial"/>
      <family val="2"/>
    </font>
    <font>
      <sz val="10.5"/>
      <color rgb="FF555555"/>
      <name val="Arial"/>
      <family val="2"/>
    </font>
    <font>
      <b/>
      <sz val="16"/>
      <color rgb="FF555555"/>
      <name val="Arial"/>
      <family val="2"/>
    </font>
    <font>
      <b/>
      <sz val="14"/>
      <color theme="2" tint="-0.499984740745262"/>
      <name val="Arial Black"/>
      <family val="2"/>
    </font>
    <font>
      <b/>
      <sz val="9"/>
      <color theme="0"/>
      <name val="Calibri"/>
      <family val="2"/>
      <scheme val="minor"/>
    </font>
    <font>
      <b/>
      <sz val="8"/>
      <color theme="1"/>
      <name val="Calibri"/>
      <family val="2"/>
      <scheme val="minor"/>
    </font>
    <font>
      <vertAlign val="subscript"/>
      <sz val="8"/>
      <color rgb="FF555555"/>
      <name val="Calibri"/>
      <family val="2"/>
      <scheme val="minor"/>
    </font>
    <font>
      <sz val="8"/>
      <color rgb="FF555555"/>
      <name val="Calibri"/>
      <family val="2"/>
      <scheme val="minor"/>
    </font>
    <font>
      <sz val="8"/>
      <color rgb="FF007E7A"/>
      <name val="Arial"/>
      <family val="2"/>
    </font>
    <font>
      <sz val="8"/>
      <color theme="0" tint="-0.499984740745262"/>
      <name val="Arial"/>
      <family val="2"/>
    </font>
    <font>
      <sz val="12"/>
      <color theme="0"/>
      <name val="Arial"/>
      <family val="2"/>
    </font>
    <font>
      <b/>
      <sz val="8"/>
      <color rgb="FF007E7A"/>
      <name val="Arial"/>
      <family val="2"/>
    </font>
    <font>
      <b/>
      <sz val="8"/>
      <color theme="0"/>
      <name val="Arial"/>
      <family val="2"/>
    </font>
    <font>
      <sz val="9"/>
      <color theme="0" tint="-0.499984740745262"/>
      <name val="Arial"/>
      <family val="2"/>
    </font>
    <font>
      <sz val="8"/>
      <color rgb="FF808080"/>
      <name val="Arial"/>
      <family val="2"/>
    </font>
    <font>
      <sz val="9"/>
      <color rgb="FF808080"/>
      <name val="Arial"/>
      <family val="2"/>
    </font>
    <font>
      <sz val="8"/>
      <color indexed="21"/>
      <name val="Arial"/>
      <family val="2"/>
    </font>
    <font>
      <b/>
      <sz val="9"/>
      <color rgb="FF007E7A"/>
      <name val="Arial"/>
      <family val="2"/>
    </font>
    <font>
      <sz val="12"/>
      <color indexed="21"/>
      <name val="Arial"/>
      <family val="2"/>
    </font>
    <font>
      <b/>
      <sz val="12"/>
      <color rgb="FF007E7A"/>
      <name val="Arial"/>
      <family val="2"/>
    </font>
    <font>
      <b/>
      <sz val="9"/>
      <color theme="0"/>
      <name val="Arial"/>
      <family val="2"/>
    </font>
    <font>
      <b/>
      <sz val="16"/>
      <color rgb="FF007E7A"/>
      <name val="Arial"/>
      <family val="2"/>
    </font>
    <font>
      <sz val="11"/>
      <color rgb="FF555555"/>
      <name val="Calibri"/>
      <family val="2"/>
    </font>
    <font>
      <b/>
      <sz val="14"/>
      <color rgb="FF007E7A"/>
      <name val="Arial Black"/>
      <family val="2"/>
    </font>
    <font>
      <b/>
      <sz val="8"/>
      <color theme="1"/>
      <name val="Arial"/>
      <family val="2"/>
    </font>
    <font>
      <sz val="11"/>
      <color theme="1"/>
      <name val="Calibri"/>
      <family val="2"/>
    </font>
    <font>
      <sz val="10"/>
      <color rgb="FF000000"/>
      <name val="Arial"/>
      <family val="2"/>
    </font>
    <font>
      <sz val="9"/>
      <color theme="1" tint="0.34998626667073579"/>
      <name val="Arial"/>
      <family val="2"/>
    </font>
    <font>
      <sz val="9"/>
      <color theme="1" tint="0.249977111117893"/>
      <name val="Arial"/>
      <family val="2"/>
    </font>
    <font>
      <sz val="11"/>
      <color theme="1" tint="0.249977111117893"/>
      <name val="Calibri"/>
      <family val="2"/>
      <scheme val="minor"/>
    </font>
    <font>
      <b/>
      <u/>
      <sz val="10"/>
      <color rgb="FF555555"/>
      <name val="Arial"/>
      <family val="2"/>
    </font>
    <font>
      <b/>
      <u/>
      <sz val="11"/>
      <color rgb="FF555555"/>
      <name val="Arial"/>
      <family val="2"/>
    </font>
    <font>
      <b/>
      <sz val="9"/>
      <color rgb="FFFFFFFF"/>
      <name val="Arial"/>
      <family val="2"/>
    </font>
    <font>
      <sz val="14"/>
      <color rgb="FFFFFFFF"/>
      <name val="Arial"/>
      <family val="2"/>
    </font>
    <font>
      <b/>
      <vertAlign val="superscript"/>
      <sz val="10"/>
      <color rgb="FF555555"/>
      <name val="Arial"/>
      <family val="2"/>
    </font>
    <font>
      <sz val="10"/>
      <color rgb="FF555555"/>
      <name val="Calibri"/>
      <family val="2"/>
      <scheme val="minor"/>
    </font>
    <font>
      <b/>
      <u/>
      <sz val="11"/>
      <color rgb="FF555555"/>
      <name val="Calibri"/>
      <family val="2"/>
      <scheme val="minor"/>
    </font>
    <font>
      <sz val="9"/>
      <color rgb="FFFF3399"/>
      <name val="Arial"/>
      <family val="2"/>
    </font>
    <font>
      <sz val="12"/>
      <color rgb="FFE7E6E6"/>
      <name val="Arial"/>
      <family val="2"/>
    </font>
    <font>
      <sz val="12"/>
      <color rgb="FFFFFFFF"/>
      <name val="Arial"/>
      <family val="2"/>
    </font>
    <font>
      <b/>
      <sz val="8"/>
      <color rgb="FF555555"/>
      <name val="Arial"/>
      <family val="2"/>
    </font>
    <font>
      <b/>
      <sz val="8.5"/>
      <color rgb="FF007E7A"/>
      <name val="Arial"/>
      <family val="2"/>
    </font>
    <font>
      <sz val="11"/>
      <color theme="1"/>
      <name val="Arial"/>
      <family val="2"/>
    </font>
    <font>
      <b/>
      <sz val="14"/>
      <color rgb="FF007A7E"/>
      <name val="Arial Black"/>
      <family val="2"/>
    </font>
    <font>
      <b/>
      <sz val="14"/>
      <color theme="2" tint="-0.499984740745262"/>
      <name val="Arial"/>
      <family val="2"/>
    </font>
    <font>
      <vertAlign val="subscript"/>
      <sz val="8"/>
      <color rgb="FF555555"/>
      <name val="Arial"/>
      <family val="2"/>
    </font>
    <font>
      <vertAlign val="subscript"/>
      <sz val="9"/>
      <color rgb="FF555555"/>
      <name val="Arial"/>
      <family val="2"/>
    </font>
  </fonts>
  <fills count="4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57"/>
        <bgColor indexed="64"/>
      </patternFill>
    </fill>
    <fill>
      <patternFill patternType="solid">
        <fgColor rgb="FFF0F8FF"/>
        <bgColor rgb="FF000000"/>
      </patternFill>
    </fill>
    <fill>
      <patternFill patternType="solid">
        <fgColor indexed="23"/>
        <bgColor indexed="64"/>
      </patternFill>
    </fill>
    <fill>
      <patternFill patternType="solid">
        <fgColor rgb="FF808080"/>
        <bgColor rgb="FF000000"/>
      </patternFill>
    </fill>
    <fill>
      <patternFill patternType="solid">
        <fgColor indexed="58"/>
        <bgColor indexed="64"/>
      </patternFill>
    </fill>
    <fill>
      <patternFill patternType="solid">
        <fgColor indexed="62"/>
        <bgColor indexed="64"/>
      </patternFill>
    </fill>
    <fill>
      <patternFill patternType="solid">
        <fgColor indexed="22"/>
        <bgColor indexed="64"/>
      </patternFill>
    </fill>
    <fill>
      <patternFill patternType="solid">
        <fgColor rgb="FF808080"/>
        <bgColor indexed="64"/>
      </patternFill>
    </fill>
    <fill>
      <patternFill patternType="solid">
        <fgColor rgb="FFF0F8FF"/>
        <bgColor indexed="64"/>
      </patternFill>
    </fill>
    <fill>
      <patternFill patternType="solid">
        <fgColor rgb="FFB0E0E6"/>
        <bgColor indexed="64"/>
      </patternFill>
    </fill>
    <fill>
      <patternFill patternType="solid">
        <fgColor indexed="60"/>
        <bgColor indexed="64"/>
      </patternFill>
    </fill>
    <fill>
      <patternFill patternType="solid">
        <fgColor rgb="FF3CB5E5"/>
        <bgColor indexed="64"/>
      </patternFill>
    </fill>
    <fill>
      <patternFill patternType="solid">
        <fgColor rgb="FFECB11F"/>
        <bgColor indexed="64"/>
      </patternFill>
    </fill>
    <fill>
      <patternFill patternType="solid">
        <fgColor rgb="FF9DE4D6"/>
        <bgColor indexed="64"/>
      </patternFill>
    </fill>
    <fill>
      <patternFill patternType="solid">
        <fgColor rgb="FF991310"/>
        <bgColor indexed="64"/>
      </patternFill>
    </fill>
    <fill>
      <patternFill patternType="solid">
        <fgColor rgb="FFBCBEC0"/>
        <bgColor indexed="64"/>
      </patternFill>
    </fill>
    <fill>
      <patternFill patternType="solid">
        <fgColor rgb="FF00808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74767B"/>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patternFill>
    </fill>
    <fill>
      <patternFill patternType="solid">
        <fgColor theme="9" tint="0.39997558519241921"/>
        <bgColor indexed="65"/>
      </patternFill>
    </fill>
    <fill>
      <patternFill patternType="solid">
        <fgColor theme="2"/>
        <bgColor indexed="64"/>
      </patternFill>
    </fill>
    <fill>
      <patternFill patternType="solid">
        <fgColor rgb="FF555555"/>
        <bgColor indexed="64"/>
      </patternFill>
    </fill>
    <fill>
      <patternFill patternType="solid">
        <fgColor rgb="FFD3E9E6"/>
        <bgColor indexed="64"/>
      </patternFill>
    </fill>
    <fill>
      <patternFill patternType="solid">
        <fgColor rgb="FF007E7A"/>
        <bgColor indexed="64"/>
      </patternFill>
    </fill>
    <fill>
      <patternFill patternType="solid">
        <fgColor rgb="FF73B9AF"/>
        <bgColor indexed="64"/>
      </patternFill>
    </fill>
    <fill>
      <patternFill patternType="solid">
        <fgColor rgb="FF007A7E"/>
        <bgColor indexed="64"/>
      </patternFill>
    </fill>
    <fill>
      <patternFill patternType="solid">
        <fgColor theme="0" tint="-0.34998626667073579"/>
        <bgColor indexed="64"/>
      </patternFill>
    </fill>
    <fill>
      <patternFill patternType="solid">
        <fgColor rgb="FFE6E7E8"/>
        <bgColor indexed="64"/>
      </patternFill>
    </fill>
    <fill>
      <patternFill patternType="solid">
        <fgColor rgb="FFEDB111"/>
        <bgColor indexed="64"/>
      </patternFill>
    </fill>
    <fill>
      <patternFill patternType="solid">
        <fgColor rgb="FFD9D9D9"/>
        <bgColor rgb="FF000000"/>
      </patternFill>
    </fill>
    <fill>
      <patternFill patternType="solid">
        <fgColor rgb="FFD0CECE"/>
        <bgColor rgb="FF000000"/>
      </patternFill>
    </fill>
    <fill>
      <patternFill patternType="solid">
        <fgColor rgb="FFFFFFFF"/>
        <bgColor rgb="FF000000"/>
      </patternFill>
    </fill>
    <fill>
      <patternFill patternType="solid">
        <fgColor rgb="FF007E7A"/>
        <bgColor rgb="FF000000"/>
      </patternFill>
    </fill>
    <fill>
      <patternFill patternType="solid">
        <fgColor rgb="FFE7E6E6"/>
        <bgColor rgb="FF000000"/>
      </patternFill>
    </fill>
    <fill>
      <patternFill patternType="solid">
        <fgColor rgb="FF757171"/>
        <bgColor rgb="FF000000"/>
      </patternFill>
    </fill>
  </fills>
  <borders count="100">
    <border>
      <left/>
      <right/>
      <top/>
      <bottom/>
      <diagonal/>
    </border>
    <border>
      <left/>
      <right/>
      <top/>
      <bottom style="thin">
        <color indexed="22"/>
      </bottom>
      <diagonal/>
    </border>
    <border>
      <left/>
      <right/>
      <top/>
      <bottom style="thin">
        <color indexed="22"/>
      </bottom>
      <diagonal/>
    </border>
    <border>
      <left/>
      <right/>
      <top/>
      <bottom style="thin">
        <color indexed="22"/>
      </bottom>
      <diagonal/>
    </border>
    <border>
      <left/>
      <right/>
      <top/>
      <bottom style="thin">
        <color indexed="22"/>
      </bottom>
      <diagonal/>
    </border>
    <border>
      <left/>
      <right/>
      <top/>
      <bottom style="thin">
        <color indexed="22"/>
      </bottom>
      <diagonal/>
    </border>
    <border>
      <left style="thin">
        <color indexed="64"/>
      </left>
      <right style="thin">
        <color indexed="64"/>
      </right>
      <top style="thin">
        <color indexed="64"/>
      </top>
      <bottom style="thin">
        <color indexed="64"/>
      </bottom>
      <diagonal/>
    </border>
    <border>
      <left/>
      <right/>
      <top/>
      <bottom style="thick">
        <color theme="5"/>
      </bottom>
      <diagonal/>
    </border>
    <border>
      <left/>
      <right/>
      <top/>
      <bottom style="thin">
        <color theme="4" tint="0.59996337778862885"/>
      </bottom>
      <diagonal/>
    </border>
    <border>
      <left/>
      <right/>
      <top/>
      <bottom style="medium">
        <color theme="4"/>
      </bottom>
      <diagonal/>
    </border>
    <border>
      <left/>
      <right/>
      <top/>
      <bottom style="thick">
        <color rgb="FFEDB111"/>
      </bottom>
      <diagonal/>
    </border>
    <border>
      <left/>
      <right/>
      <top style="thick">
        <color rgb="FFEDB111"/>
      </top>
      <bottom style="thin">
        <color rgb="FFEDB111"/>
      </bottom>
      <diagonal/>
    </border>
    <border>
      <left/>
      <right/>
      <top/>
      <bottom style="thin">
        <color rgb="FFEDB111"/>
      </bottom>
      <diagonal/>
    </border>
    <border>
      <left/>
      <right/>
      <top style="thin">
        <color rgb="FFEDB111"/>
      </top>
      <bottom style="thin">
        <color rgb="FFEDB111"/>
      </bottom>
      <diagonal/>
    </border>
    <border>
      <left/>
      <right/>
      <top style="thin">
        <color rgb="FFEDB111"/>
      </top>
      <bottom/>
      <diagonal/>
    </border>
    <border>
      <left/>
      <right/>
      <top/>
      <bottom style="thick">
        <color rgb="FF007E7A"/>
      </bottom>
      <diagonal/>
    </border>
    <border>
      <left style="thin">
        <color rgb="FF555555"/>
      </left>
      <right style="thin">
        <color rgb="FF555555"/>
      </right>
      <top style="thin">
        <color rgb="FF555555"/>
      </top>
      <bottom style="thin">
        <color rgb="FF555555"/>
      </bottom>
      <diagonal/>
    </border>
    <border>
      <left/>
      <right/>
      <top/>
      <bottom style="thin">
        <color indexed="64"/>
      </bottom>
      <diagonal/>
    </border>
    <border>
      <left/>
      <right/>
      <top style="thick">
        <color rgb="FF007E7A"/>
      </top>
      <bottom style="thin">
        <color indexed="64"/>
      </bottom>
      <diagonal/>
    </border>
    <border>
      <left/>
      <right/>
      <top style="thin">
        <color rgb="FF57595B"/>
      </top>
      <bottom style="thin">
        <color indexed="64"/>
      </bottom>
      <diagonal/>
    </border>
    <border>
      <left/>
      <right/>
      <top style="thin">
        <color rgb="FF57595B"/>
      </top>
      <bottom/>
      <diagonal/>
    </border>
    <border>
      <left/>
      <right/>
      <top style="thin">
        <color rgb="FF57595B"/>
      </top>
      <bottom style="thick">
        <color rgb="FF007E7A"/>
      </bottom>
      <diagonal/>
    </border>
    <border>
      <left/>
      <right/>
      <top style="thin">
        <color theme="1" tint="0.499984740745262"/>
      </top>
      <bottom style="thick">
        <color rgb="FF007E7A"/>
      </bottom>
      <diagonal/>
    </border>
    <border>
      <left/>
      <right/>
      <top style="thin">
        <color indexed="64"/>
      </top>
      <bottom style="thin">
        <color rgb="FF57595B"/>
      </bottom>
      <diagonal/>
    </border>
    <border>
      <left style="thin">
        <color indexed="64"/>
      </left>
      <right style="thin">
        <color indexed="64"/>
      </right>
      <top style="thin">
        <color indexed="64"/>
      </top>
      <bottom/>
      <diagonal/>
    </border>
    <border>
      <left style="thin">
        <color rgb="FFBCBEC0"/>
      </left>
      <right style="thin">
        <color rgb="FFBCBEC0"/>
      </right>
      <top style="thin">
        <color rgb="FFBCBEC0"/>
      </top>
      <bottom style="thin">
        <color rgb="FFBCBEC0"/>
      </bottom>
      <diagonal/>
    </border>
    <border>
      <left style="thin">
        <color rgb="FFBCBEC0"/>
      </left>
      <right/>
      <top/>
      <bottom style="thin">
        <color rgb="FFBCBEC0"/>
      </bottom>
      <diagonal/>
    </border>
    <border>
      <left/>
      <right/>
      <top/>
      <bottom style="thin">
        <color rgb="FFBCBEC0"/>
      </bottom>
      <diagonal/>
    </border>
    <border>
      <left style="thin">
        <color rgb="FFBCBEC0"/>
      </left>
      <right/>
      <top style="thin">
        <color rgb="FFBCBEC0"/>
      </top>
      <bottom style="thin">
        <color rgb="FFBCBEC0"/>
      </bottom>
      <diagonal/>
    </border>
    <border>
      <left/>
      <right style="thin">
        <color rgb="FFBCBEC0"/>
      </right>
      <top style="thin">
        <color rgb="FFBCBEC0"/>
      </top>
      <bottom style="thin">
        <color rgb="FFBCBEC0"/>
      </bottom>
      <diagonal/>
    </border>
    <border>
      <left/>
      <right/>
      <top style="thin">
        <color rgb="FFBCBEC0"/>
      </top>
      <bottom style="thin">
        <color rgb="FFBCBEC0"/>
      </bottom>
      <diagonal/>
    </border>
    <border>
      <left style="thin">
        <color rgb="FFBCBEC0"/>
      </left>
      <right style="thin">
        <color rgb="FFBCBEC0"/>
      </right>
      <top style="thin">
        <color rgb="FFBCBEC0"/>
      </top>
      <bottom/>
      <diagonal/>
    </border>
    <border>
      <left style="thin">
        <color rgb="FFBCBEC0"/>
      </left>
      <right style="thin">
        <color rgb="FFBCBEC0"/>
      </right>
      <top/>
      <bottom style="thin">
        <color rgb="FFBCBEC0"/>
      </bottom>
      <diagonal/>
    </border>
    <border>
      <left/>
      <right/>
      <top style="thick">
        <color rgb="FFEDB111"/>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bottom style="medium">
        <color rgb="FF008080"/>
      </bottom>
      <diagonal/>
    </border>
    <border>
      <left style="thin">
        <color rgb="FF555555"/>
      </left>
      <right style="thin">
        <color rgb="FF555555"/>
      </right>
      <top style="thin">
        <color rgb="FF555555"/>
      </top>
      <bottom/>
      <diagonal/>
    </border>
    <border>
      <left style="thin">
        <color rgb="FF555555"/>
      </left>
      <right style="thin">
        <color rgb="FF555555"/>
      </right>
      <top/>
      <bottom style="thin">
        <color rgb="FF555555"/>
      </bottom>
      <diagonal/>
    </border>
    <border>
      <left style="thin">
        <color rgb="FF555555"/>
      </left>
      <right/>
      <top style="thin">
        <color rgb="FF555555"/>
      </top>
      <bottom/>
      <diagonal/>
    </border>
    <border>
      <left/>
      <right/>
      <top/>
      <bottom style="thin">
        <color rgb="FFECB11F"/>
      </bottom>
      <diagonal/>
    </border>
    <border>
      <left/>
      <right/>
      <top style="thin">
        <color rgb="FFECB11F"/>
      </top>
      <bottom style="thin">
        <color rgb="FFECB11F"/>
      </bottom>
      <diagonal/>
    </border>
    <border>
      <left/>
      <right/>
      <top style="thin">
        <color rgb="FFECB11F"/>
      </top>
      <bottom/>
      <diagonal/>
    </border>
    <border>
      <left/>
      <right/>
      <top style="thin">
        <color rgb="FFECB11F"/>
      </top>
      <bottom style="thin">
        <color rgb="FFEDB111"/>
      </bottom>
      <diagonal/>
    </border>
    <border>
      <left/>
      <right/>
      <top/>
      <bottom style="thin">
        <color theme="6"/>
      </bottom>
      <diagonal/>
    </border>
    <border>
      <left/>
      <right/>
      <top style="thin">
        <color theme="6"/>
      </top>
      <bottom/>
      <diagonal/>
    </border>
    <border>
      <left/>
      <right/>
      <top style="thin">
        <color rgb="FF17778D"/>
      </top>
      <bottom style="thin">
        <color indexed="64"/>
      </bottom>
      <diagonal/>
    </border>
    <border>
      <left/>
      <right/>
      <top style="thin">
        <color auto="1"/>
      </top>
      <bottom style="thin">
        <color auto="1"/>
      </bottom>
      <diagonal/>
    </border>
    <border>
      <left/>
      <right/>
      <top/>
      <bottom style="medium">
        <color indexed="64"/>
      </bottom>
      <diagonal/>
    </border>
    <border>
      <left/>
      <right/>
      <top style="thin">
        <color auto="1"/>
      </top>
      <bottom style="medium">
        <color indexed="64"/>
      </bottom>
      <diagonal/>
    </border>
    <border>
      <left/>
      <right/>
      <top style="medium">
        <color indexed="64"/>
      </top>
      <bottom/>
      <diagonal/>
    </border>
    <border>
      <left/>
      <right/>
      <top style="medium">
        <color indexed="64"/>
      </top>
      <bottom style="medium">
        <color indexed="64"/>
      </bottom>
      <diagonal/>
    </border>
    <border>
      <left/>
      <right/>
      <top style="thin">
        <color rgb="FF007E7A"/>
      </top>
      <bottom style="medium">
        <color indexed="64"/>
      </bottom>
      <diagonal/>
    </border>
    <border>
      <left style="thin">
        <color rgb="FFECB11F"/>
      </left>
      <right/>
      <top style="thin">
        <color rgb="FFECB11F"/>
      </top>
      <bottom/>
      <diagonal/>
    </border>
    <border>
      <left/>
      <right style="thin">
        <color rgb="FFECB11F"/>
      </right>
      <top style="thin">
        <color rgb="FFECB11F"/>
      </top>
      <bottom/>
      <diagonal/>
    </border>
    <border>
      <left style="thin">
        <color rgb="FFECB11F"/>
      </left>
      <right/>
      <top/>
      <bottom/>
      <diagonal/>
    </border>
    <border>
      <left/>
      <right style="thin">
        <color rgb="FFECB11F"/>
      </right>
      <top/>
      <bottom/>
      <diagonal/>
    </border>
    <border>
      <left style="thin">
        <color rgb="FFECB11F"/>
      </left>
      <right/>
      <top/>
      <bottom style="thin">
        <color rgb="FFECB11F"/>
      </bottom>
      <diagonal/>
    </border>
    <border>
      <left/>
      <right style="thin">
        <color rgb="FFECB11F"/>
      </right>
      <top/>
      <bottom style="thin">
        <color rgb="FFECB11F"/>
      </bottom>
      <diagonal/>
    </border>
    <border>
      <left style="thin">
        <color rgb="FFECB11F"/>
      </left>
      <right style="thin">
        <color rgb="FFECB11F"/>
      </right>
      <top style="thin">
        <color rgb="FFECB11F"/>
      </top>
      <bottom/>
      <diagonal/>
    </border>
    <border>
      <left style="thin">
        <color rgb="FFECB11F"/>
      </left>
      <right style="thin">
        <color rgb="FFECB11F"/>
      </right>
      <top/>
      <bottom/>
      <diagonal/>
    </border>
    <border>
      <left style="thin">
        <color rgb="FFECB11F"/>
      </left>
      <right style="thin">
        <color rgb="FFECB11F"/>
      </right>
      <top/>
      <bottom style="thin">
        <color rgb="FFECB11F"/>
      </bottom>
      <diagonal/>
    </border>
    <border>
      <left style="thin">
        <color rgb="FFBCBEC0"/>
      </left>
      <right/>
      <top style="thin">
        <color rgb="FFBCBEC0"/>
      </top>
      <bottom/>
      <diagonal/>
    </border>
    <border>
      <left/>
      <right style="thin">
        <color rgb="FFBCBEC0"/>
      </right>
      <top style="thin">
        <color rgb="FFBCBEC0"/>
      </top>
      <bottom/>
      <diagonal/>
    </border>
    <border>
      <left style="thin">
        <color rgb="FFBCBEC0"/>
      </left>
      <right/>
      <top/>
      <bottom/>
      <diagonal/>
    </border>
    <border>
      <left/>
      <right style="thin">
        <color rgb="FFBCBEC0"/>
      </right>
      <top/>
      <bottom/>
      <diagonal/>
    </border>
    <border>
      <left/>
      <right/>
      <top style="thin">
        <color theme="0" tint="-0.499984740745262"/>
      </top>
      <bottom style="thin">
        <color theme="0" tint="-0.499984740745262"/>
      </bottom>
      <diagonal/>
    </border>
    <border>
      <left/>
      <right/>
      <top/>
      <bottom style="thin">
        <color theme="0" tint="-0.499984740745262"/>
      </bottom>
      <diagonal/>
    </border>
    <border>
      <left/>
      <right/>
      <top style="thin">
        <color theme="0" tint="-0.499984740745262"/>
      </top>
      <bottom/>
      <diagonal/>
    </border>
    <border>
      <left style="thin">
        <color rgb="FF555555"/>
      </left>
      <right style="thin">
        <color rgb="FF555555"/>
      </right>
      <top style="thin">
        <color rgb="FF555555"/>
      </top>
      <bottom style="thin">
        <color indexed="64"/>
      </bottom>
      <diagonal/>
    </border>
    <border>
      <left/>
      <right/>
      <top/>
      <bottom style="thin">
        <color rgb="FF008080"/>
      </bottom>
      <diagonal/>
    </border>
    <border>
      <left/>
      <right/>
      <top/>
      <bottom style="thin">
        <color rgb="FF007E7A"/>
      </bottom>
      <diagonal/>
    </border>
    <border>
      <left style="thin">
        <color rgb="FF555555"/>
      </left>
      <right style="thin">
        <color rgb="FF555555"/>
      </right>
      <top/>
      <bottom/>
      <diagonal/>
    </border>
    <border>
      <left style="thin">
        <color rgb="FF555555"/>
      </left>
      <right/>
      <top style="thin">
        <color rgb="FF555555"/>
      </top>
      <bottom style="thin">
        <color rgb="FF555555"/>
      </bottom>
      <diagonal/>
    </border>
    <border>
      <left style="thin">
        <color rgb="FF555555"/>
      </left>
      <right style="thin">
        <color rgb="FF555555"/>
      </right>
      <top style="thin">
        <color indexed="64"/>
      </top>
      <bottom/>
      <diagonal/>
    </border>
    <border>
      <left/>
      <right/>
      <top style="thin">
        <color rgb="FFBCBEC0"/>
      </top>
      <bottom/>
      <diagonal/>
    </border>
    <border>
      <left/>
      <right/>
      <top style="thin">
        <color rgb="FFBCBEC0"/>
      </top>
      <bottom style="thin">
        <color theme="0" tint="-0.14996795556505021"/>
      </bottom>
      <diagonal/>
    </border>
    <border>
      <left/>
      <right/>
      <top style="thin">
        <color rgb="FF555555"/>
      </top>
      <bottom/>
      <diagonal/>
    </border>
    <border>
      <left/>
      <right style="thin">
        <color rgb="FF555555"/>
      </right>
      <top/>
      <bottom/>
      <diagonal/>
    </border>
    <border>
      <left/>
      <right style="thin">
        <color rgb="FF555555"/>
      </right>
      <top style="thin">
        <color rgb="FF555555"/>
      </top>
      <bottom/>
      <diagonal/>
    </border>
    <border>
      <left/>
      <right style="thin">
        <color rgb="FF555555"/>
      </right>
      <top style="thin">
        <color rgb="FF555555"/>
      </top>
      <bottom style="thin">
        <color rgb="FF555555"/>
      </bottom>
      <diagonal/>
    </border>
    <border>
      <left style="thin">
        <color rgb="FF555555"/>
      </left>
      <right style="thin">
        <color rgb="FF007E7A"/>
      </right>
      <top style="thin">
        <color rgb="FF555555"/>
      </top>
      <bottom style="thin">
        <color rgb="FF555555"/>
      </bottom>
      <diagonal/>
    </border>
    <border>
      <left style="thin">
        <color rgb="FF007E7A"/>
      </left>
      <right style="thin">
        <color rgb="FF007E7A"/>
      </right>
      <top style="thin">
        <color rgb="FF555555"/>
      </top>
      <bottom style="thin">
        <color rgb="FF555555"/>
      </bottom>
      <diagonal/>
    </border>
    <border>
      <left style="thin">
        <color rgb="FF007E7A"/>
      </left>
      <right/>
      <top style="thin">
        <color rgb="FF555555"/>
      </top>
      <bottom style="thin">
        <color rgb="FF555555"/>
      </bottom>
      <diagonal/>
    </border>
    <border>
      <left/>
      <right/>
      <top style="thin">
        <color rgb="FF555555"/>
      </top>
      <bottom style="thin">
        <color rgb="FF555555"/>
      </bottom>
      <diagonal/>
    </border>
    <border>
      <left style="thin">
        <color rgb="FF555555"/>
      </left>
      <right/>
      <top/>
      <bottom/>
      <diagonal/>
    </border>
    <border>
      <left style="thin">
        <color rgb="FF555555"/>
      </left>
      <right/>
      <top/>
      <bottom style="thin">
        <color rgb="FF555555"/>
      </bottom>
      <diagonal/>
    </border>
    <border>
      <left/>
      <right/>
      <top/>
      <bottom style="thin">
        <color rgb="FF555555"/>
      </bottom>
      <diagonal/>
    </border>
    <border>
      <left/>
      <right/>
      <top/>
      <bottom style="thin">
        <color rgb="FF808080"/>
      </bottom>
      <diagonal/>
    </border>
    <border>
      <left/>
      <right/>
      <top style="thin">
        <color rgb="FF007E7A"/>
      </top>
      <bottom style="thin">
        <color rgb="FF808080"/>
      </bottom>
      <diagonal/>
    </border>
    <border>
      <left/>
      <right/>
      <top style="thin">
        <color rgb="FF808080"/>
      </top>
      <bottom style="thin">
        <color rgb="FF808080"/>
      </bottom>
      <diagonal/>
    </border>
    <border>
      <left style="thin">
        <color rgb="FFBCBEC0"/>
      </left>
      <right/>
      <top style="thin">
        <color rgb="FFBCBEC0"/>
      </top>
      <bottom style="thin">
        <color theme="0" tint="-0.14996795556505021"/>
      </bottom>
      <diagonal/>
    </border>
    <border>
      <left style="thin">
        <color theme="0" tint="-0.14999847407452621"/>
      </left>
      <right/>
      <top style="thin">
        <color theme="0" tint="-0.14999847407452621"/>
      </top>
      <bottom style="thin">
        <color theme="0" tint="-0.14996795556505021"/>
      </bottom>
      <diagonal/>
    </border>
    <border>
      <left/>
      <right style="thin">
        <color theme="0" tint="-0.14999847407452621"/>
      </right>
      <top style="thin">
        <color theme="0" tint="-0.14999847407452621"/>
      </top>
      <bottom style="thin">
        <color theme="0" tint="-0.14996795556505021"/>
      </bottom>
      <diagonal/>
    </border>
    <border>
      <left style="thin">
        <color theme="0" tint="-0.14999847407452621"/>
      </left>
      <right/>
      <top style="thin">
        <color rgb="FFBCBEC0"/>
      </top>
      <bottom style="thin">
        <color theme="0" tint="-0.14996795556505021"/>
      </bottom>
      <diagonal/>
    </border>
    <border>
      <left/>
      <right style="thin">
        <color theme="0" tint="-0.14999847407452621"/>
      </right>
      <top style="thin">
        <color rgb="FFBCBEC0"/>
      </top>
      <bottom style="thin">
        <color theme="0" tint="-0.14996795556505021"/>
      </bottom>
      <diagonal/>
    </border>
    <border>
      <left style="thin">
        <color theme="0" tint="-0.14999847407452621"/>
      </left>
      <right/>
      <top style="thin">
        <color rgb="FFBCBEC0"/>
      </top>
      <bottom style="thin">
        <color theme="0" tint="-0.14999847407452621"/>
      </bottom>
      <diagonal/>
    </border>
    <border>
      <left/>
      <right style="thin">
        <color theme="0" tint="-0.14999847407452621"/>
      </right>
      <top style="thin">
        <color rgb="FFBCBEC0"/>
      </top>
      <bottom style="thin">
        <color theme="0" tint="-0.14999847407452621"/>
      </bottom>
      <diagonal/>
    </border>
    <border>
      <left style="thin">
        <color rgb="FF555555"/>
      </left>
      <right style="thin">
        <color rgb="FF555555"/>
      </right>
      <top/>
      <bottom style="thin">
        <color indexed="64"/>
      </bottom>
      <diagonal/>
    </border>
  </borders>
  <cellStyleXfs count="393">
    <xf numFmtId="0" fontId="0" fillId="0" borderId="0"/>
    <xf numFmtId="9" fontId="6" fillId="0" borderId="0" applyFont="0" applyFill="0" applyBorder="0" applyAlignment="0" applyProtection="0"/>
    <xf numFmtId="0" fontId="6" fillId="0" borderId="0"/>
    <xf numFmtId="0" fontId="6" fillId="0" borderId="0"/>
    <xf numFmtId="0" fontId="6" fillId="0" borderId="0"/>
    <xf numFmtId="43" fontId="3" fillId="0" borderId="0" applyFont="0" applyFill="0" applyBorder="0" applyAlignment="0" applyProtection="0"/>
    <xf numFmtId="0" fontId="11" fillId="4" borderId="0" applyNumberFormat="0" applyFont="0" applyFill="0" applyBorder="0" applyAlignment="0" applyProtection="0">
      <alignment horizontal="right" vertical="top" wrapText="1"/>
    </xf>
    <xf numFmtId="0" fontId="12" fillId="6" borderId="0" applyNumberFormat="0" applyFont="0" applyFill="0" applyBorder="0" applyAlignment="0" applyProtection="0">
      <alignment wrapText="1"/>
    </xf>
    <xf numFmtId="0" fontId="11" fillId="8" borderId="0" applyNumberFormat="0" applyFont="0" applyFill="0" applyBorder="0" applyAlignment="0" applyProtection="0">
      <alignment horizontal="left" wrapText="1"/>
    </xf>
    <xf numFmtId="9" fontId="6" fillId="0" borderId="0" applyFont="0" applyFill="0" applyBorder="0" applyAlignment="0" applyProtection="0"/>
    <xf numFmtId="0" fontId="6" fillId="0" borderId="0"/>
    <xf numFmtId="43" fontId="6" fillId="0" borderId="0" applyFont="0" applyFill="0" applyBorder="0" applyAlignment="0" applyProtection="0"/>
    <xf numFmtId="9" fontId="14" fillId="0" borderId="0" applyFont="0" applyFill="0" applyBorder="0" applyAlignment="0" applyProtection="0"/>
    <xf numFmtId="0" fontId="6" fillId="0" borderId="0" applyNumberFormat="0" applyFont="0" applyFill="0" applyBorder="0" applyAlignment="0" applyProtection="0">
      <alignment vertical="center"/>
    </xf>
    <xf numFmtId="166" fontId="6" fillId="0" borderId="0"/>
    <xf numFmtId="0" fontId="12" fillId="9" borderId="0" applyNumberFormat="0" applyFont="0" applyFill="0" applyBorder="0" applyAlignment="0" applyProtection="0">
      <alignment vertical="center"/>
    </xf>
    <xf numFmtId="43" fontId="3" fillId="0" borderId="0" applyFont="0" applyFill="0" applyBorder="0" applyAlignment="0" applyProtection="0"/>
    <xf numFmtId="9" fontId="14" fillId="0" borderId="0" applyFont="0" applyFill="0" applyBorder="0" applyAlignment="0" applyProtection="0"/>
    <xf numFmtId="9" fontId="3" fillId="0" borderId="0" applyFont="0" applyFill="0" applyBorder="0" applyAlignment="0" applyProtection="0"/>
    <xf numFmtId="0" fontId="6" fillId="0" borderId="0"/>
    <xf numFmtId="0" fontId="16" fillId="0" borderId="0" applyNumberFormat="0" applyFont="0" applyFill="0" applyBorder="0" applyAlignment="0" applyProtection="0"/>
    <xf numFmtId="0" fontId="11" fillId="0" borderId="0"/>
    <xf numFmtId="0" fontId="11" fillId="10" borderId="0" applyNumberFormat="0" applyFont="0" applyFill="0" applyBorder="0" applyAlignment="0" applyProtection="0"/>
    <xf numFmtId="0" fontId="17" fillId="0" borderId="0">
      <alignment horizontal="justify"/>
    </xf>
    <xf numFmtId="0" fontId="6" fillId="0" borderId="0" applyNumberFormat="0" applyFont="0" applyFill="0" applyBorder="0" applyAlignment="0" applyProtection="0">
      <alignment vertical="center"/>
    </xf>
    <xf numFmtId="3" fontId="19" fillId="0" borderId="1" applyAlignment="0">
      <alignment horizontal="right" vertical="center"/>
    </xf>
    <xf numFmtId="43" fontId="14" fillId="0" borderId="0" applyFont="0" applyFill="0" applyBorder="0" applyAlignment="0" applyProtection="0"/>
    <xf numFmtId="9" fontId="14" fillId="0" borderId="0" applyFont="0" applyFill="0" applyBorder="0" applyAlignment="0" applyProtection="0"/>
    <xf numFmtId="0" fontId="11" fillId="12" borderId="0"/>
    <xf numFmtId="0" fontId="11" fillId="13" borderId="0"/>
    <xf numFmtId="0" fontId="13" fillId="11" borderId="0"/>
    <xf numFmtId="0" fontId="6" fillId="0" borderId="0"/>
    <xf numFmtId="0" fontId="6" fillId="0" borderId="0"/>
    <xf numFmtId="43" fontId="14" fillId="0" borderId="0" applyFont="0" applyFill="0" applyBorder="0" applyAlignment="0" applyProtection="0"/>
    <xf numFmtId="0" fontId="6" fillId="0" borderId="0"/>
    <xf numFmtId="0" fontId="12" fillId="6" borderId="0" applyNumberFormat="0" applyFont="0" applyFill="0" applyBorder="0" applyAlignment="0" applyProtection="0">
      <alignment wrapText="1"/>
    </xf>
    <xf numFmtId="43" fontId="3" fillId="0" borderId="0" applyFont="0" applyFill="0" applyBorder="0" applyAlignment="0" applyProtection="0"/>
    <xf numFmtId="0" fontId="15" fillId="14" borderId="0" applyNumberFormat="0" applyFont="0" applyFill="0" applyBorder="0" applyAlignment="0" applyProtection="0">
      <alignment horizontal="right"/>
    </xf>
    <xf numFmtId="0" fontId="12" fillId="6" borderId="0" applyNumberFormat="0" applyFont="0" applyFill="0" applyBorder="0" applyAlignment="0" applyProtection="0">
      <alignment vertical="top" wrapText="1"/>
    </xf>
    <xf numFmtId="0" fontId="6" fillId="0" borderId="0" applyNumberFormat="0" applyFont="0" applyFill="0" applyBorder="0" applyAlignment="0" applyProtection="0"/>
    <xf numFmtId="0" fontId="11" fillId="0" borderId="0" applyNumberFormat="0" applyFont="0" applyFill="0" applyBorder="0" applyAlignment="0" applyProtection="0"/>
    <xf numFmtId="0" fontId="20" fillId="14" borderId="0" applyNumberFormat="0" applyFont="0" applyFill="0" applyBorder="0" applyAlignment="0" applyProtection="0">
      <alignment vertical="top" wrapText="1"/>
    </xf>
    <xf numFmtId="0" fontId="18" fillId="0" borderId="0" applyNumberFormat="0" applyFont="0" applyFill="0" applyBorder="0" applyAlignment="0" applyProtection="0"/>
    <xf numFmtId="9" fontId="6"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0" fontId="13" fillId="11" borderId="0"/>
    <xf numFmtId="0" fontId="12" fillId="7" borderId="0" applyNumberFormat="0" applyFont="0" applyFill="0" applyBorder="0" applyAlignment="0" applyProtection="0">
      <alignment wrapText="1"/>
    </xf>
    <xf numFmtId="0" fontId="11" fillId="5" borderId="0" applyNumberFormat="0" applyFont="0" applyFill="0" applyBorder="0" applyAlignment="0" applyProtection="0">
      <alignment horizontal="right" vertical="top" wrapText="1"/>
    </xf>
    <xf numFmtId="0" fontId="11" fillId="4" borderId="0" applyNumberFormat="0" applyFont="0" applyFill="0" applyBorder="0" applyAlignment="0" applyProtection="0">
      <alignment horizontal="right" vertical="top" wrapText="1"/>
    </xf>
    <xf numFmtId="0" fontId="6" fillId="0" borderId="0"/>
    <xf numFmtId="3" fontId="19" fillId="0" borderId="2" applyAlignment="0">
      <alignment horizontal="right" vertical="center"/>
    </xf>
    <xf numFmtId="0" fontId="21" fillId="0" borderId="0" applyNumberFormat="0" applyFill="0" applyBorder="0" applyAlignment="0" applyProtection="0"/>
    <xf numFmtId="43" fontId="3" fillId="0" borderId="0" applyFont="0" applyFill="0" applyBorder="0" applyAlignment="0" applyProtection="0"/>
    <xf numFmtId="3" fontId="19" fillId="0" borderId="3" applyAlignment="0">
      <alignment horizontal="right" vertical="center"/>
    </xf>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3" fontId="19" fillId="0" borderId="5" applyAlignment="0">
      <alignment horizontal="right" vertical="center"/>
    </xf>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3" fontId="19" fillId="0" borderId="5" applyAlignment="0">
      <alignment horizontal="right" vertical="center"/>
    </xf>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3" fontId="19" fillId="0" borderId="4" applyAlignment="0">
      <alignment horizontal="right" vertical="center"/>
    </xf>
    <xf numFmtId="3" fontId="19" fillId="0" borderId="4" applyAlignment="0">
      <alignment horizontal="right" vertical="center"/>
    </xf>
    <xf numFmtId="3" fontId="19" fillId="0" borderId="3" applyAlignment="0">
      <alignment horizontal="right" vertical="center"/>
    </xf>
    <xf numFmtId="43" fontId="3" fillId="0" borderId="0" applyFont="0" applyFill="0" applyBorder="0" applyAlignment="0" applyProtection="0"/>
    <xf numFmtId="0" fontId="12" fillId="6" borderId="0" applyNumberFormat="0" applyFont="0" applyFill="0" applyBorder="0" applyAlignment="0" applyProtection="0">
      <alignment wrapText="1"/>
    </xf>
    <xf numFmtId="0" fontId="23" fillId="0" borderId="0"/>
    <xf numFmtId="0" fontId="24" fillId="0" borderId="0" applyNumberFormat="0" applyFill="0" applyBorder="0" applyAlignment="0" applyProtection="0"/>
    <xf numFmtId="0" fontId="25" fillId="0" borderId="7" applyFill="0" applyProtection="0">
      <alignment horizontal="left"/>
    </xf>
    <xf numFmtId="0" fontId="26" fillId="0" borderId="8" applyFill="0">
      <alignment horizontal="left" vertical="top" wrapText="1"/>
    </xf>
    <xf numFmtId="0" fontId="26" fillId="0" borderId="9">
      <alignment horizontal="left" vertical="top" wrapText="1"/>
    </xf>
    <xf numFmtId="0" fontId="27" fillId="0" borderId="0">
      <alignment horizontal="right"/>
    </xf>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3" fontId="19" fillId="0" borderId="5" applyAlignment="0">
      <alignment horizontal="right" vertical="center"/>
    </xf>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3" fontId="19" fillId="0" borderId="5" applyAlignment="0">
      <alignment horizontal="right" vertical="center"/>
    </xf>
    <xf numFmtId="3" fontId="19" fillId="0" borderId="5" applyAlignment="0">
      <alignment horizontal="right" vertical="center"/>
    </xf>
    <xf numFmtId="3" fontId="19" fillId="0" borderId="5" applyAlignment="0">
      <alignment horizontal="right" vertical="center"/>
    </xf>
    <xf numFmtId="43" fontId="3" fillId="0" borderId="0" applyFont="0" applyFill="0" applyBorder="0" applyAlignment="0" applyProtection="0"/>
    <xf numFmtId="43" fontId="3" fillId="0" borderId="0" applyFont="0" applyFill="0" applyBorder="0" applyAlignment="0" applyProtection="0"/>
    <xf numFmtId="0" fontId="6" fillId="0" borderId="0"/>
    <xf numFmtId="0" fontId="3" fillId="0" borderId="0"/>
    <xf numFmtId="0" fontId="2" fillId="0" borderId="0"/>
    <xf numFmtId="0" fontId="1" fillId="0" borderId="0"/>
    <xf numFmtId="0" fontId="4" fillId="29" borderId="0" applyNumberFormat="0" applyBorder="0" applyAlignment="0" applyProtection="0"/>
    <xf numFmtId="0" fontId="3" fillId="30" borderId="0" applyNumberFormat="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851">
    <xf numFmtId="0" fontId="0" fillId="0" borderId="0" xfId="0"/>
    <xf numFmtId="0" fontId="7" fillId="0" borderId="0" xfId="0" applyFont="1" applyAlignment="1">
      <alignment vertical="center" wrapText="1"/>
    </xf>
    <xf numFmtId="0" fontId="21" fillId="0" borderId="0" xfId="56"/>
    <xf numFmtId="49" fontId="7" fillId="0" borderId="0" xfId="0" applyNumberFormat="1" applyFont="1" applyAlignment="1">
      <alignment horizontal="left" vertical="center" wrapText="1"/>
    </xf>
    <xf numFmtId="0" fontId="0" fillId="0" borderId="0" xfId="0" applyAlignment="1">
      <alignment horizontal="left"/>
    </xf>
    <xf numFmtId="0" fontId="23" fillId="0" borderId="0" xfId="0" applyFont="1"/>
    <xf numFmtId="0" fontId="28" fillId="0" borderId="0" xfId="0" applyFont="1"/>
    <xf numFmtId="0" fontId="0" fillId="0" borderId="0" xfId="0" applyAlignment="1">
      <alignment horizontal="left" vertical="center"/>
    </xf>
    <xf numFmtId="0" fontId="0" fillId="16" borderId="0" xfId="0" applyFill="1"/>
    <xf numFmtId="0" fontId="29" fillId="0" borderId="0" xfId="81" applyFont="1" applyAlignment="1">
      <alignment horizontal="right" vertical="center"/>
    </xf>
    <xf numFmtId="0" fontId="30" fillId="0" borderId="10" xfId="78" applyFont="1" applyFill="1" applyBorder="1">
      <alignment horizontal="left"/>
    </xf>
    <xf numFmtId="0" fontId="31" fillId="0" borderId="12" xfId="80" applyFont="1" applyBorder="1" applyAlignment="1">
      <alignment horizontal="left" vertical="center" wrapText="1"/>
    </xf>
    <xf numFmtId="0" fontId="33" fillId="0" borderId="10" xfId="78" applyFont="1" applyFill="1" applyBorder="1">
      <alignment horizontal="left"/>
    </xf>
    <xf numFmtId="0" fontId="33" fillId="0" borderId="15" xfId="79" applyFont="1" applyBorder="1" applyAlignment="1">
      <alignment horizontal="left" vertical="center" wrapText="1"/>
    </xf>
    <xf numFmtId="0" fontId="31" fillId="0" borderId="0" xfId="80" applyFont="1" applyBorder="1" applyAlignment="1">
      <alignment horizontal="left" vertical="center" wrapText="1"/>
    </xf>
    <xf numFmtId="0" fontId="32" fillId="0" borderId="0" xfId="56" applyFont="1" applyBorder="1" applyAlignment="1">
      <alignment horizontal="left" vertical="center"/>
    </xf>
    <xf numFmtId="0" fontId="34" fillId="0" borderId="15" xfId="79" applyFont="1" applyBorder="1" applyAlignment="1">
      <alignment horizontal="left" vertical="center" wrapText="1"/>
    </xf>
    <xf numFmtId="0" fontId="34" fillId="0" borderId="0" xfId="79" applyFont="1" applyBorder="1" applyAlignment="1">
      <alignment horizontal="left" vertical="center" wrapText="1"/>
    </xf>
    <xf numFmtId="0" fontId="23" fillId="0" borderId="0" xfId="0" applyFont="1" applyAlignment="1">
      <alignment horizontal="left"/>
    </xf>
    <xf numFmtId="0" fontId="0" fillId="0" borderId="0" xfId="0" applyAlignment="1">
      <alignment horizontal="left" indent="2"/>
    </xf>
    <xf numFmtId="0" fontId="23" fillId="0" borderId="0" xfId="0" applyFont="1" applyAlignment="1">
      <alignment horizontal="left" indent="2"/>
    </xf>
    <xf numFmtId="0" fontId="33" fillId="0" borderId="15" xfId="79" applyFont="1" applyBorder="1" applyAlignment="1">
      <alignment horizontal="left" vertical="center" wrapText="1" indent="2"/>
    </xf>
    <xf numFmtId="0" fontId="33" fillId="0" borderId="10" xfId="78" applyFont="1" applyFill="1" applyBorder="1" applyAlignment="1">
      <alignment horizontal="left" indent="2"/>
    </xf>
    <xf numFmtId="0" fontId="31" fillId="0" borderId="0" xfId="80" applyFont="1" applyBorder="1" applyAlignment="1">
      <alignment horizontal="left" vertical="center" wrapText="1" indent="2"/>
    </xf>
    <xf numFmtId="0" fontId="34" fillId="0" borderId="15" xfId="79" applyFont="1" applyBorder="1" applyAlignment="1">
      <alignment horizontal="left" vertical="center" wrapText="1" indent="2"/>
    </xf>
    <xf numFmtId="0" fontId="34" fillId="0" borderId="0" xfId="79" applyFont="1" applyBorder="1" applyAlignment="1">
      <alignment horizontal="left" vertical="center" wrapText="1" indent="2"/>
    </xf>
    <xf numFmtId="0" fontId="36" fillId="0" borderId="10" xfId="78" applyFont="1" applyFill="1" applyBorder="1">
      <alignment horizontal="left"/>
    </xf>
    <xf numFmtId="0" fontId="36" fillId="0" borderId="10" xfId="78" applyFont="1" applyFill="1" applyBorder="1" applyAlignment="1">
      <alignment horizontal="left" indent="2"/>
    </xf>
    <xf numFmtId="0" fontId="37" fillId="0" borderId="10" xfId="56" applyFont="1" applyFill="1" applyBorder="1" applyAlignment="1">
      <alignment horizontal="left"/>
    </xf>
    <xf numFmtId="0" fontId="38" fillId="0" borderId="0" xfId="0" applyFont="1"/>
    <xf numFmtId="0" fontId="30" fillId="0" borderId="10" xfId="78" applyFont="1" applyBorder="1" applyAlignment="1">
      <alignment horizontal="left" vertical="center"/>
    </xf>
    <xf numFmtId="0" fontId="38" fillId="0" borderId="14" xfId="79" applyFont="1" applyBorder="1" applyAlignment="1">
      <alignment horizontal="left" vertical="center" wrapText="1"/>
    </xf>
    <xf numFmtId="0" fontId="37" fillId="0" borderId="14" xfId="56" applyFont="1" applyBorder="1" applyAlignment="1">
      <alignment horizontal="left" vertical="center"/>
    </xf>
    <xf numFmtId="0" fontId="32" fillId="0" borderId="13" xfId="56" applyFont="1" applyBorder="1" applyAlignment="1">
      <alignment horizontal="left" vertical="center"/>
    </xf>
    <xf numFmtId="0" fontId="39" fillId="0" borderId="0" xfId="0" applyFont="1" applyAlignment="1">
      <alignment horizontal="right" vertical="center"/>
    </xf>
    <xf numFmtId="0" fontId="23" fillId="0" borderId="0" xfId="0" applyFont="1" applyAlignment="1">
      <alignment vertical="center"/>
    </xf>
    <xf numFmtId="0" fontId="31" fillId="0" borderId="13" xfId="56" applyFont="1" applyBorder="1" applyAlignment="1">
      <alignment horizontal="center" vertical="center"/>
    </xf>
    <xf numFmtId="0" fontId="31" fillId="0" borderId="12" xfId="80" applyFont="1" applyBorder="1" applyAlignment="1">
      <alignment horizontal="center" vertical="center" wrapText="1"/>
    </xf>
    <xf numFmtId="0" fontId="32" fillId="0" borderId="13" xfId="56" applyFont="1" applyBorder="1" applyAlignment="1">
      <alignment horizontal="center" vertical="center"/>
    </xf>
    <xf numFmtId="0" fontId="30" fillId="0" borderId="10" xfId="78" applyFont="1" applyFill="1" applyBorder="1" applyAlignment="1">
      <alignment horizontal="center"/>
    </xf>
    <xf numFmtId="0" fontId="41" fillId="20" borderId="16" xfId="0" applyFont="1" applyFill="1" applyBorder="1" applyAlignment="1">
      <alignment horizontal="center" vertical="center" wrapText="1"/>
    </xf>
    <xf numFmtId="0" fontId="0" fillId="0" borderId="17" xfId="0" applyBorder="1"/>
    <xf numFmtId="0" fontId="36" fillId="0" borderId="0" xfId="78" applyFont="1" applyFill="1" applyBorder="1" applyAlignment="1">
      <alignment horizontal="left" indent="2"/>
    </xf>
    <xf numFmtId="0" fontId="32" fillId="0" borderId="0" xfId="80" applyFont="1" applyBorder="1" applyAlignment="1">
      <alignment horizontal="left" vertical="center" wrapText="1" indent="2"/>
    </xf>
    <xf numFmtId="0" fontId="21" fillId="0" borderId="0" xfId="56" applyBorder="1" applyAlignment="1">
      <alignment horizontal="left" vertical="center" wrapText="1" indent="2"/>
    </xf>
    <xf numFmtId="0" fontId="23" fillId="20" borderId="0" xfId="0" applyFont="1" applyFill="1" applyAlignment="1">
      <alignment horizontal="left" indent="2"/>
    </xf>
    <xf numFmtId="0" fontId="0" fillId="20" borderId="0" xfId="0" applyFill="1"/>
    <xf numFmtId="0" fontId="43" fillId="20" borderId="0" xfId="0" applyFont="1" applyFill="1"/>
    <xf numFmtId="0" fontId="38" fillId="0" borderId="0" xfId="0" applyFont="1" applyAlignment="1">
      <alignment horizontal="left" vertical="center"/>
    </xf>
    <xf numFmtId="0" fontId="44" fillId="16" borderId="0" xfId="0" applyFont="1" applyFill="1" applyAlignment="1">
      <alignment horizontal="center"/>
    </xf>
    <xf numFmtId="0" fontId="44" fillId="16"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horizontal="center" vertical="center" wrapText="1"/>
    </xf>
    <xf numFmtId="0" fontId="44" fillId="16" borderId="0" xfId="0" applyFont="1" applyFill="1"/>
    <xf numFmtId="0" fontId="31" fillId="0" borderId="0" xfId="0" applyFont="1" applyAlignment="1">
      <alignment vertical="center" wrapText="1"/>
    </xf>
    <xf numFmtId="0" fontId="31" fillId="0" borderId="0" xfId="0" applyFont="1" applyAlignment="1">
      <alignment horizontal="left" vertical="center" wrapText="1" indent="2"/>
    </xf>
    <xf numFmtId="0" fontId="31" fillId="0" borderId="0" xfId="0" applyFont="1" applyAlignment="1">
      <alignment horizontal="left" vertical="center" wrapText="1" indent="1"/>
    </xf>
    <xf numFmtId="16" fontId="31" fillId="0" borderId="12" xfId="80" quotePrefix="1" applyNumberFormat="1" applyFont="1" applyBorder="1" applyAlignment="1">
      <alignment horizontal="left" vertical="center" wrapText="1"/>
    </xf>
    <xf numFmtId="0" fontId="38" fillId="0" borderId="0" xfId="0" applyFont="1" applyAlignment="1">
      <alignment vertical="center" wrapText="1"/>
    </xf>
    <xf numFmtId="0" fontId="38" fillId="0" borderId="0" xfId="0" applyFont="1" applyAlignment="1">
      <alignment vertical="center"/>
    </xf>
    <xf numFmtId="0" fontId="44" fillId="0" borderId="0" xfId="0" applyFont="1" applyAlignment="1">
      <alignment horizontal="center" vertical="center"/>
    </xf>
    <xf numFmtId="0" fontId="44" fillId="0" borderId="0" xfId="0" applyFont="1" applyAlignment="1">
      <alignment horizontal="center" vertical="center" wrapText="1"/>
    </xf>
    <xf numFmtId="0" fontId="46" fillId="0" borderId="0" xfId="0" applyFont="1" applyAlignment="1">
      <alignment wrapText="1"/>
    </xf>
    <xf numFmtId="0" fontId="0" fillId="20" borderId="0" xfId="0" applyFill="1" applyAlignment="1">
      <alignment vertical="center"/>
    </xf>
    <xf numFmtId="0" fontId="23" fillId="20" borderId="0" xfId="0" applyFont="1" applyFill="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8" fillId="0" borderId="0" xfId="0" applyFont="1" applyAlignment="1">
      <alignment vertical="center"/>
    </xf>
    <xf numFmtId="0" fontId="28" fillId="0" borderId="0" xfId="0" applyFont="1" applyAlignment="1">
      <alignment horizontal="center" vertical="center"/>
    </xf>
    <xf numFmtId="0" fontId="23" fillId="20" borderId="0" xfId="0" applyFont="1" applyFill="1" applyAlignment="1">
      <alignment vertical="center"/>
    </xf>
    <xf numFmtId="49" fontId="7" fillId="0" borderId="0" xfId="0" applyNumberFormat="1" applyFont="1" applyAlignment="1">
      <alignment horizontal="center" vertical="center" wrapText="1"/>
    </xf>
    <xf numFmtId="0" fontId="38" fillId="0" borderId="0" xfId="0" applyFont="1" applyAlignment="1">
      <alignment horizontal="left" vertical="center" wrapText="1"/>
    </xf>
    <xf numFmtId="0" fontId="31" fillId="0" borderId="0" xfId="0" applyFont="1" applyAlignment="1">
      <alignment horizontal="center" vertical="center" wrapText="1"/>
    </xf>
    <xf numFmtId="0" fontId="31" fillId="0" borderId="0" xfId="0" applyFont="1" applyAlignment="1">
      <alignment horizontal="center" vertical="center"/>
    </xf>
    <xf numFmtId="0" fontId="31" fillId="0" borderId="0" xfId="0" applyFont="1" applyAlignment="1">
      <alignment vertical="center"/>
    </xf>
    <xf numFmtId="0" fontId="0" fillId="0" borderId="0" xfId="0" applyAlignment="1">
      <alignment vertical="center"/>
    </xf>
    <xf numFmtId="0" fontId="23" fillId="0" borderId="0" xfId="0" applyFont="1" applyAlignment="1">
      <alignment horizontal="left" vertical="center"/>
    </xf>
    <xf numFmtId="168" fontId="31" fillId="0" borderId="0" xfId="82" applyNumberFormat="1" applyFont="1" applyAlignment="1">
      <alignment horizontal="center" vertical="center"/>
    </xf>
    <xf numFmtId="0" fontId="31" fillId="0" borderId="0" xfId="0" quotePrefix="1" applyFont="1" applyAlignment="1">
      <alignment vertical="center" wrapText="1"/>
    </xf>
    <xf numFmtId="0" fontId="45" fillId="0" borderId="0" xfId="0" applyFont="1" applyAlignment="1">
      <alignment vertical="center" wrapText="1"/>
    </xf>
    <xf numFmtId="169" fontId="31" fillId="0" borderId="0" xfId="0" applyNumberFormat="1" applyFont="1" applyAlignment="1">
      <alignment vertical="center" wrapText="1"/>
    </xf>
    <xf numFmtId="0" fontId="8" fillId="0" borderId="0" xfId="0" applyFont="1" applyAlignment="1">
      <alignment vertical="center" wrapText="1"/>
    </xf>
    <xf numFmtId="0" fontId="52" fillId="2" borderId="17" xfId="0" applyFont="1" applyFill="1" applyBorder="1" applyAlignment="1">
      <alignment horizontal="left" wrapText="1"/>
    </xf>
    <xf numFmtId="0" fontId="0" fillId="0" borderId="0" xfId="0" applyAlignment="1">
      <alignment horizontal="center"/>
    </xf>
    <xf numFmtId="0" fontId="5"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8" fillId="0" borderId="17" xfId="0" applyFont="1" applyBorder="1" applyAlignment="1">
      <alignment vertical="center" wrapText="1"/>
    </xf>
    <xf numFmtId="0" fontId="7" fillId="2" borderId="17" xfId="0" applyFont="1" applyFill="1" applyBorder="1" applyAlignment="1">
      <alignment horizontal="center" vertical="center" wrapText="1"/>
    </xf>
    <xf numFmtId="49" fontId="7" fillId="0" borderId="17" xfId="0" applyNumberFormat="1" applyFont="1" applyBorder="1" applyAlignment="1">
      <alignment horizontal="left" vertical="center" wrapText="1"/>
    </xf>
    <xf numFmtId="0" fontId="5" fillId="0" borderId="0" xfId="0" applyFont="1" applyAlignment="1">
      <alignment vertical="top" wrapText="1"/>
    </xf>
    <xf numFmtId="0" fontId="10" fillId="0" borderId="0" xfId="2" applyFont="1" applyAlignment="1">
      <alignment horizontal="left"/>
    </xf>
    <xf numFmtId="0" fontId="6" fillId="0" borderId="0" xfId="2" applyAlignment="1">
      <alignment wrapText="1"/>
    </xf>
    <xf numFmtId="0" fontId="6" fillId="0" borderId="0" xfId="2"/>
    <xf numFmtId="0" fontId="6" fillId="0" borderId="0" xfId="2" applyAlignment="1">
      <alignment vertical="top" wrapText="1"/>
    </xf>
    <xf numFmtId="0" fontId="6" fillId="0" borderId="15" xfId="111" applyBorder="1"/>
    <xf numFmtId="0" fontId="10" fillId="0" borderId="15" xfId="3" applyFont="1" applyBorder="1" applyAlignment="1">
      <alignment horizontal="center" wrapText="1"/>
    </xf>
    <xf numFmtId="49" fontId="55" fillId="0" borderId="18" xfId="82" applyNumberFormat="1" applyFont="1" applyBorder="1" applyAlignment="1" applyProtection="1">
      <alignment horizontal="center" vertical="top"/>
      <protection locked="0"/>
    </xf>
    <xf numFmtId="49" fontId="6" fillId="0" borderId="0" xfId="82" applyNumberFormat="1" applyFont="1" applyAlignment="1" applyProtection="1">
      <alignment horizontal="center" vertical="center"/>
      <protection locked="0"/>
    </xf>
    <xf numFmtId="49" fontId="6" fillId="0" borderId="19" xfId="82" applyNumberFormat="1" applyFont="1" applyBorder="1" applyAlignment="1">
      <alignment horizontal="center" vertical="center"/>
    </xf>
    <xf numFmtId="49" fontId="11" fillId="0" borderId="0" xfId="82" applyNumberFormat="1" applyFont="1" applyAlignment="1">
      <alignment horizontal="center" vertical="center"/>
    </xf>
    <xf numFmtId="49" fontId="55" fillId="0" borderId="17" xfId="82" applyNumberFormat="1" applyFont="1" applyBorder="1" applyAlignment="1" applyProtection="1">
      <alignment horizontal="center" vertical="top"/>
      <protection locked="0"/>
    </xf>
    <xf numFmtId="49" fontId="56" fillId="0" borderId="0" xfId="82" applyNumberFormat="1" applyFont="1" applyAlignment="1">
      <alignment horizontal="center" vertical="center"/>
    </xf>
    <xf numFmtId="170" fontId="56" fillId="0" borderId="0" xfId="82" applyNumberFormat="1" applyFont="1" applyAlignment="1">
      <alignment horizontal="center" vertical="center"/>
    </xf>
    <xf numFmtId="49" fontId="56" fillId="0" borderId="0" xfId="82" applyNumberFormat="1" applyFont="1" applyAlignment="1">
      <alignment horizontal="center"/>
    </xf>
    <xf numFmtId="49" fontId="57" fillId="0" borderId="0" xfId="82" applyNumberFormat="1" applyFont="1" applyAlignment="1" applyProtection="1">
      <alignment horizontal="center" vertical="center"/>
      <protection locked="0"/>
    </xf>
    <xf numFmtId="49" fontId="6" fillId="0" borderId="0" xfId="82" applyNumberFormat="1" applyFont="1" applyAlignment="1" applyProtection="1">
      <alignment horizontal="center"/>
      <protection locked="0"/>
    </xf>
    <xf numFmtId="49" fontId="55" fillId="0" borderId="0" xfId="82" applyNumberFormat="1" applyFont="1" applyAlignment="1" applyProtection="1">
      <alignment horizontal="center" vertical="center"/>
      <protection locked="0"/>
    </xf>
    <xf numFmtId="49" fontId="6" fillId="0" borderId="0" xfId="74" applyNumberFormat="1" applyFont="1" applyAlignment="1">
      <alignment horizontal="center" vertical="center"/>
    </xf>
    <xf numFmtId="171" fontId="11" fillId="0" borderId="0" xfId="0" applyNumberFormat="1" applyFont="1" applyAlignment="1">
      <alignment horizontal="center" vertical="center"/>
    </xf>
    <xf numFmtId="49" fontId="0" fillId="0" borderId="0" xfId="0" applyNumberFormat="1"/>
    <xf numFmtId="0" fontId="56" fillId="0" borderId="0" xfId="0" applyFont="1"/>
    <xf numFmtId="0" fontId="56" fillId="0" borderId="0" xfId="0" applyFont="1" applyAlignment="1">
      <alignment horizontal="center"/>
    </xf>
    <xf numFmtId="49" fontId="57" fillId="0" borderId="17" xfId="82" applyNumberFormat="1" applyFont="1" applyBorder="1" applyAlignment="1" applyProtection="1">
      <alignment horizontal="center" vertical="center"/>
      <protection locked="0"/>
    </xf>
    <xf numFmtId="0" fontId="56" fillId="0" borderId="0" xfId="0" applyFont="1" applyAlignment="1">
      <alignment vertical="center"/>
    </xf>
    <xf numFmtId="0" fontId="6" fillId="0" borderId="0" xfId="3" applyAlignment="1">
      <alignment vertical="center" wrapText="1"/>
    </xf>
    <xf numFmtId="49" fontId="6" fillId="0" borderId="0" xfId="82" quotePrefix="1" applyNumberFormat="1" applyFont="1" applyAlignment="1" applyProtection="1">
      <alignment horizontal="center" vertical="center"/>
      <protection locked="0"/>
    </xf>
    <xf numFmtId="0" fontId="0" fillId="0" borderId="6" xfId="0" applyBorder="1" applyAlignment="1">
      <alignment horizontal="center"/>
    </xf>
    <xf numFmtId="169" fontId="0" fillId="0" borderId="6" xfId="0" applyNumberFormat="1" applyBorder="1" applyAlignment="1">
      <alignment horizontal="center"/>
    </xf>
    <xf numFmtId="0" fontId="22" fillId="0" borderId="6" xfId="0" applyFont="1" applyBorder="1" applyAlignment="1">
      <alignment horizontal="center"/>
    </xf>
    <xf numFmtId="0" fontId="4" fillId="20" borderId="6" xfId="0" applyFont="1" applyFill="1" applyBorder="1" applyAlignment="1">
      <alignment horizontal="center"/>
    </xf>
    <xf numFmtId="169" fontId="4" fillId="20" borderId="6" xfId="0" applyNumberFormat="1" applyFont="1" applyFill="1" applyBorder="1" applyAlignment="1">
      <alignment horizontal="center"/>
    </xf>
    <xf numFmtId="169" fontId="53" fillId="20" borderId="6" xfId="10" applyNumberFormat="1" applyFont="1" applyFill="1" applyBorder="1" applyAlignment="1">
      <alignment horizontal="center"/>
    </xf>
    <xf numFmtId="0" fontId="0" fillId="16" borderId="6" xfId="0" applyFill="1" applyBorder="1" applyAlignment="1">
      <alignment horizontal="center"/>
    </xf>
    <xf numFmtId="169" fontId="0" fillId="16" borderId="6" xfId="0" applyNumberFormat="1" applyFill="1" applyBorder="1" applyAlignment="1">
      <alignment horizontal="center"/>
    </xf>
    <xf numFmtId="0" fontId="0" fillId="19" borderId="6" xfId="0" applyFill="1" applyBorder="1" applyAlignment="1">
      <alignment horizontal="center"/>
    </xf>
    <xf numFmtId="169" fontId="0" fillId="19" borderId="6" xfId="0" applyNumberFormat="1" applyFill="1" applyBorder="1" applyAlignment="1">
      <alignment horizontal="center"/>
    </xf>
    <xf numFmtId="0" fontId="4" fillId="18" borderId="6" xfId="0" applyFont="1" applyFill="1" applyBorder="1" applyAlignment="1">
      <alignment horizontal="center"/>
    </xf>
    <xf numFmtId="169" fontId="4" fillId="18" borderId="6" xfId="0" applyNumberFormat="1" applyFont="1" applyFill="1" applyBorder="1" applyAlignment="1">
      <alignment horizontal="center"/>
    </xf>
    <xf numFmtId="0" fontId="4" fillId="0" borderId="0" xfId="0" applyFont="1" applyAlignment="1">
      <alignment vertical="center"/>
    </xf>
    <xf numFmtId="0" fontId="0" fillId="15" borderId="6" xfId="0" applyFill="1" applyBorder="1" applyAlignment="1">
      <alignment horizontal="center"/>
    </xf>
    <xf numFmtId="169" fontId="0" fillId="15" borderId="6" xfId="0" applyNumberFormat="1" applyFill="1" applyBorder="1" applyAlignment="1">
      <alignment horizontal="center"/>
    </xf>
    <xf numFmtId="0" fontId="4" fillId="25" borderId="6" xfId="0" applyFont="1" applyFill="1" applyBorder="1" applyAlignment="1">
      <alignment horizontal="center"/>
    </xf>
    <xf numFmtId="169" fontId="4" fillId="25" borderId="6" xfId="0" applyNumberFormat="1" applyFont="1" applyFill="1" applyBorder="1" applyAlignment="1">
      <alignment horizontal="center"/>
    </xf>
    <xf numFmtId="0" fontId="23" fillId="0" borderId="6" xfId="0" applyFont="1" applyBorder="1" applyAlignment="1">
      <alignment horizontal="center" vertical="center"/>
    </xf>
    <xf numFmtId="0" fontId="39" fillId="24" borderId="6" xfId="0" applyFont="1" applyFill="1" applyBorder="1" applyAlignment="1">
      <alignment horizontal="center" vertical="center"/>
    </xf>
    <xf numFmtId="0" fontId="22" fillId="24" borderId="6" xfId="0" applyFont="1" applyFill="1" applyBorder="1" applyAlignment="1">
      <alignment horizontal="center"/>
    </xf>
    <xf numFmtId="0" fontId="30" fillId="24" borderId="6" xfId="0" applyFont="1" applyFill="1" applyBorder="1" applyAlignment="1">
      <alignment horizontal="center" vertical="center"/>
    </xf>
    <xf numFmtId="0" fontId="30" fillId="24" borderId="6" xfId="0" applyFont="1" applyFill="1" applyBorder="1" applyAlignment="1">
      <alignment horizontal="center" vertical="center" wrapText="1"/>
    </xf>
    <xf numFmtId="0" fontId="30" fillId="0" borderId="6" xfId="0" applyFont="1" applyBorder="1" applyAlignment="1">
      <alignment horizontal="center" vertical="center"/>
    </xf>
    <xf numFmtId="0" fontId="35" fillId="24" borderId="6" xfId="0" applyFont="1" applyFill="1" applyBorder="1" applyAlignment="1">
      <alignment horizontal="center" vertical="center" wrapText="1"/>
    </xf>
    <xf numFmtId="169" fontId="31" fillId="0" borderId="6" xfId="0" applyNumberFormat="1" applyFont="1" applyBorder="1" applyAlignment="1">
      <alignment horizontal="center" vertical="center" wrapText="1"/>
    </xf>
    <xf numFmtId="0" fontId="35" fillId="24" borderId="6" xfId="0" quotePrefix="1" applyFont="1" applyFill="1" applyBorder="1" applyAlignment="1">
      <alignment horizontal="left" vertical="center" wrapText="1"/>
    </xf>
    <xf numFmtId="0" fontId="31" fillId="0" borderId="6" xfId="0" quotePrefix="1" applyFont="1" applyBorder="1" applyAlignment="1">
      <alignment horizontal="left" vertical="center" wrapText="1"/>
    </xf>
    <xf numFmtId="0" fontId="0" fillId="17" borderId="6" xfId="0" applyFill="1" applyBorder="1" applyAlignment="1">
      <alignment horizontal="center"/>
    </xf>
    <xf numFmtId="169" fontId="0" fillId="17" borderId="6" xfId="0" applyNumberFormat="1" applyFill="1" applyBorder="1" applyAlignment="1">
      <alignment horizontal="center"/>
    </xf>
    <xf numFmtId="0" fontId="30" fillId="0" borderId="6" xfId="0" applyFont="1" applyBorder="1" applyAlignment="1">
      <alignment horizontal="left" vertical="center" wrapText="1"/>
    </xf>
    <xf numFmtId="9" fontId="0" fillId="0" borderId="0" xfId="0" applyNumberFormat="1" applyAlignment="1">
      <alignment horizontal="center"/>
    </xf>
    <xf numFmtId="0" fontId="58" fillId="24" borderId="6" xfId="0" applyFont="1" applyFill="1" applyBorder="1" applyAlignment="1">
      <alignment horizontal="center" vertical="center" wrapText="1"/>
    </xf>
    <xf numFmtId="0" fontId="39" fillId="0" borderId="0" xfId="0" applyFont="1" applyAlignment="1">
      <alignment horizontal="center"/>
    </xf>
    <xf numFmtId="1" fontId="23" fillId="0" borderId="0" xfId="0" applyNumberFormat="1" applyFont="1" applyAlignment="1">
      <alignment horizontal="center"/>
    </xf>
    <xf numFmtId="0" fontId="58" fillId="0" borderId="6" xfId="0" applyFont="1" applyBorder="1" applyAlignment="1">
      <alignment horizontal="center"/>
    </xf>
    <xf numFmtId="0" fontId="44" fillId="16" borderId="0" xfId="0" applyFont="1" applyFill="1" applyAlignment="1">
      <alignment horizontal="center" vertical="center" wrapText="1"/>
    </xf>
    <xf numFmtId="0" fontId="0" fillId="0" borderId="6" xfId="0" applyBorder="1"/>
    <xf numFmtId="0" fontId="30" fillId="0" borderId="24" xfId="0" applyFont="1" applyBorder="1" applyAlignment="1">
      <alignment horizontal="center" vertical="center"/>
    </xf>
    <xf numFmtId="0" fontId="31" fillId="0" borderId="0" xfId="0" applyFont="1" applyAlignment="1">
      <alignment horizontal="left" vertical="center" wrapText="1"/>
    </xf>
    <xf numFmtId="43" fontId="31" fillId="0" borderId="25" xfId="82" applyFont="1" applyBorder="1" applyAlignment="1">
      <alignment horizontal="center" vertical="center" wrapText="1"/>
    </xf>
    <xf numFmtId="0" fontId="44" fillId="16" borderId="25" xfId="0" applyFont="1" applyFill="1" applyBorder="1" applyAlignment="1">
      <alignment horizontal="center" vertical="center" wrapText="1"/>
    </xf>
    <xf numFmtId="0" fontId="31" fillId="0" borderId="25" xfId="0" applyFont="1" applyBorder="1" applyAlignment="1">
      <alignment horizontal="left" vertical="center" wrapText="1"/>
    </xf>
    <xf numFmtId="0" fontId="44" fillId="16" borderId="31" xfId="0" applyFont="1" applyFill="1" applyBorder="1" applyAlignment="1">
      <alignment horizontal="center" vertical="center" wrapText="1"/>
    </xf>
    <xf numFmtId="167" fontId="0" fillId="0" borderId="6" xfId="83" applyNumberFormat="1" applyFont="1" applyBorder="1" applyAlignment="1">
      <alignment horizontal="center"/>
    </xf>
    <xf numFmtId="0" fontId="30" fillId="21" borderId="0" xfId="0" applyFont="1" applyFill="1" applyAlignment="1">
      <alignment horizontal="center" vertical="center" wrapText="1"/>
    </xf>
    <xf numFmtId="0" fontId="30" fillId="21" borderId="0" xfId="0" applyFont="1" applyFill="1" applyAlignment="1">
      <alignment horizontal="center" vertical="center"/>
    </xf>
    <xf numFmtId="10" fontId="50" fillId="0" borderId="0" xfId="0" applyNumberFormat="1" applyFont="1" applyAlignment="1">
      <alignment horizontal="center"/>
    </xf>
    <xf numFmtId="0" fontId="50" fillId="0" borderId="0" xfId="0" applyFont="1" applyAlignment="1">
      <alignment horizontal="center"/>
    </xf>
    <xf numFmtId="0" fontId="34" fillId="0" borderId="15" xfId="79" applyFont="1" applyFill="1" applyBorder="1" applyAlignment="1">
      <alignment horizontal="left" vertical="center" wrapText="1"/>
    </xf>
    <xf numFmtId="0" fontId="34" fillId="0" borderId="0" xfId="79" applyFont="1" applyFill="1" applyBorder="1" applyAlignment="1">
      <alignment horizontal="left" vertical="center" wrapText="1"/>
    </xf>
    <xf numFmtId="0" fontId="0" fillId="3" borderId="0" xfId="0" applyFill="1" applyAlignment="1" applyProtection="1">
      <alignment horizontal="center"/>
      <protection locked="0"/>
    </xf>
    <xf numFmtId="0" fontId="30" fillId="23" borderId="0" xfId="0" applyFont="1" applyFill="1" applyAlignment="1">
      <alignment horizontal="center" vertical="center"/>
    </xf>
    <xf numFmtId="0" fontId="0" fillId="22" borderId="0" xfId="0" applyFill="1" applyAlignment="1">
      <alignment horizontal="center"/>
    </xf>
    <xf numFmtId="168" fontId="31" fillId="0" borderId="6" xfId="82" applyNumberFormat="1" applyFont="1" applyBorder="1" applyAlignment="1">
      <alignment horizontal="center" vertical="center"/>
    </xf>
    <xf numFmtId="0" fontId="31" fillId="0" borderId="6" xfId="0" applyFont="1" applyBorder="1" applyAlignment="1">
      <alignment horizontal="center" vertical="center" wrapText="1"/>
    </xf>
    <xf numFmtId="0" fontId="30" fillId="3" borderId="0" xfId="0" applyFont="1" applyFill="1" applyAlignment="1" applyProtection="1">
      <alignment horizontal="center" vertical="center"/>
      <protection locked="0"/>
    </xf>
    <xf numFmtId="0" fontId="62" fillId="0" borderId="0" xfId="0" applyFont="1" applyAlignment="1">
      <alignment horizontal="right"/>
    </xf>
    <xf numFmtId="169" fontId="0" fillId="0" borderId="0" xfId="0" applyNumberFormat="1"/>
    <xf numFmtId="169" fontId="6" fillId="0" borderId="0" xfId="2" applyNumberFormat="1"/>
    <xf numFmtId="0" fontId="31" fillId="26" borderId="0" xfId="0" applyFont="1" applyFill="1" applyAlignment="1">
      <alignment horizontal="center" vertical="center"/>
    </xf>
    <xf numFmtId="0" fontId="31" fillId="26" borderId="0" xfId="0" applyFont="1" applyFill="1" applyAlignment="1">
      <alignment horizontal="center" vertical="center" wrapText="1"/>
    </xf>
    <xf numFmtId="0" fontId="50" fillId="0" borderId="0" xfId="0" applyFont="1"/>
    <xf numFmtId="0" fontId="30" fillId="0" borderId="0" xfId="0" applyFont="1"/>
    <xf numFmtId="0" fontId="30" fillId="26" borderId="0" xfId="0" applyFont="1" applyFill="1" applyAlignment="1">
      <alignment horizontal="left" vertical="center"/>
    </xf>
    <xf numFmtId="17" fontId="31" fillId="0" borderId="12" xfId="80" quotePrefix="1" applyNumberFormat="1" applyFont="1" applyBorder="1" applyAlignment="1">
      <alignment horizontal="left" vertical="center" wrapText="1"/>
    </xf>
    <xf numFmtId="0" fontId="31" fillId="0" borderId="12" xfId="80" quotePrefix="1" applyFont="1" applyBorder="1" applyAlignment="1">
      <alignment horizontal="left" vertical="center" wrapText="1"/>
    </xf>
    <xf numFmtId="0" fontId="38" fillId="0" borderId="0" xfId="0" applyFont="1" applyAlignment="1">
      <alignment horizontal="left" vertical="top" wrapText="1"/>
    </xf>
    <xf numFmtId="169" fontId="65" fillId="16" borderId="6" xfId="0" applyNumberFormat="1" applyFont="1" applyFill="1" applyBorder="1" applyAlignment="1">
      <alignment horizontal="center"/>
    </xf>
    <xf numFmtId="169" fontId="66" fillId="16" borderId="6" xfId="0" applyNumberFormat="1" applyFont="1" applyFill="1" applyBorder="1" applyAlignment="1">
      <alignment horizontal="center"/>
    </xf>
    <xf numFmtId="169" fontId="64" fillId="0" borderId="6" xfId="0" applyNumberFormat="1" applyFont="1" applyBorder="1" applyAlignment="1">
      <alignment horizontal="center"/>
    </xf>
    <xf numFmtId="0" fontId="11" fillId="0" borderId="6" xfId="2" applyFont="1" applyBorder="1" applyAlignment="1">
      <alignment horizontal="center" vertical="center"/>
    </xf>
    <xf numFmtId="0" fontId="64" fillId="0" borderId="0" xfId="0" applyFont="1"/>
    <xf numFmtId="0" fontId="40" fillId="0" borderId="25" xfId="0" applyFont="1" applyBorder="1" applyAlignment="1">
      <alignment horizontal="center" vertical="center"/>
    </xf>
    <xf numFmtId="0" fontId="11" fillId="0" borderId="6" xfId="2" applyFont="1" applyBorder="1" applyAlignment="1">
      <alignment horizontal="center" vertical="center" wrapText="1"/>
    </xf>
    <xf numFmtId="0" fontId="22" fillId="0" borderId="6" xfId="0" applyFont="1" applyBorder="1"/>
    <xf numFmtId="0" fontId="0" fillId="0" borderId="6" xfId="0" applyBorder="1" applyAlignment="1">
      <alignment horizontal="center" vertical="center"/>
    </xf>
    <xf numFmtId="0" fontId="38" fillId="16" borderId="0" xfId="0" applyFont="1" applyFill="1"/>
    <xf numFmtId="0" fontId="40" fillId="16" borderId="0" xfId="0" applyFont="1" applyFill="1" applyAlignment="1">
      <alignment vertical="center"/>
    </xf>
    <xf numFmtId="0" fontId="31" fillId="0" borderId="25" xfId="0" applyFont="1" applyBorder="1" applyAlignment="1">
      <alignment horizontal="center" vertical="center" wrapText="1"/>
    </xf>
    <xf numFmtId="0" fontId="31" fillId="0" borderId="0" xfId="0" applyFont="1" applyAlignment="1">
      <alignment horizontal="justify" vertical="center" wrapText="1"/>
    </xf>
    <xf numFmtId="0" fontId="63" fillId="0" borderId="0" xfId="0" applyFont="1" applyAlignment="1">
      <alignment horizontal="left" vertical="center"/>
    </xf>
    <xf numFmtId="168" fontId="0" fillId="0" borderId="6" xfId="11" applyNumberFormat="1" applyFont="1" applyBorder="1" applyAlignment="1">
      <alignment horizontal="center" vertical="center"/>
    </xf>
    <xf numFmtId="0" fontId="6" fillId="0" borderId="34" xfId="2" applyBorder="1" applyAlignment="1">
      <alignment horizontal="center" vertical="center"/>
    </xf>
    <xf numFmtId="168" fontId="0" fillId="0" borderId="6" xfId="82" applyNumberFormat="1" applyFont="1" applyBorder="1"/>
    <xf numFmtId="168" fontId="22" fillId="0" borderId="6" xfId="82" applyNumberFormat="1" applyFont="1" applyBorder="1"/>
    <xf numFmtId="0" fontId="0" fillId="0" borderId="6" xfId="0" applyBorder="1" applyAlignment="1">
      <alignment wrapText="1"/>
    </xf>
    <xf numFmtId="0" fontId="0" fillId="0" borderId="0" xfId="0" applyAlignment="1">
      <alignment wrapText="1"/>
    </xf>
    <xf numFmtId="167" fontId="23" fillId="0" borderId="6" xfId="83" applyNumberFormat="1" applyFont="1" applyBorder="1" applyAlignment="1">
      <alignment horizontal="center"/>
    </xf>
    <xf numFmtId="0" fontId="30" fillId="0" borderId="0" xfId="0" applyFont="1" applyAlignment="1">
      <alignment horizontal="left" vertical="center" wrapText="1"/>
    </xf>
    <xf numFmtId="167" fontId="23" fillId="0" borderId="0" xfId="83" applyNumberFormat="1" applyFont="1" applyBorder="1" applyAlignment="1">
      <alignment horizontal="center"/>
    </xf>
    <xf numFmtId="167" fontId="0" fillId="0" borderId="0" xfId="83" applyNumberFormat="1" applyFont="1" applyBorder="1" applyAlignment="1">
      <alignment horizontal="center"/>
    </xf>
    <xf numFmtId="167" fontId="0" fillId="0" borderId="6" xfId="83" applyNumberFormat="1" applyFont="1" applyBorder="1" applyAlignment="1">
      <alignment horizontal="center" vertical="center"/>
    </xf>
    <xf numFmtId="0" fontId="39" fillId="24" borderId="6" xfId="0" applyFont="1" applyFill="1" applyBorder="1" applyAlignment="1">
      <alignment horizontal="center" vertical="center" wrapText="1"/>
    </xf>
    <xf numFmtId="0" fontId="69" fillId="0" borderId="0" xfId="0" applyFont="1" applyAlignment="1">
      <alignment vertical="center" wrapText="1"/>
    </xf>
    <xf numFmtId="0" fontId="11" fillId="24" borderId="6" xfId="0" applyFont="1" applyFill="1" applyBorder="1" applyAlignment="1">
      <alignment horizontal="left" vertical="center" wrapText="1"/>
    </xf>
    <xf numFmtId="0" fontId="11" fillId="24" borderId="6" xfId="0" applyFont="1" applyFill="1" applyBorder="1" applyAlignment="1">
      <alignment horizontal="center" vertical="center"/>
    </xf>
    <xf numFmtId="0" fontId="6" fillId="0" borderId="6" xfId="0" applyFont="1" applyBorder="1" applyAlignment="1">
      <alignment horizontal="left" vertical="center" wrapText="1"/>
    </xf>
    <xf numFmtId="0" fontId="72" fillId="0" borderId="0" xfId="0" applyFont="1"/>
    <xf numFmtId="0" fontId="73" fillId="0" borderId="0" xfId="0" applyFont="1" applyAlignment="1">
      <alignment horizontal="left" vertical="center"/>
    </xf>
    <xf numFmtId="0" fontId="74" fillId="0" borderId="0" xfId="0" applyFont="1" applyAlignment="1">
      <alignment vertical="center"/>
    </xf>
    <xf numFmtId="0" fontId="74" fillId="0" borderId="0" xfId="0" applyFont="1"/>
    <xf numFmtId="2" fontId="74" fillId="0" borderId="0" xfId="0" applyNumberFormat="1" applyFont="1" applyAlignment="1">
      <alignment vertical="center"/>
    </xf>
    <xf numFmtId="0" fontId="31" fillId="0" borderId="0" xfId="0" applyFont="1" applyAlignment="1">
      <alignment horizontal="justify" vertical="center"/>
    </xf>
    <xf numFmtId="0" fontId="23" fillId="0" borderId="0" xfId="112" applyFont="1"/>
    <xf numFmtId="0" fontId="23" fillId="0" borderId="0" xfId="112" applyFont="1" applyAlignment="1">
      <alignment horizontal="left"/>
    </xf>
    <xf numFmtId="0" fontId="23" fillId="0" borderId="0" xfId="112" applyFont="1" applyAlignment="1">
      <alignment horizontal="left" indent="2"/>
    </xf>
    <xf numFmtId="0" fontId="28" fillId="0" borderId="0" xfId="112" applyFont="1"/>
    <xf numFmtId="0" fontId="42" fillId="0" borderId="0" xfId="112" applyFont="1"/>
    <xf numFmtId="0" fontId="41" fillId="20" borderId="0" xfId="112" applyFont="1" applyFill="1" applyAlignment="1">
      <alignment horizontal="center" vertical="center" wrapText="1"/>
    </xf>
    <xf numFmtId="0" fontId="40" fillId="0" borderId="37" xfId="112" applyFont="1" applyBorder="1" applyAlignment="1">
      <alignment horizontal="left" vertical="center" wrapText="1"/>
    </xf>
    <xf numFmtId="0" fontId="40" fillId="0" borderId="37" xfId="112" applyFont="1" applyBorder="1" applyAlignment="1">
      <alignment wrapText="1"/>
    </xf>
    <xf numFmtId="0" fontId="6" fillId="0" borderId="0" xfId="4" applyAlignment="1">
      <alignment horizontal="right"/>
    </xf>
    <xf numFmtId="172" fontId="6" fillId="0" borderId="0" xfId="82" applyNumberFormat="1" applyFont="1" applyFill="1" applyBorder="1" applyAlignment="1" applyProtection="1">
      <alignment horizontal="right"/>
    </xf>
    <xf numFmtId="0" fontId="6" fillId="0" borderId="0" xfId="82" applyNumberFormat="1" applyFont="1" applyFill="1" applyBorder="1" applyAlignment="1">
      <alignment horizontal="right"/>
    </xf>
    <xf numFmtId="171" fontId="6" fillId="0" borderId="0" xfId="82" applyNumberFormat="1" applyFont="1" applyFill="1" applyBorder="1" applyAlignment="1">
      <alignment horizontal="right"/>
    </xf>
    <xf numFmtId="43" fontId="6" fillId="0" borderId="0" xfId="82" applyFont="1" applyFill="1" applyBorder="1" applyAlignment="1" applyProtection="1">
      <alignment horizontal="right" vertical="center"/>
      <protection locked="0"/>
    </xf>
    <xf numFmtId="49" fontId="6" fillId="0" borderId="0" xfId="82" applyNumberFormat="1" applyFont="1" applyFill="1" applyAlignment="1" applyProtection="1">
      <alignment horizontal="center" vertical="center"/>
      <protection locked="0"/>
    </xf>
    <xf numFmtId="49" fontId="6" fillId="0" borderId="0" xfId="82" quotePrefix="1" applyNumberFormat="1" applyFont="1" applyFill="1" applyAlignment="1" applyProtection="1">
      <alignment horizontal="center" vertical="center"/>
      <protection locked="0"/>
    </xf>
    <xf numFmtId="49" fontId="11" fillId="0" borderId="0" xfId="82" applyNumberFormat="1" applyFont="1" applyFill="1" applyAlignment="1">
      <alignment horizontal="center" vertical="center"/>
    </xf>
    <xf numFmtId="49" fontId="57" fillId="0" borderId="0" xfId="82" applyNumberFormat="1" applyFont="1" applyFill="1" applyAlignment="1" applyProtection="1">
      <alignment horizontal="center" vertical="center"/>
      <protection locked="0"/>
    </xf>
    <xf numFmtId="0" fontId="6" fillId="0" borderId="0" xfId="111" applyAlignment="1">
      <alignment vertical="center" wrapText="1"/>
    </xf>
    <xf numFmtId="170" fontId="6" fillId="0" borderId="0" xfId="82" applyNumberFormat="1" applyFont="1" applyFill="1" applyBorder="1" applyAlignment="1" applyProtection="1">
      <alignment horizontal="right"/>
      <protection locked="0"/>
    </xf>
    <xf numFmtId="165" fontId="6" fillId="0" borderId="17" xfId="82" applyNumberFormat="1" applyFont="1" applyFill="1" applyBorder="1" applyAlignment="1" applyProtection="1">
      <alignment horizontal="right"/>
    </xf>
    <xf numFmtId="170" fontId="6" fillId="0" borderId="0" xfId="82" applyNumberFormat="1" applyFont="1" applyFill="1" applyBorder="1" applyAlignment="1" applyProtection="1">
      <alignment horizontal="right" vertical="center"/>
      <protection locked="0"/>
    </xf>
    <xf numFmtId="168" fontId="6" fillId="0" borderId="0" xfId="82" applyNumberFormat="1" applyFont="1" applyFill="1" applyBorder="1" applyAlignment="1" applyProtection="1">
      <alignment horizontal="right" vertical="center"/>
      <protection locked="0"/>
    </xf>
    <xf numFmtId="43" fontId="6" fillId="0" borderId="0" xfId="82" quotePrefix="1" applyFont="1" applyFill="1" applyBorder="1" applyAlignment="1" applyProtection="1">
      <alignment horizontal="right" vertical="center"/>
      <protection locked="0"/>
    </xf>
    <xf numFmtId="170" fontId="11" fillId="24" borderId="20" xfId="82" applyNumberFormat="1" applyFont="1" applyFill="1" applyBorder="1" applyAlignment="1" applyProtection="1">
      <alignment horizontal="right"/>
    </xf>
    <xf numFmtId="165" fontId="11" fillId="24" borderId="21" xfId="82" applyNumberFormat="1" applyFont="1" applyFill="1" applyBorder="1" applyAlignment="1" applyProtection="1">
      <alignment horizontal="right"/>
    </xf>
    <xf numFmtId="170" fontId="11" fillId="24" borderId="21" xfId="82" applyNumberFormat="1" applyFont="1" applyFill="1" applyBorder="1" applyAlignment="1" applyProtection="1">
      <alignment horizontal="right"/>
    </xf>
    <xf numFmtId="170" fontId="11" fillId="24" borderId="20" xfId="82" applyNumberFormat="1" applyFont="1" applyFill="1" applyBorder="1" applyAlignment="1" applyProtection="1">
      <alignment horizontal="center"/>
    </xf>
    <xf numFmtId="170" fontId="11" fillId="0" borderId="0" xfId="82" applyNumberFormat="1" applyFont="1" applyFill="1" applyBorder="1" applyAlignment="1" applyProtection="1">
      <alignment horizontal="center"/>
    </xf>
    <xf numFmtId="170" fontId="56" fillId="0" borderId="0" xfId="82" applyNumberFormat="1" applyFont="1" applyFill="1" applyAlignment="1">
      <alignment horizontal="right"/>
    </xf>
    <xf numFmtId="170" fontId="11" fillId="24" borderId="21" xfId="82" applyNumberFormat="1" applyFont="1" applyFill="1" applyBorder="1" applyAlignment="1" applyProtection="1">
      <alignment horizontal="center"/>
    </xf>
    <xf numFmtId="0" fontId="11" fillId="24" borderId="20" xfId="111" applyFont="1" applyFill="1" applyBorder="1" applyAlignment="1">
      <alignment vertical="center" wrapText="1"/>
    </xf>
    <xf numFmtId="0" fontId="11" fillId="24" borderId="21" xfId="3" applyFont="1" applyFill="1" applyBorder="1" applyAlignment="1">
      <alignment vertical="center" wrapText="1"/>
    </xf>
    <xf numFmtId="49" fontId="11" fillId="28" borderId="20" xfId="82" applyNumberFormat="1" applyFont="1" applyFill="1" applyBorder="1" applyAlignment="1">
      <alignment horizontal="center" vertical="center"/>
    </xf>
    <xf numFmtId="49" fontId="11" fillId="28" borderId="22" xfId="82" applyNumberFormat="1" applyFont="1" applyFill="1" applyBorder="1" applyAlignment="1" applyProtection="1">
      <alignment horizontal="center" vertical="center"/>
      <protection locked="0"/>
    </xf>
    <xf numFmtId="49" fontId="11" fillId="28" borderId="21" xfId="82" applyNumberFormat="1" applyFont="1" applyFill="1" applyBorder="1" applyAlignment="1">
      <alignment horizontal="center" vertical="center"/>
    </xf>
    <xf numFmtId="0" fontId="11" fillId="28" borderId="19" xfId="111" applyFont="1" applyFill="1" applyBorder="1" applyAlignment="1">
      <alignment horizontal="left" vertical="center" wrapText="1"/>
    </xf>
    <xf numFmtId="49" fontId="55" fillId="28" borderId="17" xfId="82" applyNumberFormat="1" applyFont="1" applyFill="1" applyBorder="1" applyAlignment="1" applyProtection="1">
      <alignment horizontal="center" vertical="top"/>
      <protection locked="0"/>
    </xf>
    <xf numFmtId="49" fontId="11" fillId="28" borderId="19" xfId="82" applyNumberFormat="1" applyFont="1" applyFill="1" applyBorder="1" applyAlignment="1">
      <alignment horizontal="center" vertical="center"/>
    </xf>
    <xf numFmtId="49" fontId="57" fillId="28" borderId="17" xfId="82" applyNumberFormat="1" applyFont="1" applyFill="1" applyBorder="1" applyAlignment="1" applyProtection="1">
      <alignment horizontal="center" vertical="center"/>
      <protection locked="0"/>
    </xf>
    <xf numFmtId="49" fontId="11" fillId="28" borderId="23" xfId="82" applyNumberFormat="1" applyFont="1" applyFill="1" applyBorder="1" applyAlignment="1" applyProtection="1">
      <alignment horizontal="center" vertical="center"/>
      <protection locked="0"/>
    </xf>
    <xf numFmtId="170" fontId="11" fillId="0" borderId="0" xfId="82" applyNumberFormat="1" applyFont="1" applyFill="1" applyBorder="1" applyAlignment="1" applyProtection="1">
      <alignment horizontal="center" vertical="center"/>
    </xf>
    <xf numFmtId="170" fontId="56" fillId="0" borderId="0" xfId="82" applyNumberFormat="1" applyFont="1" applyFill="1" applyAlignment="1">
      <alignment horizontal="center"/>
    </xf>
    <xf numFmtId="170" fontId="11" fillId="28" borderId="19" xfId="82" applyNumberFormat="1" applyFont="1" applyFill="1" applyBorder="1" applyAlignment="1" applyProtection="1">
      <alignment horizontal="right"/>
    </xf>
    <xf numFmtId="170" fontId="11" fillId="28" borderId="17" xfId="82" applyNumberFormat="1" applyFont="1" applyFill="1" applyBorder="1" applyAlignment="1" applyProtection="1">
      <alignment horizontal="right"/>
    </xf>
    <xf numFmtId="170" fontId="11" fillId="28" borderId="19" xfId="82" applyNumberFormat="1" applyFont="1" applyFill="1" applyBorder="1" applyAlignment="1" applyProtection="1">
      <alignment horizontal="center"/>
    </xf>
    <xf numFmtId="0" fontId="31" fillId="0" borderId="41" xfId="112" applyFont="1" applyBorder="1" applyAlignment="1">
      <alignment horizontal="justify" vertical="center" wrapText="1"/>
    </xf>
    <xf numFmtId="0" fontId="31" fillId="0" borderId="41" xfId="112" applyFont="1" applyBorder="1" applyAlignment="1">
      <alignment horizontal="left" vertical="center" wrapText="1"/>
    </xf>
    <xf numFmtId="0" fontId="35" fillId="0" borderId="42" xfId="112" applyFont="1" applyBorder="1" applyAlignment="1">
      <alignment horizontal="left" vertical="center" wrapText="1" indent="1"/>
    </xf>
    <xf numFmtId="0" fontId="31" fillId="0" borderId="42" xfId="112" applyFont="1" applyBorder="1" applyAlignment="1">
      <alignment horizontal="left" vertical="center" wrapText="1"/>
    </xf>
    <xf numFmtId="0" fontId="40" fillId="0" borderId="0" xfId="112" applyFont="1" applyAlignment="1">
      <alignment horizontal="left" vertical="center" wrapText="1"/>
    </xf>
    <xf numFmtId="0" fontId="40" fillId="0" borderId="0" xfId="112" applyFont="1" applyAlignment="1">
      <alignment wrapText="1"/>
    </xf>
    <xf numFmtId="0" fontId="40" fillId="0" borderId="41" xfId="112" applyFont="1" applyBorder="1" applyAlignment="1">
      <alignment horizontal="left" vertical="center" wrapText="1"/>
    </xf>
    <xf numFmtId="0" fontId="40" fillId="0" borderId="41" xfId="112" applyFont="1" applyBorder="1" applyAlignment="1">
      <alignment wrapText="1"/>
    </xf>
    <xf numFmtId="0" fontId="23" fillId="0" borderId="43" xfId="112" applyFont="1" applyBorder="1"/>
    <xf numFmtId="1" fontId="58" fillId="0" borderId="6" xfId="60" applyNumberFormat="1" applyFont="1" applyBorder="1"/>
    <xf numFmtId="168" fontId="58" fillId="0" borderId="6" xfId="0" applyNumberFormat="1" applyFont="1" applyBorder="1"/>
    <xf numFmtId="0" fontId="30" fillId="27" borderId="25" xfId="0" applyFont="1" applyFill="1" applyBorder="1" applyAlignment="1">
      <alignment vertical="center" wrapText="1"/>
    </xf>
    <xf numFmtId="0" fontId="61" fillId="0" borderId="36" xfId="0" applyFont="1" applyBorder="1" applyAlignment="1">
      <alignment vertical="center" wrapText="1"/>
    </xf>
    <xf numFmtId="0" fontId="30" fillId="0" borderId="0" xfId="0" applyFont="1" applyAlignment="1">
      <alignment vertical="center" wrapText="1"/>
    </xf>
    <xf numFmtId="3" fontId="30" fillId="0" borderId="0" xfId="82" applyNumberFormat="1" applyFont="1" applyFill="1" applyBorder="1" applyAlignment="1">
      <alignment horizontal="center" vertical="center" wrapText="1"/>
    </xf>
    <xf numFmtId="169" fontId="40" fillId="0" borderId="25" xfId="0" applyNumberFormat="1" applyFont="1" applyBorder="1" applyAlignment="1">
      <alignment horizontal="center" vertical="center"/>
    </xf>
    <xf numFmtId="0" fontId="38" fillId="0" borderId="0" xfId="0" applyFont="1" applyAlignment="1">
      <alignment horizontal="justify" vertical="center" wrapText="1"/>
    </xf>
    <xf numFmtId="168" fontId="0" fillId="0" borderId="0" xfId="0" applyNumberFormat="1"/>
    <xf numFmtId="0" fontId="31" fillId="0" borderId="43" xfId="112" applyFont="1" applyBorder="1" applyAlignment="1">
      <alignment horizontal="justify" vertical="center" wrapText="1"/>
    </xf>
    <xf numFmtId="0" fontId="31" fillId="0" borderId="0" xfId="112" applyFont="1" applyAlignment="1">
      <alignment horizontal="justify" vertical="center" wrapText="1"/>
    </xf>
    <xf numFmtId="0" fontId="31" fillId="0" borderId="37" xfId="112" applyFont="1" applyBorder="1" applyAlignment="1">
      <alignment horizontal="justify" vertical="center" wrapText="1"/>
    </xf>
    <xf numFmtId="0" fontId="61" fillId="0" borderId="0" xfId="0" applyFont="1"/>
    <xf numFmtId="0" fontId="31" fillId="0" borderId="44" xfId="80" applyFont="1" applyBorder="1" applyAlignment="1">
      <alignment horizontal="left" vertical="center" wrapText="1"/>
    </xf>
    <xf numFmtId="168" fontId="6" fillId="0" borderId="34" xfId="82" applyNumberFormat="1" applyFont="1" applyBorder="1" applyAlignment="1">
      <alignment horizontal="center" vertical="center"/>
    </xf>
    <xf numFmtId="168" fontId="79" fillId="0" borderId="34" xfId="82" applyNumberFormat="1" applyFont="1" applyBorder="1" applyAlignment="1">
      <alignment horizontal="center" vertical="center"/>
    </xf>
    <xf numFmtId="0" fontId="30" fillId="16" borderId="25" xfId="0" applyFont="1" applyFill="1" applyBorder="1" applyAlignment="1">
      <alignment horizontal="left" vertical="center" wrapText="1"/>
    </xf>
    <xf numFmtId="0" fontId="30" fillId="16" borderId="25" xfId="0" applyFont="1" applyFill="1" applyBorder="1" applyAlignment="1">
      <alignment horizontal="center" vertical="center" wrapText="1"/>
    </xf>
    <xf numFmtId="0" fontId="40" fillId="0" borderId="25" xfId="0" applyFont="1" applyBorder="1"/>
    <xf numFmtId="0" fontId="40" fillId="0" borderId="25" xfId="0" applyFont="1" applyBorder="1" applyAlignment="1">
      <alignment vertical="center" wrapText="1"/>
    </xf>
    <xf numFmtId="167" fontId="80" fillId="0" borderId="25" xfId="83" applyNumberFormat="1" applyFont="1" applyBorder="1" applyAlignment="1">
      <alignment horizontal="center" vertical="center"/>
    </xf>
    <xf numFmtId="0" fontId="35" fillId="0" borderId="43" xfId="112" applyFont="1" applyBorder="1" applyAlignment="1">
      <alignment horizontal="left" vertical="center" wrapText="1" indent="1"/>
    </xf>
    <xf numFmtId="0" fontId="35" fillId="0" borderId="0" xfId="112" applyFont="1" applyAlignment="1">
      <alignment horizontal="left" vertical="center" wrapText="1" indent="1"/>
    </xf>
    <xf numFmtId="0" fontId="35" fillId="0" borderId="41" xfId="112" applyFont="1" applyBorder="1" applyAlignment="1">
      <alignment horizontal="left" vertical="center" wrapText="1" indent="1"/>
    </xf>
    <xf numFmtId="0" fontId="31" fillId="0" borderId="0" xfId="112" applyFont="1" applyAlignment="1">
      <alignment horizontal="center" vertical="center" wrapText="1"/>
    </xf>
    <xf numFmtId="0" fontId="31" fillId="0" borderId="41" xfId="112" applyFont="1" applyBorder="1" applyAlignment="1">
      <alignment horizontal="center" vertical="center" wrapText="1"/>
    </xf>
    <xf numFmtId="0" fontId="40" fillId="0" borderId="0" xfId="0" applyFont="1" applyAlignment="1">
      <alignment horizontal="left"/>
    </xf>
    <xf numFmtId="0" fontId="40" fillId="0" borderId="0" xfId="0" applyFont="1" applyAlignment="1">
      <alignment horizontal="left" indent="2"/>
    </xf>
    <xf numFmtId="167" fontId="44" fillId="27" borderId="25" xfId="83" applyNumberFormat="1" applyFont="1" applyFill="1" applyBorder="1" applyAlignment="1">
      <alignment horizontal="center" vertical="center"/>
    </xf>
    <xf numFmtId="0" fontId="81" fillId="0" borderId="0" xfId="0" applyFont="1"/>
    <xf numFmtId="0" fontId="50" fillId="0" borderId="0" xfId="0" applyFont="1" applyAlignment="1">
      <alignment vertical="center"/>
    </xf>
    <xf numFmtId="0" fontId="40" fillId="0" borderId="0" xfId="0" applyFont="1" applyAlignment="1">
      <alignment horizontal="left" vertical="center"/>
    </xf>
    <xf numFmtId="0" fontId="71" fillId="0" borderId="0" xfId="0" applyFont="1"/>
    <xf numFmtId="0" fontId="30" fillId="0" borderId="0" xfId="0" applyFont="1" applyAlignment="1">
      <alignment horizontal="left" vertical="center"/>
    </xf>
    <xf numFmtId="0" fontId="31" fillId="0" borderId="16" xfId="0" applyFont="1" applyBorder="1" applyAlignment="1">
      <alignment horizontal="left" vertical="center" wrapText="1"/>
    </xf>
    <xf numFmtId="0" fontId="1" fillId="0" borderId="0" xfId="112" applyFont="1" applyAlignment="1">
      <alignment horizontal="center" vertical="center"/>
    </xf>
    <xf numFmtId="0" fontId="31" fillId="0" borderId="43" xfId="112" applyFont="1" applyBorder="1" applyAlignment="1">
      <alignment horizontal="center" vertical="center" wrapText="1"/>
    </xf>
    <xf numFmtId="0" fontId="31" fillId="0" borderId="43" xfId="112" applyFont="1" applyBorder="1" applyAlignment="1">
      <alignment horizontal="left" vertical="center" wrapText="1"/>
    </xf>
    <xf numFmtId="0" fontId="31" fillId="0" borderId="0" xfId="112" applyFont="1" applyAlignment="1">
      <alignment horizontal="left" vertical="center" wrapText="1"/>
    </xf>
    <xf numFmtId="0" fontId="31" fillId="0" borderId="41" xfId="112" applyFont="1" applyBorder="1" applyAlignment="1">
      <alignment vertical="center" wrapText="1"/>
    </xf>
    <xf numFmtId="0" fontId="31" fillId="0" borderId="43" xfId="112" applyFont="1" applyBorder="1" applyAlignment="1">
      <alignment vertical="center" wrapText="1"/>
    </xf>
    <xf numFmtId="0" fontId="31" fillId="0" borderId="0" xfId="112" applyFont="1" applyAlignment="1">
      <alignment vertical="center" wrapText="1"/>
    </xf>
    <xf numFmtId="0" fontId="31" fillId="0" borderId="37" xfId="112" applyFont="1" applyBorder="1" applyAlignment="1">
      <alignment horizontal="center" vertical="center" wrapText="1"/>
    </xf>
    <xf numFmtId="0" fontId="75" fillId="0" borderId="0" xfId="114" applyFont="1"/>
    <xf numFmtId="0" fontId="48" fillId="0" borderId="0" xfId="112" applyFont="1" applyAlignment="1">
      <alignment horizontal="center" vertical="center"/>
    </xf>
    <xf numFmtId="0" fontId="1" fillId="0" borderId="0" xfId="0" applyFont="1" applyAlignment="1">
      <alignment horizontal="center" vertical="center"/>
    </xf>
    <xf numFmtId="0" fontId="31" fillId="0" borderId="16" xfId="0" applyFont="1" applyBorder="1" applyAlignment="1">
      <alignment horizontal="center" vertical="center" wrapText="1"/>
    </xf>
    <xf numFmtId="0" fontId="31" fillId="0" borderId="39" xfId="0" applyFont="1" applyBorder="1" applyAlignment="1">
      <alignment horizontal="left" vertical="center" wrapText="1"/>
    </xf>
    <xf numFmtId="0" fontId="31" fillId="0" borderId="38" xfId="0" applyFont="1" applyBorder="1" applyAlignment="1">
      <alignment horizontal="left" vertical="center" wrapText="1"/>
    </xf>
    <xf numFmtId="1" fontId="1" fillId="0" borderId="6" xfId="60" applyNumberFormat="1" applyFont="1" applyBorder="1"/>
    <xf numFmtId="0" fontId="35" fillId="0" borderId="41" xfId="112" applyFont="1" applyBorder="1" applyAlignment="1">
      <alignment horizontal="center" vertical="center" wrapText="1"/>
    </xf>
    <xf numFmtId="0" fontId="35" fillId="0" borderId="42" xfId="112" applyFont="1" applyBorder="1" applyAlignment="1">
      <alignment horizontal="center" vertical="center" wrapText="1"/>
    </xf>
    <xf numFmtId="0" fontId="31" fillId="0" borderId="42" xfId="112" applyFont="1" applyBorder="1" applyAlignment="1">
      <alignment horizontal="justify" vertical="center" wrapText="1"/>
    </xf>
    <xf numFmtId="0" fontId="31" fillId="0" borderId="42" xfId="80" applyFont="1" applyBorder="1" applyAlignment="1">
      <alignment horizontal="left" vertical="center" wrapText="1"/>
    </xf>
    <xf numFmtId="0" fontId="31" fillId="0" borderId="37" xfId="112" applyFont="1" applyBorder="1" applyAlignment="1">
      <alignment horizontal="left" vertical="center" wrapText="1"/>
    </xf>
    <xf numFmtId="167" fontId="1" fillId="0" borderId="6" xfId="83" applyNumberFormat="1" applyFont="1" applyBorder="1"/>
    <xf numFmtId="0" fontId="84" fillId="2" borderId="52" xfId="0" applyFont="1" applyFill="1" applyBorder="1" applyAlignment="1">
      <alignment horizontal="left" vertical="center" wrapText="1"/>
    </xf>
    <xf numFmtId="0" fontId="84" fillId="2" borderId="52" xfId="0" applyFont="1" applyFill="1" applyBorder="1" applyAlignment="1">
      <alignment vertical="center" wrapText="1"/>
    </xf>
    <xf numFmtId="0" fontId="0" fillId="2" borderId="0" xfId="0" applyFill="1"/>
    <xf numFmtId="0" fontId="0" fillId="2" borderId="0" xfId="0" applyFill="1" applyAlignment="1">
      <alignment vertical="center"/>
    </xf>
    <xf numFmtId="0" fontId="0" fillId="2" borderId="0" xfId="0" applyFill="1" applyAlignment="1">
      <alignment horizontal="left"/>
    </xf>
    <xf numFmtId="0" fontId="0" fillId="2" borderId="0" xfId="0" applyFill="1" applyAlignment="1">
      <alignment wrapText="1"/>
    </xf>
    <xf numFmtId="0" fontId="0" fillId="2" borderId="0" xfId="0" applyFill="1" applyAlignment="1">
      <alignment horizontal="left" vertical="center"/>
    </xf>
    <xf numFmtId="0" fontId="83" fillId="16" borderId="0" xfId="116" applyFont="1" applyFill="1" applyBorder="1" applyAlignment="1">
      <alignment vertical="center"/>
    </xf>
    <xf numFmtId="0" fontId="83" fillId="20" borderId="0" xfId="116" applyFont="1" applyFill="1" applyBorder="1" applyAlignment="1">
      <alignment vertical="center"/>
    </xf>
    <xf numFmtId="0" fontId="83" fillId="32" borderId="0" xfId="116" applyFont="1" applyFill="1" applyBorder="1" applyAlignment="1">
      <alignment horizontal="left" vertical="center" wrapText="1"/>
    </xf>
    <xf numFmtId="0" fontId="83" fillId="32" borderId="0" xfId="116" applyFont="1" applyFill="1" applyAlignment="1">
      <alignment horizontal="left" vertical="center" wrapText="1"/>
    </xf>
    <xf numFmtId="0" fontId="83" fillId="32" borderId="0" xfId="116" applyFont="1" applyFill="1" applyAlignment="1">
      <alignment vertical="center" wrapText="1"/>
    </xf>
    <xf numFmtId="0" fontId="50" fillId="0" borderId="0" xfId="0" applyFont="1" applyAlignment="1">
      <alignment horizontal="center" vertical="center"/>
    </xf>
    <xf numFmtId="0" fontId="44" fillId="27" borderId="25" xfId="0" applyFont="1" applyFill="1" applyBorder="1" applyAlignment="1">
      <alignment vertical="center" wrapText="1"/>
    </xf>
    <xf numFmtId="167" fontId="31" fillId="0" borderId="0" xfId="0" applyNumberFormat="1" applyFont="1" applyAlignment="1">
      <alignment horizontal="center"/>
    </xf>
    <xf numFmtId="167" fontId="31" fillId="0" borderId="0" xfId="83" applyNumberFormat="1" applyFont="1" applyAlignment="1">
      <alignment horizontal="center" vertical="center"/>
    </xf>
    <xf numFmtId="167" fontId="31" fillId="0" borderId="0" xfId="83" applyNumberFormat="1" applyFont="1" applyAlignment="1">
      <alignment horizontal="center"/>
    </xf>
    <xf numFmtId="169" fontId="6" fillId="0" borderId="6" xfId="0" applyNumberFormat="1" applyFont="1" applyBorder="1" applyAlignment="1">
      <alignment horizontal="center" vertical="center"/>
    </xf>
    <xf numFmtId="169" fontId="70" fillId="0" borderId="6" xfId="0" applyNumberFormat="1" applyFont="1" applyBorder="1" applyAlignment="1">
      <alignment horizontal="center" vertical="center"/>
    </xf>
    <xf numFmtId="167" fontId="50" fillId="0" borderId="0" xfId="0" applyNumberFormat="1" applyFont="1" applyAlignment="1">
      <alignment horizontal="center"/>
    </xf>
    <xf numFmtId="0" fontId="30" fillId="0" borderId="54" xfId="0" applyFont="1" applyBorder="1" applyAlignment="1">
      <alignment horizontal="center" vertical="center" wrapText="1"/>
    </xf>
    <xf numFmtId="0" fontId="30" fillId="0" borderId="55" xfId="0" applyFont="1" applyBorder="1" applyAlignment="1">
      <alignment horizontal="center" vertical="center" wrapText="1"/>
    </xf>
    <xf numFmtId="0" fontId="31" fillId="0" borderId="56" xfId="0" applyFont="1" applyBorder="1" applyAlignment="1">
      <alignment horizontal="center" vertical="center"/>
    </xf>
    <xf numFmtId="0" fontId="31" fillId="0" borderId="57" xfId="0" applyFont="1" applyBorder="1" applyAlignment="1">
      <alignment horizontal="center" vertical="center"/>
    </xf>
    <xf numFmtId="0" fontId="31" fillId="0" borderId="58" xfId="0" applyFont="1" applyBorder="1" applyAlignment="1">
      <alignment horizontal="center" vertical="center"/>
    </xf>
    <xf numFmtId="0" fontId="31" fillId="0" borderId="59" xfId="0" applyFont="1" applyBorder="1" applyAlignment="1">
      <alignment horizontal="center" vertical="center"/>
    </xf>
    <xf numFmtId="0" fontId="30" fillId="0" borderId="60" xfId="0" applyFont="1" applyBorder="1"/>
    <xf numFmtId="0" fontId="30" fillId="0" borderId="61" xfId="0" applyFont="1" applyBorder="1"/>
    <xf numFmtId="0" fontId="30" fillId="0" borderId="62" xfId="0" applyFont="1" applyBorder="1"/>
    <xf numFmtId="0" fontId="30" fillId="0" borderId="43" xfId="0" applyFont="1" applyBorder="1" applyAlignment="1">
      <alignment horizontal="center" vertical="center" wrapText="1"/>
    </xf>
    <xf numFmtId="0" fontId="31" fillId="26" borderId="56" xfId="0" applyFont="1" applyFill="1" applyBorder="1" applyAlignment="1">
      <alignment horizontal="center" vertical="center"/>
    </xf>
    <xf numFmtId="0" fontId="31" fillId="26" borderId="57" xfId="0" applyFont="1" applyFill="1" applyBorder="1" applyAlignment="1">
      <alignment horizontal="center" vertical="center"/>
    </xf>
    <xf numFmtId="0" fontId="31" fillId="26" borderId="58" xfId="0" applyFont="1" applyFill="1" applyBorder="1" applyAlignment="1">
      <alignment horizontal="center" vertical="center"/>
    </xf>
    <xf numFmtId="0" fontId="31" fillId="26" borderId="41" xfId="0" applyFont="1" applyFill="1" applyBorder="1" applyAlignment="1">
      <alignment horizontal="center" vertical="center"/>
    </xf>
    <xf numFmtId="0" fontId="31" fillId="26" borderId="59" xfId="0" applyFont="1" applyFill="1" applyBorder="1" applyAlignment="1">
      <alignment horizontal="center" vertical="center"/>
    </xf>
    <xf numFmtId="0" fontId="31" fillId="26" borderId="57" xfId="0" applyFont="1" applyFill="1" applyBorder="1" applyAlignment="1">
      <alignment horizontal="center" vertical="center" wrapText="1"/>
    </xf>
    <xf numFmtId="0" fontId="31" fillId="26" borderId="41" xfId="0" applyFont="1" applyFill="1" applyBorder="1" applyAlignment="1">
      <alignment horizontal="center" vertical="center" wrapText="1"/>
    </xf>
    <xf numFmtId="0" fontId="31" fillId="26" borderId="59" xfId="0" applyFont="1" applyFill="1" applyBorder="1" applyAlignment="1">
      <alignment horizontal="center" vertical="center" wrapText="1"/>
    </xf>
    <xf numFmtId="0" fontId="40" fillId="0" borderId="0" xfId="0" applyFont="1" applyAlignment="1">
      <alignment vertical="center"/>
    </xf>
    <xf numFmtId="0" fontId="21" fillId="0" borderId="12" xfId="56" applyBorder="1" applyAlignment="1">
      <alignment horizontal="left" vertical="center" wrapText="1" indent="2"/>
    </xf>
    <xf numFmtId="0" fontId="35" fillId="0" borderId="0" xfId="0" applyFont="1" applyAlignment="1">
      <alignment horizontal="center" vertical="center"/>
    </xf>
    <xf numFmtId="1" fontId="31" fillId="0" borderId="6" xfId="0" applyNumberFormat="1" applyFont="1" applyBorder="1" applyAlignment="1">
      <alignment horizontal="right" vertical="center"/>
    </xf>
    <xf numFmtId="170" fontId="31" fillId="0" borderId="0" xfId="82" applyNumberFormat="1" applyFont="1" applyBorder="1" applyAlignment="1">
      <alignment horizontal="center" vertical="center" wrapText="1"/>
    </xf>
    <xf numFmtId="0" fontId="31" fillId="0" borderId="0" xfId="0" applyFont="1" applyAlignment="1">
      <alignment horizontal="left" vertical="top" wrapText="1"/>
    </xf>
    <xf numFmtId="169" fontId="0" fillId="0" borderId="6" xfId="0" applyNumberFormat="1" applyBorder="1" applyAlignment="1">
      <alignment horizontal="left"/>
    </xf>
    <xf numFmtId="0" fontId="6" fillId="0" borderId="0" xfId="10"/>
    <xf numFmtId="0" fontId="6" fillId="0" borderId="0" xfId="10" applyAlignment="1">
      <alignment horizontal="left"/>
    </xf>
    <xf numFmtId="0" fontId="6" fillId="0" borderId="0" xfId="10" applyAlignment="1">
      <alignment horizontal="left" vertical="center"/>
    </xf>
    <xf numFmtId="0" fontId="6" fillId="0" borderId="0" xfId="10" applyAlignment="1">
      <alignment horizontal="left" vertical="center" wrapText="1"/>
    </xf>
    <xf numFmtId="0" fontId="6" fillId="0" borderId="0" xfId="10" applyAlignment="1">
      <alignment vertical="center"/>
    </xf>
    <xf numFmtId="0" fontId="87" fillId="0" borderId="67" xfId="10" applyFont="1" applyBorder="1" applyAlignment="1">
      <alignment horizontal="left" vertical="center" wrapText="1"/>
    </xf>
    <xf numFmtId="0" fontId="88" fillId="0" borderId="67" xfId="10" applyFont="1" applyBorder="1" applyAlignment="1">
      <alignment horizontal="left" vertical="center" wrapText="1"/>
    </xf>
    <xf numFmtId="0" fontId="90" fillId="33" borderId="68" xfId="6" applyFont="1" applyFill="1" applyBorder="1" applyAlignment="1">
      <alignment horizontal="center" vertical="center" wrapText="1"/>
    </xf>
    <xf numFmtId="0" fontId="87" fillId="33" borderId="67" xfId="6" applyFont="1" applyFill="1" applyBorder="1" applyAlignment="1">
      <alignment horizontal="left" vertical="center" wrapText="1"/>
    </xf>
    <xf numFmtId="0" fontId="87" fillId="0" borderId="0" xfId="10" applyFont="1" applyAlignment="1">
      <alignment horizontal="left" vertical="center" wrapText="1"/>
    </xf>
    <xf numFmtId="0" fontId="91" fillId="34" borderId="0" xfId="6" applyFont="1" applyFill="1" applyBorder="1" applyAlignment="1">
      <alignment vertical="center" wrapText="1"/>
    </xf>
    <xf numFmtId="0" fontId="89" fillId="34" borderId="68" xfId="10" applyFont="1" applyFill="1" applyBorder="1" applyAlignment="1">
      <alignment horizontal="left" vertical="center"/>
    </xf>
    <xf numFmtId="0" fontId="91" fillId="34" borderId="0" xfId="6" applyFont="1" applyFill="1" applyBorder="1" applyAlignment="1">
      <alignment vertical="center"/>
    </xf>
    <xf numFmtId="0" fontId="92" fillId="0" borderId="67" xfId="10" applyFont="1" applyBorder="1" applyAlignment="1">
      <alignment horizontal="left" vertical="center" wrapText="1"/>
    </xf>
    <xf numFmtId="0" fontId="89" fillId="0" borderId="0" xfId="10" applyFont="1" applyAlignment="1">
      <alignment horizontal="left" vertical="center"/>
    </xf>
    <xf numFmtId="0" fontId="88" fillId="0" borderId="0" xfId="10" applyFont="1" applyAlignment="1">
      <alignment horizontal="left" vertical="center" wrapText="1"/>
    </xf>
    <xf numFmtId="0" fontId="24" fillId="0" borderId="0" xfId="77" applyFill="1" applyBorder="1" applyAlignment="1">
      <alignment horizontal="left" vertical="center"/>
    </xf>
    <xf numFmtId="0" fontId="93" fillId="0" borderId="67" xfId="10" applyFont="1" applyBorder="1" applyAlignment="1">
      <alignment horizontal="left" vertical="center" wrapText="1"/>
    </xf>
    <xf numFmtId="0" fontId="6" fillId="0" borderId="0" xfId="10" applyAlignment="1">
      <alignment vertical="center" wrapText="1"/>
    </xf>
    <xf numFmtId="0" fontId="94" fillId="0" borderId="0" xfId="10" applyFont="1" applyAlignment="1">
      <alignment horizontal="left" vertical="center" wrapText="1"/>
    </xf>
    <xf numFmtId="0" fontId="6" fillId="0" borderId="68" xfId="10" applyBorder="1" applyAlignment="1">
      <alignment vertical="center"/>
    </xf>
    <xf numFmtId="0" fontId="93" fillId="0" borderId="67" xfId="10" applyFont="1" applyBorder="1" applyAlignment="1">
      <alignment vertical="center" wrapText="1"/>
    </xf>
    <xf numFmtId="0" fontId="93" fillId="0" borderId="0" xfId="10" applyFont="1" applyAlignment="1">
      <alignment vertical="center" wrapText="1"/>
    </xf>
    <xf numFmtId="0" fontId="24" fillId="0" borderId="67" xfId="77" applyFill="1" applyBorder="1" applyAlignment="1">
      <alignment horizontal="left" vertical="center" wrapText="1"/>
    </xf>
    <xf numFmtId="0" fontId="93" fillId="0" borderId="68" xfId="10" applyFont="1" applyBorder="1" applyAlignment="1">
      <alignment horizontal="left" vertical="center" wrapText="1"/>
    </xf>
    <xf numFmtId="0" fontId="24" fillId="0" borderId="68" xfId="77" applyFill="1" applyBorder="1" applyAlignment="1">
      <alignment horizontal="left" vertical="center"/>
    </xf>
    <xf numFmtId="0" fontId="95" fillId="33" borderId="67" xfId="6" applyFont="1" applyFill="1" applyBorder="1" applyAlignment="1">
      <alignment horizontal="left" vertical="center" wrapText="1"/>
    </xf>
    <xf numFmtId="0" fontId="24" fillId="0" borderId="0" xfId="77" applyFill="1" applyAlignment="1">
      <alignment vertical="center" wrapText="1"/>
    </xf>
    <xf numFmtId="0" fontId="93" fillId="0" borderId="0" xfId="10" applyFont="1" applyAlignment="1">
      <alignment horizontal="left" vertical="center" wrapText="1"/>
    </xf>
    <xf numFmtId="0" fontId="88" fillId="0" borderId="0" xfId="10" applyFont="1" applyAlignment="1">
      <alignment vertical="center" wrapText="1"/>
    </xf>
    <xf numFmtId="0" fontId="93" fillId="0" borderId="68" xfId="10" applyFont="1" applyBorder="1" applyAlignment="1">
      <alignment vertical="center" wrapText="1"/>
    </xf>
    <xf numFmtId="0" fontId="96" fillId="0" borderId="67" xfId="10" applyFont="1" applyBorder="1" applyAlignment="1">
      <alignment horizontal="left" vertical="center" wrapText="1"/>
    </xf>
    <xf numFmtId="0" fontId="88" fillId="0" borderId="69" xfId="10" applyFont="1" applyBorder="1" applyAlignment="1">
      <alignment horizontal="left" vertical="center" wrapText="1"/>
    </xf>
    <xf numFmtId="0" fontId="90" fillId="33" borderId="68" xfId="6" applyFont="1" applyFill="1" applyBorder="1" applyAlignment="1">
      <alignment horizontal="left" vertical="center" wrapText="1"/>
    </xf>
    <xf numFmtId="0" fontId="87" fillId="33" borderId="68" xfId="6" applyFont="1" applyFill="1" applyBorder="1" applyAlignment="1">
      <alignment horizontal="left" vertical="center" wrapText="1"/>
    </xf>
    <xf numFmtId="0" fontId="0" fillId="34" borderId="0" xfId="0" applyFill="1"/>
    <xf numFmtId="0" fontId="88" fillId="0" borderId="0" xfId="10" applyFont="1" applyAlignment="1">
      <alignment horizontal="left" vertical="center"/>
    </xf>
    <xf numFmtId="0" fontId="10" fillId="0" borderId="0" xfId="6" applyFont="1" applyFill="1" applyBorder="1" applyAlignment="1">
      <alignment horizontal="center" vertical="center" wrapText="1"/>
    </xf>
    <xf numFmtId="0" fontId="88" fillId="0" borderId="0" xfId="10" applyFont="1" applyAlignment="1">
      <alignment horizontal="left"/>
    </xf>
    <xf numFmtId="0" fontId="99" fillId="0" borderId="0" xfId="10" applyFont="1" applyAlignment="1">
      <alignment horizontal="center" wrapText="1"/>
    </xf>
    <xf numFmtId="0" fontId="99" fillId="34" borderId="0" xfId="10" applyFont="1" applyFill="1" applyAlignment="1">
      <alignment horizontal="center" vertical="center" wrapText="1"/>
    </xf>
    <xf numFmtId="0" fontId="99" fillId="34" borderId="0" xfId="10" applyFont="1" applyFill="1" applyAlignment="1">
      <alignment horizontal="left" vertical="center" wrapText="1"/>
    </xf>
    <xf numFmtId="0" fontId="99" fillId="34" borderId="0" xfId="10" applyFont="1" applyFill="1" applyAlignment="1">
      <alignment horizontal="left" vertical="top" wrapText="1"/>
    </xf>
    <xf numFmtId="0" fontId="99" fillId="35" borderId="0" xfId="6" applyFont="1" applyFill="1" applyBorder="1" applyAlignment="1">
      <alignment vertical="center"/>
    </xf>
    <xf numFmtId="43" fontId="38" fillId="0" borderId="0" xfId="82" applyFont="1" applyFill="1" applyBorder="1" applyAlignment="1" applyProtection="1">
      <alignment horizontal="right" vertical="center"/>
      <protection locked="0"/>
    </xf>
    <xf numFmtId="0" fontId="31" fillId="0" borderId="70" xfId="0" applyFont="1" applyBorder="1" applyAlignment="1">
      <alignment horizontal="left" vertical="center" wrapText="1"/>
    </xf>
    <xf numFmtId="0" fontId="0" fillId="0" borderId="71" xfId="0" applyBorder="1"/>
    <xf numFmtId="0" fontId="0" fillId="0" borderId="71" xfId="0" applyBorder="1" applyAlignment="1">
      <alignment horizontal="left"/>
    </xf>
    <xf numFmtId="0" fontId="0" fillId="0" borderId="71" xfId="0" applyBorder="1" applyAlignment="1">
      <alignment horizontal="left" indent="2"/>
    </xf>
    <xf numFmtId="0" fontId="23" fillId="0" borderId="71" xfId="0" applyFont="1" applyBorder="1"/>
    <xf numFmtId="0" fontId="23" fillId="0" borderId="71" xfId="0" applyFont="1" applyBorder="1" applyAlignment="1">
      <alignment horizontal="left"/>
    </xf>
    <xf numFmtId="0" fontId="23" fillId="0" borderId="71" xfId="0" applyFont="1" applyBorder="1" applyAlignment="1">
      <alignment horizontal="left" indent="2"/>
    </xf>
    <xf numFmtId="0" fontId="23" fillId="0" borderId="71" xfId="112" applyFont="1" applyBorder="1"/>
    <xf numFmtId="0" fontId="23" fillId="0" borderId="71" xfId="112" applyFont="1" applyBorder="1" applyAlignment="1">
      <alignment horizontal="left"/>
    </xf>
    <xf numFmtId="0" fontId="23" fillId="0" borderId="71" xfId="112" applyFont="1" applyBorder="1" applyAlignment="1">
      <alignment horizontal="left" indent="2"/>
    </xf>
    <xf numFmtId="0" fontId="0" fillId="0" borderId="71" xfId="0" applyBorder="1" applyAlignment="1">
      <alignment horizontal="left" vertical="center"/>
    </xf>
    <xf numFmtId="0" fontId="0" fillId="0" borderId="71" xfId="0" applyBorder="1" applyAlignment="1">
      <alignment vertical="center"/>
    </xf>
    <xf numFmtId="0" fontId="23" fillId="0" borderId="71" xfId="0" applyFont="1" applyBorder="1" applyAlignment="1">
      <alignment vertical="center"/>
    </xf>
    <xf numFmtId="0" fontId="6" fillId="0" borderId="71" xfId="10" applyBorder="1"/>
    <xf numFmtId="0" fontId="6" fillId="0" borderId="71" xfId="10" applyBorder="1" applyAlignment="1">
      <alignment horizontal="left" vertical="center" wrapText="1"/>
    </xf>
    <xf numFmtId="0" fontId="6" fillId="0" borderId="71" xfId="10" applyBorder="1" applyAlignment="1">
      <alignment horizontal="left"/>
    </xf>
    <xf numFmtId="0" fontId="6" fillId="0" borderId="71" xfId="10" applyBorder="1" applyAlignment="1">
      <alignment horizontal="left" vertical="center"/>
    </xf>
    <xf numFmtId="0" fontId="82" fillId="0" borderId="0" xfId="0" applyFont="1" applyAlignment="1">
      <alignment vertical="center" wrapText="1"/>
    </xf>
    <xf numFmtId="0" fontId="82" fillId="0" borderId="71" xfId="0" applyFont="1" applyBorder="1" applyAlignment="1">
      <alignment vertical="center" wrapText="1"/>
    </xf>
    <xf numFmtId="0" fontId="0" fillId="2" borderId="71" xfId="0" applyFill="1" applyBorder="1"/>
    <xf numFmtId="0" fontId="98" fillId="0" borderId="0" xfId="112" applyFont="1"/>
    <xf numFmtId="0" fontId="100" fillId="0" borderId="0" xfId="0" applyFont="1"/>
    <xf numFmtId="0" fontId="0" fillId="34" borderId="71" xfId="0" applyFill="1" applyBorder="1"/>
    <xf numFmtId="0" fontId="100" fillId="0" borderId="0" xfId="0" applyFont="1" applyAlignment="1">
      <alignment horizontal="left" vertical="center"/>
    </xf>
    <xf numFmtId="0" fontId="28" fillId="0" borderId="0" xfId="0" applyFont="1" applyAlignment="1">
      <alignment horizontal="center"/>
    </xf>
    <xf numFmtId="0" fontId="0" fillId="20" borderId="71" xfId="0" applyFill="1" applyBorder="1"/>
    <xf numFmtId="0" fontId="0" fillId="36" borderId="0" xfId="0" applyFill="1"/>
    <xf numFmtId="0" fontId="0" fillId="36" borderId="71" xfId="0" applyFill="1" applyBorder="1"/>
    <xf numFmtId="0" fontId="23" fillId="36" borderId="0" xfId="0" applyFont="1" applyFill="1"/>
    <xf numFmtId="0" fontId="23" fillId="36" borderId="71" xfId="0" applyFont="1" applyFill="1" applyBorder="1"/>
    <xf numFmtId="0" fontId="23" fillId="36" borderId="0" xfId="112" applyFont="1" applyFill="1"/>
    <xf numFmtId="0" fontId="23" fillId="36" borderId="71" xfId="112" applyFont="1" applyFill="1" applyBorder="1"/>
    <xf numFmtId="0" fontId="6" fillId="36" borderId="71" xfId="10" applyFill="1" applyBorder="1"/>
    <xf numFmtId="0" fontId="88" fillId="38" borderId="0" xfId="10" applyFont="1" applyFill="1" applyAlignment="1">
      <alignment horizontal="left"/>
    </xf>
    <xf numFmtId="0" fontId="88" fillId="38" borderId="0" xfId="10" applyFont="1" applyFill="1" applyAlignment="1">
      <alignment horizontal="left" vertical="center"/>
    </xf>
    <xf numFmtId="0" fontId="82" fillId="0" borderId="0" xfId="0" applyFont="1" applyAlignment="1">
      <alignment horizontal="left" vertical="center" wrapText="1"/>
    </xf>
    <xf numFmtId="0" fontId="31" fillId="0" borderId="38" xfId="0" applyFont="1" applyBorder="1" applyAlignment="1">
      <alignment horizontal="center" vertical="center" wrapText="1"/>
    </xf>
    <xf numFmtId="0" fontId="31" fillId="0" borderId="39" xfId="0" applyFont="1" applyBorder="1" applyAlignment="1">
      <alignment horizontal="center" vertical="center" wrapText="1"/>
    </xf>
    <xf numFmtId="0" fontId="40" fillId="0" borderId="25" xfId="0" applyFont="1" applyBorder="1" applyAlignment="1">
      <alignment vertical="center"/>
    </xf>
    <xf numFmtId="0" fontId="52" fillId="2" borderId="0" xfId="0" applyFont="1" applyFill="1" applyAlignment="1">
      <alignment horizontal="left" wrapText="1"/>
    </xf>
    <xf numFmtId="0" fontId="7" fillId="2" borderId="0" xfId="0" applyFont="1" applyFill="1" applyAlignment="1">
      <alignment horizontal="center" vertical="center" wrapText="1"/>
    </xf>
    <xf numFmtId="0" fontId="23" fillId="0" borderId="0" xfId="0" quotePrefix="1" applyFont="1" applyAlignment="1">
      <alignment horizontal="center" vertical="center"/>
    </xf>
    <xf numFmtId="0" fontId="44" fillId="19" borderId="0" xfId="0" applyFont="1" applyFill="1" applyAlignment="1">
      <alignment horizontal="center" vertical="center"/>
    </xf>
    <xf numFmtId="0" fontId="101" fillId="0" borderId="25" xfId="0" applyFont="1" applyBorder="1" applyAlignment="1">
      <alignment horizontal="center" vertical="center"/>
    </xf>
    <xf numFmtId="0" fontId="6" fillId="0" borderId="6" xfId="4" applyBorder="1" applyAlignment="1">
      <alignment horizontal="center" vertical="center"/>
    </xf>
    <xf numFmtId="0" fontId="36" fillId="0" borderId="10" xfId="78" applyFont="1" applyBorder="1">
      <alignment horizontal="left"/>
    </xf>
    <xf numFmtId="0" fontId="23" fillId="34" borderId="0" xfId="0" applyFont="1" applyFill="1"/>
    <xf numFmtId="0" fontId="23" fillId="34" borderId="17" xfId="0" applyFont="1" applyFill="1" applyBorder="1"/>
    <xf numFmtId="0" fontId="23" fillId="0" borderId="72" xfId="0" applyFont="1" applyBorder="1"/>
    <xf numFmtId="0" fontId="23" fillId="0" borderId="72" xfId="0" applyFont="1" applyBorder="1" applyAlignment="1">
      <alignment horizontal="left"/>
    </xf>
    <xf numFmtId="0" fontId="23" fillId="0" borderId="72" xfId="0" applyFont="1" applyBorder="1" applyAlignment="1">
      <alignment horizontal="left" indent="2"/>
    </xf>
    <xf numFmtId="49" fontId="38" fillId="0" borderId="16" xfId="0" quotePrefix="1" applyNumberFormat="1" applyFont="1" applyBorder="1" applyAlignment="1">
      <alignment horizontal="center" vertical="center" wrapText="1"/>
    </xf>
    <xf numFmtId="0" fontId="31" fillId="0" borderId="16" xfId="0" quotePrefix="1" applyFont="1" applyBorder="1" applyAlignment="1">
      <alignment horizontal="left" vertical="center" wrapText="1"/>
    </xf>
    <xf numFmtId="0" fontId="31" fillId="0" borderId="16" xfId="0" quotePrefix="1" applyFont="1" applyBorder="1" applyAlignment="1">
      <alignment horizontal="left" vertical="top" wrapText="1"/>
    </xf>
    <xf numFmtId="49" fontId="38" fillId="0" borderId="74" xfId="0" quotePrefix="1" applyNumberFormat="1" applyFont="1" applyBorder="1" applyAlignment="1">
      <alignment horizontal="center" vertical="center" wrapText="1"/>
    </xf>
    <xf numFmtId="0" fontId="31" fillId="0" borderId="6" xfId="0" applyFont="1" applyBorder="1" applyAlignment="1">
      <alignment horizontal="left" vertical="center" wrapText="1"/>
    </xf>
    <xf numFmtId="0" fontId="31" fillId="0" borderId="6" xfId="0" quotePrefix="1" applyFont="1" applyBorder="1" applyAlignment="1">
      <alignment vertical="center" wrapText="1"/>
    </xf>
    <xf numFmtId="0" fontId="31" fillId="0" borderId="16" xfId="0" applyFont="1" applyBorder="1" applyAlignment="1">
      <alignment vertical="center" wrapText="1"/>
    </xf>
    <xf numFmtId="0" fontId="31" fillId="0" borderId="39" xfId="0" applyFont="1" applyBorder="1" applyAlignment="1">
      <alignment vertical="center" wrapText="1"/>
    </xf>
    <xf numFmtId="0" fontId="31" fillId="0" borderId="40" xfId="0" applyFont="1" applyBorder="1" applyAlignment="1">
      <alignment horizontal="left" vertical="center" wrapText="1"/>
    </xf>
    <xf numFmtId="0" fontId="1" fillId="0" borderId="0" xfId="0" applyFont="1" applyAlignment="1">
      <alignment horizontal="left"/>
    </xf>
    <xf numFmtId="0" fontId="1" fillId="24" borderId="6" xfId="0" applyFont="1" applyFill="1" applyBorder="1" applyAlignment="1">
      <alignment horizontal="center" vertical="center"/>
    </xf>
    <xf numFmtId="167" fontId="1" fillId="0" borderId="24" xfId="83" applyNumberFormat="1" applyFont="1" applyBorder="1"/>
    <xf numFmtId="0" fontId="1" fillId="0" borderId="0" xfId="0" applyFont="1"/>
    <xf numFmtId="0" fontId="38" fillId="0" borderId="0" xfId="0" applyFont="1" applyAlignment="1">
      <alignment horizontal="center" vertical="center"/>
    </xf>
    <xf numFmtId="0" fontId="31" fillId="0" borderId="0" xfId="0" quotePrefix="1" applyFont="1" applyAlignment="1">
      <alignment horizontal="center" vertical="center" wrapText="1"/>
    </xf>
    <xf numFmtId="0" fontId="31" fillId="0" borderId="25" xfId="13" applyFont="1" applyBorder="1" applyAlignment="1">
      <alignment horizontal="center" vertical="center" wrapText="1"/>
    </xf>
    <xf numFmtId="0" fontId="31" fillId="0" borderId="25" xfId="13" applyFont="1" applyBorder="1" applyAlignment="1">
      <alignment horizontal="left" vertical="center" wrapText="1"/>
    </xf>
    <xf numFmtId="0" fontId="31" fillId="0" borderId="25" xfId="13" applyFont="1" applyBorder="1" applyAlignment="1">
      <alignment vertical="center" wrapText="1"/>
    </xf>
    <xf numFmtId="0" fontId="31" fillId="0" borderId="41" xfId="0" applyFont="1" applyBorder="1" applyAlignment="1">
      <alignment horizontal="center" vertical="center"/>
    </xf>
    <xf numFmtId="0" fontId="31" fillId="0" borderId="13" xfId="80" applyFont="1" applyBorder="1" applyAlignment="1">
      <alignment horizontal="left" vertical="center" wrapText="1"/>
    </xf>
    <xf numFmtId="0" fontId="44" fillId="0" borderId="0" xfId="0" applyFont="1" applyAlignment="1">
      <alignment vertical="center"/>
    </xf>
    <xf numFmtId="0" fontId="30" fillId="0" borderId="63" xfId="0" applyFont="1" applyBorder="1" applyAlignment="1">
      <alignment horizontal="center" vertical="center"/>
    </xf>
    <xf numFmtId="0" fontId="30" fillId="0" borderId="76" xfId="0" applyFont="1" applyBorder="1" applyAlignment="1">
      <alignment horizontal="center" vertical="center" wrapText="1"/>
    </xf>
    <xf numFmtId="0" fontId="31" fillId="0" borderId="77" xfId="0" applyFont="1" applyBorder="1" applyAlignment="1">
      <alignment horizontal="center" vertical="center"/>
    </xf>
    <xf numFmtId="0" fontId="0" fillId="0" borderId="0" xfId="0" applyAlignment="1">
      <alignment horizontal="center" vertical="center"/>
    </xf>
    <xf numFmtId="1" fontId="58" fillId="0" borderId="6" xfId="0" applyNumberFormat="1" applyFont="1" applyBorder="1" applyAlignment="1">
      <alignment horizontal="center"/>
    </xf>
    <xf numFmtId="169" fontId="67" fillId="0" borderId="6" xfId="4" applyNumberFormat="1" applyFont="1" applyBorder="1" applyAlignment="1">
      <alignment horizontal="center" vertical="center" wrapText="1"/>
    </xf>
    <xf numFmtId="169" fontId="1" fillId="0" borderId="6" xfId="0" applyNumberFormat="1" applyFont="1" applyBorder="1" applyAlignment="1">
      <alignment horizontal="center" vertical="center"/>
    </xf>
    <xf numFmtId="167" fontId="31" fillId="0" borderId="0" xfId="0" applyNumberFormat="1" applyFont="1" applyAlignment="1">
      <alignment horizontal="center" vertical="center"/>
    </xf>
    <xf numFmtId="0" fontId="41" fillId="0" borderId="0" xfId="112" applyFont="1" applyAlignment="1">
      <alignment horizontal="center" vertical="center" wrapText="1"/>
    </xf>
    <xf numFmtId="0" fontId="11" fillId="0" borderId="24" xfId="4" applyFont="1" applyBorder="1" applyAlignment="1">
      <alignment horizontal="center" vertical="center"/>
    </xf>
    <xf numFmtId="0" fontId="11" fillId="0" borderId="24" xfId="4" applyFont="1" applyBorder="1" applyAlignment="1">
      <alignment horizontal="center" vertical="center" wrapText="1"/>
    </xf>
    <xf numFmtId="0" fontId="22" fillId="24" borderId="34" xfId="0" applyFont="1" applyFill="1" applyBorder="1" applyAlignment="1">
      <alignment horizontal="center" wrapText="1"/>
    </xf>
    <xf numFmtId="0" fontId="22" fillId="24" borderId="34" xfId="0" applyFont="1" applyFill="1" applyBorder="1" applyAlignment="1">
      <alignment horizontal="center"/>
    </xf>
    <xf numFmtId="167" fontId="50" fillId="0" borderId="6" xfId="83" applyNumberFormat="1" applyFont="1" applyBorder="1" applyAlignment="1">
      <alignment horizontal="center"/>
    </xf>
    <xf numFmtId="49" fontId="38" fillId="0" borderId="39" xfId="0" quotePrefix="1" applyNumberFormat="1" applyFont="1" applyBorder="1" applyAlignment="1">
      <alignment horizontal="center" vertical="center" wrapText="1"/>
    </xf>
    <xf numFmtId="0" fontId="31" fillId="0" borderId="16" xfId="0" quotePrefix="1" applyFont="1" applyBorder="1" applyAlignment="1">
      <alignment horizontal="justify" vertical="center" wrapText="1"/>
    </xf>
    <xf numFmtId="0" fontId="10" fillId="0" borderId="15" xfId="3" applyFont="1" applyBorder="1" applyAlignment="1">
      <alignment horizontal="right" wrapText="1"/>
    </xf>
    <xf numFmtId="165" fontId="6" fillId="0" borderId="17" xfId="82" applyNumberFormat="1" applyFont="1" applyFill="1" applyBorder="1" applyAlignment="1" applyProtection="1">
      <alignment horizontal="right" vertical="center"/>
    </xf>
    <xf numFmtId="0" fontId="104" fillId="0" borderId="0" xfId="0" applyFont="1"/>
    <xf numFmtId="0" fontId="11" fillId="40" borderId="19" xfId="111" applyFont="1" applyFill="1" applyBorder="1" applyAlignment="1">
      <alignment horizontal="left" vertical="center" wrapText="1"/>
    </xf>
    <xf numFmtId="170" fontId="11" fillId="40" borderId="19" xfId="82" applyNumberFormat="1" applyFont="1" applyFill="1" applyBorder="1" applyAlignment="1" applyProtection="1">
      <alignment horizontal="right" vertical="center"/>
    </xf>
    <xf numFmtId="170" fontId="11" fillId="40" borderId="17" xfId="82" applyNumberFormat="1" applyFont="1" applyFill="1" applyBorder="1" applyAlignment="1" applyProtection="1">
      <alignment horizontal="right" vertical="center"/>
    </xf>
    <xf numFmtId="170" fontId="11" fillId="40" borderId="19" xfId="82" applyNumberFormat="1" applyFont="1" applyFill="1" applyBorder="1" applyAlignment="1" applyProtection="1">
      <alignment horizontal="center" vertical="center"/>
    </xf>
    <xf numFmtId="0" fontId="105" fillId="0" borderId="0" xfId="0" applyFont="1" applyAlignment="1">
      <alignment vertical="center"/>
    </xf>
    <xf numFmtId="170" fontId="105" fillId="0" borderId="0" xfId="82" applyNumberFormat="1" applyFont="1" applyFill="1" applyBorder="1" applyAlignment="1">
      <alignment horizontal="right" vertical="center"/>
    </xf>
    <xf numFmtId="170" fontId="105" fillId="0" borderId="0" xfId="82" applyNumberFormat="1" applyFont="1" applyFill="1" applyBorder="1" applyAlignment="1">
      <alignment horizontal="center" vertical="center"/>
    </xf>
    <xf numFmtId="0" fontId="11" fillId="41" borderId="20" xfId="111" applyFont="1" applyFill="1" applyBorder="1" applyAlignment="1">
      <alignment vertical="center" wrapText="1"/>
    </xf>
    <xf numFmtId="170" fontId="11" fillId="41" borderId="20" xfId="82" applyNumberFormat="1" applyFont="1" applyFill="1" applyBorder="1" applyAlignment="1" applyProtection="1">
      <alignment horizontal="right" vertical="center"/>
    </xf>
    <xf numFmtId="170" fontId="11" fillId="41" borderId="20" xfId="82" applyNumberFormat="1" applyFont="1" applyFill="1" applyBorder="1" applyAlignment="1" applyProtection="1">
      <alignment horizontal="center" vertical="center"/>
    </xf>
    <xf numFmtId="0" fontId="11" fillId="41" borderId="21" xfId="3" applyFont="1" applyFill="1" applyBorder="1" applyAlignment="1">
      <alignment vertical="center" wrapText="1"/>
    </xf>
    <xf numFmtId="165" fontId="11" fillId="41" borderId="21" xfId="82" applyNumberFormat="1" applyFont="1" applyFill="1" applyBorder="1" applyAlignment="1" applyProtection="1">
      <alignment horizontal="right" vertical="center"/>
    </xf>
    <xf numFmtId="170" fontId="11" fillId="41" borderId="21" xfId="82" applyNumberFormat="1" applyFont="1" applyFill="1" applyBorder="1" applyAlignment="1" applyProtection="1">
      <alignment horizontal="right" vertical="center"/>
    </xf>
    <xf numFmtId="170" fontId="11" fillId="41" borderId="21" xfId="82" applyNumberFormat="1" applyFont="1" applyFill="1" applyBorder="1" applyAlignment="1" applyProtection="1">
      <alignment horizontal="center" vertical="center"/>
    </xf>
    <xf numFmtId="0" fontId="63" fillId="0" borderId="0" xfId="0" applyFont="1" applyAlignment="1">
      <alignment horizontal="left" vertical="center" wrapText="1" indent="1"/>
    </xf>
    <xf numFmtId="2" fontId="30" fillId="19" borderId="25" xfId="82" applyNumberFormat="1" applyFont="1" applyFill="1" applyBorder="1" applyAlignment="1">
      <alignment horizontal="right" vertical="center" wrapText="1"/>
    </xf>
    <xf numFmtId="0" fontId="30" fillId="16" borderId="0" xfId="0" applyFont="1" applyFill="1" applyAlignment="1">
      <alignment horizontal="center" vertical="center"/>
    </xf>
    <xf numFmtId="0" fontId="30" fillId="0" borderId="65" xfId="0" applyFont="1" applyBorder="1" applyAlignment="1">
      <alignment horizontal="center" vertical="center"/>
    </xf>
    <xf numFmtId="0" fontId="31" fillId="0" borderId="65" xfId="0" applyFont="1" applyBorder="1" applyAlignment="1">
      <alignment horizontal="center" vertical="center"/>
    </xf>
    <xf numFmtId="0" fontId="6" fillId="2" borderId="0" xfId="4" applyFill="1" applyAlignment="1">
      <alignment horizontal="right" vertical="center"/>
    </xf>
    <xf numFmtId="172" fontId="6" fillId="2" borderId="0" xfId="82" applyNumberFormat="1" applyFont="1" applyFill="1" applyBorder="1" applyAlignment="1" applyProtection="1">
      <alignment horizontal="right" vertical="center"/>
    </xf>
    <xf numFmtId="0" fontId="6" fillId="2" borderId="0" xfId="82" applyNumberFormat="1" applyFont="1" applyFill="1" applyBorder="1" applyAlignment="1">
      <alignment horizontal="right" vertical="center"/>
    </xf>
    <xf numFmtId="171" fontId="6" fillId="2" borderId="0" xfId="82" applyNumberFormat="1" applyFont="1" applyFill="1" applyBorder="1" applyAlignment="1">
      <alignment horizontal="right" vertical="center"/>
    </xf>
    <xf numFmtId="170" fontId="11" fillId="2" borderId="0" xfId="82" applyNumberFormat="1" applyFont="1" applyFill="1" applyBorder="1" applyAlignment="1" applyProtection="1">
      <alignment horizontal="center" vertical="center"/>
    </xf>
    <xf numFmtId="0" fontId="44" fillId="16" borderId="0" xfId="0" applyFont="1" applyFill="1" applyAlignment="1">
      <alignment vertical="center"/>
    </xf>
    <xf numFmtId="167" fontId="6" fillId="0" borderId="6" xfId="83" applyNumberFormat="1" applyFont="1" applyBorder="1" applyAlignment="1">
      <alignment horizontal="center" vertical="center"/>
    </xf>
    <xf numFmtId="0" fontId="109" fillId="0" borderId="0" xfId="56" applyFont="1" applyFill="1" applyBorder="1" applyAlignment="1"/>
    <xf numFmtId="0" fontId="30" fillId="0" borderId="0" xfId="0" applyFont="1" applyAlignment="1">
      <alignment horizontal="right" vertical="center"/>
    </xf>
    <xf numFmtId="0" fontId="109" fillId="0" borderId="0" xfId="56" applyFont="1" applyFill="1" applyBorder="1" applyAlignment="1">
      <alignment vertical="center"/>
    </xf>
    <xf numFmtId="0" fontId="110" fillId="0" borderId="0" xfId="56" applyFont="1" applyFill="1" applyBorder="1" applyAlignment="1">
      <alignment vertical="center"/>
    </xf>
    <xf numFmtId="0" fontId="109" fillId="0" borderId="0" xfId="56" applyFont="1" applyFill="1" applyBorder="1" applyAlignment="1">
      <alignment vertical="center" wrapText="1"/>
    </xf>
    <xf numFmtId="0" fontId="37" fillId="42" borderId="80" xfId="56" applyFont="1" applyFill="1" applyBorder="1" applyAlignment="1">
      <alignment vertical="center" wrapText="1"/>
    </xf>
    <xf numFmtId="0" fontId="37" fillId="2" borderId="80" xfId="56" applyFont="1" applyFill="1" applyBorder="1" applyAlignment="1">
      <alignment vertical="center" wrapText="1"/>
    </xf>
    <xf numFmtId="0" fontId="99" fillId="34" borderId="82" xfId="116" applyFont="1" applyFill="1" applyBorder="1" applyAlignment="1">
      <alignment horizontal="left" vertical="center" wrapText="1"/>
    </xf>
    <xf numFmtId="0" fontId="41" fillId="34" borderId="83" xfId="116" applyFont="1" applyFill="1" applyBorder="1" applyAlignment="1">
      <alignment horizontal="center" vertical="center" wrapText="1"/>
    </xf>
    <xf numFmtId="0" fontId="41" fillId="34" borderId="83" xfId="115" applyFont="1" applyFill="1" applyBorder="1" applyAlignment="1">
      <alignment horizontal="center" vertical="center" wrapText="1"/>
    </xf>
    <xf numFmtId="0" fontId="0" fillId="16" borderId="74" xfId="0" applyFill="1" applyBorder="1"/>
    <xf numFmtId="0" fontId="41" fillId="39" borderId="81" xfId="116" applyFont="1" applyFill="1" applyBorder="1" applyAlignment="1">
      <alignment horizontal="center" vertical="center"/>
    </xf>
    <xf numFmtId="0" fontId="103" fillId="2" borderId="40" xfId="0" applyFont="1" applyFill="1" applyBorder="1" applyAlignment="1">
      <alignment vertical="top" wrapText="1"/>
    </xf>
    <xf numFmtId="0" fontId="103" fillId="2" borderId="86" xfId="0" applyFont="1" applyFill="1" applyBorder="1" applyAlignment="1">
      <alignment vertical="top" wrapText="1"/>
    </xf>
    <xf numFmtId="0" fontId="0" fillId="2" borderId="87" xfId="0" applyFill="1" applyBorder="1"/>
    <xf numFmtId="0" fontId="87" fillId="33" borderId="0" xfId="6" applyFont="1" applyFill="1" applyBorder="1" applyAlignment="1">
      <alignment horizontal="left" vertical="center" wrapText="1"/>
    </xf>
    <xf numFmtId="0" fontId="111" fillId="43" borderId="0" xfId="0" applyFont="1" applyFill="1" applyAlignment="1">
      <alignment horizontal="left" vertical="center" wrapText="1"/>
    </xf>
    <xf numFmtId="0" fontId="96" fillId="44" borderId="0" xfId="0" applyFont="1" applyFill="1" applyAlignment="1">
      <alignment horizontal="left" vertical="center" wrapText="1"/>
    </xf>
    <xf numFmtId="0" fontId="6" fillId="45" borderId="0" xfId="0" applyFont="1" applyFill="1"/>
    <xf numFmtId="0" fontId="112" fillId="45" borderId="0" xfId="0" applyFont="1" applyFill="1" applyAlignment="1">
      <alignment vertical="center"/>
    </xf>
    <xf numFmtId="0" fontId="6" fillId="45" borderId="0" xfId="0" applyFont="1" applyFill="1" applyAlignment="1">
      <alignment horizontal="left" vertical="center" wrapText="1"/>
    </xf>
    <xf numFmtId="0" fontId="6" fillId="45" borderId="0" xfId="0" applyFont="1" applyFill="1" applyAlignment="1">
      <alignment horizontal="left"/>
    </xf>
    <xf numFmtId="0" fontId="6" fillId="45" borderId="0" xfId="0" applyFont="1" applyFill="1" applyAlignment="1">
      <alignment horizontal="left" vertical="center"/>
    </xf>
    <xf numFmtId="2" fontId="0" fillId="0" borderId="0" xfId="0" applyNumberFormat="1" applyAlignment="1">
      <alignment vertical="center"/>
    </xf>
    <xf numFmtId="169" fontId="23" fillId="0" borderId="0" xfId="0" applyNumberFormat="1" applyFont="1" applyAlignment="1">
      <alignment vertical="center"/>
    </xf>
    <xf numFmtId="0" fontId="109" fillId="0" borderId="0" xfId="56" applyFont="1" applyAlignment="1">
      <alignment vertical="center"/>
    </xf>
    <xf numFmtId="0" fontId="40" fillId="0" borderId="0" xfId="0" quotePrefix="1" applyFont="1" applyAlignment="1">
      <alignment horizontal="center" vertical="center"/>
    </xf>
    <xf numFmtId="0" fontId="115" fillId="0" borderId="0" xfId="56" applyFont="1" applyAlignment="1">
      <alignment vertical="center"/>
    </xf>
    <xf numFmtId="49" fontId="80" fillId="0" borderId="25" xfId="0" applyNumberFormat="1" applyFont="1" applyBorder="1" applyAlignment="1">
      <alignment horizontal="center" vertical="center"/>
    </xf>
    <xf numFmtId="49" fontId="44" fillId="27" borderId="25" xfId="0" applyNumberFormat="1" applyFont="1" applyFill="1" applyBorder="1" applyAlignment="1">
      <alignment horizontal="center" vertical="center"/>
    </xf>
    <xf numFmtId="167" fontId="80" fillId="0" borderId="25" xfId="83" quotePrefix="1" applyNumberFormat="1" applyFont="1" applyBorder="1" applyAlignment="1">
      <alignment horizontal="center" vertical="center"/>
    </xf>
    <xf numFmtId="49" fontId="44" fillId="27" borderId="25" xfId="0" quotePrefix="1" applyNumberFormat="1" applyFont="1" applyFill="1" applyBorder="1" applyAlignment="1">
      <alignment horizontal="center" vertical="center"/>
    </xf>
    <xf numFmtId="167" fontId="44" fillId="27" borderId="25" xfId="83" quotePrefix="1" applyNumberFormat="1" applyFont="1" applyFill="1" applyBorder="1" applyAlignment="1">
      <alignment horizontal="center" vertical="center"/>
    </xf>
    <xf numFmtId="4" fontId="31" fillId="26" borderId="56" xfId="82" quotePrefix="1" applyNumberFormat="1" applyFont="1" applyFill="1" applyBorder="1" applyAlignment="1">
      <alignment horizontal="center" vertical="center"/>
    </xf>
    <xf numFmtId="4" fontId="31" fillId="26" borderId="0" xfId="0" quotePrefix="1" applyNumberFormat="1" applyFont="1" applyFill="1" applyAlignment="1">
      <alignment horizontal="center" vertical="center" wrapText="1"/>
    </xf>
    <xf numFmtId="4" fontId="31" fillId="26" borderId="57" xfId="0" quotePrefix="1" applyNumberFormat="1" applyFont="1" applyFill="1" applyBorder="1" applyAlignment="1">
      <alignment horizontal="center" vertical="center" wrapText="1"/>
    </xf>
    <xf numFmtId="3" fontId="31" fillId="0" borderId="0" xfId="82" quotePrefix="1" applyNumberFormat="1" applyFont="1" applyAlignment="1">
      <alignment horizontal="center" vertical="center" wrapText="1"/>
    </xf>
    <xf numFmtId="49" fontId="31" fillId="0" borderId="0" xfId="82" applyNumberFormat="1" applyFont="1" applyAlignment="1">
      <alignment horizontal="center" vertical="center" wrapText="1"/>
    </xf>
    <xf numFmtId="49" fontId="31" fillId="0" borderId="0" xfId="0" applyNumberFormat="1" applyFont="1" applyAlignment="1">
      <alignment horizontal="center" vertical="center" wrapText="1"/>
    </xf>
    <xf numFmtId="49" fontId="31" fillId="0" borderId="25" xfId="82" applyNumberFormat="1" applyFont="1" applyBorder="1" applyAlignment="1">
      <alignment horizontal="right" vertical="center" wrapText="1"/>
    </xf>
    <xf numFmtId="49" fontId="30" fillId="19" borderId="25" xfId="82" applyNumberFormat="1" applyFont="1" applyFill="1" applyBorder="1" applyAlignment="1">
      <alignment horizontal="right" vertical="center" wrapText="1"/>
    </xf>
    <xf numFmtId="49" fontId="30" fillId="19" borderId="30" xfId="82" applyNumberFormat="1" applyFont="1" applyFill="1" applyBorder="1" applyAlignment="1">
      <alignment horizontal="center" vertical="center" wrapText="1"/>
    </xf>
    <xf numFmtId="49" fontId="31" fillId="0" borderId="32" xfId="82" applyNumberFormat="1" applyFont="1" applyBorder="1" applyAlignment="1">
      <alignment horizontal="center" vertical="center" wrapText="1"/>
    </xf>
    <xf numFmtId="49" fontId="31" fillId="0" borderId="25" xfId="82" applyNumberFormat="1" applyFont="1" applyBorder="1" applyAlignment="1">
      <alignment horizontal="center" vertical="center" wrapText="1"/>
    </xf>
    <xf numFmtId="49" fontId="31" fillId="0" borderId="0" xfId="0" applyNumberFormat="1" applyFont="1" applyAlignment="1">
      <alignment horizontal="center" vertical="center"/>
    </xf>
    <xf numFmtId="167" fontId="31" fillId="0" borderId="0" xfId="0" quotePrefix="1" applyNumberFormat="1" applyFont="1" applyAlignment="1">
      <alignment horizontal="center" vertical="center"/>
    </xf>
    <xf numFmtId="0" fontId="30" fillId="0" borderId="92" xfId="0" applyFont="1" applyBorder="1" applyAlignment="1">
      <alignment horizontal="center" vertical="center"/>
    </xf>
    <xf numFmtId="0" fontId="30" fillId="0" borderId="26" xfId="0" applyFont="1" applyBorder="1" applyAlignment="1">
      <alignment horizontal="center" vertical="center" wrapText="1"/>
    </xf>
    <xf numFmtId="0" fontId="30" fillId="0" borderId="28" xfId="0" applyFont="1" applyBorder="1" applyAlignment="1">
      <alignment horizontal="center" vertical="center"/>
    </xf>
    <xf numFmtId="0" fontId="30" fillId="0" borderId="28" xfId="0" applyFont="1" applyBorder="1" applyAlignment="1">
      <alignment horizontal="center" vertical="center" wrapText="1"/>
    </xf>
    <xf numFmtId="0" fontId="31" fillId="0" borderId="93" xfId="0" applyFont="1" applyBorder="1" applyAlignment="1">
      <alignment horizontal="center" vertical="center"/>
    </xf>
    <xf numFmtId="0" fontId="31" fillId="0" borderId="94" xfId="0" applyFont="1" applyBorder="1" applyAlignment="1">
      <alignment horizontal="center" vertical="center"/>
    </xf>
    <xf numFmtId="0" fontId="31" fillId="0" borderId="95" xfId="0" applyFont="1" applyBorder="1" applyAlignment="1">
      <alignment horizontal="center" vertical="center"/>
    </xf>
    <xf numFmtId="0" fontId="31" fillId="0" borderId="96" xfId="0" applyFont="1" applyBorder="1" applyAlignment="1">
      <alignment horizontal="center" vertical="center"/>
    </xf>
    <xf numFmtId="0" fontId="31" fillId="0" borderId="97" xfId="0" applyFont="1" applyBorder="1" applyAlignment="1">
      <alignment horizontal="center" vertical="center"/>
    </xf>
    <xf numFmtId="0" fontId="31" fillId="0" borderId="98" xfId="0" applyFont="1" applyBorder="1" applyAlignment="1">
      <alignment horizontal="center" vertical="center"/>
    </xf>
    <xf numFmtId="49" fontId="40" fillId="0" borderId="25" xfId="0" applyNumberFormat="1" applyFont="1" applyBorder="1" applyAlignment="1">
      <alignment horizontal="center" vertical="center"/>
    </xf>
    <xf numFmtId="49" fontId="101" fillId="0" borderId="25" xfId="0" applyNumberFormat="1" applyFont="1" applyBorder="1" applyAlignment="1">
      <alignment horizontal="center" vertical="center"/>
    </xf>
    <xf numFmtId="49" fontId="31" fillId="0" borderId="0" xfId="0" quotePrefix="1" applyNumberFormat="1" applyFont="1" applyAlignment="1">
      <alignment horizontal="center" vertical="center"/>
    </xf>
    <xf numFmtId="49" fontId="31" fillId="0" borderId="0" xfId="83" quotePrefix="1" applyNumberFormat="1" applyFont="1" applyAlignment="1">
      <alignment horizontal="center" vertical="center"/>
    </xf>
    <xf numFmtId="49" fontId="30" fillId="27" borderId="25" xfId="82" applyNumberFormat="1" applyFont="1" applyFill="1" applyBorder="1" applyAlignment="1">
      <alignment horizontal="center" vertical="center" wrapText="1"/>
    </xf>
    <xf numFmtId="49" fontId="31" fillId="0" borderId="25" xfId="82" applyNumberFormat="1" applyFont="1" applyFill="1" applyBorder="1" applyAlignment="1">
      <alignment horizontal="center" vertical="center" wrapText="1"/>
    </xf>
    <xf numFmtId="0" fontId="37" fillId="2" borderId="16" xfId="56" applyFont="1" applyFill="1" applyBorder="1" applyAlignment="1">
      <alignment vertical="center" wrapText="1"/>
    </xf>
    <xf numFmtId="0" fontId="109" fillId="0" borderId="0" xfId="56" applyFont="1" applyAlignment="1">
      <alignment vertical="center" wrapText="1"/>
    </xf>
    <xf numFmtId="0" fontId="21" fillId="0" borderId="0" xfId="56" applyAlignment="1">
      <alignment vertical="center" wrapText="1"/>
    </xf>
    <xf numFmtId="0" fontId="40" fillId="0" borderId="0" xfId="112" applyFont="1" applyAlignment="1">
      <alignment horizontal="left" indent="2"/>
    </xf>
    <xf numFmtId="167" fontId="116" fillId="0" borderId="0" xfId="83" applyNumberFormat="1" applyFont="1" applyAlignment="1">
      <alignment horizontal="center" vertical="center"/>
    </xf>
    <xf numFmtId="0" fontId="31" fillId="0" borderId="0" xfId="0" applyFont="1" applyAlignment="1">
      <alignment horizontal="left" vertical="center"/>
    </xf>
    <xf numFmtId="0" fontId="117" fillId="44" borderId="90" xfId="0" applyFont="1" applyFill="1" applyBorder="1" applyAlignment="1">
      <alignment horizontal="left" vertical="center"/>
    </xf>
    <xf numFmtId="0" fontId="117" fillId="44" borderId="91" xfId="0" applyFont="1" applyFill="1" applyBorder="1" applyAlignment="1">
      <alignment horizontal="left" vertical="center"/>
    </xf>
    <xf numFmtId="0" fontId="117" fillId="44" borderId="0" xfId="0" applyFont="1" applyFill="1" applyAlignment="1">
      <alignment horizontal="left" vertical="center"/>
    </xf>
    <xf numFmtId="0" fontId="118" fillId="0" borderId="89" xfId="0" applyFont="1" applyBorder="1" applyAlignment="1">
      <alignment horizontal="left" vertical="center"/>
    </xf>
    <xf numFmtId="0" fontId="118" fillId="0" borderId="90" xfId="0" applyFont="1" applyBorder="1" applyAlignment="1">
      <alignment horizontal="left" vertical="center"/>
    </xf>
    <xf numFmtId="0" fontId="118" fillId="0" borderId="91" xfId="0" applyFont="1" applyBorder="1" applyAlignment="1">
      <alignment horizontal="left" vertical="center"/>
    </xf>
    <xf numFmtId="0" fontId="118" fillId="0" borderId="0" xfId="0" applyFont="1" applyAlignment="1">
      <alignment horizontal="left" vertical="center"/>
    </xf>
    <xf numFmtId="0" fontId="117" fillId="0" borderId="91" xfId="0" applyFont="1" applyBorder="1" applyAlignment="1">
      <alignment horizontal="left" vertical="center"/>
    </xf>
    <xf numFmtId="0" fontId="21" fillId="0" borderId="12" xfId="56" applyBorder="1" applyAlignment="1">
      <alignment vertical="center" wrapText="1"/>
    </xf>
    <xf numFmtId="0" fontId="21" fillId="0" borderId="0" xfId="56" applyBorder="1" applyAlignment="1">
      <alignment vertical="center" wrapText="1"/>
    </xf>
    <xf numFmtId="0" fontId="21" fillId="0" borderId="14" xfId="56" applyBorder="1" applyAlignment="1">
      <alignment vertical="center" wrapText="1"/>
    </xf>
    <xf numFmtId="49" fontId="109" fillId="2" borderId="47" xfId="56" applyNumberFormat="1" applyFont="1" applyFill="1" applyBorder="1" applyAlignment="1">
      <alignment vertical="center" wrapText="1"/>
    </xf>
    <xf numFmtId="0" fontId="86" fillId="2" borderId="48" xfId="0" applyFont="1" applyFill="1" applyBorder="1" applyAlignment="1">
      <alignment vertical="center" wrapText="1"/>
    </xf>
    <xf numFmtId="0" fontId="86" fillId="2" borderId="50" xfId="0" applyFont="1" applyFill="1" applyBorder="1" applyAlignment="1">
      <alignment vertical="center" wrapText="1"/>
    </xf>
    <xf numFmtId="0" fontId="86" fillId="2" borderId="17" xfId="0" applyFont="1" applyFill="1" applyBorder="1" applyAlignment="1">
      <alignment vertical="center" wrapText="1"/>
    </xf>
    <xf numFmtId="0" fontId="50" fillId="2" borderId="17" xfId="0" applyFont="1" applyFill="1" applyBorder="1" applyAlignment="1">
      <alignment vertical="top" wrapText="1"/>
    </xf>
    <xf numFmtId="0" fontId="86" fillId="2" borderId="49" xfId="0" applyFont="1" applyFill="1" applyBorder="1" applyAlignment="1">
      <alignment vertical="center" wrapText="1"/>
    </xf>
    <xf numFmtId="0" fontId="86" fillId="2" borderId="52" xfId="0" applyFont="1" applyFill="1" applyBorder="1" applyAlignment="1">
      <alignment vertical="center" wrapText="1"/>
    </xf>
    <xf numFmtId="49" fontId="109" fillId="2" borderId="52" xfId="56" applyNumberFormat="1" applyFont="1" applyFill="1" applyBorder="1" applyAlignment="1">
      <alignment vertical="center" wrapText="1"/>
    </xf>
    <xf numFmtId="0" fontId="109" fillId="2" borderId="49" xfId="56" applyFont="1" applyFill="1" applyBorder="1" applyAlignment="1">
      <alignment vertical="center" wrapText="1"/>
    </xf>
    <xf numFmtId="0" fontId="99" fillId="16" borderId="0" xfId="116" applyFont="1" applyFill="1" applyBorder="1" applyAlignment="1">
      <alignment vertical="center"/>
    </xf>
    <xf numFmtId="0" fontId="99" fillId="20" borderId="0" xfId="116" applyFont="1" applyFill="1" applyBorder="1" applyAlignment="1">
      <alignment vertical="center"/>
    </xf>
    <xf numFmtId="0" fontId="99" fillId="32" borderId="0" xfId="116" applyFont="1" applyFill="1" applyBorder="1" applyAlignment="1">
      <alignment horizontal="left" vertical="center" wrapText="1"/>
    </xf>
    <xf numFmtId="0" fontId="99" fillId="32" borderId="45" xfId="115" applyFont="1" applyFill="1" applyBorder="1" applyAlignment="1">
      <alignment horizontal="center" vertical="center"/>
    </xf>
    <xf numFmtId="0" fontId="99" fillId="32" borderId="45" xfId="115" applyFont="1" applyFill="1" applyBorder="1" applyAlignment="1">
      <alignment horizontal="center" vertical="center" wrapText="1"/>
    </xf>
    <xf numFmtId="0" fontId="49" fillId="2" borderId="47" xfId="0" applyFont="1" applyFill="1" applyBorder="1" applyAlignment="1">
      <alignment horizontal="left" vertical="center" wrapText="1"/>
    </xf>
    <xf numFmtId="49" fontId="49" fillId="2" borderId="47" xfId="0" applyNumberFormat="1" applyFont="1" applyFill="1" applyBorder="1" applyAlignment="1">
      <alignment vertical="center" wrapText="1"/>
    </xf>
    <xf numFmtId="0" fontId="49" fillId="2" borderId="48" xfId="0" applyFont="1" applyFill="1" applyBorder="1" applyAlignment="1">
      <alignment horizontal="left" vertical="center" wrapText="1"/>
    </xf>
    <xf numFmtId="49" fontId="49" fillId="2" borderId="48" xfId="0" applyNumberFormat="1" applyFont="1" applyFill="1" applyBorder="1" applyAlignment="1">
      <alignment vertical="center" wrapText="1"/>
    </xf>
    <xf numFmtId="0" fontId="49" fillId="2" borderId="50" xfId="0" applyFont="1" applyFill="1" applyBorder="1" applyAlignment="1">
      <alignment horizontal="left" vertical="center" wrapText="1"/>
    </xf>
    <xf numFmtId="49" fontId="49" fillId="2" borderId="50" xfId="0" applyNumberFormat="1" applyFont="1" applyFill="1" applyBorder="1" applyAlignment="1">
      <alignment vertical="center" wrapText="1"/>
    </xf>
    <xf numFmtId="0" fontId="49" fillId="2" borderId="17" xfId="0" applyFont="1" applyFill="1" applyBorder="1" applyAlignment="1">
      <alignment horizontal="left" vertical="center" wrapText="1"/>
    </xf>
    <xf numFmtId="49" fontId="49" fillId="2" borderId="17" xfId="0" applyNumberFormat="1" applyFont="1" applyFill="1" applyBorder="1" applyAlignment="1">
      <alignment vertical="center" wrapText="1"/>
    </xf>
    <xf numFmtId="0" fontId="49" fillId="0" borderId="17" xfId="0" applyFont="1" applyBorder="1" applyAlignment="1">
      <alignment vertical="center" wrapText="1"/>
    </xf>
    <xf numFmtId="0" fontId="49" fillId="2" borderId="49" xfId="0" applyFont="1" applyFill="1" applyBorder="1" applyAlignment="1">
      <alignment horizontal="left" vertical="center" wrapText="1"/>
    </xf>
    <xf numFmtId="49" fontId="49" fillId="2" borderId="49" xfId="0" applyNumberFormat="1" applyFont="1" applyFill="1" applyBorder="1" applyAlignment="1">
      <alignment vertical="center" wrapText="1"/>
    </xf>
    <xf numFmtId="0" fontId="119" fillId="2" borderId="52" xfId="0" applyFont="1" applyFill="1" applyBorder="1" applyAlignment="1">
      <alignment horizontal="left" vertical="center" wrapText="1"/>
    </xf>
    <xf numFmtId="0" fontId="49" fillId="31" borderId="52" xfId="0" applyFont="1" applyFill="1" applyBorder="1" applyAlignment="1">
      <alignment horizontal="left" vertical="center" wrapText="1"/>
    </xf>
    <xf numFmtId="0" fontId="49" fillId="2" borderId="52" xfId="0" applyFont="1" applyFill="1" applyBorder="1" applyAlignment="1">
      <alignment horizontal="left" vertical="center" wrapText="1"/>
    </xf>
    <xf numFmtId="49" fontId="49" fillId="2" borderId="52" xfId="0" applyNumberFormat="1" applyFont="1" applyFill="1" applyBorder="1" applyAlignment="1">
      <alignment vertical="center" wrapText="1"/>
    </xf>
    <xf numFmtId="0" fontId="49" fillId="0" borderId="52" xfId="0" applyFont="1" applyBorder="1" applyAlignment="1">
      <alignment vertical="center" wrapText="1"/>
    </xf>
    <xf numFmtId="0" fontId="99" fillId="32" borderId="0" xfId="116" applyFont="1" applyFill="1" applyAlignment="1">
      <alignment horizontal="left" vertical="center" wrapText="1"/>
    </xf>
    <xf numFmtId="0" fontId="99" fillId="32" borderId="0" xfId="116" applyFont="1" applyFill="1" applyAlignment="1">
      <alignment vertical="center" wrapText="1"/>
    </xf>
    <xf numFmtId="0" fontId="49" fillId="2" borderId="53" xfId="0" applyFont="1" applyFill="1" applyBorder="1" applyAlignment="1">
      <alignment horizontal="left" vertical="center" wrapText="1"/>
    </xf>
    <xf numFmtId="49" fontId="49" fillId="2" borderId="53" xfId="0" applyNumberFormat="1" applyFont="1" applyFill="1" applyBorder="1" applyAlignment="1">
      <alignment vertical="center" wrapText="1"/>
    </xf>
    <xf numFmtId="0" fontId="119" fillId="2" borderId="52" xfId="0" applyFont="1" applyFill="1" applyBorder="1" applyAlignment="1">
      <alignment vertical="center" wrapText="1"/>
    </xf>
    <xf numFmtId="0" fontId="49" fillId="31" borderId="52" xfId="0" applyFont="1" applyFill="1" applyBorder="1" applyAlignment="1">
      <alignment vertical="center" wrapText="1"/>
    </xf>
    <xf numFmtId="0" fontId="49" fillId="0" borderId="0" xfId="112" applyFont="1" applyAlignment="1">
      <alignment vertical="center" wrapText="1"/>
    </xf>
    <xf numFmtId="9" fontId="31" fillId="0" borderId="0" xfId="112" applyNumberFormat="1" applyFont="1" applyAlignment="1">
      <alignment horizontal="left" vertical="center" wrapText="1"/>
    </xf>
    <xf numFmtId="9" fontId="31" fillId="0" borderId="37" xfId="112" applyNumberFormat="1" applyFont="1" applyBorder="1" applyAlignment="1">
      <alignment horizontal="left" vertical="center" wrapText="1"/>
    </xf>
    <xf numFmtId="0" fontId="31" fillId="0" borderId="12" xfId="112" applyFont="1" applyBorder="1" applyAlignment="1">
      <alignment vertical="center" wrapText="1"/>
    </xf>
    <xf numFmtId="0" fontId="37" fillId="0" borderId="12" xfId="56" applyFont="1" applyBorder="1" applyAlignment="1">
      <alignment horizontal="left" vertical="center" wrapText="1"/>
    </xf>
    <xf numFmtId="169" fontId="38" fillId="0" borderId="0" xfId="0" applyNumberFormat="1" applyFont="1" applyAlignment="1">
      <alignment horizontal="center" vertical="center"/>
    </xf>
    <xf numFmtId="0" fontId="38" fillId="0" borderId="16" xfId="0" applyFont="1" applyBorder="1" applyAlignment="1">
      <alignment horizontal="center" vertical="center" wrapText="1"/>
    </xf>
    <xf numFmtId="0" fontId="31" fillId="0" borderId="16" xfId="0" applyFont="1" applyBorder="1" applyAlignment="1">
      <alignment horizontal="justify" vertical="center" wrapText="1"/>
    </xf>
    <xf numFmtId="0" fontId="32" fillId="2" borderId="13" xfId="56" applyFont="1" applyFill="1" applyBorder="1" applyAlignment="1">
      <alignment horizontal="center" vertical="center"/>
    </xf>
    <xf numFmtId="170" fontId="6" fillId="0" borderId="0" xfId="82" applyNumberFormat="1" applyFont="1" applyAlignment="1" applyProtection="1">
      <alignment horizontal="right" vertical="center"/>
      <protection locked="0"/>
    </xf>
    <xf numFmtId="0" fontId="120" fillId="0" borderId="0" xfId="81" applyFont="1" applyAlignment="1">
      <alignment horizontal="right" vertical="center"/>
    </xf>
    <xf numFmtId="0" fontId="121" fillId="0" borderId="0" xfId="0" applyFont="1" applyAlignment="1">
      <alignment horizontal="left" indent="2"/>
    </xf>
    <xf numFmtId="0" fontId="120" fillId="0" borderId="0" xfId="81" applyFont="1" applyAlignment="1">
      <alignment horizontal="left" vertical="center"/>
    </xf>
    <xf numFmtId="0" fontId="37" fillId="0" borderId="10" xfId="56" applyFont="1" applyBorder="1" applyAlignment="1">
      <alignment horizontal="left"/>
    </xf>
    <xf numFmtId="0" fontId="38" fillId="0" borderId="11" xfId="0" applyFont="1" applyBorder="1"/>
    <xf numFmtId="0" fontId="37" fillId="0" borderId="13" xfId="56" applyFont="1" applyBorder="1" applyAlignment="1">
      <alignment horizontal="left" vertical="center"/>
    </xf>
    <xf numFmtId="0" fontId="38" fillId="0" borderId="11" xfId="79" applyFont="1" applyBorder="1" applyAlignment="1">
      <alignment vertical="center" wrapText="1"/>
    </xf>
    <xf numFmtId="0" fontId="38" fillId="0" borderId="11" xfId="79" applyFont="1" applyBorder="1" applyAlignment="1">
      <alignment horizontal="left" vertical="center" wrapText="1"/>
    </xf>
    <xf numFmtId="0" fontId="38" fillId="0" borderId="12" xfId="80" applyFont="1" applyBorder="1" applyAlignment="1">
      <alignment horizontal="left" vertical="center" wrapText="1"/>
    </xf>
    <xf numFmtId="0" fontId="109" fillId="0" borderId="10" xfId="56" applyFont="1" applyFill="1" applyBorder="1" applyAlignment="1">
      <alignment horizontal="left"/>
    </xf>
    <xf numFmtId="0" fontId="30" fillId="0" borderId="0" xfId="0" applyFont="1" applyAlignment="1">
      <alignment horizontal="center"/>
    </xf>
    <xf numFmtId="0" fontId="37" fillId="0" borderId="12" xfId="56" applyFont="1" applyBorder="1" applyAlignment="1">
      <alignment vertical="center" wrapText="1"/>
    </xf>
    <xf numFmtId="0" fontId="37" fillId="0" borderId="13" xfId="56" applyFont="1" applyBorder="1" applyAlignment="1">
      <alignment horizontal="center" vertical="center"/>
    </xf>
    <xf numFmtId="0" fontId="49" fillId="0" borderId="0" xfId="112" applyFont="1" applyAlignment="1">
      <alignment horizontal="left" vertical="center" wrapText="1"/>
    </xf>
    <xf numFmtId="0" fontId="35" fillId="0" borderId="0" xfId="112" applyFont="1" applyAlignment="1">
      <alignment horizontal="left" vertical="center" wrapText="1"/>
    </xf>
    <xf numFmtId="0" fontId="35" fillId="0" borderId="41" xfId="112" applyFont="1" applyBorder="1" applyAlignment="1">
      <alignment horizontal="left" vertical="center" wrapText="1"/>
    </xf>
    <xf numFmtId="0" fontId="31" fillId="0" borderId="43" xfId="112" applyFont="1" applyBorder="1" applyAlignment="1">
      <alignment horizontal="center" vertical="center" wrapText="1"/>
    </xf>
    <xf numFmtId="0" fontId="31" fillId="0" borderId="0" xfId="112" applyFont="1" applyAlignment="1">
      <alignment horizontal="center" vertical="center" wrapText="1"/>
    </xf>
    <xf numFmtId="0" fontId="31" fillId="0" borderId="37" xfId="112" applyFont="1" applyBorder="1" applyAlignment="1">
      <alignment horizontal="center" vertical="center" wrapText="1"/>
    </xf>
    <xf numFmtId="0" fontId="100" fillId="0" borderId="0" xfId="112" applyFont="1" applyAlignment="1">
      <alignment horizontal="left"/>
    </xf>
    <xf numFmtId="0" fontId="31" fillId="0" borderId="43" xfId="112" applyFont="1" applyBorder="1" applyAlignment="1">
      <alignment horizontal="left" vertical="center" wrapText="1"/>
    </xf>
    <xf numFmtId="0" fontId="31" fillId="0" borderId="0" xfId="112" applyFont="1" applyAlignment="1">
      <alignment horizontal="left" vertical="center" wrapText="1"/>
    </xf>
    <xf numFmtId="0" fontId="31" fillId="0" borderId="41" xfId="112" applyFont="1" applyBorder="1" applyAlignment="1">
      <alignment horizontal="center" vertical="center" wrapText="1"/>
    </xf>
    <xf numFmtId="0" fontId="35" fillId="0" borderId="43" xfId="112" applyFont="1" applyBorder="1" applyAlignment="1">
      <alignment horizontal="left" vertical="center" wrapText="1" indent="1"/>
    </xf>
    <xf numFmtId="0" fontId="35" fillId="0" borderId="0" xfId="112" applyFont="1" applyAlignment="1">
      <alignment horizontal="left" vertical="center" wrapText="1" indent="1"/>
    </xf>
    <xf numFmtId="0" fontId="35" fillId="0" borderId="41" xfId="112" applyFont="1" applyBorder="1" applyAlignment="1">
      <alignment horizontal="left" vertical="center" wrapText="1" indent="1"/>
    </xf>
    <xf numFmtId="0" fontId="35" fillId="0" borderId="43" xfId="112" applyFont="1" applyBorder="1" applyAlignment="1">
      <alignment horizontal="center" vertical="center" wrapText="1"/>
    </xf>
    <xf numFmtId="0" fontId="35" fillId="0" borderId="0" xfId="112" applyFont="1" applyAlignment="1">
      <alignment horizontal="center" vertical="center" wrapText="1"/>
    </xf>
    <xf numFmtId="0" fontId="35" fillId="0" borderId="41" xfId="112" applyFont="1" applyBorder="1" applyAlignment="1">
      <alignment horizontal="center" vertical="center" wrapText="1"/>
    </xf>
    <xf numFmtId="0" fontId="35" fillId="0" borderId="37" xfId="112" applyFont="1" applyBorder="1" applyAlignment="1">
      <alignment horizontal="left" vertical="center" wrapText="1" indent="1"/>
    </xf>
    <xf numFmtId="0" fontId="35" fillId="0" borderId="37" xfId="112" applyFont="1" applyBorder="1" applyAlignment="1">
      <alignment horizontal="center" vertical="center" wrapText="1"/>
    </xf>
    <xf numFmtId="0" fontId="31" fillId="0" borderId="33" xfId="80" applyFont="1" applyBorder="1" applyAlignment="1">
      <alignment vertical="center" wrapText="1"/>
    </xf>
    <xf numFmtId="0" fontId="31" fillId="0" borderId="0" xfId="80" applyFont="1" applyBorder="1" applyAlignment="1">
      <alignment vertical="center" wrapText="1"/>
    </xf>
    <xf numFmtId="0" fontId="31" fillId="0" borderId="41" xfId="80" applyFont="1" applyBorder="1" applyAlignment="1">
      <alignment vertical="center" wrapText="1"/>
    </xf>
    <xf numFmtId="0" fontId="31" fillId="0" borderId="33" xfId="80" applyFont="1" applyBorder="1" applyAlignment="1">
      <alignment horizontal="center" vertical="center" wrapText="1"/>
    </xf>
    <xf numFmtId="0" fontId="31" fillId="0" borderId="0" xfId="80" applyFont="1" applyBorder="1" applyAlignment="1">
      <alignment horizontal="center" vertical="center" wrapText="1"/>
    </xf>
    <xf numFmtId="0" fontId="31" fillId="0" borderId="12" xfId="80" applyFont="1" applyBorder="1" applyAlignment="1">
      <alignment horizontal="center" vertical="center" wrapText="1"/>
    </xf>
    <xf numFmtId="0" fontId="31" fillId="0" borderId="33" xfId="80" applyFont="1" applyBorder="1" applyAlignment="1">
      <alignment horizontal="left" vertical="center" wrapText="1"/>
    </xf>
    <xf numFmtId="0" fontId="31" fillId="0" borderId="0" xfId="80" applyFont="1" applyBorder="1" applyAlignment="1">
      <alignment horizontal="left" vertical="center" wrapText="1"/>
    </xf>
    <xf numFmtId="0" fontId="31" fillId="0" borderId="12" xfId="80" applyFont="1" applyBorder="1" applyAlignment="1">
      <alignment horizontal="left" vertical="center" wrapText="1"/>
    </xf>
    <xf numFmtId="0" fontId="31" fillId="0" borderId="33" xfId="80" applyFont="1" applyBorder="1" applyAlignment="1">
      <alignment horizontal="justify" vertical="center" wrapText="1"/>
    </xf>
    <xf numFmtId="0" fontId="31" fillId="0" borderId="0" xfId="80" applyFont="1" applyBorder="1" applyAlignment="1">
      <alignment horizontal="justify" vertical="center" wrapText="1"/>
    </xf>
    <xf numFmtId="0" fontId="31" fillId="0" borderId="12" xfId="80" applyFont="1" applyBorder="1" applyAlignment="1">
      <alignment horizontal="justify" vertical="center" wrapText="1"/>
    </xf>
    <xf numFmtId="0" fontId="31" fillId="0" borderId="41" xfId="80" applyFont="1" applyBorder="1" applyAlignment="1">
      <alignment horizontal="left" vertical="center" wrapText="1"/>
    </xf>
    <xf numFmtId="0" fontId="31" fillId="0" borderId="41" xfId="80" applyFont="1" applyBorder="1" applyAlignment="1">
      <alignment horizontal="center" vertical="center" wrapText="1"/>
    </xf>
    <xf numFmtId="0" fontId="0" fillId="0" borderId="0" xfId="0" applyAlignment="1">
      <alignment horizontal="center"/>
    </xf>
    <xf numFmtId="0" fontId="30" fillId="0" borderId="0" xfId="0" applyFont="1" applyAlignment="1">
      <alignment horizontal="left" vertical="center"/>
    </xf>
    <xf numFmtId="0" fontId="31" fillId="0" borderId="0" xfId="0" applyFont="1" applyAlignment="1">
      <alignment horizontal="justify" vertical="center" wrapText="1"/>
    </xf>
    <xf numFmtId="0" fontId="43" fillId="20" borderId="0" xfId="0" applyFont="1" applyFill="1" applyAlignment="1">
      <alignment horizontal="left"/>
    </xf>
    <xf numFmtId="0" fontId="35" fillId="0" borderId="0" xfId="0" applyFont="1" applyAlignment="1">
      <alignment horizontal="justify" vertical="center" wrapText="1"/>
    </xf>
    <xf numFmtId="0" fontId="44" fillId="16" borderId="0" xfId="0" applyFont="1" applyFill="1" applyAlignment="1">
      <alignment horizontal="center"/>
    </xf>
    <xf numFmtId="0" fontId="31" fillId="0" borderId="0" xfId="0" applyFont="1" applyAlignment="1">
      <alignment horizontal="left" vertical="center" wrapText="1"/>
    </xf>
    <xf numFmtId="0" fontId="38" fillId="0" borderId="0" xfId="0" applyFont="1" applyAlignment="1">
      <alignment horizontal="justify" vertical="center" wrapText="1"/>
    </xf>
    <xf numFmtId="0" fontId="43" fillId="20" borderId="0" xfId="0" applyFont="1" applyFill="1" applyAlignment="1">
      <alignment horizontal="left" vertical="center"/>
    </xf>
    <xf numFmtId="0" fontId="10" fillId="0" borderId="0" xfId="2" applyFont="1" applyAlignment="1">
      <alignment horizontal="left" wrapText="1"/>
    </xf>
    <xf numFmtId="0" fontId="10" fillId="0" borderId="0" xfId="2" applyFont="1" applyAlignment="1">
      <alignment horizontal="left"/>
    </xf>
    <xf numFmtId="0" fontId="77" fillId="0" borderId="0" xfId="2" applyFont="1" applyAlignment="1">
      <alignment horizontal="left" vertical="center"/>
    </xf>
    <xf numFmtId="0" fontId="30" fillId="16" borderId="41" xfId="0" applyFont="1" applyFill="1" applyBorder="1" applyAlignment="1">
      <alignment horizontal="center" vertical="center" wrapText="1"/>
    </xf>
    <xf numFmtId="0" fontId="30" fillId="16" borderId="41" xfId="0" applyFont="1" applyFill="1" applyBorder="1" applyAlignment="1">
      <alignment horizontal="center"/>
    </xf>
    <xf numFmtId="0" fontId="106" fillId="0" borderId="0" xfId="0" applyFont="1" applyAlignment="1">
      <alignment vertical="center" wrapText="1"/>
    </xf>
    <xf numFmtId="0" fontId="0" fillId="0" borderId="0" xfId="0" applyAlignment="1">
      <alignment vertical="center"/>
    </xf>
    <xf numFmtId="0" fontId="107" fillId="0" borderId="0" xfId="0" applyFont="1" applyAlignment="1">
      <alignment vertical="center" wrapText="1"/>
    </xf>
    <xf numFmtId="0" fontId="108" fillId="0" borderId="0" xfId="0" applyFont="1" applyAlignment="1">
      <alignment vertical="center"/>
    </xf>
    <xf numFmtId="0" fontId="44" fillId="16" borderId="0" xfId="0" applyFont="1" applyFill="1" applyAlignment="1">
      <alignment horizontal="center" vertical="center"/>
    </xf>
    <xf numFmtId="0" fontId="44" fillId="16" borderId="0" xfId="0" applyFont="1" applyFill="1" applyAlignment="1">
      <alignment horizontal="center" vertical="center" wrapText="1"/>
    </xf>
    <xf numFmtId="0" fontId="31" fillId="0" borderId="25" xfId="13" applyFont="1" applyBorder="1" applyAlignment="1">
      <alignment vertical="center" wrapText="1"/>
    </xf>
    <xf numFmtId="0" fontId="31" fillId="0" borderId="25" xfId="13" applyFont="1" applyBorder="1" applyAlignment="1">
      <alignment horizontal="left" vertical="center" wrapText="1"/>
    </xf>
    <xf numFmtId="0" fontId="35" fillId="0" borderId="0" xfId="0" applyFont="1" applyAlignment="1">
      <alignment horizontal="left" vertical="top" wrapText="1"/>
    </xf>
    <xf numFmtId="0" fontId="31" fillId="0" borderId="0" xfId="0" applyFont="1" applyAlignment="1">
      <alignment horizontal="left" vertical="top" wrapText="1"/>
    </xf>
    <xf numFmtId="0" fontId="30" fillId="16" borderId="0" xfId="0" applyFont="1" applyFill="1" applyAlignment="1">
      <alignment horizontal="center"/>
    </xf>
    <xf numFmtId="0" fontId="31" fillId="0" borderId="0" xfId="0" applyFont="1" applyAlignment="1">
      <alignment vertical="center" wrapText="1"/>
    </xf>
    <xf numFmtId="0" fontId="30" fillId="16" borderId="0" xfId="0" applyFont="1" applyFill="1" applyAlignment="1">
      <alignment horizontal="center" vertical="center"/>
    </xf>
    <xf numFmtId="0" fontId="109" fillId="0" borderId="0" xfId="56" applyFont="1" applyFill="1" applyBorder="1" applyAlignment="1">
      <alignment horizontal="left" vertical="center"/>
    </xf>
    <xf numFmtId="0" fontId="31" fillId="0" borderId="25" xfId="13" applyFont="1" applyBorder="1" applyAlignment="1">
      <alignment horizontal="center" vertical="center" wrapText="1"/>
    </xf>
    <xf numFmtId="0" fontId="110" fillId="0" borderId="0" xfId="56" applyFont="1" applyFill="1" applyBorder="1" applyAlignment="1">
      <alignment horizontal="left" vertical="center"/>
    </xf>
    <xf numFmtId="0" fontId="30" fillId="0" borderId="0" xfId="0" applyFont="1" applyAlignment="1">
      <alignment horizontal="center" vertical="center"/>
    </xf>
    <xf numFmtId="0" fontId="35" fillId="26" borderId="43" xfId="0" applyFont="1" applyFill="1" applyBorder="1" applyAlignment="1">
      <alignment horizontal="left" vertical="center" wrapText="1"/>
    </xf>
    <xf numFmtId="0" fontId="38" fillId="0" borderId="0" xfId="0" applyFont="1" applyAlignment="1">
      <alignment horizontal="left" vertical="center" wrapText="1"/>
    </xf>
    <xf numFmtId="0" fontId="31" fillId="0" borderId="28" xfId="0" applyFont="1" applyBorder="1" applyAlignment="1">
      <alignment horizontal="left" vertical="center" wrapText="1"/>
    </xf>
    <xf numFmtId="0" fontId="31" fillId="0" borderId="29" xfId="0" applyFont="1" applyBorder="1" applyAlignment="1">
      <alignment horizontal="left" vertical="center" wrapText="1"/>
    </xf>
    <xf numFmtId="0" fontId="109" fillId="0" borderId="0" xfId="56" applyFont="1" applyFill="1" applyBorder="1" applyAlignment="1">
      <alignment horizontal="left" vertical="center" wrapText="1"/>
    </xf>
    <xf numFmtId="0" fontId="31" fillId="0" borderId="0" xfId="0" quotePrefix="1" applyFont="1" applyAlignment="1">
      <alignment horizontal="left" vertical="center" wrapText="1"/>
    </xf>
    <xf numFmtId="0" fontId="50" fillId="0" borderId="0" xfId="0" applyFont="1" applyAlignment="1">
      <alignment horizontal="center" vertical="center"/>
    </xf>
    <xf numFmtId="0" fontId="31" fillId="0" borderId="0" xfId="0" applyFont="1" applyAlignment="1">
      <alignment horizontal="left" vertical="center"/>
    </xf>
    <xf numFmtId="9" fontId="50" fillId="0" borderId="0" xfId="83" applyFont="1" applyAlignment="1">
      <alignment horizontal="center" vertical="center"/>
    </xf>
    <xf numFmtId="0" fontId="44" fillId="0" borderId="0" xfId="0" applyFont="1" applyAlignment="1">
      <alignment horizontal="center" vertical="center" wrapText="1"/>
    </xf>
    <xf numFmtId="49" fontId="31" fillId="0" borderId="0" xfId="0" applyNumberFormat="1" applyFont="1" applyAlignment="1">
      <alignment horizontal="center" vertical="center" wrapText="1"/>
    </xf>
    <xf numFmtId="0" fontId="31" fillId="0" borderId="0" xfId="0" applyFont="1" applyAlignment="1">
      <alignment horizontal="left" wrapText="1"/>
    </xf>
    <xf numFmtId="0" fontId="31" fillId="0" borderId="0" xfId="0" applyFont="1" applyAlignment="1">
      <alignment horizontal="center" vertical="center" wrapText="1"/>
    </xf>
    <xf numFmtId="0" fontId="44" fillId="16" borderId="26" xfId="0" applyFont="1" applyFill="1" applyBorder="1" applyAlignment="1">
      <alignment horizontal="center" vertical="center" wrapText="1"/>
    </xf>
    <xf numFmtId="0" fontId="44" fillId="16" borderId="27" xfId="0" applyFont="1" applyFill="1" applyBorder="1" applyAlignment="1">
      <alignment horizontal="center" vertical="center" wrapText="1"/>
    </xf>
    <xf numFmtId="0" fontId="44" fillId="0" borderId="0" xfId="0" applyFont="1" applyAlignment="1">
      <alignment horizontal="center" vertical="center"/>
    </xf>
    <xf numFmtId="0" fontId="31" fillId="0" borderId="25" xfId="0" applyFont="1" applyBorder="1" applyAlignment="1">
      <alignment horizontal="left" vertical="center" wrapText="1"/>
    </xf>
    <xf numFmtId="0" fontId="30" fillId="19" borderId="28" xfId="0" applyFont="1" applyFill="1" applyBorder="1" applyAlignment="1">
      <alignment horizontal="center" vertical="center" wrapText="1"/>
    </xf>
    <xf numFmtId="0" fontId="30" fillId="19" borderId="30" xfId="0" applyFont="1" applyFill="1" applyBorder="1" applyAlignment="1">
      <alignment horizontal="center" vertical="center" wrapText="1"/>
    </xf>
    <xf numFmtId="0" fontId="31" fillId="0" borderId="0" xfId="0" applyFont="1" applyAlignment="1">
      <alignment horizontal="center" vertical="center"/>
    </xf>
    <xf numFmtId="0" fontId="30" fillId="19" borderId="25" xfId="0" applyFont="1" applyFill="1" applyBorder="1" applyAlignment="1">
      <alignment horizontal="left" vertical="center" wrapText="1"/>
    </xf>
    <xf numFmtId="0" fontId="44" fillId="16" borderId="25" xfId="0" applyFont="1" applyFill="1" applyBorder="1" applyAlignment="1">
      <alignment horizontal="center" vertical="center" wrapText="1"/>
    </xf>
    <xf numFmtId="0" fontId="30" fillId="21" borderId="0" xfId="0" applyFont="1" applyFill="1" applyAlignment="1">
      <alignment horizontal="center" vertical="center" wrapText="1"/>
    </xf>
    <xf numFmtId="0" fontId="114" fillId="0" borderId="0" xfId="0" applyFont="1" applyAlignment="1">
      <alignment horizontal="left" vertical="center" wrapText="1"/>
    </xf>
    <xf numFmtId="0" fontId="38" fillId="0" borderId="0" xfId="0" applyFont="1" applyAlignment="1">
      <alignment horizontal="center" vertical="center"/>
    </xf>
    <xf numFmtId="0" fontId="38" fillId="0" borderId="0" xfId="0" applyFont="1" applyAlignment="1">
      <alignment horizontal="left" vertical="center"/>
    </xf>
    <xf numFmtId="0" fontId="31" fillId="0" borderId="0" xfId="0" quotePrefix="1" applyFont="1" applyAlignment="1">
      <alignment horizontal="center" vertical="center" wrapText="1"/>
    </xf>
    <xf numFmtId="0" fontId="30" fillId="0" borderId="0" xfId="0" applyFont="1" applyAlignment="1">
      <alignment horizontal="center" vertical="center" wrapText="1"/>
    </xf>
    <xf numFmtId="169" fontId="38" fillId="0" borderId="0" xfId="0" applyNumberFormat="1" applyFont="1" applyAlignment="1">
      <alignment horizontal="center" vertical="center"/>
    </xf>
    <xf numFmtId="0" fontId="54" fillId="0" borderId="0" xfId="0" applyFont="1" applyAlignment="1">
      <alignment horizontal="center" vertical="center" wrapText="1"/>
    </xf>
    <xf numFmtId="0" fontId="44" fillId="16" borderId="63" xfId="0" applyFont="1" applyFill="1" applyBorder="1" applyAlignment="1">
      <alignment vertical="center" wrapText="1"/>
    </xf>
    <xf numFmtId="0" fontId="44" fillId="16" borderId="64" xfId="0" applyFont="1" applyFill="1" applyBorder="1" applyAlignment="1">
      <alignment vertical="center" wrapText="1"/>
    </xf>
    <xf numFmtId="0" fontId="30" fillId="24" borderId="6" xfId="0" applyFont="1" applyFill="1" applyBorder="1" applyAlignment="1">
      <alignment horizontal="center" vertical="center" wrapText="1"/>
    </xf>
    <xf numFmtId="0" fontId="35" fillId="0" borderId="0" xfId="0" applyFont="1" applyAlignment="1">
      <alignment horizontal="left" vertical="center" wrapText="1"/>
    </xf>
    <xf numFmtId="0" fontId="30" fillId="19" borderId="65" xfId="0" applyFont="1" applyFill="1" applyBorder="1" applyAlignment="1">
      <alignment horizontal="left" vertical="center" wrapText="1"/>
    </xf>
    <xf numFmtId="0" fontId="30" fillId="19" borderId="66" xfId="0" applyFont="1" applyFill="1" applyBorder="1" applyAlignment="1">
      <alignment horizontal="left" vertical="center" wrapText="1"/>
    </xf>
    <xf numFmtId="0" fontId="44" fillId="16" borderId="63" xfId="0" applyFont="1" applyFill="1" applyBorder="1" applyAlignment="1">
      <alignment horizontal="left" vertical="center" wrapText="1"/>
    </xf>
    <xf numFmtId="0" fontId="44" fillId="16" borderId="64" xfId="0" applyFont="1" applyFill="1" applyBorder="1" applyAlignment="1">
      <alignment horizontal="left" vertical="center" wrapText="1"/>
    </xf>
    <xf numFmtId="0" fontId="31" fillId="0" borderId="76" xfId="0" applyFont="1" applyBorder="1" applyAlignment="1">
      <alignment horizontal="left" vertical="center" wrapText="1"/>
    </xf>
    <xf numFmtId="0" fontId="30" fillId="19" borderId="65" xfId="0" applyFont="1" applyFill="1" applyBorder="1" applyAlignment="1">
      <alignment horizontal="center" vertical="center" wrapText="1"/>
    </xf>
    <xf numFmtId="0" fontId="30" fillId="19" borderId="66" xfId="0" applyFont="1" applyFill="1" applyBorder="1" applyAlignment="1">
      <alignment horizontal="center" vertical="center" wrapText="1"/>
    </xf>
    <xf numFmtId="9" fontId="31" fillId="0" borderId="0" xfId="0" applyNumberFormat="1" applyFont="1" applyAlignment="1">
      <alignment horizontal="center" vertical="center"/>
    </xf>
    <xf numFmtId="0" fontId="44" fillId="0" borderId="0" xfId="0" applyFont="1" applyAlignment="1">
      <alignment horizontal="center"/>
    </xf>
    <xf numFmtId="0" fontId="22" fillId="0" borderId="35" xfId="0" applyFont="1" applyBorder="1" applyAlignment="1">
      <alignment horizontal="center"/>
    </xf>
    <xf numFmtId="0" fontId="79" fillId="0" borderId="0" xfId="0" applyFont="1" applyAlignment="1">
      <alignment horizontal="left" vertical="center" wrapText="1"/>
    </xf>
    <xf numFmtId="0" fontId="39" fillId="24" borderId="6" xfId="0" applyFont="1" applyFill="1" applyBorder="1" applyAlignment="1">
      <alignment horizontal="center" vertical="center"/>
    </xf>
    <xf numFmtId="0" fontId="11" fillId="24" borderId="6" xfId="0" applyFont="1" applyFill="1" applyBorder="1" applyAlignment="1">
      <alignment horizontal="center" vertical="center" wrapText="1"/>
    </xf>
    <xf numFmtId="0" fontId="30" fillId="16" borderId="0" xfId="0" applyFont="1" applyFill="1" applyAlignment="1">
      <alignment horizontal="center" vertical="center" wrapText="1"/>
    </xf>
    <xf numFmtId="0" fontId="50" fillId="0" borderId="0" xfId="0" quotePrefix="1" applyFont="1" applyAlignment="1">
      <alignment horizontal="center" vertical="center"/>
    </xf>
    <xf numFmtId="1" fontId="58" fillId="0" borderId="6" xfId="60" applyNumberFormat="1" applyFont="1" applyBorder="1" applyAlignment="1">
      <alignment horizontal="center" vertical="center" wrapText="1"/>
    </xf>
    <xf numFmtId="0" fontId="22" fillId="0" borderId="6" xfId="0" applyFont="1" applyBorder="1" applyAlignment="1">
      <alignment horizontal="center"/>
    </xf>
    <xf numFmtId="0" fontId="68" fillId="0" borderId="0" xfId="0" applyFont="1" applyAlignment="1">
      <alignment horizontal="center" wrapText="1"/>
    </xf>
    <xf numFmtId="49" fontId="31" fillId="0" borderId="0" xfId="0" applyNumberFormat="1" applyFont="1" applyAlignment="1">
      <alignment horizontal="center" vertical="center"/>
    </xf>
    <xf numFmtId="49" fontId="31" fillId="0" borderId="0" xfId="0" quotePrefix="1" applyNumberFormat="1" applyFont="1" applyAlignment="1">
      <alignment horizontal="center" vertical="center"/>
    </xf>
    <xf numFmtId="0" fontId="60" fillId="24" borderId="6" xfId="0" applyFont="1" applyFill="1" applyBorder="1" applyAlignment="1">
      <alignment horizontal="center" vertical="center" readingOrder="1"/>
    </xf>
    <xf numFmtId="0" fontId="22" fillId="24" borderId="35" xfId="0" applyFont="1" applyFill="1" applyBorder="1" applyAlignment="1">
      <alignment horizontal="center" vertical="center" wrapText="1"/>
    </xf>
    <xf numFmtId="0" fontId="98" fillId="0" borderId="0" xfId="6" applyFont="1" applyFill="1" applyBorder="1" applyAlignment="1">
      <alignment horizontal="left" vertical="center" wrapText="1"/>
    </xf>
    <xf numFmtId="0" fontId="99" fillId="37" borderId="0" xfId="6" applyFont="1" applyFill="1" applyAlignment="1">
      <alignment horizontal="center" vertical="center"/>
    </xf>
    <xf numFmtId="0" fontId="31" fillId="0" borderId="0" xfId="0" applyFont="1" applyAlignment="1">
      <alignment horizontal="justify" vertical="center"/>
    </xf>
    <xf numFmtId="0" fontId="30" fillId="0" borderId="0" xfId="0" applyFont="1" applyAlignment="1">
      <alignment horizontal="left" vertical="center" wrapText="1"/>
    </xf>
    <xf numFmtId="0" fontId="31" fillId="0" borderId="14" xfId="80" applyFont="1" applyBorder="1" applyAlignment="1">
      <alignment horizontal="left" vertical="center" wrapText="1"/>
    </xf>
    <xf numFmtId="0" fontId="84" fillId="2" borderId="51" xfId="0" applyFont="1" applyFill="1" applyBorder="1" applyAlignment="1">
      <alignment horizontal="center" vertical="center" wrapText="1"/>
    </xf>
    <xf numFmtId="0" fontId="84" fillId="2" borderId="49" xfId="0" applyFont="1" applyFill="1" applyBorder="1" applyAlignment="1">
      <alignment horizontal="center" vertical="center" wrapText="1"/>
    </xf>
    <xf numFmtId="0" fontId="119" fillId="2" borderId="51" xfId="0" applyFont="1" applyFill="1" applyBorder="1" applyAlignment="1">
      <alignment horizontal="center" vertical="center" wrapText="1"/>
    </xf>
    <xf numFmtId="0" fontId="119" fillId="2" borderId="49" xfId="0" applyFont="1" applyFill="1" applyBorder="1" applyAlignment="1">
      <alignment horizontal="center" vertical="center" wrapText="1"/>
    </xf>
    <xf numFmtId="0" fontId="49" fillId="31" borderId="51" xfId="0" applyFont="1" applyFill="1" applyBorder="1" applyAlignment="1">
      <alignment horizontal="left" vertical="center" wrapText="1"/>
    </xf>
    <xf numFmtId="0" fontId="49" fillId="31" borderId="49" xfId="0" applyFont="1" applyFill="1" applyBorder="1" applyAlignment="1">
      <alignment horizontal="left" vertical="center" wrapText="1"/>
    </xf>
    <xf numFmtId="0" fontId="84" fillId="2" borderId="0" xfId="0" applyFont="1" applyFill="1" applyAlignment="1">
      <alignment horizontal="center" vertical="center" wrapText="1"/>
    </xf>
    <xf numFmtId="0" fontId="119" fillId="2" borderId="0" xfId="0" applyFont="1" applyFill="1" applyAlignment="1">
      <alignment horizontal="center" vertical="center" wrapText="1"/>
    </xf>
    <xf numFmtId="0" fontId="49" fillId="31" borderId="0" xfId="0" applyFont="1" applyFill="1" applyAlignment="1">
      <alignment horizontal="left" vertical="center" wrapText="1"/>
    </xf>
    <xf numFmtId="0" fontId="49" fillId="31" borderId="46" xfId="0" applyFont="1" applyFill="1" applyBorder="1" applyAlignment="1">
      <alignment horizontal="left" vertical="center" wrapText="1"/>
    </xf>
    <xf numFmtId="0" fontId="82" fillId="0" borderId="0" xfId="0" applyFont="1" applyAlignment="1">
      <alignment horizontal="left" vertical="center" wrapText="1"/>
    </xf>
    <xf numFmtId="0" fontId="102" fillId="0" borderId="0" xfId="0" applyFont="1" applyAlignment="1">
      <alignment horizontal="left" vertical="center" wrapText="1"/>
    </xf>
    <xf numFmtId="0" fontId="41" fillId="34" borderId="84" xfId="115" applyFont="1" applyFill="1" applyBorder="1" applyAlignment="1">
      <alignment horizontal="center" vertical="center"/>
    </xf>
    <xf numFmtId="0" fontId="41" fillId="34" borderId="81" xfId="115" applyFont="1" applyFill="1" applyBorder="1" applyAlignment="1">
      <alignment horizontal="center" vertical="center"/>
    </xf>
    <xf numFmtId="0" fontId="41" fillId="39" borderId="85" xfId="116" applyFont="1" applyFill="1" applyBorder="1" applyAlignment="1">
      <alignment horizontal="left" vertical="center"/>
    </xf>
    <xf numFmtId="0" fontId="41" fillId="39" borderId="81" xfId="116" applyFont="1" applyFill="1" applyBorder="1" applyAlignment="1">
      <alignment horizontal="left" vertical="center"/>
    </xf>
    <xf numFmtId="0" fontId="31" fillId="2" borderId="78" xfId="0" applyFont="1" applyFill="1" applyBorder="1" applyAlignment="1">
      <alignment horizontal="left" vertical="center" wrapText="1"/>
    </xf>
    <xf numFmtId="0" fontId="31" fillId="2" borderId="80" xfId="0" applyFont="1" applyFill="1" applyBorder="1" applyAlignment="1">
      <alignment horizontal="left" vertical="center" wrapText="1"/>
    </xf>
    <xf numFmtId="0" fontId="31" fillId="2" borderId="0" xfId="0" applyFont="1" applyFill="1" applyAlignment="1">
      <alignment horizontal="left" vertical="center" wrapText="1"/>
    </xf>
    <xf numFmtId="0" fontId="31" fillId="2" borderId="79" xfId="0" applyFont="1" applyFill="1" applyBorder="1" applyAlignment="1">
      <alignment horizontal="left" vertical="center" wrapText="1"/>
    </xf>
    <xf numFmtId="0" fontId="31" fillId="2" borderId="88" xfId="0" applyFont="1" applyFill="1" applyBorder="1" applyAlignment="1">
      <alignment horizontal="left" vertical="center" wrapText="1"/>
    </xf>
    <xf numFmtId="49" fontId="38" fillId="0" borderId="38" xfId="0" quotePrefix="1" applyNumberFormat="1" applyFont="1" applyBorder="1" applyAlignment="1">
      <alignment horizontal="center" vertical="center" wrapText="1"/>
    </xf>
    <xf numFmtId="49" fontId="38" fillId="0" borderId="39" xfId="0" quotePrefix="1" applyNumberFormat="1" applyFont="1" applyBorder="1" applyAlignment="1">
      <alignment horizontal="center" vertical="center" wrapText="1"/>
    </xf>
    <xf numFmtId="0" fontId="31" fillId="0" borderId="38" xfId="0" applyFont="1" applyBorder="1" applyAlignment="1">
      <alignment horizontal="left" vertical="center" wrapText="1"/>
    </xf>
    <xf numFmtId="0" fontId="31" fillId="0" borderId="39" xfId="0" applyFont="1" applyBorder="1" applyAlignment="1">
      <alignment horizontal="left" vertical="center" wrapText="1"/>
    </xf>
    <xf numFmtId="0" fontId="31" fillId="0" borderId="38" xfId="0" applyFont="1" applyBorder="1" applyAlignment="1">
      <alignment horizontal="left" vertical="top" wrapText="1"/>
    </xf>
    <xf numFmtId="0" fontId="31" fillId="0" borderId="39" xfId="0" applyFont="1" applyBorder="1" applyAlignment="1">
      <alignment horizontal="left" vertical="top" wrapText="1"/>
    </xf>
    <xf numFmtId="0" fontId="31" fillId="0" borderId="38" xfId="0" applyFont="1" applyBorder="1" applyAlignment="1">
      <alignment horizontal="center" vertical="center" wrapText="1"/>
    </xf>
    <xf numFmtId="0" fontId="31" fillId="0" borderId="39" xfId="0" applyFont="1" applyBorder="1" applyAlignment="1">
      <alignment horizontal="center" vertical="center" wrapText="1"/>
    </xf>
    <xf numFmtId="49" fontId="38" fillId="0" borderId="38" xfId="0" quotePrefix="1" applyNumberFormat="1" applyFont="1" applyBorder="1" applyAlignment="1">
      <alignment horizontal="left" vertical="center" wrapText="1"/>
    </xf>
    <xf numFmtId="49" fontId="38" fillId="0" borderId="39" xfId="0" quotePrefix="1" applyNumberFormat="1" applyFont="1" applyBorder="1" applyAlignment="1">
      <alignment horizontal="left" vertical="center" wrapText="1"/>
    </xf>
    <xf numFmtId="0" fontId="31" fillId="0" borderId="38" xfId="0" quotePrefix="1" applyFont="1" applyBorder="1" applyAlignment="1">
      <alignment horizontal="left" vertical="center" wrapText="1"/>
    </xf>
    <xf numFmtId="0" fontId="31" fillId="0" borderId="75" xfId="0" applyFont="1" applyBorder="1" applyAlignment="1">
      <alignment horizontal="center" vertical="center" wrapText="1"/>
    </xf>
    <xf numFmtId="0" fontId="31" fillId="0" borderId="73" xfId="0" applyFont="1" applyBorder="1" applyAlignment="1">
      <alignment horizontal="center" vertical="center" wrapText="1"/>
    </xf>
    <xf numFmtId="49" fontId="31" fillId="0" borderId="38" xfId="0" quotePrefix="1" applyNumberFormat="1" applyFont="1" applyBorder="1" applyAlignment="1">
      <alignment horizontal="left" vertical="center" wrapText="1"/>
    </xf>
    <xf numFmtId="49" fontId="31" fillId="0" borderId="39" xfId="0" quotePrefix="1" applyNumberFormat="1" applyFont="1" applyBorder="1" applyAlignment="1">
      <alignment horizontal="left" vertical="center" wrapText="1"/>
    </xf>
    <xf numFmtId="49" fontId="38" fillId="0" borderId="75" xfId="0" quotePrefix="1" applyNumberFormat="1" applyFont="1" applyBorder="1" applyAlignment="1">
      <alignment horizontal="center" vertical="center" wrapText="1"/>
    </xf>
    <xf numFmtId="49" fontId="38" fillId="0" borderId="73" xfId="0" quotePrefix="1" applyNumberFormat="1" applyFont="1" applyBorder="1" applyAlignment="1">
      <alignment horizontal="center" vertical="center" wrapText="1"/>
    </xf>
    <xf numFmtId="0" fontId="31" fillId="0" borderId="75" xfId="0" applyFont="1" applyBorder="1" applyAlignment="1">
      <alignment horizontal="left" vertical="center" wrapText="1"/>
    </xf>
    <xf numFmtId="0" fontId="31" fillId="0" borderId="73" xfId="0" applyFont="1" applyBorder="1" applyAlignment="1">
      <alignment horizontal="left" vertical="center" wrapText="1"/>
    </xf>
    <xf numFmtId="0" fontId="31" fillId="0" borderId="75" xfId="0" quotePrefix="1" applyFont="1" applyBorder="1" applyAlignment="1">
      <alignment vertical="center" wrapText="1"/>
    </xf>
    <xf numFmtId="0" fontId="31" fillId="0" borderId="73" xfId="0" quotePrefix="1" applyFont="1" applyBorder="1" applyAlignment="1">
      <alignment vertical="center" wrapText="1"/>
    </xf>
    <xf numFmtId="0" fontId="31" fillId="0" borderId="99" xfId="0" applyFont="1" applyBorder="1" applyAlignment="1">
      <alignment horizontal="center" vertical="center" wrapText="1"/>
    </xf>
    <xf numFmtId="49" fontId="38" fillId="0" borderId="6" xfId="0" quotePrefix="1" applyNumberFormat="1" applyFont="1" applyBorder="1" applyAlignment="1">
      <alignment horizontal="center" vertical="center" wrapText="1"/>
    </xf>
    <xf numFmtId="0" fontId="31" fillId="0" borderId="6" xfId="0" applyFont="1" applyBorder="1" applyAlignment="1">
      <alignment horizontal="left" vertical="center" wrapText="1"/>
    </xf>
    <xf numFmtId="0" fontId="31" fillId="0" borderId="6" xfId="0" quotePrefix="1" applyFont="1" applyBorder="1" applyAlignment="1">
      <alignment horizontal="left" vertical="center" wrapText="1"/>
    </xf>
    <xf numFmtId="0" fontId="31" fillId="0" borderId="6" xfId="0" applyFont="1" applyBorder="1" applyAlignment="1">
      <alignment horizontal="center" vertical="center" wrapText="1"/>
    </xf>
    <xf numFmtId="0" fontId="38" fillId="0" borderId="75" xfId="0" applyFont="1" applyBorder="1" applyAlignment="1">
      <alignment horizontal="center" vertical="center" wrapText="1"/>
    </xf>
    <xf numFmtId="0" fontId="38" fillId="0" borderId="73" xfId="0" applyFont="1" applyBorder="1" applyAlignment="1">
      <alignment horizontal="center" vertical="center" wrapText="1"/>
    </xf>
    <xf numFmtId="0" fontId="31" fillId="0" borderId="39" xfId="0" quotePrefix="1" applyFont="1" applyBorder="1" applyAlignment="1">
      <alignment horizontal="left" vertical="center" wrapText="1"/>
    </xf>
    <xf numFmtId="0" fontId="31" fillId="0" borderId="73" xfId="0" applyFont="1" applyBorder="1" applyAlignment="1">
      <alignment horizontal="left" vertical="top" wrapText="1"/>
    </xf>
    <xf numFmtId="0" fontId="100" fillId="0" borderId="0" xfId="0" applyFont="1"/>
  </cellXfs>
  <cellStyles count="393">
    <cellStyle name="60% - Accent6" xfId="116" builtinId="52"/>
    <cellStyle name="Accent6" xfId="115" builtinId="49"/>
    <cellStyle name="attributeColumnHeader" xfId="8" xr:uid="{62260716-6599-4145-9AA3-3089F004A892}"/>
    <cellStyle name="attributeColumnHeader 3" xfId="29" xr:uid="{3BEFC7FB-2D4E-430F-AFD3-4C316482F044}"/>
    <cellStyle name="columnHeader" xfId="7" xr:uid="{65B65E67-76B6-4590-A821-405AB962BD2D}"/>
    <cellStyle name="columnHeader 2" xfId="35" xr:uid="{C634194B-EF1E-4051-871D-33EFC1B39BA0}"/>
    <cellStyle name="columnHeader 2 2" xfId="75" xr:uid="{1F843748-8F17-4571-8FFC-2E75C9255A77}"/>
    <cellStyle name="columnHeader 3" xfId="30" xr:uid="{34F049DA-F5DB-49C1-9CB5-21B40CB9E9D2}"/>
    <cellStyle name="columnHeader 4" xfId="38" xr:uid="{D666F93A-5017-4F8E-AB5D-CB922474B3F4}"/>
    <cellStyle name="columnHeader 5" xfId="50" xr:uid="{127C85EE-586E-4FA8-8168-897AD5587DD1}"/>
    <cellStyle name="columnHeader 6" xfId="51" xr:uid="{5676EBF7-3092-417F-AD31-7910DCB9E833}"/>
    <cellStyle name="Comma" xfId="82" builtinId="3"/>
    <cellStyle name="Comma 2" xfId="16" xr:uid="{B19474C1-5311-4F06-8A35-6890F7983214}"/>
    <cellStyle name="Comma 2 2" xfId="61" xr:uid="{89F2E936-E958-49FE-A3CB-46C902BACA17}"/>
    <cellStyle name="Comma 2 2 2" xfId="98" xr:uid="{C4E6572D-0000-4E9C-9E0D-AA5850751A0B}"/>
    <cellStyle name="Comma 2 2 2 2" xfId="199" xr:uid="{94A8B359-B057-46F6-A38D-26C7D819EE9F}"/>
    <cellStyle name="Comma 2 2 2 2 2" xfId="209" xr:uid="{CAE3D1F7-34DF-4606-9ABB-210174E1775D}"/>
    <cellStyle name="Comma 2 2 2 2 3" xfId="383" xr:uid="{F51DD9FD-A23C-4FE1-A055-B12B14D6EC15}"/>
    <cellStyle name="Comma 2 2 2 3" xfId="153" xr:uid="{006811C2-A5C3-4E44-9FCF-2E21A92CB178}"/>
    <cellStyle name="Comma 2 2 2 4" xfId="210" xr:uid="{F001DC0F-D977-480C-8C9C-CEBC35812A44}"/>
    <cellStyle name="Comma 2 2 2 5" xfId="337" xr:uid="{847240B1-8E41-4AD6-8785-3969E52DA62E}"/>
    <cellStyle name="Comma 2 2 3" xfId="176" xr:uid="{6CA46C6B-D6A8-410E-9C1E-1CA572E5708A}"/>
    <cellStyle name="Comma 2 2 3 2" xfId="211" xr:uid="{88F6937B-3658-48AA-A7CA-1B7F2E898CC4}"/>
    <cellStyle name="Comma 2 2 3 3" xfId="360" xr:uid="{AE2C224F-F4E0-4B4F-994B-D71F8DC165C5}"/>
    <cellStyle name="Comma 2 2 4" xfId="130" xr:uid="{08B267CE-2203-464A-A3FC-8D63D2139C3F}"/>
    <cellStyle name="Comma 2 2 5" xfId="212" xr:uid="{60BD2213-4DBA-4529-AB14-558CE3AE51E5}"/>
    <cellStyle name="Comma 2 2 6" xfId="314" xr:uid="{46091D60-8EB2-4B5E-8B4E-537E56C2CA79}"/>
    <cellStyle name="Comma 2 3" xfId="86" xr:uid="{F6EEFB82-22D6-4638-9BD0-CCE35D102FA1}"/>
    <cellStyle name="Comma 2 3 2" xfId="188" xr:uid="{9DC73CE1-BFAA-47E7-BCAE-3BC04B5C9D81}"/>
    <cellStyle name="Comma 2 3 2 2" xfId="213" xr:uid="{1E904F04-319B-4130-A3AC-36BB7D41236A}"/>
    <cellStyle name="Comma 2 3 2 3" xfId="372" xr:uid="{07A77FC7-A075-41C7-AE67-C04B2112CA5F}"/>
    <cellStyle name="Comma 2 3 3" xfId="142" xr:uid="{CFEE3AC9-D32E-4D39-9436-CA218507072A}"/>
    <cellStyle name="Comma 2 3 4" xfId="214" xr:uid="{F0495E8E-FC21-4F6B-9B36-29F04190F4F5}"/>
    <cellStyle name="Comma 2 3 5" xfId="326" xr:uid="{78C017C2-D5FB-4196-BEA1-6E48663EDA71}"/>
    <cellStyle name="Comma 2 4" xfId="165" xr:uid="{843EF61F-AE1B-4CBE-AF59-F050EDBB2F9B}"/>
    <cellStyle name="Comma 2 4 2" xfId="215" xr:uid="{E5886598-A4B1-4CFC-9AD6-B2CEC54DE140}"/>
    <cellStyle name="Comma 2 4 3" xfId="349" xr:uid="{B96CEE6F-AFCB-4C60-8AB6-DF0D7EB4612A}"/>
    <cellStyle name="Comma 2 5" xfId="119" xr:uid="{28C323E5-10CA-4568-B15C-13EAD759E197}"/>
    <cellStyle name="Comma 2 6" xfId="26" xr:uid="{E8D3E214-5F94-40D1-B0A9-BD420762BB16}"/>
    <cellStyle name="Comma 2 6 2" xfId="63" xr:uid="{2CB72809-F381-4306-8950-0B69C584DD1A}"/>
    <cellStyle name="Comma 2 6 2 2" xfId="99" xr:uid="{B3FB2DC7-76BD-4ED5-8BDE-7CA634D5E4F4}"/>
    <cellStyle name="Comma 2 6 2 2 2" xfId="200" xr:uid="{255281B2-D1F2-4AEB-8B18-101DCD559BAE}"/>
    <cellStyle name="Comma 2 6 2 2 2 2" xfId="216" xr:uid="{B20FAA89-FFB0-42A5-8C00-38B3991D4BCB}"/>
    <cellStyle name="Comma 2 6 2 2 2 3" xfId="384" xr:uid="{C22D5526-920A-4551-857A-0D70EA7FCFD3}"/>
    <cellStyle name="Comma 2 6 2 2 3" xfId="154" xr:uid="{51088E40-C0D8-4CF2-B6FE-B0D48F145041}"/>
    <cellStyle name="Comma 2 6 2 2 4" xfId="217" xr:uid="{B9B2F740-4119-4DC6-89A6-FA84AF30B216}"/>
    <cellStyle name="Comma 2 6 2 2 5" xfId="338" xr:uid="{C533A204-BE49-4FBD-971C-3B3F158DCEF2}"/>
    <cellStyle name="Comma 2 6 2 3" xfId="177" xr:uid="{B0087C8B-E9CD-49F9-A674-68E5BE2AB9DE}"/>
    <cellStyle name="Comma 2 6 2 3 2" xfId="218" xr:uid="{80C4C8AB-7D07-4F61-9E24-F30C7908C01B}"/>
    <cellStyle name="Comma 2 6 2 3 3" xfId="361" xr:uid="{75B9A254-34EE-40B1-9919-F7E5A696DEEA}"/>
    <cellStyle name="Comma 2 6 2 4" xfId="131" xr:uid="{2E0E0E9B-A1C5-4EE7-98E3-318F5C213343}"/>
    <cellStyle name="Comma 2 6 2 5" xfId="219" xr:uid="{4DB836C5-EE23-424F-AD06-CE010CF2A7E8}"/>
    <cellStyle name="Comma 2 6 2 6" xfId="315" xr:uid="{1C9B51C1-1719-4738-BFC4-7FDA787854D8}"/>
    <cellStyle name="Comma 2 6 3" xfId="87" xr:uid="{49439BA1-D5D4-4D06-8D96-FA13EF695CE4}"/>
    <cellStyle name="Comma 2 6 3 2" xfId="189" xr:uid="{FCC608D2-E6A7-4526-9378-34DFEB25155A}"/>
    <cellStyle name="Comma 2 6 3 2 2" xfId="220" xr:uid="{164645EA-C322-47CC-A42E-7A2D630436DA}"/>
    <cellStyle name="Comma 2 6 3 2 3" xfId="373" xr:uid="{C589EC3D-C87B-41A9-A28D-F3B2DC6C72BD}"/>
    <cellStyle name="Comma 2 6 3 3" xfId="143" xr:uid="{ACFE9105-4291-4F8F-BCFF-023FDC77ABCB}"/>
    <cellStyle name="Comma 2 6 3 4" xfId="221" xr:uid="{3018CEFA-8F3E-40CC-810E-9D469FFE20A8}"/>
    <cellStyle name="Comma 2 6 3 5" xfId="327" xr:uid="{D31A1093-7556-4612-8EC1-89E3053C1579}"/>
    <cellStyle name="Comma 2 6 4" xfId="166" xr:uid="{017F614E-7D5E-4AB9-B7C7-E0872AF9A636}"/>
    <cellStyle name="Comma 2 6 4 2" xfId="222" xr:uid="{E888E9D0-A879-4222-8727-EB8F59CD17AC}"/>
    <cellStyle name="Comma 2 6 4 3" xfId="350" xr:uid="{22F1E191-F5FB-4814-8F64-E8FA235E88C2}"/>
    <cellStyle name="Comma 2 6 5" xfId="120" xr:uid="{03167126-0DA2-44C9-875F-410034916211}"/>
    <cellStyle name="Comma 2 6 6" xfId="223" xr:uid="{6462DF80-B6CC-4719-B75A-6503AC923DC8}"/>
    <cellStyle name="Comma 2 6 7" xfId="304" xr:uid="{151DF2E5-5CD1-4252-A5E8-70828FF53591}"/>
    <cellStyle name="Comma 2 7" xfId="224" xr:uid="{44A942CA-547B-46F2-846F-525CD32CA985}"/>
    <cellStyle name="Comma 2 8" xfId="303" xr:uid="{A147637B-4AD5-475A-8C44-D45A2BA5947B}"/>
    <cellStyle name="Comma 3" xfId="5" xr:uid="{7674F85D-96AD-40EF-9921-133B89901112}"/>
    <cellStyle name="Comma 3 2" xfId="59" xr:uid="{F843B532-9DE9-4F6B-94CC-1FD9623C76EE}"/>
    <cellStyle name="Comma 3 2 2" xfId="96" xr:uid="{5645A716-B4AD-4199-B9F9-E64739776D78}"/>
    <cellStyle name="Comma 3 2 2 2" xfId="197" xr:uid="{942559BF-0346-43B1-ACE4-F0AFF66ADE55}"/>
    <cellStyle name="Comma 3 2 2 2 2" xfId="225" xr:uid="{69157681-70DF-4390-B070-CF400BFCD200}"/>
    <cellStyle name="Comma 3 2 2 2 3" xfId="381" xr:uid="{DA885166-077B-4457-96C5-65048AD9BAE8}"/>
    <cellStyle name="Comma 3 2 2 3" xfId="151" xr:uid="{C51F494D-2126-4F72-815B-373F63A69534}"/>
    <cellStyle name="Comma 3 2 2 4" xfId="226" xr:uid="{25A990AA-9255-4C78-8D39-38C3826C10CB}"/>
    <cellStyle name="Comma 3 2 2 5" xfId="335" xr:uid="{8E0A3F4B-F7A3-43DD-87DF-DB6D49C3EA54}"/>
    <cellStyle name="Comma 3 2 3" xfId="174" xr:uid="{F36CC482-252C-4057-BB1E-C5F362A41445}"/>
    <cellStyle name="Comma 3 2 3 2" xfId="227" xr:uid="{EDF67D8B-FDC7-446F-9095-052B787DC0EF}"/>
    <cellStyle name="Comma 3 2 3 3" xfId="358" xr:uid="{8F6F6F58-8FA6-4203-BDA5-6553B3C9C44D}"/>
    <cellStyle name="Comma 3 2 4" xfId="128" xr:uid="{01CFFF36-C633-4A11-9240-10D0D5AAE247}"/>
    <cellStyle name="Comma 3 2 5" xfId="228" xr:uid="{4BF3AFBC-8066-4B64-B011-9B67EC9A3A5B}"/>
    <cellStyle name="Comma 3 2 6" xfId="312" xr:uid="{DACF8C12-1C93-4F8E-BF46-CFAF90926812}"/>
    <cellStyle name="Comma 3 3" xfId="84" xr:uid="{AAF16461-D939-4A51-963D-634EFFCB22C2}"/>
    <cellStyle name="Comma 3 3 2" xfId="186" xr:uid="{CE6BBE92-FD5B-4688-9B83-EB45EADB499A}"/>
    <cellStyle name="Comma 3 3 2 2" xfId="229" xr:uid="{F39EEAF1-D274-475F-BFFE-118569BA4C92}"/>
    <cellStyle name="Comma 3 3 2 3" xfId="370" xr:uid="{60C2B91E-80D3-44B6-AA6A-98A979CBF0A7}"/>
    <cellStyle name="Comma 3 3 3" xfId="140" xr:uid="{0522EBC1-DAA6-42D6-B466-6652F9599EF4}"/>
    <cellStyle name="Comma 3 3 4" xfId="230" xr:uid="{89EFA7FF-E386-4CA8-B297-9DCE8F16098F}"/>
    <cellStyle name="Comma 3 3 5" xfId="324" xr:uid="{938A8B2C-EB55-4E2D-8BF0-7EEEE9279625}"/>
    <cellStyle name="Comma 3 4" xfId="163" xr:uid="{1C3FFCB3-F413-45A6-8CD8-062E85CD84C2}"/>
    <cellStyle name="Comma 3 4 2" xfId="231" xr:uid="{BF5A4150-8496-4C2B-A0F3-5D6ECB410A04}"/>
    <cellStyle name="Comma 3 4 3" xfId="347" xr:uid="{AA91FB8F-26D0-457A-901F-EDE8D772CA59}"/>
    <cellStyle name="Comma 3 5" xfId="117" xr:uid="{AD762120-3A78-4611-9B6C-08920D438A90}"/>
    <cellStyle name="Comma 3 6" xfId="232" xr:uid="{2CA9B761-0E5C-4B5C-83C1-735A4CBE148A}"/>
    <cellStyle name="Comma 3 7" xfId="301" xr:uid="{93EEE31E-5F76-4222-80C5-58D2B54F4237}"/>
    <cellStyle name="Comma 4" xfId="57" xr:uid="{BE5DF359-C31C-47B2-B4F2-A5C69759DBF9}"/>
    <cellStyle name="Comma 4 2" xfId="94" xr:uid="{3B9F40DA-7A7D-4EDE-A69A-40F3E29C0ECA}"/>
    <cellStyle name="Comma 4 2 2" xfId="196" xr:uid="{CCDB0F78-CAFF-41CF-9E58-857F529C715F}"/>
    <cellStyle name="Comma 4 2 2 2" xfId="233" xr:uid="{58B50262-51E4-4907-AC10-252F00A97F3C}"/>
    <cellStyle name="Comma 4 2 2 3" xfId="380" xr:uid="{4F19BFDA-EFB9-4DEA-9E04-3057F3C2D2C4}"/>
    <cellStyle name="Comma 4 2 3" xfId="150" xr:uid="{1AD02237-2C2B-4CC0-9CBB-DD01DF56632C}"/>
    <cellStyle name="Comma 4 2 4" xfId="234" xr:uid="{B6557018-CB5C-4747-B2F5-B8F45115153F}"/>
    <cellStyle name="Comma 4 2 5" xfId="334" xr:uid="{5E9AB816-9808-45C4-A4FF-16BA530C7E3E}"/>
    <cellStyle name="Comma 4 3" xfId="173" xr:uid="{8E009D1B-0709-487F-A873-055FEBFA0CB9}"/>
    <cellStyle name="Comma 4 3 2" xfId="235" xr:uid="{925F5BF1-C9E7-4435-886A-9637A274030A}"/>
    <cellStyle name="Comma 4 3 3" xfId="357" xr:uid="{88A986BA-AF82-4873-98BC-5D9D5293BC4B}"/>
    <cellStyle name="Comma 4 4" xfId="127" xr:uid="{F471BC2A-7D20-4EF5-A69E-F0CF3B42A05F}"/>
    <cellStyle name="Comma 4 5" xfId="236" xr:uid="{D4A0FD60-5C4B-49F2-8618-81E0B563EF15}"/>
    <cellStyle name="Comma 4 6" xfId="311" xr:uid="{42961D94-F05F-4A4A-B6EF-2EEFEA9960ED}"/>
    <cellStyle name="Comma 5" xfId="74" xr:uid="{0E8D2AC4-C878-4CB2-8038-A0C6C371799E}"/>
    <cellStyle name="Comma 5 2" xfId="109" xr:uid="{CAD77788-1567-40DB-A3C0-F30ABFBE4CF0}"/>
    <cellStyle name="Comma 5 2 2" xfId="207" xr:uid="{C5B1DBCE-20B6-4E97-9365-3EC341FC0D85}"/>
    <cellStyle name="Comma 5 2 2 2" xfId="237" xr:uid="{802C9B85-A72E-44EF-ABAE-7E21F6D44545}"/>
    <cellStyle name="Comma 5 2 2 3" xfId="391" xr:uid="{672D9297-FD53-4D6E-ADCF-D75CB5022570}"/>
    <cellStyle name="Comma 5 2 3" xfId="161" xr:uid="{6C2B1B78-FA77-4A03-BB6F-5AA20F75E272}"/>
    <cellStyle name="Comma 5 2 4" xfId="238" xr:uid="{8172F87A-CA1E-4134-B7ED-C260E980BB7B}"/>
    <cellStyle name="Comma 5 2 5" xfId="345" xr:uid="{58ECA618-DFAC-4DB4-BCD0-340031A74142}"/>
    <cellStyle name="Comma 5 3" xfId="184" xr:uid="{A5A6BA9D-B038-4BB8-ABB1-1C3031377926}"/>
    <cellStyle name="Comma 5 3 2" xfId="239" xr:uid="{2F814C62-CA0A-4C2E-8A9E-58A67217F083}"/>
    <cellStyle name="Comma 5 3 3" xfId="368" xr:uid="{44E1B7DA-19EB-4C15-B1B4-F2244C6DBF58}"/>
    <cellStyle name="Comma 5 4" xfId="138" xr:uid="{A3C30EAF-0F75-4E5B-8216-5DA1171D70CD}"/>
    <cellStyle name="Comma 5 5" xfId="240" xr:uid="{B645995C-8497-4298-8064-0586675B00E2}"/>
    <cellStyle name="Comma 5 6" xfId="322" xr:uid="{700FB861-4BB3-4D20-9D15-23ABE615D5F9}"/>
    <cellStyle name="Comma 7 2" xfId="44" xr:uid="{BC3BCB1D-CEA8-4642-A947-F4A09BDA91D3}"/>
    <cellStyle name="Comma 7 2 2" xfId="67" xr:uid="{C70D858E-2C01-4F37-BE64-81A6011FB57C}"/>
    <cellStyle name="Comma 7 2 2 2" xfId="102" xr:uid="{F9E34BCC-D2B5-49AE-B32A-8255139687D3}"/>
    <cellStyle name="Comma 7 2 2 2 2" xfId="203" xr:uid="{D0D76855-01D1-4166-9754-FB4AFDB37466}"/>
    <cellStyle name="Comma 7 2 2 2 2 2" xfId="241" xr:uid="{F819ADE6-B979-4CA8-8E16-D985A8720D93}"/>
    <cellStyle name="Comma 7 2 2 2 2 3" xfId="387" xr:uid="{465488C0-3B27-42F0-9F17-EA82B27A506A}"/>
    <cellStyle name="Comma 7 2 2 2 3" xfId="157" xr:uid="{62DE546C-91C9-4CE8-BE86-66D57A664EBA}"/>
    <cellStyle name="Comma 7 2 2 2 4" xfId="242" xr:uid="{F7792515-BA47-42D7-8CB3-23B696CFCC6A}"/>
    <cellStyle name="Comma 7 2 2 2 5" xfId="341" xr:uid="{951B3320-B59B-4E21-BF7B-F1799EFEB944}"/>
    <cellStyle name="Comma 7 2 2 3" xfId="180" xr:uid="{1E0274D5-78D1-42B0-A77A-FFBC013A7964}"/>
    <cellStyle name="Comma 7 2 2 3 2" xfId="243" xr:uid="{11AEE10D-4C46-47FA-8F33-F77955204065}"/>
    <cellStyle name="Comma 7 2 2 3 3" xfId="364" xr:uid="{CAD1BAB1-CAF4-4C90-ACD1-AC9E2ED41C64}"/>
    <cellStyle name="Comma 7 2 2 4" xfId="134" xr:uid="{4537EADF-C17F-411E-A766-9B4854DCD44C}"/>
    <cellStyle name="Comma 7 2 2 5" xfId="244" xr:uid="{1D5A020C-D87D-4213-967D-49E02466CB6B}"/>
    <cellStyle name="Comma 7 2 2 6" xfId="318" xr:uid="{001F636B-68DC-4748-8C91-107DEF762012}"/>
    <cellStyle name="Comma 7 2 3" xfId="90" xr:uid="{F133DEEF-B7D0-41A1-BA3E-6E13CA211DDC}"/>
    <cellStyle name="Comma 7 2 3 2" xfId="192" xr:uid="{5BF59E5F-C1AA-4B36-AEB4-AEFFBD25C1F6}"/>
    <cellStyle name="Comma 7 2 3 2 2" xfId="245" xr:uid="{AA2CED3D-6E27-403E-BA69-09E484EC8D88}"/>
    <cellStyle name="Comma 7 2 3 2 3" xfId="376" xr:uid="{2ABF3740-F443-4C6C-9C45-153CCEFCD376}"/>
    <cellStyle name="Comma 7 2 3 3" xfId="146" xr:uid="{E3C2FF10-9CF2-4232-8848-DB5575C8D330}"/>
    <cellStyle name="Comma 7 2 3 4" xfId="246" xr:uid="{F3F25ADA-7E58-49B4-B395-CCA1FC96B6BC}"/>
    <cellStyle name="Comma 7 2 3 5" xfId="330" xr:uid="{143F1CBE-52ED-4F49-94D1-5C33AEC0DF10}"/>
    <cellStyle name="Comma 7 2 4" xfId="169" xr:uid="{9CF150ED-F5DE-45EB-992F-E77E22220B3C}"/>
    <cellStyle name="Comma 7 2 4 2" xfId="247" xr:uid="{659B92E1-BCB5-4A41-8345-766C3A10EF58}"/>
    <cellStyle name="Comma 7 2 4 3" xfId="353" xr:uid="{BC8DA7FD-F82C-4BA0-B23F-B8071A259211}"/>
    <cellStyle name="Comma 7 2 5" xfId="123" xr:uid="{C0D98C39-F014-4B12-82F2-C24E94CE8B64}"/>
    <cellStyle name="Comma 7 2 6" xfId="248" xr:uid="{E0D9C32D-4280-4226-8CFE-6DB53E1BC8F6}"/>
    <cellStyle name="Comma 7 2 7" xfId="307" xr:uid="{BE5EEEDF-8407-439F-9523-8D1FECCDA617}"/>
    <cellStyle name="crossHeader1" xfId="41" xr:uid="{E08BE591-C018-4A54-96A5-59CA9F3C8F92}"/>
    <cellStyle name="Currency 2" xfId="45" xr:uid="{383E5BE0-9837-49BD-84DD-5D3AA725686C}"/>
    <cellStyle name="Currency 2 2" xfId="68" xr:uid="{036AF973-ED68-4B1E-BDDD-0B7077475EDF}"/>
    <cellStyle name="Currency 2 2 2" xfId="103" xr:uid="{D86EB98D-E5C8-4FFA-B48C-E7AD831E4F58}"/>
    <cellStyle name="Currency 2 2 2 2" xfId="204" xr:uid="{E7F1FF8D-C8B8-4AA7-B60C-FD140D18ADC4}"/>
    <cellStyle name="Currency 2 2 2 2 2" xfId="249" xr:uid="{FFB72BF2-0634-4DB7-9D21-D6048E9E8B48}"/>
    <cellStyle name="Currency 2 2 2 2 3" xfId="388" xr:uid="{C2582CED-B0E6-4E07-BE3B-DFCD2D186CE3}"/>
    <cellStyle name="Currency 2 2 2 3" xfId="158" xr:uid="{5ED74655-C2F6-4447-8605-4810CF629FC5}"/>
    <cellStyle name="Currency 2 2 2 4" xfId="250" xr:uid="{83AAEBE4-8AB6-4353-99D4-D45549263877}"/>
    <cellStyle name="Currency 2 2 2 5" xfId="342" xr:uid="{B8EBDCF6-E26A-45D1-A26B-839F7D61A662}"/>
    <cellStyle name="Currency 2 2 3" xfId="181" xr:uid="{327F8885-2DAA-45BF-A46B-9F7455F01F1A}"/>
    <cellStyle name="Currency 2 2 3 2" xfId="251" xr:uid="{CC315C61-5E49-4697-BDF3-5CA973261FE4}"/>
    <cellStyle name="Currency 2 2 3 3" xfId="365" xr:uid="{CABF0248-E8E6-4CCC-B69E-FEA30FA175C2}"/>
    <cellStyle name="Currency 2 2 4" xfId="135" xr:uid="{A9A7F4DB-9E72-4B23-B1D0-6564AC8F108F}"/>
    <cellStyle name="Currency 2 2 5" xfId="252" xr:uid="{1C21852D-CAAA-4BF4-8451-62EFF57BCF98}"/>
    <cellStyle name="Currency 2 2 6" xfId="319" xr:uid="{4F2A6EB6-F5BB-422B-8229-5AC5AB0982E2}"/>
    <cellStyle name="Currency 2 3" xfId="91" xr:uid="{A60B6C56-6FA2-463B-9D84-CD95CCC765C1}"/>
    <cellStyle name="Currency 2 3 2" xfId="193" xr:uid="{492A295F-B22A-4CA5-A18C-C41F7E57EE6B}"/>
    <cellStyle name="Currency 2 3 2 2" xfId="253" xr:uid="{98BC50C7-267E-41B4-A5C9-57860CDB12E1}"/>
    <cellStyle name="Currency 2 3 2 3" xfId="377" xr:uid="{7089327E-8104-4A34-AD1F-2E82AD806DBB}"/>
    <cellStyle name="Currency 2 3 3" xfId="147" xr:uid="{6A66254B-6422-4689-BD0A-3369A577192A}"/>
    <cellStyle name="Currency 2 3 4" xfId="254" xr:uid="{88DB3366-BF8B-49CF-B719-DC2A829C2C7B}"/>
    <cellStyle name="Currency 2 3 5" xfId="331" xr:uid="{007DFFFB-2729-43D0-8D5B-27C82D55C3CC}"/>
    <cellStyle name="Currency 2 4" xfId="170" xr:uid="{8C2E7B8F-A2AF-4AD3-93B2-F07585D7BDCB}"/>
    <cellStyle name="Currency 2 4 2" xfId="255" xr:uid="{7CF1D14A-ED43-4CEC-A257-BF5EE4CB3D2B}"/>
    <cellStyle name="Currency 2 4 3" xfId="354" xr:uid="{99EF80E2-8718-458C-A632-0D654FC8D055}"/>
    <cellStyle name="Currency 2 5" xfId="124" xr:uid="{B5012899-140D-4DED-B561-A3B2EC218AB8}"/>
    <cellStyle name="Currency 2 6" xfId="256" xr:uid="{F73BD149-ED28-4D4A-AFF6-4A571875C86B}"/>
    <cellStyle name="Currency 2 7" xfId="308" xr:uid="{5E7E2703-D4AF-4E4E-8E3D-30C9DB82AB56}"/>
    <cellStyle name="data" xfId="13" xr:uid="{6C2A2681-8C0C-4252-AB31-CC07ED439B9B}"/>
    <cellStyle name="data 2" xfId="24" xr:uid="{56C1ED6B-8009-4DE8-A0FF-0F54B9686E4C}"/>
    <cellStyle name="Data 3" xfId="25" xr:uid="{55D6E31E-AEFF-4179-B390-294D108A3751}"/>
    <cellStyle name="Data 3 2" xfId="55" xr:uid="{7610ED94-A020-45DC-832D-7B2F8F623B2F}"/>
    <cellStyle name="Data 3 2 2" xfId="73" xr:uid="{457BD1A3-CF03-4FD3-816A-EDE25B8DAB7F}"/>
    <cellStyle name="Data 3 2 2 2" xfId="108" xr:uid="{E7DA9DA3-57AA-4A1D-8245-415AE8A956B3}"/>
    <cellStyle name="Data 3 2 3" xfId="71" xr:uid="{031F58D2-4B50-49FB-A6B6-C43DB7B41B88}"/>
    <cellStyle name="Data 3 2 3 2" xfId="106" xr:uid="{7397EF0C-9A2F-4F10-8F8A-AB94A79005D6}"/>
    <cellStyle name="Data 3 2 4" xfId="62" xr:uid="{5456E982-85B3-440A-BB39-0417B02760C6}"/>
    <cellStyle name="Data 3 3" xfId="58" xr:uid="{54BC3E1A-9777-4448-B6FA-CF1209C2ED29}"/>
    <cellStyle name="Data 3 3 2" xfId="95" xr:uid="{4CC175BA-A0DD-43F3-96A9-39D902B63C18}"/>
    <cellStyle name="Data 3 4" xfId="72" xr:uid="{E55E06ED-E7CF-4BD4-A659-978E42644EC0}"/>
    <cellStyle name="Data 3 4 2" xfId="107" xr:uid="{C61AE12F-B3EC-4550-8EB5-AFA10521229D}"/>
    <cellStyle name="Data 3 5" xfId="66" xr:uid="{1510BFCB-D777-4861-B1CF-1453DD072C37}"/>
    <cellStyle name="ESG Addendum 2021" xfId="81" xr:uid="{A025798C-A8E5-477C-9ECA-400A72324A94}"/>
    <cellStyle name="header" xfId="15" xr:uid="{5DA9F236-03A2-4250-A492-F072A2E2BC0B}"/>
    <cellStyle name="Heading1" xfId="23" xr:uid="{3B9100BF-81F2-40D7-85B2-E26D531F850E}"/>
    <cellStyle name="Hiperlink 2" xfId="77" xr:uid="{E22D44F8-B93C-4719-8790-8C6710A5D719}"/>
    <cellStyle name="Hyperlink" xfId="56" builtinId="8"/>
    <cellStyle name="Normal" xfId="0" builtinId="0"/>
    <cellStyle name="Normal 10" xfId="10" xr:uid="{16233748-33F4-4211-A5D8-40A52DE1DE4E}"/>
    <cellStyle name="Normal 2" xfId="2" xr:uid="{C6AF8F61-545B-4AB9-9668-528BC5B285AE}"/>
    <cellStyle name="Normal 2 2" xfId="32" xr:uid="{494A2A74-EF99-471E-8BDA-3E06DB0895B9}"/>
    <cellStyle name="Normal 2 2 2" xfId="4" xr:uid="{3C18269E-3BBE-4ED1-8732-D753737EF683}"/>
    <cellStyle name="Normal 2 3" xfId="112" xr:uid="{D7031EFD-3288-4261-AEA0-2FA0FCC71A3C}"/>
    <cellStyle name="Normal 3" xfId="14" xr:uid="{7D173DF1-C9A0-4E64-93B8-32D36BE60C30}"/>
    <cellStyle name="Normal 3 2" xfId="34" xr:uid="{76993066-4FC4-4CC4-9510-75E0AF81BD72}"/>
    <cellStyle name="Normal 39" xfId="31" xr:uid="{8EAF17E7-CA33-4DBB-96A7-AD589B045A72}"/>
    <cellStyle name="Normal 4" xfId="47" xr:uid="{5DA91A77-C071-4E45-B749-F272B769AB6B}"/>
    <cellStyle name="Normal 5" xfId="54" xr:uid="{4B53A1EE-F648-4FC2-ADE7-B25CFFCD1ECE}"/>
    <cellStyle name="Normal 6" xfId="76" xr:uid="{608FB39C-CE97-4BFE-9471-6535E3F58571}"/>
    <cellStyle name="Normal 7" xfId="113" xr:uid="{8D595741-5DB4-40B4-8029-CC7A9D603CE4}"/>
    <cellStyle name="Normal 7 2" xfId="114" xr:uid="{B2C6412F-4989-41DE-B9B7-AB65DB3FF211}"/>
    <cellStyle name="Normal_GRI_EF_IN_EN8_v03" xfId="111" xr:uid="{D12718A8-3502-4A1C-9537-E6393FB4CB33}"/>
    <cellStyle name="nullCell" xfId="37" xr:uid="{A966DFA4-A53D-4CD3-AE71-2314E60AE49D}"/>
    <cellStyle name="Percent" xfId="83" builtinId="5"/>
    <cellStyle name="Percent 2" xfId="43" xr:uid="{9EA1D25E-11AE-48C8-9CBA-2608BCADD117}"/>
    <cellStyle name="Percent 2 7" xfId="27" xr:uid="{1B57AF3E-3676-47F0-8F91-BCF7ADD89D49}"/>
    <cellStyle name="Percent 3" xfId="12" xr:uid="{06D948DA-C2A9-4CB9-B722-AD6154833FCD}"/>
    <cellStyle name="periodHeader" xfId="6" xr:uid="{506BBEF1-EA4B-410B-A83F-C759CB0FF180}"/>
    <cellStyle name="periodHeader 2" xfId="52" xr:uid="{4DC3E9D3-FC5F-4E91-B4CD-E0A86CD5AF3C}"/>
    <cellStyle name="periodHeader 2 2" xfId="53" xr:uid="{4648A8BA-BF5A-4CCB-A60D-D87C189CA023}"/>
    <cellStyle name="periodHeader 3" xfId="28" xr:uid="{A9E02D23-480B-45BC-8197-6185FB9C7DB1}"/>
    <cellStyle name="Porcentagem 2" xfId="9" xr:uid="{2413FCA1-C6E6-46EB-98F7-A5D072732331}"/>
    <cellStyle name="Porcentagem 2 2" xfId="1" xr:uid="{0E6368CE-741A-4362-8522-80A6BC3234C4}"/>
    <cellStyle name="Porcentagem 3" xfId="18" xr:uid="{8DC451D4-D602-43BF-A692-5A373D842B4F}"/>
    <cellStyle name="Porcentagem 4" xfId="17" xr:uid="{5460DDF0-FA53-41FA-A1EB-DE6D26A8933E}"/>
    <cellStyle name="Porcentagem 5" xfId="48" xr:uid="{E002AA5B-31FD-403B-BABF-BF8FAD1BAB7D}"/>
    <cellStyle name="Style 1" xfId="3" xr:uid="{3CED37C6-FBDA-47B0-A3D6-43A5061FCE87}"/>
    <cellStyle name="TableColumnHeader" xfId="22" xr:uid="{0C857245-E52F-4B4D-9B70-2F0A8FE9B3E8}"/>
    <cellStyle name="TableCrossHeader" xfId="42" xr:uid="{51C645A4-8160-4FB3-83ED-932142D46E3C}"/>
    <cellStyle name="TableRowHeader" xfId="21" xr:uid="{3C94C86A-F4A1-4874-913B-2EC7D02A4F9C}"/>
    <cellStyle name="TableRowHeader 2" xfId="40" xr:uid="{DFCB905A-C089-4C7B-B332-55C5E25F8278}"/>
    <cellStyle name="TableUoM" xfId="20" xr:uid="{EC8ABA2A-091B-46DB-9543-E57041935F1A}"/>
    <cellStyle name="TableValue" xfId="19" xr:uid="{146B4A3D-F374-4364-A94C-BDB3ADB35A9F}"/>
    <cellStyle name="TableValue 2" xfId="39" xr:uid="{AF1F647E-C28C-4E09-92BF-1624BA051E99}"/>
    <cellStyle name="T-Head Left align" xfId="78" xr:uid="{6791CC06-3B0F-4404-9985-31D44EFBA914}"/>
    <cellStyle name="T-text" xfId="79" xr:uid="{6BCC23E5-F445-47E7-AC28-ABDD9675DEB8}"/>
    <cellStyle name="T-text Underline" xfId="80" xr:uid="{B48712B4-62C7-4F63-80BA-33F282963783}"/>
    <cellStyle name="Vírgula 10" xfId="323" xr:uid="{AAFC58C6-9191-4395-99D7-1BC975E4F29C}"/>
    <cellStyle name="Vírgula 2" xfId="11" xr:uid="{6CB58536-E8CB-491F-A8B5-895CEF40DD6A}"/>
    <cellStyle name="Vírgula 2 2" xfId="60" xr:uid="{9FC2DDE0-0E1C-442C-9C18-18AB32C5AA98}"/>
    <cellStyle name="Vírgula 2 2 2" xfId="97" xr:uid="{AD2BAD2B-91C4-4D05-B86C-8282DF9C55A0}"/>
    <cellStyle name="Vírgula 2 2 2 2" xfId="198" xr:uid="{3D4F2C36-D90E-4B02-AEEA-7748A1E2A212}"/>
    <cellStyle name="Vírgula 2 2 2 2 2" xfId="257" xr:uid="{897D481E-17E1-41A5-988E-856672DA9A9C}"/>
    <cellStyle name="Vírgula 2 2 2 2 3" xfId="382" xr:uid="{BF2050C5-41D5-470D-A2AA-B6BB936D3736}"/>
    <cellStyle name="Vírgula 2 2 2 3" xfId="152" xr:uid="{A6FCE0B0-FDAC-4E70-938D-825A77924463}"/>
    <cellStyle name="Vírgula 2 2 2 4" xfId="258" xr:uid="{213A5A30-71A6-464C-AD47-729C7797C7D5}"/>
    <cellStyle name="Vírgula 2 2 2 5" xfId="336" xr:uid="{9B6AF914-5E38-4BF7-BA9F-C13E70C1A144}"/>
    <cellStyle name="Vírgula 2 2 3" xfId="175" xr:uid="{6FF1AE21-7998-40C4-BA80-2EF75C542097}"/>
    <cellStyle name="Vírgula 2 2 3 2" xfId="259" xr:uid="{699021FC-DB5E-47E7-9E33-78B38B06AE4C}"/>
    <cellStyle name="Vírgula 2 2 3 3" xfId="359" xr:uid="{8FF8E1F3-6BAC-49B2-9D3B-82B9464B190D}"/>
    <cellStyle name="Vírgula 2 2 4" xfId="129" xr:uid="{4FE0421F-02D8-45C8-9AE2-54F8B03F8091}"/>
    <cellStyle name="Vírgula 2 2 5" xfId="260" xr:uid="{65AD5D77-9AE0-4E35-AD26-96DB8339B2A5}"/>
    <cellStyle name="Vírgula 2 2 6" xfId="313" xr:uid="{351EF726-D15F-423F-8196-B13F1C8CB0C0}"/>
    <cellStyle name="Vírgula 2 3" xfId="33" xr:uid="{8E0D5947-C60A-4E0F-BF1A-73AAC25ED323}"/>
    <cellStyle name="Vírgula 2 3 2" xfId="64" xr:uid="{E82552F5-B348-4A9D-B10D-4CBC526224DC}"/>
    <cellStyle name="Vírgula 2 3 2 2" xfId="100" xr:uid="{7B64F866-E849-438C-9CC3-729459DAB20B}"/>
    <cellStyle name="Vírgula 2 3 2 2 2" xfId="201" xr:uid="{75B16FD9-111A-40E8-8315-065CACB56558}"/>
    <cellStyle name="Vírgula 2 3 2 2 2 2" xfId="261" xr:uid="{0F37FD84-BED5-4E48-9D64-2318D57B430B}"/>
    <cellStyle name="Vírgula 2 3 2 2 2 3" xfId="385" xr:uid="{61CE0F51-4620-4CD1-B7CA-C63E25BF2D90}"/>
    <cellStyle name="Vírgula 2 3 2 2 3" xfId="155" xr:uid="{CC03C279-C674-414F-A62A-3E5C38D16F86}"/>
    <cellStyle name="Vírgula 2 3 2 2 4" xfId="262" xr:uid="{3F737C96-47DD-4CD2-8DED-3F68B3B63844}"/>
    <cellStyle name="Vírgula 2 3 2 2 5" xfId="339" xr:uid="{705EF1D1-AFF7-4DB4-8CB4-83CC1C8EA3C9}"/>
    <cellStyle name="Vírgula 2 3 2 3" xfId="178" xr:uid="{7037C8D1-F740-4345-8BF9-19CCF0D53704}"/>
    <cellStyle name="Vírgula 2 3 2 3 2" xfId="263" xr:uid="{82D1F02A-7B0F-48B3-B32D-ACF8E74CAD4F}"/>
    <cellStyle name="Vírgula 2 3 2 3 3" xfId="362" xr:uid="{1162EF0E-E97D-4F96-9A46-DA4E874EE748}"/>
    <cellStyle name="Vírgula 2 3 2 4" xfId="132" xr:uid="{852A7810-9829-4430-9B64-7F42A7A975FC}"/>
    <cellStyle name="Vírgula 2 3 2 5" xfId="264" xr:uid="{CB76F83D-CEED-4625-ACF2-0B1D9D914D69}"/>
    <cellStyle name="Vírgula 2 3 2 6" xfId="316" xr:uid="{D06F98FD-F16E-4B76-8613-9CB094332954}"/>
    <cellStyle name="Vírgula 2 3 3" xfId="88" xr:uid="{9CF7B067-70CB-410F-B0AA-93683CB0B41D}"/>
    <cellStyle name="Vírgula 2 3 3 2" xfId="190" xr:uid="{F40764F9-49B6-4DBA-8EC1-136EFF456510}"/>
    <cellStyle name="Vírgula 2 3 3 2 2" xfId="265" xr:uid="{2175360A-7B77-4989-AA6B-B522D33A65DE}"/>
    <cellStyle name="Vírgula 2 3 3 2 3" xfId="374" xr:uid="{8949F0D9-9EC2-40FF-814A-5D343CD78F49}"/>
    <cellStyle name="Vírgula 2 3 3 3" xfId="144" xr:uid="{98BE2165-59A4-4ADA-9AC1-063E6E5EF2D0}"/>
    <cellStyle name="Vírgula 2 3 3 4" xfId="266" xr:uid="{7303BBF1-135B-4D3D-9955-2064F6B4FAB6}"/>
    <cellStyle name="Vírgula 2 3 3 5" xfId="328" xr:uid="{0FB6722E-A0D1-4A6F-B2CC-4BE4BF8C28BC}"/>
    <cellStyle name="Vírgula 2 3 4" xfId="167" xr:uid="{454BA6E1-86D6-42C2-A6A7-59BA228DF90C}"/>
    <cellStyle name="Vírgula 2 3 4 2" xfId="267" xr:uid="{EB8B5A4B-380C-416D-891E-FD78DFC3560C}"/>
    <cellStyle name="Vírgula 2 3 4 3" xfId="351" xr:uid="{3CE21FEF-0F51-4AA7-8495-66DFFA83A4CA}"/>
    <cellStyle name="Vírgula 2 3 5" xfId="121" xr:uid="{B0778ADE-7BD5-4A01-8B91-3D1E21C3A910}"/>
    <cellStyle name="Vírgula 2 3 6" xfId="268" xr:uid="{7A8AE15B-B074-4A85-BAAA-9D4502C2CCE7}"/>
    <cellStyle name="Vírgula 2 3 7" xfId="305" xr:uid="{E459FAEF-34F8-42DD-8882-156E2A24EC86}"/>
    <cellStyle name="Vírgula 2 4" xfId="85" xr:uid="{C6D81A0A-3151-4633-9682-3E625C89A8D0}"/>
    <cellStyle name="Vírgula 2 4 2" xfId="187" xr:uid="{50D333BA-B41E-4974-A9FB-B10529FE1E44}"/>
    <cellStyle name="Vírgula 2 4 2 2" xfId="269" xr:uid="{F513FC97-78DC-4D7B-87C2-8E115175A83A}"/>
    <cellStyle name="Vírgula 2 4 2 3" xfId="371" xr:uid="{6D676A01-2919-4DA2-B5EE-7FFDE4CA0DDD}"/>
    <cellStyle name="Vírgula 2 4 3" xfId="141" xr:uid="{64371E33-2FA8-4299-B698-273585E62E22}"/>
    <cellStyle name="Vírgula 2 4 4" xfId="270" xr:uid="{532D927F-3FCB-4946-8D5F-4B933911CBDC}"/>
    <cellStyle name="Vírgula 2 4 5" xfId="325" xr:uid="{A204A96E-9DD0-44CF-B52A-DB7753C742CC}"/>
    <cellStyle name="Vírgula 2 5" xfId="164" xr:uid="{FDC4C096-00EF-4034-9CE7-B74BA4B36C8C}"/>
    <cellStyle name="Vírgula 2 5 2" xfId="271" xr:uid="{C2365226-11E8-4A95-9611-F9BBA14C3932}"/>
    <cellStyle name="Vírgula 2 5 3" xfId="348" xr:uid="{CB07E793-ABA7-4AA5-A4ED-81780C9AD33F}"/>
    <cellStyle name="Vírgula 2 6" xfId="118" xr:uid="{DED0084D-D9DB-4C67-A0D2-116ABAD5DF32}"/>
    <cellStyle name="Vírgula 2 7" xfId="272" xr:uid="{1E3C0374-7EB4-42C8-81E8-A809D4D4BAAB}"/>
    <cellStyle name="Vírgula 2 8" xfId="302" xr:uid="{C0AF99B7-7F63-4772-B489-2CC6EB8BA48D}"/>
    <cellStyle name="Vírgula 3" xfId="36" xr:uid="{F5C9CF8C-B712-49CE-B4AF-82C4B512920C}"/>
    <cellStyle name="Vírgula 3 2" xfId="65" xr:uid="{367E2F17-BD21-4541-BB75-827A840CDC96}"/>
    <cellStyle name="Vírgula 3 2 2" xfId="101" xr:uid="{A50D546B-12E4-4F74-A06D-260CC29F0A70}"/>
    <cellStyle name="Vírgula 3 2 2 2" xfId="202" xr:uid="{F11E806C-F84A-4525-9A70-E3E6A26C231C}"/>
    <cellStyle name="Vírgula 3 2 2 2 2" xfId="273" xr:uid="{0EBE6B3A-A53B-46E5-B886-CF13E6091438}"/>
    <cellStyle name="Vírgula 3 2 2 2 3" xfId="386" xr:uid="{3BF09ECA-7D6C-4BA5-83CD-BB4B0C25F5BC}"/>
    <cellStyle name="Vírgula 3 2 2 3" xfId="156" xr:uid="{61D4A69E-5F81-4F84-A2A5-EB181A5C4382}"/>
    <cellStyle name="Vírgula 3 2 2 4" xfId="274" xr:uid="{E139E408-BAD0-480E-A800-1219510081A3}"/>
    <cellStyle name="Vírgula 3 2 2 5" xfId="340" xr:uid="{C1389117-7FF1-4254-8187-22D7864CBE32}"/>
    <cellStyle name="Vírgula 3 2 3" xfId="179" xr:uid="{B623E2E3-6FF2-49CC-9B67-F669C95FCA27}"/>
    <cellStyle name="Vírgula 3 2 3 2" xfId="275" xr:uid="{57C80E0D-F366-470A-808F-3FE978EFBCF3}"/>
    <cellStyle name="Vírgula 3 2 3 3" xfId="363" xr:uid="{7BA221C5-452C-4760-9398-F0947CF1DD2C}"/>
    <cellStyle name="Vírgula 3 2 4" xfId="133" xr:uid="{889A9624-C9FA-458E-94EC-1FB5D0A78544}"/>
    <cellStyle name="Vírgula 3 2 5" xfId="276" xr:uid="{45DA66C6-BE30-4734-9331-E49B2B10F1F3}"/>
    <cellStyle name="Vírgula 3 2 6" xfId="317" xr:uid="{C5DD31D5-52C1-4895-A19F-325B0DDE9C38}"/>
    <cellStyle name="Vírgula 3 3" xfId="89" xr:uid="{8DBB575A-C1E6-43AA-9826-C4C20F588260}"/>
    <cellStyle name="Vírgula 3 3 2" xfId="191" xr:uid="{86485388-099D-46FC-8B9C-C6D5F3893AD0}"/>
    <cellStyle name="Vírgula 3 3 2 2" xfId="277" xr:uid="{7DEA8464-F29C-48CD-849B-8503DF74A9F8}"/>
    <cellStyle name="Vírgula 3 3 2 3" xfId="375" xr:uid="{E2030EA0-A554-4BF4-9045-91548703EA0D}"/>
    <cellStyle name="Vírgula 3 3 3" xfId="145" xr:uid="{843F010D-4FE7-479C-AD3E-091EBB7968CA}"/>
    <cellStyle name="Vírgula 3 3 4" xfId="278" xr:uid="{22917B97-D82F-47E2-95F1-C8363B120660}"/>
    <cellStyle name="Vírgula 3 3 5" xfId="329" xr:uid="{F653E4A5-46FF-44EB-8CDB-4F6D3E33EA97}"/>
    <cellStyle name="Vírgula 3 4" xfId="168" xr:uid="{00F5C11D-8C18-4DF9-BFF6-E0032647DA34}"/>
    <cellStyle name="Vírgula 3 4 2" xfId="279" xr:uid="{3363A6A7-BBC6-4C16-B023-567A7BEA73D2}"/>
    <cellStyle name="Vírgula 3 4 3" xfId="352" xr:uid="{8C697598-95DE-4F37-8394-4271642F153D}"/>
    <cellStyle name="Vírgula 3 5" xfId="122" xr:uid="{3A42807C-A46E-410C-8FC8-4713CBDA4D2F}"/>
    <cellStyle name="Vírgula 3 6" xfId="280" xr:uid="{1F98E3DF-519A-4E39-BB44-100531BB2615}"/>
    <cellStyle name="Vírgula 3 7" xfId="306" xr:uid="{834D2533-3F78-42D7-8C62-D5BDC18EC4B7}"/>
    <cellStyle name="Vírgula 4" xfId="46" xr:uid="{2D64779C-11BB-465A-9B24-9B1A01A06EFD}"/>
    <cellStyle name="Vírgula 4 2" xfId="69" xr:uid="{6F9B315E-4D4D-4BB6-B5C3-8CC8E7809CF3}"/>
    <cellStyle name="Vírgula 4 2 2" xfId="104" xr:uid="{65643A15-A87C-4EF0-B6D7-AA4065DA1788}"/>
    <cellStyle name="Vírgula 4 2 2 2" xfId="205" xr:uid="{2BB01399-DF28-4406-8B57-52BCBCFF4756}"/>
    <cellStyle name="Vírgula 4 2 2 2 2" xfId="281" xr:uid="{CD6FF65A-B58D-4684-A3A2-46298045C409}"/>
    <cellStyle name="Vírgula 4 2 2 2 3" xfId="389" xr:uid="{182B6794-CF7C-4A20-9AE4-2A7CCE9D1A62}"/>
    <cellStyle name="Vírgula 4 2 2 3" xfId="159" xr:uid="{05931985-297F-436B-AC92-CFB8AC7D3658}"/>
    <cellStyle name="Vírgula 4 2 2 4" xfId="282" xr:uid="{BD14511A-8515-40BB-8F3C-679418588A82}"/>
    <cellStyle name="Vírgula 4 2 2 5" xfId="343" xr:uid="{7E9550F7-DC66-4F38-ADA0-EC854AE94B7E}"/>
    <cellStyle name="Vírgula 4 2 3" xfId="182" xr:uid="{39EBCB0B-2604-4FC5-A2AE-6947F2897109}"/>
    <cellStyle name="Vírgula 4 2 3 2" xfId="283" xr:uid="{CF70E363-EC8D-4ADC-A2EB-8A772AD8BC9F}"/>
    <cellStyle name="Vírgula 4 2 3 3" xfId="366" xr:uid="{B810D161-7AE6-4605-8D15-8BBC055F9D26}"/>
    <cellStyle name="Vírgula 4 2 4" xfId="136" xr:uid="{8B572D94-7E34-4186-AFAF-39D874FCF77B}"/>
    <cellStyle name="Vírgula 4 2 5" xfId="284" xr:uid="{B502AAA1-CB6E-41EF-BA5A-F8B0967C300E}"/>
    <cellStyle name="Vírgula 4 2 6" xfId="320" xr:uid="{AA1E3FC3-69DA-429E-8586-FFC12270918B}"/>
    <cellStyle name="Vírgula 4 3" xfId="92" xr:uid="{03BE0C7F-26C2-42C2-88F6-F1F92063BB39}"/>
    <cellStyle name="Vírgula 4 3 2" xfId="194" xr:uid="{1F44EB3A-1FED-4E95-A8E8-B6E83A1AFC75}"/>
    <cellStyle name="Vírgula 4 3 2 2" xfId="285" xr:uid="{05A57C09-735A-4F58-B8A3-D181310AC92B}"/>
    <cellStyle name="Vírgula 4 3 2 3" xfId="378" xr:uid="{D11D7571-14CA-4F6C-9931-628DB2A21F8B}"/>
    <cellStyle name="Vírgula 4 3 3" xfId="148" xr:uid="{09F7D28E-F5EB-4266-9D5E-6E9F7A758878}"/>
    <cellStyle name="Vírgula 4 3 4" xfId="286" xr:uid="{DD2F63C0-B43F-4B60-8070-C6596D976A24}"/>
    <cellStyle name="Vírgula 4 3 5" xfId="332" xr:uid="{55B1800E-A2E1-4F5F-B3C4-11524BCCD368}"/>
    <cellStyle name="Vírgula 4 4" xfId="171" xr:uid="{DB38AE4E-98B9-40B7-936F-27B0B67E43C1}"/>
    <cellStyle name="Vírgula 4 4 2" xfId="287" xr:uid="{806643C6-A2C1-42F7-9B07-49DD67175E5F}"/>
    <cellStyle name="Vírgula 4 4 3" xfId="355" xr:uid="{8D1C6489-18C7-4499-9451-833BBB52B1C5}"/>
    <cellStyle name="Vírgula 4 5" xfId="125" xr:uid="{12E28564-83BC-4A17-9752-7FAD57EC4CBA}"/>
    <cellStyle name="Vírgula 4 6" xfId="288" xr:uid="{6A833AAA-A9D2-4436-A789-40C117EB0537}"/>
    <cellStyle name="Vírgula 4 7" xfId="309" xr:uid="{2F4B0EEB-3590-4EC5-A25A-C99CE6931338}"/>
    <cellStyle name="Vírgula 5" xfId="49" xr:uid="{F97C26D8-B054-4F9A-BB8C-959D9FE98ADC}"/>
    <cellStyle name="Vírgula 5 2" xfId="70" xr:uid="{F0E55DF2-62E5-4D9E-821A-B1FB19D5A022}"/>
    <cellStyle name="Vírgula 5 2 2" xfId="105" xr:uid="{B6B8D21D-E751-4620-AE12-0A4AAFE296EF}"/>
    <cellStyle name="Vírgula 5 2 2 2" xfId="206" xr:uid="{E9B9C9E5-314E-460D-B7DB-5E05C45846D1}"/>
    <cellStyle name="Vírgula 5 2 2 2 2" xfId="289" xr:uid="{3D6FA798-4082-4EAB-B880-9D99A7B6F640}"/>
    <cellStyle name="Vírgula 5 2 2 2 3" xfId="390" xr:uid="{67607E81-0357-408B-B8C2-484E7A02158A}"/>
    <cellStyle name="Vírgula 5 2 2 3" xfId="160" xr:uid="{93185F01-283D-41F9-BE9B-77BE67960D21}"/>
    <cellStyle name="Vírgula 5 2 2 4" xfId="290" xr:uid="{F68F5CCC-7B91-46C8-B97C-3061085B1F9A}"/>
    <cellStyle name="Vírgula 5 2 2 5" xfId="344" xr:uid="{2A11C17B-C209-434A-B2A8-C2E26C8F1AF8}"/>
    <cellStyle name="Vírgula 5 2 3" xfId="183" xr:uid="{C24882C4-D5A0-4243-A062-DA66BDF935BF}"/>
    <cellStyle name="Vírgula 5 2 3 2" xfId="291" xr:uid="{DCF1CEEF-082B-44FA-8838-6BECE15BA805}"/>
    <cellStyle name="Vírgula 5 2 3 3" xfId="367" xr:uid="{C53B38E1-CB37-4B39-B617-1CCE35A14828}"/>
    <cellStyle name="Vírgula 5 2 4" xfId="137" xr:uid="{30008CEA-DE3F-4A36-BE48-83944870B836}"/>
    <cellStyle name="Vírgula 5 2 5" xfId="292" xr:uid="{047EDBF0-FAE9-42C5-B771-F978EA9A4A2E}"/>
    <cellStyle name="Vírgula 5 2 6" xfId="321" xr:uid="{F9CDFBFA-7BA9-49D6-9241-EBBB39973D54}"/>
    <cellStyle name="Vírgula 5 3" xfId="93" xr:uid="{870F974F-3E4B-488B-8DFF-C9918012FE87}"/>
    <cellStyle name="Vírgula 5 3 2" xfId="195" xr:uid="{FC9BC283-20D0-43D6-92FF-3FE29F8FB46B}"/>
    <cellStyle name="Vírgula 5 3 2 2" xfId="293" xr:uid="{387A1C91-19C4-4754-9AB2-63591A66E918}"/>
    <cellStyle name="Vírgula 5 3 2 3" xfId="379" xr:uid="{1B606EDB-CF58-4A6C-98E8-00834F133868}"/>
    <cellStyle name="Vírgula 5 3 3" xfId="149" xr:uid="{3119C1A1-0D26-468F-AF11-C37360AC49B7}"/>
    <cellStyle name="Vírgula 5 3 4" xfId="294" xr:uid="{A0EE4E7F-5D81-49C3-994C-0E9066700D9C}"/>
    <cellStyle name="Vírgula 5 3 5" xfId="333" xr:uid="{2E6E19A3-4DC6-4498-9301-95E65F46100E}"/>
    <cellStyle name="Vírgula 5 4" xfId="172" xr:uid="{C1AFED03-C6A4-4EF8-AFD9-D2C9534149DE}"/>
    <cellStyle name="Vírgula 5 4 2" xfId="295" xr:uid="{883CAA1C-2BF9-4026-8257-1D50377D35DB}"/>
    <cellStyle name="Vírgula 5 4 3" xfId="356" xr:uid="{330EA38E-EB76-4325-B866-F61512F0B0E8}"/>
    <cellStyle name="Vírgula 5 5" xfId="126" xr:uid="{D993AC85-C02D-4F6A-AF51-60B01D44BABB}"/>
    <cellStyle name="Vírgula 5 6" xfId="296" xr:uid="{1084CA15-0E4D-4748-BD4D-875CE42BBF9A}"/>
    <cellStyle name="Vírgula 5 7" xfId="310" xr:uid="{3897CC28-AD8F-49E6-BDE0-437978D41111}"/>
    <cellStyle name="Vírgula 6" xfId="110" xr:uid="{B3606B56-9AC0-4354-8612-7917B521D57B}"/>
    <cellStyle name="Vírgula 6 2" xfId="208" xr:uid="{3924C3BA-7D14-4E5E-90BD-674980196E99}"/>
    <cellStyle name="Vírgula 6 2 2" xfId="297" xr:uid="{02B7E5DE-4D96-4A99-8605-C3F203B688A2}"/>
    <cellStyle name="Vírgula 6 2 3" xfId="392" xr:uid="{81035FD2-8D6C-4297-80DC-1A39C3967E4A}"/>
    <cellStyle name="Vírgula 6 3" xfId="162" xr:uid="{2E890317-23D9-48F1-88BC-4081D5721ADF}"/>
    <cellStyle name="Vírgula 6 4" xfId="298" xr:uid="{C5B2BD5C-CCDB-4C7D-9889-255734641E5C}"/>
    <cellStyle name="Vírgula 6 5" xfId="346" xr:uid="{7BEA9961-6103-4C24-BB0F-267E0189453E}"/>
    <cellStyle name="Vírgula 7" xfId="185" xr:uid="{E1E77EC1-B568-47B2-845E-27950FE1235D}"/>
    <cellStyle name="Vírgula 7 2" xfId="299" xr:uid="{01C89FB5-23AE-42B3-88B2-C45334972C96}"/>
    <cellStyle name="Vírgula 7 3" xfId="369" xr:uid="{A028925F-3512-45C2-845B-1BEAADC82F4D}"/>
    <cellStyle name="Vírgula 8" xfId="139" xr:uid="{04D6B089-7BE0-4990-943A-74093298CE4A}"/>
    <cellStyle name="Vírgula 9" xfId="300" xr:uid="{33A4DC7F-075F-44EF-88AE-7CC87F8DAD9F}"/>
  </cellStyles>
  <dxfs count="0"/>
  <tableStyles count="2" defaultTableStyle="TableStyleMedium2" defaultPivotStyle="PivotStyleLight16">
    <tableStyle name="Estilo de Tabela 1" pivot="0" count="0" xr9:uid="{132427CA-1F08-46A5-9709-D304D9F035E4}"/>
    <tableStyle name="Estilo de Tabela 2" pivot="0" count="0" xr9:uid="{F0AFEB9A-9B65-4D1A-AFC5-CD1CF39F9409}"/>
  </tableStyles>
  <colors>
    <mruColors>
      <color rgb="FF555555"/>
      <color rgb="FF007A7E"/>
      <color rgb="FFECB11F"/>
      <color rgb="FF9DE4D6"/>
      <color rgb="FF0ABB98"/>
      <color rgb="FFC0305E"/>
      <color rgb="FF008080"/>
      <color rgb="FF255E91"/>
      <color rgb="FFFF3399"/>
      <color rgb="FF4368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a:t>Energy Matrix Vale</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bar"/>
        <c:grouping val="clustered"/>
        <c:varyColors val="0"/>
        <c:ser>
          <c:idx val="0"/>
          <c:order val="0"/>
          <c:tx>
            <c:strRef>
              <c:f>'Environmental Data'!$B$86</c:f>
              <c:strCache>
                <c:ptCount val="1"/>
                <c:pt idx="0">
                  <c:v>2023</c:v>
                </c:pt>
              </c:strCache>
            </c:strRef>
          </c:tx>
          <c:spPr>
            <a:solidFill>
              <a:srgbClr val="00808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'Environmental Data'!$C$85:$J$85</c:f>
              <c:strCache>
                <c:ptCount val="8"/>
                <c:pt idx="0">
                  <c:v>Eletricity</c:v>
                </c:pt>
                <c:pt idx="1">
                  <c:v>Diesel oil</c:v>
                </c:pt>
                <c:pt idx="2">
                  <c:v>Natural gas</c:v>
                </c:pt>
                <c:pt idx="3">
                  <c:v>Coal and coke</c:v>
                </c:pt>
                <c:pt idx="4">
                  <c:v>Other oils</c:v>
                </c:pt>
                <c:pt idx="5">
                  <c:v>Renewable fuels</c:v>
                </c:pt>
                <c:pt idx="6">
                  <c:v>Navigation Oils</c:v>
                </c:pt>
                <c:pt idx="7">
                  <c:v>Other Gases</c:v>
                </c:pt>
              </c:strCache>
            </c:strRef>
          </c:cat>
          <c:val>
            <c:numRef>
              <c:f>'Environmental Data'!$C$86:$J$86</c:f>
              <c:numCache>
                <c:formatCode>0.0%</c:formatCode>
                <c:ptCount val="8"/>
                <c:pt idx="0">
                  <c:v>0.30599999999999999</c:v>
                </c:pt>
                <c:pt idx="1">
                  <c:v>0.25900000000000001</c:v>
                </c:pt>
                <c:pt idx="2">
                  <c:v>0.16300000000000001</c:v>
                </c:pt>
                <c:pt idx="3">
                  <c:v>0.151</c:v>
                </c:pt>
                <c:pt idx="4">
                  <c:v>8.4000000000000005E-2</c:v>
                </c:pt>
                <c:pt idx="5">
                  <c:v>3.4000000000000002E-2</c:v>
                </c:pt>
                <c:pt idx="6">
                  <c:v>1E-3</c:v>
                </c:pt>
                <c:pt idx="7">
                  <c:v>1E-3</c:v>
                </c:pt>
              </c:numCache>
            </c:numRef>
          </c:val>
          <c:extLst>
            <c:ext xmlns:c16="http://schemas.microsoft.com/office/drawing/2014/chart" uri="{C3380CC4-5D6E-409C-BE32-E72D297353CC}">
              <c16:uniqueId val="{00000000-A561-4745-BDF4-624B96394766}"/>
            </c:ext>
          </c:extLst>
        </c:ser>
        <c:dLbls>
          <c:dLblPos val="outEnd"/>
          <c:showLegendKey val="0"/>
          <c:showVal val="1"/>
          <c:showCatName val="0"/>
          <c:showSerName val="0"/>
          <c:showPercent val="0"/>
          <c:showBubbleSize val="0"/>
        </c:dLbls>
        <c:gapWidth val="219"/>
        <c:axId val="1640183648"/>
        <c:axId val="1640178728"/>
      </c:barChart>
      <c:catAx>
        <c:axId val="16401836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1640178728"/>
        <c:crosses val="autoZero"/>
        <c:auto val="1"/>
        <c:lblAlgn val="ctr"/>
        <c:lblOffset val="100"/>
        <c:noMultiLvlLbl val="0"/>
      </c:catAx>
      <c:valAx>
        <c:axId val="1640178728"/>
        <c:scaling>
          <c:orientation val="minMax"/>
        </c:scaling>
        <c:delete val="1"/>
        <c:axPos val="t"/>
        <c:numFmt formatCode="0.0%" sourceLinked="1"/>
        <c:majorTickMark val="none"/>
        <c:minorTickMark val="none"/>
        <c:tickLblPos val="nextTo"/>
        <c:crossAx val="1640183648"/>
        <c:crosses val="autoZero"/>
        <c:crossBetween val="between"/>
      </c:valAx>
      <c:spPr>
        <a:noFill/>
        <a:ln w="25400">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rgbClr val="555555"/>
                </a:solidFill>
                <a:latin typeface="Arial" panose="020B0604020202020204" pitchFamily="34" charset="0"/>
                <a:ea typeface="+mn-ea"/>
                <a:cs typeface="Arial" panose="020B0604020202020204" pitchFamily="34" charset="0"/>
              </a:defRPr>
            </a:pPr>
            <a:r>
              <a:rPr lang="pt-BR" sz="1050" b="1">
                <a:solidFill>
                  <a:srgbClr val="555555"/>
                </a:solidFill>
              </a:rPr>
              <a:t>Nitrogen Oxide (NOx) emissions</a:t>
            </a:r>
          </a:p>
          <a:p>
            <a:pPr>
              <a:defRPr sz="1050" b="1">
                <a:solidFill>
                  <a:srgbClr val="555555"/>
                </a:solidFill>
              </a:defRPr>
            </a:pPr>
            <a:r>
              <a:rPr lang="pt-BR" sz="1050" b="1">
                <a:solidFill>
                  <a:srgbClr val="555555"/>
                </a:solidFill>
              </a:rPr>
              <a:t>(in thousand metric tons)</a:t>
            </a:r>
          </a:p>
        </c:rich>
      </c:tx>
      <c:overlay val="0"/>
      <c:spPr>
        <a:noFill/>
        <a:ln>
          <a:noFill/>
        </a:ln>
        <a:effectLst/>
      </c:spPr>
      <c:txPr>
        <a:bodyPr rot="0" spcFirstLastPara="1" vertOverflow="ellipsis" vert="horz" wrap="square" anchor="ctr" anchorCtr="1"/>
        <a:lstStyle/>
        <a:p>
          <a:pPr>
            <a:defRPr sz="1050" b="1" i="0" u="none" strike="noStrike" kern="1200" spc="0" baseline="0">
              <a:solidFill>
                <a:srgbClr val="555555"/>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Data'!$C$614</c:f>
              <c:strCache>
                <c:ptCount val="1"/>
                <c:pt idx="0">
                  <c:v>Nickel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Data'!$B$616:$B$620</c:f>
              <c:numCache>
                <c:formatCode>General</c:formatCode>
                <c:ptCount val="5"/>
                <c:pt idx="0">
                  <c:v>2019</c:v>
                </c:pt>
                <c:pt idx="1">
                  <c:v>2020</c:v>
                </c:pt>
                <c:pt idx="2">
                  <c:v>2021</c:v>
                </c:pt>
                <c:pt idx="3">
                  <c:v>2022</c:v>
                </c:pt>
                <c:pt idx="4">
                  <c:v>2023</c:v>
                </c:pt>
              </c:numCache>
            </c:numRef>
          </c:cat>
          <c:val>
            <c:numRef>
              <c:f>'Environmental Data'!$C$616:$C$620</c:f>
              <c:numCache>
                <c:formatCode>0.0</c:formatCode>
                <c:ptCount val="5"/>
                <c:pt idx="0">
                  <c:v>12.2</c:v>
                </c:pt>
                <c:pt idx="1">
                  <c:v>15.233664864952649</c:v>
                </c:pt>
                <c:pt idx="2">
                  <c:v>8</c:v>
                </c:pt>
                <c:pt idx="3">
                  <c:v>5.7445160006041869</c:v>
                </c:pt>
                <c:pt idx="4">
                  <c:v>13</c:v>
                </c:pt>
              </c:numCache>
            </c:numRef>
          </c:val>
          <c:extLst>
            <c:ext xmlns:c16="http://schemas.microsoft.com/office/drawing/2014/chart" uri="{C3380CC4-5D6E-409C-BE32-E72D297353CC}">
              <c16:uniqueId val="{00000000-5FF4-4326-BEA4-9E64258224B7}"/>
            </c:ext>
          </c:extLst>
        </c:ser>
        <c:ser>
          <c:idx val="1"/>
          <c:order val="1"/>
          <c:tx>
            <c:strRef>
              <c:f>'Environmental Data'!$D$614</c:f>
              <c:strCache>
                <c:ptCount val="1"/>
                <c:pt idx="0">
                  <c:v>pelletizing</c:v>
                </c:pt>
              </c:strCache>
            </c:strRef>
          </c:tx>
          <c:spPr>
            <a:solidFill>
              <a:srgbClr val="ECB1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Data'!$B$616:$B$620</c:f>
              <c:numCache>
                <c:formatCode>General</c:formatCode>
                <c:ptCount val="5"/>
                <c:pt idx="0">
                  <c:v>2019</c:v>
                </c:pt>
                <c:pt idx="1">
                  <c:v>2020</c:v>
                </c:pt>
                <c:pt idx="2">
                  <c:v>2021</c:v>
                </c:pt>
                <c:pt idx="3">
                  <c:v>2022</c:v>
                </c:pt>
                <c:pt idx="4">
                  <c:v>2023</c:v>
                </c:pt>
              </c:numCache>
            </c:numRef>
          </c:cat>
          <c:val>
            <c:numRef>
              <c:f>'Environmental Data'!$D$616:$D$620</c:f>
              <c:numCache>
                <c:formatCode>0.0</c:formatCode>
                <c:ptCount val="5"/>
                <c:pt idx="0">
                  <c:v>11.46945509975995</c:v>
                </c:pt>
                <c:pt idx="1">
                  <c:v>14.1</c:v>
                </c:pt>
                <c:pt idx="2">
                  <c:v>18.100000000000001</c:v>
                </c:pt>
                <c:pt idx="3">
                  <c:v>19.814409896228945</c:v>
                </c:pt>
                <c:pt idx="4">
                  <c:v>16.949689381119573</c:v>
                </c:pt>
              </c:numCache>
            </c:numRef>
          </c:val>
          <c:extLst>
            <c:ext xmlns:c16="http://schemas.microsoft.com/office/drawing/2014/chart" uri="{C3380CC4-5D6E-409C-BE32-E72D297353CC}">
              <c16:uniqueId val="{00000001-5FF4-4326-BEA4-9E64258224B7}"/>
            </c:ext>
          </c:extLst>
        </c:ser>
        <c:ser>
          <c:idx val="2"/>
          <c:order val="2"/>
          <c:tx>
            <c:strRef>
              <c:f>'Environmental Data'!$E$614</c:f>
              <c:strCache>
                <c:ptCount val="1"/>
                <c:pt idx="0">
                  <c:v>Iron ore</c:v>
                </c:pt>
              </c:strCache>
            </c:strRef>
          </c:tx>
          <c:spPr>
            <a:solidFill>
              <a:srgbClr val="BCBEC0"/>
            </a:solidFill>
            <a:ln>
              <a:noFill/>
            </a:ln>
            <a:effectLst/>
          </c:spPr>
          <c:invertIfNegative val="0"/>
          <c:dLbls>
            <c:dLbl>
              <c:idx val="0"/>
              <c:layout>
                <c:manualLayout>
                  <c:x val="5.852190442626503E-2"/>
                  <c:y val="-9.37500000000011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42-4B40-B400-11968C5E235D}"/>
                </c:ext>
              </c:extLst>
            </c:dLbl>
            <c:dLbl>
              <c:idx val="1"/>
              <c:layout>
                <c:manualLayout>
                  <c:x val="6.2045195357805345E-2"/>
                  <c:y val="-9.37500000000011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F4-4326-BEA4-9E64258224B7}"/>
                </c:ext>
              </c:extLst>
            </c:dLbl>
            <c:dLbl>
              <c:idx val="2"/>
              <c:layout>
                <c:manualLayout>
                  <c:x val="5.9692342514790289E-2"/>
                  <c:y val="-1.56250000000001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FF4-4326-BEA4-9E64258224B7}"/>
                </c:ext>
              </c:extLst>
            </c:dLbl>
            <c:dLbl>
              <c:idx val="3"/>
              <c:layout>
                <c:manualLayout>
                  <c:x val="5.735146633773977E-2"/>
                  <c:y val="-1.56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FF4-4326-BEA4-9E64258224B7}"/>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Data'!$B$616:$B$620</c:f>
              <c:numCache>
                <c:formatCode>General</c:formatCode>
                <c:ptCount val="5"/>
                <c:pt idx="0">
                  <c:v>2019</c:v>
                </c:pt>
                <c:pt idx="1">
                  <c:v>2020</c:v>
                </c:pt>
                <c:pt idx="2">
                  <c:v>2021</c:v>
                </c:pt>
                <c:pt idx="3">
                  <c:v>2022</c:v>
                </c:pt>
                <c:pt idx="4">
                  <c:v>2023</c:v>
                </c:pt>
              </c:numCache>
            </c:numRef>
          </c:cat>
          <c:val>
            <c:numRef>
              <c:f>'Environmental Data'!$E$616:$E$620</c:f>
              <c:numCache>
                <c:formatCode>0.0</c:formatCode>
                <c:ptCount val="5"/>
                <c:pt idx="0">
                  <c:v>1.630288472758149</c:v>
                </c:pt>
                <c:pt idx="1">
                  <c:v>0.48540657080069183</c:v>
                </c:pt>
                <c:pt idx="2">
                  <c:v>3.0103290491851427</c:v>
                </c:pt>
                <c:pt idx="3">
                  <c:v>2.8353228385375067</c:v>
                </c:pt>
                <c:pt idx="4">
                  <c:v>2.9769025960128896</c:v>
                </c:pt>
              </c:numCache>
            </c:numRef>
          </c:val>
          <c:extLst>
            <c:ext xmlns:c16="http://schemas.microsoft.com/office/drawing/2014/chart" uri="{C3380CC4-5D6E-409C-BE32-E72D297353CC}">
              <c16:uniqueId val="{00000002-5FF4-4326-BEA4-9E64258224B7}"/>
            </c:ext>
          </c:extLst>
        </c:ser>
        <c:ser>
          <c:idx val="3"/>
          <c:order val="3"/>
          <c:tx>
            <c:strRef>
              <c:f>'Environmental Data'!$F$614</c:f>
              <c:strCache>
                <c:ptCount val="1"/>
                <c:pt idx="0">
                  <c:v>Logistics</c:v>
                </c:pt>
              </c:strCache>
            </c:strRef>
          </c:tx>
          <c:spPr>
            <a:solidFill>
              <a:srgbClr val="9DE4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Data'!$B$616:$B$620</c:f>
              <c:numCache>
                <c:formatCode>General</c:formatCode>
                <c:ptCount val="5"/>
                <c:pt idx="0">
                  <c:v>2019</c:v>
                </c:pt>
                <c:pt idx="1">
                  <c:v>2020</c:v>
                </c:pt>
                <c:pt idx="2">
                  <c:v>2021</c:v>
                </c:pt>
                <c:pt idx="3">
                  <c:v>2022</c:v>
                </c:pt>
                <c:pt idx="4">
                  <c:v>2023</c:v>
                </c:pt>
              </c:numCache>
            </c:numRef>
          </c:cat>
          <c:val>
            <c:numRef>
              <c:f>'Environmental Data'!$F$616:$F$620</c:f>
              <c:numCache>
                <c:formatCode>0.0</c:formatCode>
                <c:ptCount val="5"/>
                <c:pt idx="0">
                  <c:v>11.772102048780473</c:v>
                </c:pt>
                <c:pt idx="1">
                  <c:v>16.491128467041626</c:v>
                </c:pt>
                <c:pt idx="2">
                  <c:v>18.256472403974399</c:v>
                </c:pt>
                <c:pt idx="3">
                  <c:v>15.6339163140909</c:v>
                </c:pt>
                <c:pt idx="4">
                  <c:v>16.086095621923512</c:v>
                </c:pt>
              </c:numCache>
            </c:numRef>
          </c:val>
          <c:extLst>
            <c:ext xmlns:c16="http://schemas.microsoft.com/office/drawing/2014/chart" uri="{C3380CC4-5D6E-409C-BE32-E72D297353CC}">
              <c16:uniqueId val="{00000003-5FF4-4326-BEA4-9E64258224B7}"/>
            </c:ext>
          </c:extLst>
        </c:ser>
        <c:ser>
          <c:idx val="4"/>
          <c:order val="4"/>
          <c:tx>
            <c:strRef>
              <c:f>'Environmental Data'!$G$614</c:f>
              <c:strCache>
                <c:ptCount val="1"/>
                <c:pt idx="0">
                  <c:v>Other Business*</c:v>
                </c:pt>
              </c:strCache>
            </c:strRef>
          </c:tx>
          <c:spPr>
            <a:solidFill>
              <a:srgbClr val="74767B"/>
            </a:solidFill>
            <a:ln>
              <a:noFill/>
            </a:ln>
            <a:effectLst/>
          </c:spPr>
          <c:invertIfNegative val="0"/>
          <c:dLbls>
            <c:dLbl>
              <c:idx val="0"/>
              <c:layout>
                <c:manualLayout>
                  <c:x val="6.3195448659192049E-2"/>
                  <c:y val="-1.87499999999999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F4-4326-BEA4-9E64258224B7}"/>
                </c:ext>
              </c:extLst>
            </c:dLbl>
            <c:dLbl>
              <c:idx val="1"/>
              <c:layout>
                <c:manualLayout>
                  <c:x val="6.0857681310027854E-2"/>
                  <c:y val="-3.125000000000000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F4-4326-BEA4-9E64258224B7}"/>
                </c:ext>
              </c:extLst>
            </c:dLbl>
            <c:dLbl>
              <c:idx val="2"/>
              <c:layout>
                <c:manualLayout>
                  <c:x val="5.9692302810606168E-2"/>
                  <c:y val="-9.375000000000056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F4-4326-BEA4-9E64258224B7}"/>
                </c:ext>
              </c:extLst>
            </c:dLbl>
            <c:dLbl>
              <c:idx val="3"/>
              <c:layout>
                <c:manualLayout>
                  <c:x val="6.6715013486161254E-2"/>
                  <c:y val="-1.250000000000005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F4-4326-BEA4-9E64258224B7}"/>
                </c:ext>
              </c:extLst>
            </c:dLbl>
            <c:dLbl>
              <c:idx val="4"/>
              <c:delete val="1"/>
              <c:extLst>
                <c:ext xmlns:c15="http://schemas.microsoft.com/office/drawing/2012/chart" uri="{CE6537A1-D6FC-4f65-9D91-7224C49458BB}"/>
                <c:ext xmlns:c16="http://schemas.microsoft.com/office/drawing/2014/chart" uri="{C3380CC4-5D6E-409C-BE32-E72D297353CC}">
                  <c16:uniqueId val="{00000000-85AA-4AD7-800E-663D6F0EC948}"/>
                </c:ext>
              </c:extLst>
            </c:dLbl>
            <c:spPr>
              <a:noFill/>
              <a:ln>
                <a:noFill/>
              </a:ln>
              <a:effectLst>
                <a:softEdge rad="0"/>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accentCallout1">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'Environmental Data'!$B$616:$B$620</c:f>
              <c:numCache>
                <c:formatCode>General</c:formatCode>
                <c:ptCount val="5"/>
                <c:pt idx="0">
                  <c:v>2019</c:v>
                </c:pt>
                <c:pt idx="1">
                  <c:v>2020</c:v>
                </c:pt>
                <c:pt idx="2">
                  <c:v>2021</c:v>
                </c:pt>
                <c:pt idx="3">
                  <c:v>2022</c:v>
                </c:pt>
                <c:pt idx="4">
                  <c:v>2023</c:v>
                </c:pt>
              </c:numCache>
            </c:numRef>
          </c:cat>
          <c:val>
            <c:numRef>
              <c:f>'Environmental Data'!$G$616:$G$620</c:f>
              <c:numCache>
                <c:formatCode>0.0</c:formatCode>
                <c:ptCount val="5"/>
                <c:pt idx="0">
                  <c:v>3.1604107619988087</c:v>
                </c:pt>
                <c:pt idx="1">
                  <c:v>0.89677540005381406</c:v>
                </c:pt>
                <c:pt idx="2">
                  <c:v>1.4435588983861978</c:v>
                </c:pt>
                <c:pt idx="3">
                  <c:v>0.8</c:v>
                </c:pt>
                <c:pt idx="4">
                  <c:v>0.76320812853861086</c:v>
                </c:pt>
              </c:numCache>
            </c:numRef>
          </c:val>
          <c:extLst>
            <c:ext xmlns:c16="http://schemas.microsoft.com/office/drawing/2014/chart" uri="{C3380CC4-5D6E-409C-BE32-E72D297353CC}">
              <c16:uniqueId val="{00000004-5FF4-4326-BEA4-9E64258224B7}"/>
            </c:ext>
          </c:extLst>
        </c:ser>
        <c:dLbls>
          <c:showLegendKey val="0"/>
          <c:showVal val="0"/>
          <c:showCatName val="0"/>
          <c:showSerName val="0"/>
          <c:showPercent val="0"/>
          <c:showBubbleSize val="0"/>
        </c:dLbls>
        <c:gapWidth val="150"/>
        <c:overlap val="100"/>
        <c:axId val="63290367"/>
        <c:axId val="63285119"/>
      </c:barChart>
      <c:lineChart>
        <c:grouping val="standard"/>
        <c:varyColors val="0"/>
        <c:ser>
          <c:idx val="5"/>
          <c:order val="5"/>
          <c:tx>
            <c:strRef>
              <c:f>'Environmental Data'!$H$614</c:f>
              <c:strCache>
                <c:ptCount val="1"/>
                <c:pt idx="0">
                  <c:v>Total</c:v>
                </c:pt>
              </c:strCache>
            </c:strRef>
          </c:tx>
          <c:spPr>
            <a:ln w="28575" cap="rnd">
              <a:noFill/>
              <a:round/>
            </a:ln>
            <a:effectLst/>
          </c:spPr>
          <c:marker>
            <c:symbol val="diamond"/>
            <c:size val="5"/>
            <c:spPr>
              <a:solidFill>
                <a:srgbClr val="555555"/>
              </a:solidFill>
              <a:ln w="9525">
                <a:solidFill>
                  <a:srgbClr val="555555"/>
                </a:solidFill>
              </a:ln>
              <a:effectLst/>
            </c:spPr>
          </c:marker>
          <c:dLbls>
            <c:dLbl>
              <c:idx val="2"/>
              <c:tx>
                <c:rich>
                  <a:bodyPr/>
                  <a:lstStyle/>
                  <a:p>
                    <a:fld id="{C91156B8-E4C5-4E08-9996-4EA51142D19C}" type="VALUE">
                      <a:rPr lang="en-US">
                        <a:solidFill>
                          <a:srgbClr val="555555"/>
                        </a:solidFill>
                      </a:rPr>
                      <a:pPr/>
                      <a:t>[VALUE]</a:t>
                    </a:fld>
                    <a:endParaRPr lang="en-CA"/>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742-4B40-B400-11968C5E235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Data'!$B$615:$B$620</c:f>
              <c:numCache>
                <c:formatCode>General</c:formatCode>
                <c:ptCount val="6"/>
                <c:pt idx="0">
                  <c:v>2018</c:v>
                </c:pt>
                <c:pt idx="1">
                  <c:v>2019</c:v>
                </c:pt>
                <c:pt idx="2">
                  <c:v>2020</c:v>
                </c:pt>
                <c:pt idx="3">
                  <c:v>2021</c:v>
                </c:pt>
                <c:pt idx="4">
                  <c:v>2022</c:v>
                </c:pt>
                <c:pt idx="5">
                  <c:v>2023</c:v>
                </c:pt>
              </c:numCache>
            </c:numRef>
          </c:cat>
          <c:val>
            <c:numRef>
              <c:f>'Environmental Data'!$H$616:$H$620</c:f>
              <c:numCache>
                <c:formatCode>0.0</c:formatCode>
                <c:ptCount val="5"/>
                <c:pt idx="0">
                  <c:v>40.299999999999997</c:v>
                </c:pt>
                <c:pt idx="1">
                  <c:v>47.172452093091216</c:v>
                </c:pt>
                <c:pt idx="2">
                  <c:v>48.8</c:v>
                </c:pt>
                <c:pt idx="3">
                  <c:v>44.8</c:v>
                </c:pt>
                <c:pt idx="4">
                  <c:v>49.8</c:v>
                </c:pt>
              </c:numCache>
            </c:numRef>
          </c:val>
          <c:smooth val="0"/>
          <c:extLst>
            <c:ext xmlns:c16="http://schemas.microsoft.com/office/drawing/2014/chart" uri="{C3380CC4-5D6E-409C-BE32-E72D297353CC}">
              <c16:uniqueId val="{00000005-5FF4-4326-BEA4-9E64258224B7}"/>
            </c:ext>
          </c:extLst>
        </c:ser>
        <c:dLbls>
          <c:showLegendKey val="0"/>
          <c:showVal val="0"/>
          <c:showCatName val="0"/>
          <c:showSerName val="0"/>
          <c:showPercent val="0"/>
          <c:showBubbleSize val="0"/>
        </c:dLbls>
        <c:marker val="1"/>
        <c:smooth val="0"/>
        <c:axId val="63290367"/>
        <c:axId val="63285119"/>
      </c:lineChart>
      <c:catAx>
        <c:axId val="6329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63285119"/>
        <c:crosses val="autoZero"/>
        <c:auto val="1"/>
        <c:lblAlgn val="ctr"/>
        <c:lblOffset val="100"/>
        <c:noMultiLvlLbl val="0"/>
      </c:catAx>
      <c:valAx>
        <c:axId val="63285119"/>
        <c:scaling>
          <c:orientation val="minMax"/>
          <c:max val="85"/>
          <c:min val="0"/>
        </c:scaling>
        <c:delete val="1"/>
        <c:axPos val="l"/>
        <c:numFmt formatCode="0.0" sourceLinked="1"/>
        <c:majorTickMark val="out"/>
        <c:minorTickMark val="none"/>
        <c:tickLblPos val="nextTo"/>
        <c:crossAx val="63290367"/>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6350" cap="flat" cmpd="sng" algn="ctr">
      <a:solidFill>
        <a:schemeClr val="bg1">
          <a:lumMod val="95000"/>
        </a:schemeClr>
      </a:solidFill>
      <a:round/>
    </a:ln>
    <a:effectLst/>
  </c:spPr>
  <c:txPr>
    <a:bodyPr/>
    <a:lstStyle/>
    <a:p>
      <a:pPr>
        <a:defRPr sz="900">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50" b="1" i="0" u="none" strike="noStrike" kern="1200" spc="0" baseline="0">
                <a:solidFill>
                  <a:srgbClr val="555555"/>
                </a:solidFill>
                <a:latin typeface="Arial" panose="020B0604020202020204" pitchFamily="34" charset="0"/>
                <a:ea typeface="+mn-ea"/>
                <a:cs typeface="Arial" panose="020B0604020202020204" pitchFamily="34" charset="0"/>
              </a:defRPr>
            </a:pPr>
            <a:r>
              <a:rPr lang="pt-BR" sz="1050" b="1">
                <a:solidFill>
                  <a:srgbClr val="555555"/>
                </a:solidFill>
              </a:rPr>
              <a:t>Sulfur Oxide Emissions (SOx)</a:t>
            </a:r>
          </a:p>
          <a:p>
            <a:pPr>
              <a:defRPr sz="1050" b="1">
                <a:solidFill>
                  <a:srgbClr val="555555"/>
                </a:solidFill>
              </a:defRPr>
            </a:pPr>
            <a:r>
              <a:rPr lang="pt-BR" sz="1050" b="1">
                <a:solidFill>
                  <a:srgbClr val="555555"/>
                </a:solidFill>
              </a:rPr>
              <a:t>(in thousand metric tons)</a:t>
            </a:r>
          </a:p>
        </c:rich>
      </c:tx>
      <c:overlay val="0"/>
      <c:spPr>
        <a:noFill/>
        <a:ln>
          <a:noFill/>
        </a:ln>
        <a:effectLst/>
      </c:spPr>
      <c:txPr>
        <a:bodyPr rot="0" spcFirstLastPara="1" vertOverflow="ellipsis" vert="horz" wrap="square" anchor="ctr" anchorCtr="1"/>
        <a:lstStyle/>
        <a:p>
          <a:pPr>
            <a:defRPr lang="en-US" sz="1050" b="1" i="0" u="none" strike="noStrike" kern="1200" spc="0" baseline="0">
              <a:solidFill>
                <a:srgbClr val="555555"/>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Data'!$C$622</c:f>
              <c:strCache>
                <c:ptCount val="1"/>
                <c:pt idx="0">
                  <c:v>Nickel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Data'!$B$624:$B$628</c:f>
              <c:numCache>
                <c:formatCode>General</c:formatCode>
                <c:ptCount val="5"/>
                <c:pt idx="0">
                  <c:v>2019</c:v>
                </c:pt>
                <c:pt idx="1">
                  <c:v>2020</c:v>
                </c:pt>
                <c:pt idx="2">
                  <c:v>2021</c:v>
                </c:pt>
                <c:pt idx="3">
                  <c:v>2022</c:v>
                </c:pt>
                <c:pt idx="4">
                  <c:v>2023</c:v>
                </c:pt>
              </c:numCache>
            </c:numRef>
          </c:cat>
          <c:val>
            <c:numRef>
              <c:f>'Environmental Data'!$C$624:$C$628</c:f>
              <c:numCache>
                <c:formatCode>0.0</c:formatCode>
                <c:ptCount val="5"/>
                <c:pt idx="0">
                  <c:v>70.969172961952637</c:v>
                </c:pt>
                <c:pt idx="1">
                  <c:v>90.19872854796057</c:v>
                </c:pt>
                <c:pt idx="2">
                  <c:v>66.104142699669239</c:v>
                </c:pt>
                <c:pt idx="3">
                  <c:v>66.5</c:v>
                </c:pt>
                <c:pt idx="4">
                  <c:v>71.407087222826519</c:v>
                </c:pt>
              </c:numCache>
            </c:numRef>
          </c:val>
          <c:extLst>
            <c:ext xmlns:c16="http://schemas.microsoft.com/office/drawing/2014/chart" uri="{C3380CC4-5D6E-409C-BE32-E72D297353CC}">
              <c16:uniqueId val="{00000000-3ACD-4EFC-80AA-07B6D6745773}"/>
            </c:ext>
          </c:extLst>
        </c:ser>
        <c:ser>
          <c:idx val="1"/>
          <c:order val="1"/>
          <c:tx>
            <c:strRef>
              <c:f>'Environmental Data'!$D$622</c:f>
              <c:strCache>
                <c:ptCount val="1"/>
                <c:pt idx="0">
                  <c:v>pelletizing</c:v>
                </c:pt>
              </c:strCache>
            </c:strRef>
          </c:tx>
          <c:spPr>
            <a:solidFill>
              <a:srgbClr val="ECB1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Data'!$B$624:$B$628</c:f>
              <c:numCache>
                <c:formatCode>General</c:formatCode>
                <c:ptCount val="5"/>
                <c:pt idx="0">
                  <c:v>2019</c:v>
                </c:pt>
                <c:pt idx="1">
                  <c:v>2020</c:v>
                </c:pt>
                <c:pt idx="2">
                  <c:v>2021</c:v>
                </c:pt>
                <c:pt idx="3">
                  <c:v>2022</c:v>
                </c:pt>
                <c:pt idx="4">
                  <c:v>2023</c:v>
                </c:pt>
              </c:numCache>
            </c:numRef>
          </c:cat>
          <c:val>
            <c:numRef>
              <c:f>'Environmental Data'!$D$624:$D$628</c:f>
              <c:numCache>
                <c:formatCode>0.0</c:formatCode>
                <c:ptCount val="5"/>
                <c:pt idx="0">
                  <c:v>11.446451202415265</c:v>
                </c:pt>
                <c:pt idx="1">
                  <c:v>7.4888043483130362</c:v>
                </c:pt>
                <c:pt idx="2">
                  <c:v>8.1999999999999993</c:v>
                </c:pt>
                <c:pt idx="3">
                  <c:v>7.1</c:v>
                </c:pt>
                <c:pt idx="4">
                  <c:v>8.0759959744788556</c:v>
                </c:pt>
              </c:numCache>
            </c:numRef>
          </c:val>
          <c:extLst>
            <c:ext xmlns:c16="http://schemas.microsoft.com/office/drawing/2014/chart" uri="{C3380CC4-5D6E-409C-BE32-E72D297353CC}">
              <c16:uniqueId val="{00000001-3ACD-4EFC-80AA-07B6D6745773}"/>
            </c:ext>
          </c:extLst>
        </c:ser>
        <c:ser>
          <c:idx val="3"/>
          <c:order val="3"/>
          <c:tx>
            <c:strRef>
              <c:f>'Environmental Data'!$F$622</c:f>
              <c:strCache>
                <c:ptCount val="1"/>
                <c:pt idx="0">
                  <c:v>Logistics</c:v>
                </c:pt>
              </c:strCache>
            </c:strRef>
          </c:tx>
          <c:spPr>
            <a:solidFill>
              <a:srgbClr val="9DE4D6"/>
            </a:solidFill>
            <a:ln>
              <a:noFill/>
            </a:ln>
            <a:effectLst/>
          </c:spPr>
          <c:invertIfNegative val="0"/>
          <c:dLbls>
            <c:dLbl>
              <c:idx val="0"/>
              <c:layout>
                <c:manualLayout>
                  <c:x val="5.6343887070568859E-2"/>
                  <c:y val="2.6780786758663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91E-434B-8FDB-ACB68AC1AE0C}"/>
                </c:ext>
              </c:extLst>
            </c:dLbl>
            <c:dLbl>
              <c:idx val="1"/>
              <c:layout>
                <c:manualLayout>
                  <c:x val="5.8686668237744329E-2"/>
                  <c:y val="3.27319655952744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91E-434B-8FDB-ACB68AC1AE0C}"/>
                </c:ext>
              </c:extLst>
            </c:dLbl>
            <c:dLbl>
              <c:idx val="2"/>
              <c:layout>
                <c:manualLayout>
                  <c:x val="5.5132189582648379E-2"/>
                  <c:y val="2.9673473224033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91E-434B-8FDB-ACB68AC1AE0C}"/>
                </c:ext>
              </c:extLst>
            </c:dLbl>
            <c:dLbl>
              <c:idx val="3"/>
              <c:layout>
                <c:manualLayout>
                  <c:x val="5.7488160423323782E-2"/>
                  <c:y val="2.67311413856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1E-434B-8FDB-ACB68AC1AE0C}"/>
                </c:ext>
              </c:extLst>
            </c:dLbl>
            <c:dLbl>
              <c:idx val="4"/>
              <c:layout>
                <c:manualLayout>
                  <c:x val="5.9744832284162913E-2"/>
                  <c:y val="2.7111256484583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6D-4C1C-BDA5-72822CEA488C}"/>
                </c:ext>
              </c:extLst>
            </c:dLbl>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'Environmental Data'!$B$624:$B$628</c:f>
              <c:numCache>
                <c:formatCode>General</c:formatCode>
                <c:ptCount val="5"/>
                <c:pt idx="0">
                  <c:v>2019</c:v>
                </c:pt>
                <c:pt idx="1">
                  <c:v>2020</c:v>
                </c:pt>
                <c:pt idx="2">
                  <c:v>2021</c:v>
                </c:pt>
                <c:pt idx="3">
                  <c:v>2022</c:v>
                </c:pt>
                <c:pt idx="4">
                  <c:v>2023</c:v>
                </c:pt>
              </c:numCache>
            </c:numRef>
          </c:cat>
          <c:val>
            <c:numRef>
              <c:f>'Environmental Data'!$F$624:$F$628</c:f>
              <c:numCache>
                <c:formatCode>0.0</c:formatCode>
                <c:ptCount val="5"/>
                <c:pt idx="0">
                  <c:v>2.3452623461131683</c:v>
                </c:pt>
                <c:pt idx="1">
                  <c:v>0.46578988446884217</c:v>
                </c:pt>
                <c:pt idx="2">
                  <c:v>2.0387858885210055</c:v>
                </c:pt>
                <c:pt idx="3">
                  <c:v>1.9059471294114501</c:v>
                </c:pt>
                <c:pt idx="4">
                  <c:v>1.8826148244643499</c:v>
                </c:pt>
              </c:numCache>
            </c:numRef>
          </c:val>
          <c:extLst>
            <c:ext xmlns:c16="http://schemas.microsoft.com/office/drawing/2014/chart" uri="{C3380CC4-5D6E-409C-BE32-E72D297353CC}">
              <c16:uniqueId val="{00000003-3ACD-4EFC-80AA-07B6D6745773}"/>
            </c:ext>
          </c:extLst>
        </c:ser>
        <c:ser>
          <c:idx val="4"/>
          <c:order val="4"/>
          <c:tx>
            <c:strRef>
              <c:f>'Environmental Data'!$G$622</c:f>
              <c:strCache>
                <c:ptCount val="1"/>
                <c:pt idx="0">
                  <c:v>Other Business*</c:v>
                </c:pt>
              </c:strCache>
            </c:strRef>
          </c:tx>
          <c:spPr>
            <a:solidFill>
              <a:srgbClr val="74767B"/>
            </a:solidFill>
            <a:ln>
              <a:noFill/>
            </a:ln>
            <a:effectLst/>
          </c:spPr>
          <c:invertIfNegative val="0"/>
          <c:dLbls>
            <c:dLbl>
              <c:idx val="0"/>
              <c:layout>
                <c:manualLayout>
                  <c:x val="5.0402932728928901E-2"/>
                  <c:y val="-2.39610547958192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91E-434B-8FDB-ACB68AC1AE0C}"/>
                </c:ext>
              </c:extLst>
            </c:dLbl>
            <c:dLbl>
              <c:idx val="1"/>
              <c:layout>
                <c:manualLayout>
                  <c:x val="5.0402932728928859E-2"/>
                  <c:y val="-1.7970791096864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1E-434B-8FDB-ACB68AC1AE0C}"/>
                </c:ext>
              </c:extLst>
            </c:dLbl>
            <c:dLbl>
              <c:idx val="2"/>
              <c:layout>
                <c:manualLayout>
                  <c:x val="5.6263738860199565E-2"/>
                  <c:y val="-1.4975659247387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91E-434B-8FDB-ACB68AC1AE0C}"/>
                </c:ext>
              </c:extLst>
            </c:dLbl>
            <c:dLbl>
              <c:idx val="3"/>
              <c:layout>
                <c:manualLayout>
                  <c:x val="5.7435900086453641E-2"/>
                  <c:y val="-2.69561866452967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91E-434B-8FDB-ACB68AC1AE0C}"/>
                </c:ext>
              </c:extLst>
            </c:dLbl>
            <c:dLbl>
              <c:idx val="4"/>
              <c:layout>
                <c:manualLayout>
                  <c:x val="5.0373093886647166E-2"/>
                  <c:y val="-3.0123618316203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6D-4C1C-BDA5-72822CEA488C}"/>
                </c:ext>
              </c:extLst>
            </c:dLbl>
            <c:spPr>
              <a:no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'Environmental Data'!$B$624:$B$628</c:f>
              <c:numCache>
                <c:formatCode>General</c:formatCode>
                <c:ptCount val="5"/>
                <c:pt idx="0">
                  <c:v>2019</c:v>
                </c:pt>
                <c:pt idx="1">
                  <c:v>2020</c:v>
                </c:pt>
                <c:pt idx="2">
                  <c:v>2021</c:v>
                </c:pt>
                <c:pt idx="3">
                  <c:v>2022</c:v>
                </c:pt>
                <c:pt idx="4">
                  <c:v>2023</c:v>
                </c:pt>
              </c:numCache>
            </c:numRef>
          </c:cat>
          <c:val>
            <c:numRef>
              <c:f>'Environmental Data'!$G$624:$G$628</c:f>
              <c:numCache>
                <c:formatCode>0.0</c:formatCode>
                <c:ptCount val="5"/>
                <c:pt idx="0">
                  <c:v>1.5334423662042918</c:v>
                </c:pt>
                <c:pt idx="1">
                  <c:v>0.91393726115782703</c:v>
                </c:pt>
                <c:pt idx="2">
                  <c:v>1.1668473886087598</c:v>
                </c:pt>
                <c:pt idx="3">
                  <c:v>0.2</c:v>
                </c:pt>
                <c:pt idx="4">
                  <c:v>0.23258030311386649</c:v>
                </c:pt>
              </c:numCache>
            </c:numRef>
          </c:val>
          <c:extLst>
            <c:ext xmlns:c16="http://schemas.microsoft.com/office/drawing/2014/chart" uri="{C3380CC4-5D6E-409C-BE32-E72D297353CC}">
              <c16:uniqueId val="{00000004-3ACD-4EFC-80AA-07B6D6745773}"/>
            </c:ext>
          </c:extLst>
        </c:ser>
        <c:dLbls>
          <c:showLegendKey val="0"/>
          <c:showVal val="0"/>
          <c:showCatName val="0"/>
          <c:showSerName val="0"/>
          <c:showPercent val="0"/>
          <c:showBubbleSize val="0"/>
        </c:dLbls>
        <c:gapWidth val="150"/>
        <c:overlap val="100"/>
        <c:axId val="188744423"/>
        <c:axId val="188744751"/>
        <c:extLst>
          <c:ext xmlns:c15="http://schemas.microsoft.com/office/drawing/2012/chart" uri="{02D57815-91ED-43cb-92C2-25804820EDAC}">
            <c15:filteredBarSeries>
              <c15:ser>
                <c:idx val="2"/>
                <c:order val="2"/>
                <c:tx>
                  <c:strRef>
                    <c:extLst>
                      <c:ext uri="{02D57815-91ED-43cb-92C2-25804820EDAC}">
                        <c15:formulaRef>
                          <c15:sqref>'Environmental Data'!$E$622</c15:sqref>
                        </c15:formulaRef>
                      </c:ext>
                    </c:extLst>
                    <c:strCache>
                      <c:ptCount val="1"/>
                      <c:pt idx="0">
                        <c:v>Fertilizers</c:v>
                      </c:pt>
                    </c:strCache>
                  </c:strRef>
                </c:tx>
                <c:spPr>
                  <a:solidFill>
                    <a:srgbClr val="C0305E"/>
                  </a:solidFill>
                  <a:ln>
                    <a:noFill/>
                  </a:ln>
                  <a:effectLst/>
                </c:spPr>
                <c:invertIfNegative val="0"/>
                <c:cat>
                  <c:numRef>
                    <c:extLst>
                      <c:ext uri="{02D57815-91ED-43cb-92C2-25804820EDAC}">
                        <c15:formulaRef>
                          <c15:sqref>'Environmental Data'!$B$624:$B$628</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'Environmental Data'!$E$624:$E$628</c15:sqref>
                        </c15:formulaRef>
                      </c:ext>
                    </c:extLst>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2-3ACD-4EFC-80AA-07B6D6745773}"/>
                  </c:ext>
                </c:extLst>
              </c15:ser>
            </c15:filteredBarSeries>
          </c:ext>
        </c:extLst>
      </c:barChart>
      <c:lineChart>
        <c:grouping val="standard"/>
        <c:varyColors val="0"/>
        <c:ser>
          <c:idx val="5"/>
          <c:order val="5"/>
          <c:tx>
            <c:strRef>
              <c:f>'Environmental Data'!$H$622</c:f>
              <c:strCache>
                <c:ptCount val="1"/>
                <c:pt idx="0">
                  <c:v>TOTAL</c:v>
                </c:pt>
              </c:strCache>
            </c:strRef>
          </c:tx>
          <c:spPr>
            <a:ln w="28575" cap="rnd">
              <a:noFill/>
              <a:round/>
            </a:ln>
            <a:effectLst/>
          </c:spPr>
          <c:marker>
            <c:symbol val="diamond"/>
            <c:size val="5"/>
            <c:spPr>
              <a:solidFill>
                <a:srgbClr val="555555"/>
              </a:solidFill>
              <a:ln w="9525">
                <a:solidFill>
                  <a:srgbClr val="555555"/>
                </a:solidFill>
              </a:ln>
              <a:effectLst/>
            </c:spPr>
          </c:marker>
          <c:dLbls>
            <c:dLbl>
              <c:idx val="2"/>
              <c:tx>
                <c:rich>
                  <a:bodyPr rot="0" spcFirstLastPara="1" vertOverflow="ellipsis" vert="horz" wrap="square" lIns="38100" tIns="19050" rIns="38100" bIns="19050" anchor="ctr" anchorCtr="1">
                    <a:spAutoFit/>
                  </a:bodyPr>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fld id="{251EDE49-2546-4BA7-984B-191DC7CB0851}" type="VALUE">
                      <a:rPr lang="en-US">
                        <a:solidFill>
                          <a:srgbClr val="555555"/>
                        </a:solidFill>
                      </a:rPr>
                      <a:pPr>
                        <a:defRPr b="1">
                          <a:solidFill>
                            <a:srgbClr val="555555"/>
                          </a:solidFill>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FC7-45FD-BC53-4256F722670D}"/>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Data'!$B$623:$B$627</c:f>
              <c:numCache>
                <c:formatCode>General</c:formatCode>
                <c:ptCount val="5"/>
                <c:pt idx="0">
                  <c:v>2018</c:v>
                </c:pt>
                <c:pt idx="1">
                  <c:v>2019</c:v>
                </c:pt>
                <c:pt idx="2">
                  <c:v>2020</c:v>
                </c:pt>
                <c:pt idx="3">
                  <c:v>2021</c:v>
                </c:pt>
                <c:pt idx="4">
                  <c:v>2022</c:v>
                </c:pt>
              </c:numCache>
            </c:numRef>
          </c:cat>
          <c:val>
            <c:numRef>
              <c:f>'Environmental Data'!$H$624:$H$628</c:f>
              <c:numCache>
                <c:formatCode>0.0</c:formatCode>
                <c:ptCount val="5"/>
                <c:pt idx="0">
                  <c:v>86.29432887668537</c:v>
                </c:pt>
                <c:pt idx="1">
                  <c:v>99.067260041900283</c:v>
                </c:pt>
                <c:pt idx="2">
                  <c:v>77.5</c:v>
                </c:pt>
                <c:pt idx="3">
                  <c:v>75.8</c:v>
                </c:pt>
                <c:pt idx="4">
                  <c:v>81.599999999999994</c:v>
                </c:pt>
              </c:numCache>
            </c:numRef>
          </c:val>
          <c:smooth val="0"/>
          <c:extLst>
            <c:ext xmlns:c16="http://schemas.microsoft.com/office/drawing/2014/chart" uri="{C3380CC4-5D6E-409C-BE32-E72D297353CC}">
              <c16:uniqueId val="{00000005-3ACD-4EFC-80AA-07B6D6745773}"/>
            </c:ext>
          </c:extLst>
        </c:ser>
        <c:dLbls>
          <c:showLegendKey val="0"/>
          <c:showVal val="0"/>
          <c:showCatName val="0"/>
          <c:showSerName val="0"/>
          <c:showPercent val="0"/>
          <c:showBubbleSize val="0"/>
        </c:dLbls>
        <c:marker val="1"/>
        <c:smooth val="0"/>
        <c:axId val="188744423"/>
        <c:axId val="188744751"/>
      </c:lineChart>
      <c:catAx>
        <c:axId val="188744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crossAx val="188744751"/>
        <c:crosses val="autoZero"/>
        <c:auto val="1"/>
        <c:lblAlgn val="ctr"/>
        <c:lblOffset val="100"/>
        <c:noMultiLvlLbl val="0"/>
      </c:catAx>
      <c:valAx>
        <c:axId val="188744751"/>
        <c:scaling>
          <c:orientation val="minMax"/>
          <c:max val="180"/>
        </c:scaling>
        <c:delete val="1"/>
        <c:axPos val="l"/>
        <c:numFmt formatCode="0.0" sourceLinked="1"/>
        <c:majorTickMark val="none"/>
        <c:minorTickMark val="none"/>
        <c:tickLblPos val="nextTo"/>
        <c:crossAx val="188744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a:t>Energy consumption</a:t>
            </a:r>
          </a:p>
          <a:p>
            <a:pPr>
              <a:defRPr sz="1050" b="1"/>
            </a:pPr>
            <a:r>
              <a:rPr lang="pt-BR" sz="1050" b="1"/>
              <a:t>(in thousand TJ)</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Data'!$C$66</c:f>
              <c:strCache>
                <c:ptCount val="1"/>
                <c:pt idx="0">
                  <c:v>Renewable</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Data'!$B$67:$B$71</c:f>
              <c:numCache>
                <c:formatCode>General</c:formatCode>
                <c:ptCount val="5"/>
                <c:pt idx="0">
                  <c:v>2018</c:v>
                </c:pt>
                <c:pt idx="1">
                  <c:v>2019</c:v>
                </c:pt>
                <c:pt idx="2">
                  <c:v>2020</c:v>
                </c:pt>
                <c:pt idx="3">
                  <c:v>2021</c:v>
                </c:pt>
                <c:pt idx="4">
                  <c:v>2022</c:v>
                </c:pt>
              </c:numCache>
            </c:numRef>
          </c:cat>
          <c:val>
            <c:numRef>
              <c:f>'Environmental Data'!$C$67:$C$71</c:f>
              <c:numCache>
                <c:formatCode>_-* #,##0_-;\-* #,##0_-;_-* "-"??_-;_-@_-</c:formatCode>
                <c:ptCount val="5"/>
                <c:pt idx="0">
                  <c:v>50</c:v>
                </c:pt>
                <c:pt idx="1">
                  <c:v>47</c:v>
                </c:pt>
                <c:pt idx="2">
                  <c:v>44</c:v>
                </c:pt>
                <c:pt idx="3">
                  <c:v>45</c:v>
                </c:pt>
                <c:pt idx="4" formatCode="0">
                  <c:v>40</c:v>
                </c:pt>
              </c:numCache>
            </c:numRef>
          </c:val>
          <c:extLst>
            <c:ext xmlns:c16="http://schemas.microsoft.com/office/drawing/2014/chart" uri="{C3380CC4-5D6E-409C-BE32-E72D297353CC}">
              <c16:uniqueId val="{00000000-A91C-45A4-B65E-F191849C17DB}"/>
            </c:ext>
          </c:extLst>
        </c:ser>
        <c:ser>
          <c:idx val="1"/>
          <c:order val="1"/>
          <c:tx>
            <c:strRef>
              <c:f>'Environmental Data'!$D$66</c:f>
              <c:strCache>
                <c:ptCount val="1"/>
                <c:pt idx="0">
                  <c:v>Non-renewable</c:v>
                </c:pt>
              </c:strCache>
            </c:strRef>
          </c:tx>
          <c:spPr>
            <a:solidFill>
              <a:srgbClr val="ECB1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Data'!$B$67:$B$71</c:f>
              <c:numCache>
                <c:formatCode>General</c:formatCode>
                <c:ptCount val="5"/>
                <c:pt idx="0">
                  <c:v>2018</c:v>
                </c:pt>
                <c:pt idx="1">
                  <c:v>2019</c:v>
                </c:pt>
                <c:pt idx="2">
                  <c:v>2020</c:v>
                </c:pt>
                <c:pt idx="3">
                  <c:v>2021</c:v>
                </c:pt>
                <c:pt idx="4">
                  <c:v>2022</c:v>
                </c:pt>
              </c:numCache>
            </c:numRef>
          </c:cat>
          <c:val>
            <c:numRef>
              <c:f>'Environmental Data'!$D$67:$D$71</c:f>
              <c:numCache>
                <c:formatCode>_-* #,##0_-;\-* #,##0_-;_-* "-"??_-;_-@_-</c:formatCode>
                <c:ptCount val="5"/>
                <c:pt idx="0">
                  <c:v>141</c:v>
                </c:pt>
                <c:pt idx="1">
                  <c:v>117</c:v>
                </c:pt>
                <c:pt idx="2">
                  <c:v>99</c:v>
                </c:pt>
                <c:pt idx="3">
                  <c:v>101</c:v>
                </c:pt>
                <c:pt idx="4" formatCode="0">
                  <c:v>97</c:v>
                </c:pt>
              </c:numCache>
            </c:numRef>
          </c:val>
          <c:extLst>
            <c:ext xmlns:c16="http://schemas.microsoft.com/office/drawing/2014/chart" uri="{C3380CC4-5D6E-409C-BE32-E72D297353CC}">
              <c16:uniqueId val="{00000001-A91C-45A4-B65E-F191849C17DB}"/>
            </c:ext>
          </c:extLst>
        </c:ser>
        <c:dLbls>
          <c:showLegendKey val="0"/>
          <c:showVal val="1"/>
          <c:showCatName val="0"/>
          <c:showSerName val="0"/>
          <c:showPercent val="0"/>
          <c:showBubbleSize val="0"/>
        </c:dLbls>
        <c:gapWidth val="150"/>
        <c:overlap val="100"/>
        <c:axId val="75582479"/>
        <c:axId val="75583791"/>
      </c:barChart>
      <c:lineChart>
        <c:grouping val="standard"/>
        <c:varyColors val="0"/>
        <c:ser>
          <c:idx val="2"/>
          <c:order val="2"/>
          <c:tx>
            <c:strRef>
              <c:f>'Environmental Data'!$E$66</c:f>
              <c:strCache>
                <c:ptCount val="1"/>
                <c:pt idx="0">
                  <c:v>Total</c:v>
                </c:pt>
              </c:strCache>
            </c:strRef>
          </c:tx>
          <c:spPr>
            <a:ln w="28575" cap="rnd">
              <a:noFill/>
              <a:round/>
            </a:ln>
            <a:effectLst/>
          </c:spPr>
          <c:marker>
            <c:symbol val="diamond"/>
            <c:size val="5"/>
            <c:spPr>
              <a:solidFill>
                <a:srgbClr val="555555"/>
              </a:solidFill>
              <a:ln w="9525">
                <a:solidFill>
                  <a:srgbClr val="555555"/>
                </a:solidFill>
              </a:ln>
              <a:effectLst/>
            </c:spPr>
          </c:marker>
          <c:dLbls>
            <c:dLbl>
              <c:idx val="0"/>
              <c:layout>
                <c:manualLayout>
                  <c:x val="-2.4202689936232875E-2"/>
                  <c:y val="-3.8278527223115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3E-4B6F-9321-2CC818184900}"/>
                </c:ext>
              </c:extLst>
            </c:dLbl>
            <c:dLbl>
              <c:idx val="1"/>
              <c:layout>
                <c:manualLayout>
                  <c:x val="-2.5605136266433935E-2"/>
                  <c:y val="-4.59342326677391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3E-4B6F-9321-2CC818184900}"/>
                </c:ext>
              </c:extLst>
            </c:dLbl>
            <c:dLbl>
              <c:idx val="2"/>
              <c:layout>
                <c:manualLayout>
                  <c:x val="-2.5605136266433882E-2"/>
                  <c:y val="-3.8278527223115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3E-4B6F-9321-2CC818184900}"/>
                </c:ext>
              </c:extLst>
            </c:dLbl>
            <c:dLbl>
              <c:idx val="3"/>
              <c:layout>
                <c:manualLayout>
                  <c:x val="-2.563434469590933E-2"/>
                  <c:y val="-3.82785272231159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r"/>
              <c:showLegendKey val="0"/>
              <c:showVal val="1"/>
              <c:showCatName val="0"/>
              <c:showSerName val="0"/>
              <c:showPercent val="0"/>
              <c:showBubbleSize val="0"/>
              <c:extLst>
                <c:ext xmlns:c15="http://schemas.microsoft.com/office/drawing/2012/chart" uri="{CE6537A1-D6FC-4f65-9D91-7224C49458BB}">
                  <c15:layout>
                    <c:manualLayout>
                      <c:w val="3.3036985281200623E-2"/>
                      <c:h val="5.4790738548070393E-2"/>
                    </c:manualLayout>
                  </c15:layout>
                </c:ext>
                <c:ext xmlns:c16="http://schemas.microsoft.com/office/drawing/2014/chart" uri="{C3380CC4-5D6E-409C-BE32-E72D297353CC}">
                  <c16:uniqueId val="{00000003-923E-4B6F-9321-2CC818184900}"/>
                </c:ext>
              </c:extLst>
            </c:dLbl>
            <c:dLbl>
              <c:idx val="4"/>
              <c:layout>
                <c:manualLayout>
                  <c:x val="-2.2489500636975371E-2"/>
                  <c:y val="-4.58338834502088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3E-4B6F-9321-2CC8181849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'Environmental Data'!$B$67:$B$71</c:f>
              <c:numCache>
                <c:formatCode>General</c:formatCode>
                <c:ptCount val="5"/>
                <c:pt idx="0">
                  <c:v>2018</c:v>
                </c:pt>
                <c:pt idx="1">
                  <c:v>2019</c:v>
                </c:pt>
                <c:pt idx="2">
                  <c:v>2020</c:v>
                </c:pt>
                <c:pt idx="3">
                  <c:v>2021</c:v>
                </c:pt>
                <c:pt idx="4">
                  <c:v>2022</c:v>
                </c:pt>
              </c:numCache>
            </c:numRef>
          </c:cat>
          <c:val>
            <c:numRef>
              <c:f>'Environmental Data'!$E$67:$E$71</c:f>
              <c:numCache>
                <c:formatCode>_-* #,##0_-;\-* #,##0_-;_-* "-"??_-;_-@_-</c:formatCode>
                <c:ptCount val="5"/>
                <c:pt idx="0">
                  <c:v>191</c:v>
                </c:pt>
                <c:pt idx="1">
                  <c:v>164</c:v>
                </c:pt>
                <c:pt idx="2">
                  <c:v>143</c:v>
                </c:pt>
                <c:pt idx="3">
                  <c:v>146</c:v>
                </c:pt>
                <c:pt idx="4" formatCode="0">
                  <c:v>137</c:v>
                </c:pt>
              </c:numCache>
            </c:numRef>
          </c:val>
          <c:smooth val="0"/>
          <c:extLst>
            <c:ext xmlns:c16="http://schemas.microsoft.com/office/drawing/2014/chart" uri="{C3380CC4-5D6E-409C-BE32-E72D297353CC}">
              <c16:uniqueId val="{00000002-A91C-45A4-B65E-F191849C17DB}"/>
            </c:ext>
          </c:extLst>
        </c:ser>
        <c:dLbls>
          <c:showLegendKey val="0"/>
          <c:showVal val="1"/>
          <c:showCatName val="0"/>
          <c:showSerName val="0"/>
          <c:showPercent val="0"/>
          <c:showBubbleSize val="0"/>
        </c:dLbls>
        <c:marker val="1"/>
        <c:smooth val="0"/>
        <c:axId val="75582479"/>
        <c:axId val="75583791"/>
      </c:lineChart>
      <c:catAx>
        <c:axId val="7558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crossAx val="75583791"/>
        <c:crosses val="autoZero"/>
        <c:auto val="1"/>
        <c:lblAlgn val="ctr"/>
        <c:lblOffset val="100"/>
        <c:noMultiLvlLbl val="0"/>
      </c:catAx>
      <c:valAx>
        <c:axId val="75583791"/>
        <c:scaling>
          <c:orientation val="minMax"/>
          <c:max val="200"/>
        </c:scaling>
        <c:delete val="1"/>
        <c:axPos val="l"/>
        <c:numFmt formatCode="_-* #,##0_-;\-* #,##0_-;_-* &quot;-&quot;??_-;_-@_-" sourceLinked="1"/>
        <c:majorTickMark val="none"/>
        <c:minorTickMark val="none"/>
        <c:tickLblPos val="nextTo"/>
        <c:crossAx val="7558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sz="900">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rgbClr val="555555"/>
                </a:solidFill>
                <a:latin typeface="Arial" panose="020B0604020202020204" pitchFamily="34" charset="0"/>
                <a:ea typeface="+mn-ea"/>
                <a:cs typeface="Arial" panose="020B0604020202020204" pitchFamily="34" charset="0"/>
              </a:defRPr>
            </a:pPr>
            <a:r>
              <a:rPr lang="en-US" sz="1050" b="1"/>
              <a:t>Waste generation - Global</a:t>
            </a:r>
          </a:p>
          <a:p>
            <a:pPr>
              <a:defRPr sz="1050" b="1"/>
            </a:pPr>
            <a:r>
              <a:rPr lang="en-US" sz="1050" b="1"/>
              <a:t>(in thousand metric tons)</a:t>
            </a:r>
          </a:p>
        </c:rich>
      </c:tx>
      <c:overlay val="0"/>
      <c:spPr>
        <a:noFill/>
        <a:ln>
          <a:noFill/>
        </a:ln>
        <a:effectLst/>
      </c:spPr>
      <c:txPr>
        <a:bodyPr rot="0" spcFirstLastPara="1" vertOverflow="ellipsis" vert="horz" wrap="square" anchor="ctr" anchorCtr="1"/>
        <a:lstStyle/>
        <a:p>
          <a:pPr>
            <a:defRPr sz="1050" b="1" i="0" u="none" strike="noStrike" kern="1200" spc="0" baseline="0">
              <a:solidFill>
                <a:srgbClr val="555555"/>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Data'!$C$685</c:f>
              <c:strCache>
                <c:ptCount val="1"/>
                <c:pt idx="0">
                  <c:v>Dangerous</c:v>
                </c:pt>
              </c:strCache>
            </c:strRef>
          </c:tx>
          <c:spPr>
            <a:solidFill>
              <a:srgbClr val="ECB11F"/>
            </a:solidFill>
            <a:ln>
              <a:noFill/>
            </a:ln>
            <a:effectLst/>
          </c:spPr>
          <c:invertIfNegative val="0"/>
          <c:dLbls>
            <c:dLbl>
              <c:idx val="0"/>
              <c:layout>
                <c:manualLayout>
                  <c:x val="7.6088177177190228E-2"/>
                  <c:y val="-3.92156862745099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B8-4038-8059-E507A750967A}"/>
                </c:ext>
              </c:extLst>
            </c:dLbl>
            <c:dLbl>
              <c:idx val="1"/>
              <c:layout>
                <c:manualLayout>
                  <c:x val="7.6090276248246339E-2"/>
                  <c:y val="-4.3137254901960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B8-4038-8059-E507A750967A}"/>
                </c:ext>
              </c:extLst>
            </c:dLbl>
            <c:dLbl>
              <c:idx val="2"/>
              <c:layout>
                <c:manualLayout>
                  <c:x val="7.2277698525915354E-2"/>
                  <c:y val="-3.9215686274509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B8-4038-8059-E507A750967A}"/>
                </c:ext>
              </c:extLst>
            </c:dLbl>
            <c:dLbl>
              <c:idx val="3"/>
              <c:layout>
                <c:manualLayout>
                  <c:x val="7.0375653827864815E-2"/>
                  <c:y val="-3.5294117647058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B8-4038-8059-E507A750967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'Environmental Data'!$B$686:$B$690</c:f>
              <c:numCache>
                <c:formatCode>General</c:formatCode>
                <c:ptCount val="5"/>
                <c:pt idx="0">
                  <c:v>2019</c:v>
                </c:pt>
                <c:pt idx="1">
                  <c:v>2020</c:v>
                </c:pt>
                <c:pt idx="2">
                  <c:v>2021</c:v>
                </c:pt>
                <c:pt idx="3">
                  <c:v>2022</c:v>
                </c:pt>
                <c:pt idx="4">
                  <c:v>2023</c:v>
                </c:pt>
              </c:numCache>
            </c:numRef>
          </c:cat>
          <c:val>
            <c:numRef>
              <c:f>'Environmental Data'!$C$686:$C$690</c:f>
              <c:numCache>
                <c:formatCode>0.0</c:formatCode>
                <c:ptCount val="5"/>
                <c:pt idx="0">
                  <c:v>46.544753315000008</c:v>
                </c:pt>
                <c:pt idx="1">
                  <c:v>40.475177047999999</c:v>
                </c:pt>
                <c:pt idx="2">
                  <c:v>39.450894428400012</c:v>
                </c:pt>
                <c:pt idx="3">
                  <c:v>51.79</c:v>
                </c:pt>
                <c:pt idx="4">
                  <c:v>92.738489286090001</c:v>
                </c:pt>
              </c:numCache>
            </c:numRef>
          </c:val>
          <c:extLst>
            <c:ext xmlns:c16="http://schemas.microsoft.com/office/drawing/2014/chart" uri="{C3380CC4-5D6E-409C-BE32-E72D297353CC}">
              <c16:uniqueId val="{00000000-10EC-4A16-8CED-9513F6339583}"/>
            </c:ext>
          </c:extLst>
        </c:ser>
        <c:ser>
          <c:idx val="1"/>
          <c:order val="1"/>
          <c:tx>
            <c:strRef>
              <c:f>'Environmental Data'!$D$685</c:f>
              <c:strCache>
                <c:ptCount val="1"/>
                <c:pt idx="0">
                  <c:v>Non-dangerous</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Data'!$B$686:$B$690</c:f>
              <c:numCache>
                <c:formatCode>General</c:formatCode>
                <c:ptCount val="5"/>
                <c:pt idx="0">
                  <c:v>2019</c:v>
                </c:pt>
                <c:pt idx="1">
                  <c:v>2020</c:v>
                </c:pt>
                <c:pt idx="2">
                  <c:v>2021</c:v>
                </c:pt>
                <c:pt idx="3">
                  <c:v>2022</c:v>
                </c:pt>
                <c:pt idx="4">
                  <c:v>2023</c:v>
                </c:pt>
              </c:numCache>
            </c:numRef>
          </c:cat>
          <c:val>
            <c:numRef>
              <c:f>'Environmental Data'!$D$686:$D$690</c:f>
              <c:numCache>
                <c:formatCode>0.0</c:formatCode>
                <c:ptCount val="5"/>
                <c:pt idx="0">
                  <c:v>650.98858267100002</c:v>
                </c:pt>
                <c:pt idx="1">
                  <c:v>710.80178721930008</c:v>
                </c:pt>
                <c:pt idx="2">
                  <c:v>498.87077576999991</c:v>
                </c:pt>
                <c:pt idx="3">
                  <c:v>548.64</c:v>
                </c:pt>
                <c:pt idx="4">
                  <c:v>636.6</c:v>
                </c:pt>
              </c:numCache>
            </c:numRef>
          </c:val>
          <c:extLst>
            <c:ext xmlns:c16="http://schemas.microsoft.com/office/drawing/2014/chart" uri="{C3380CC4-5D6E-409C-BE32-E72D297353CC}">
              <c16:uniqueId val="{00000001-10EC-4A16-8CED-9513F6339583}"/>
            </c:ext>
          </c:extLst>
        </c:ser>
        <c:dLbls>
          <c:showLegendKey val="0"/>
          <c:showVal val="1"/>
          <c:showCatName val="0"/>
          <c:showSerName val="0"/>
          <c:showPercent val="0"/>
          <c:showBubbleSize val="0"/>
        </c:dLbls>
        <c:gapWidth val="219"/>
        <c:overlap val="100"/>
        <c:axId val="75598551"/>
        <c:axId val="75595927"/>
      </c:barChart>
      <c:lineChart>
        <c:grouping val="standard"/>
        <c:varyColors val="0"/>
        <c:ser>
          <c:idx val="2"/>
          <c:order val="2"/>
          <c:tx>
            <c:strRef>
              <c:f>'Environmental Data'!$E$685</c:f>
              <c:strCache>
                <c:ptCount val="1"/>
                <c:pt idx="0">
                  <c:v>Total</c:v>
                </c:pt>
              </c:strCache>
            </c:strRef>
          </c:tx>
          <c:spPr>
            <a:ln w="25400" cap="rnd">
              <a:noFill/>
              <a:round/>
            </a:ln>
            <a:effectLst/>
          </c:spPr>
          <c:marker>
            <c:symbol val="diamond"/>
            <c:size val="5"/>
            <c:spPr>
              <a:solidFill>
                <a:srgbClr val="555555"/>
              </a:solidFill>
              <a:ln w="9525">
                <a:noFill/>
              </a:ln>
              <a:effectLst/>
            </c:spPr>
          </c:marker>
          <c:dLbls>
            <c:dLbl>
              <c:idx val="0"/>
              <c:layout>
                <c:manualLayout>
                  <c:x val="-2.2488356575913103E-2"/>
                  <c:y val="-3.9235979702331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74-43F2-A93A-55B5775D5FA8}"/>
                </c:ext>
              </c:extLst>
            </c:dLbl>
            <c:dLbl>
              <c:idx val="1"/>
              <c:layout>
                <c:manualLayout>
                  <c:x val="-2.1082834289918521E-2"/>
                  <c:y val="-3.9235979702331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E74-43F2-A93A-55B5775D5FA8}"/>
                </c:ext>
              </c:extLst>
            </c:dLbl>
            <c:dLbl>
              <c:idx val="2"/>
              <c:layout>
                <c:manualLayout>
                  <c:x val="-2.1082834289918521E-2"/>
                  <c:y val="-3.9235979702331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74-43F2-A93A-55B5775D5FA8}"/>
                </c:ext>
              </c:extLst>
            </c:dLbl>
            <c:dLbl>
              <c:idx val="3"/>
              <c:layout>
                <c:manualLayout>
                  <c:x val="-2.2488356575913089E-2"/>
                  <c:y val="-4.3159577672565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74-43F2-A93A-55B5775D5FA8}"/>
                </c:ext>
              </c:extLst>
            </c:dLbl>
            <c:dLbl>
              <c:idx val="4"/>
              <c:layout>
                <c:manualLayout>
                  <c:x val="-2.1082834289918521E-2"/>
                  <c:y val="-3.5312381732098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74-43F2-A93A-55B5775D5F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Data'!$B$686:$B$690</c:f>
              <c:numCache>
                <c:formatCode>General</c:formatCode>
                <c:ptCount val="5"/>
                <c:pt idx="0">
                  <c:v>2019</c:v>
                </c:pt>
                <c:pt idx="1">
                  <c:v>2020</c:v>
                </c:pt>
                <c:pt idx="2">
                  <c:v>2021</c:v>
                </c:pt>
                <c:pt idx="3">
                  <c:v>2022</c:v>
                </c:pt>
                <c:pt idx="4">
                  <c:v>2023</c:v>
                </c:pt>
              </c:numCache>
            </c:numRef>
          </c:cat>
          <c:val>
            <c:numRef>
              <c:f>'Environmental Data'!$E$686:$E$690</c:f>
              <c:numCache>
                <c:formatCode>0.0</c:formatCode>
                <c:ptCount val="5"/>
                <c:pt idx="0">
                  <c:v>697.533335986</c:v>
                </c:pt>
                <c:pt idx="1">
                  <c:v>751.27696426730006</c:v>
                </c:pt>
                <c:pt idx="2">
                  <c:v>538.32167019839994</c:v>
                </c:pt>
                <c:pt idx="3">
                  <c:v>600.44000000000005</c:v>
                </c:pt>
                <c:pt idx="4">
                  <c:v>729.1</c:v>
                </c:pt>
              </c:numCache>
            </c:numRef>
          </c:val>
          <c:smooth val="0"/>
          <c:extLst>
            <c:ext xmlns:c16="http://schemas.microsoft.com/office/drawing/2014/chart" uri="{C3380CC4-5D6E-409C-BE32-E72D297353CC}">
              <c16:uniqueId val="{00000002-10EC-4A16-8CED-9513F6339583}"/>
            </c:ext>
          </c:extLst>
        </c:ser>
        <c:dLbls>
          <c:showLegendKey val="0"/>
          <c:showVal val="1"/>
          <c:showCatName val="0"/>
          <c:showSerName val="0"/>
          <c:showPercent val="0"/>
          <c:showBubbleSize val="0"/>
        </c:dLbls>
        <c:marker val="1"/>
        <c:smooth val="0"/>
        <c:axId val="75598551"/>
        <c:axId val="75595927"/>
      </c:lineChart>
      <c:catAx>
        <c:axId val="75598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crossAx val="75595927"/>
        <c:crosses val="autoZero"/>
        <c:auto val="1"/>
        <c:lblAlgn val="ctr"/>
        <c:lblOffset val="100"/>
        <c:noMultiLvlLbl val="0"/>
      </c:catAx>
      <c:valAx>
        <c:axId val="75595927"/>
        <c:scaling>
          <c:orientation val="minMax"/>
          <c:max val="900"/>
        </c:scaling>
        <c:delete val="1"/>
        <c:axPos val="l"/>
        <c:numFmt formatCode="0.0" sourceLinked="1"/>
        <c:majorTickMark val="none"/>
        <c:minorTickMark val="none"/>
        <c:tickLblPos val="nextTo"/>
        <c:crossAx val="75598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sz="900">
          <a:solidFill>
            <a:srgbClr val="555555"/>
          </a:solidFill>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a:t>Disposition and destination - Global</a:t>
            </a:r>
          </a:p>
          <a:p>
            <a:pPr>
              <a:defRPr sz="1050" b="1"/>
            </a:pPr>
            <a:r>
              <a:rPr lang="pt-BR" sz="1050" b="1"/>
              <a:t>(in thousand metric tons)</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Data'!$B$726</c:f>
              <c:strCache>
                <c:ptCount val="1"/>
                <c:pt idx="0">
                  <c:v>Reprocessing / Recycling / Reuse</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Data'!$D$725:$H$725</c:f>
              <c:numCache>
                <c:formatCode>General</c:formatCode>
                <c:ptCount val="5"/>
                <c:pt idx="0">
                  <c:v>2019</c:v>
                </c:pt>
                <c:pt idx="1">
                  <c:v>2020</c:v>
                </c:pt>
                <c:pt idx="2">
                  <c:v>2021</c:v>
                </c:pt>
                <c:pt idx="3">
                  <c:v>2022</c:v>
                </c:pt>
                <c:pt idx="4">
                  <c:v>2023</c:v>
                </c:pt>
              </c:numCache>
            </c:numRef>
          </c:cat>
          <c:val>
            <c:numRef>
              <c:f>'Environmental Data'!$D$726:$H$726</c:f>
              <c:numCache>
                <c:formatCode>0.0</c:formatCode>
                <c:ptCount val="5"/>
                <c:pt idx="0">
                  <c:v>354.34474816299996</c:v>
                </c:pt>
                <c:pt idx="1">
                  <c:v>428.93763737999996</c:v>
                </c:pt>
                <c:pt idx="2">
                  <c:v>307.29142097300002</c:v>
                </c:pt>
                <c:pt idx="3">
                  <c:v>356.75</c:v>
                </c:pt>
                <c:pt idx="4">
                  <c:v>351.1</c:v>
                </c:pt>
              </c:numCache>
            </c:numRef>
          </c:val>
          <c:extLst>
            <c:ext xmlns:c16="http://schemas.microsoft.com/office/drawing/2014/chart" uri="{C3380CC4-5D6E-409C-BE32-E72D297353CC}">
              <c16:uniqueId val="{00000000-2548-492C-983A-DF8CF546A943}"/>
            </c:ext>
          </c:extLst>
        </c:ser>
        <c:ser>
          <c:idx val="1"/>
          <c:order val="1"/>
          <c:tx>
            <c:strRef>
              <c:f>'Environmental Data'!$B$727</c:f>
              <c:strCache>
                <c:ptCount val="1"/>
                <c:pt idx="0">
                  <c:v>Arrangement in Soil*</c:v>
                </c:pt>
              </c:strCache>
            </c:strRef>
          </c:tx>
          <c:spPr>
            <a:solidFill>
              <a:srgbClr val="BCBE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Data'!$D$725:$H$725</c:f>
              <c:numCache>
                <c:formatCode>General</c:formatCode>
                <c:ptCount val="5"/>
                <c:pt idx="0">
                  <c:v>2019</c:v>
                </c:pt>
                <c:pt idx="1">
                  <c:v>2020</c:v>
                </c:pt>
                <c:pt idx="2">
                  <c:v>2021</c:v>
                </c:pt>
                <c:pt idx="3">
                  <c:v>2022</c:v>
                </c:pt>
                <c:pt idx="4">
                  <c:v>2023</c:v>
                </c:pt>
              </c:numCache>
            </c:numRef>
          </c:cat>
          <c:val>
            <c:numRef>
              <c:f>'Environmental Data'!$D$727:$H$727</c:f>
              <c:numCache>
                <c:formatCode>0.0</c:formatCode>
                <c:ptCount val="5"/>
                <c:pt idx="0">
                  <c:v>309.25137194199999</c:v>
                </c:pt>
                <c:pt idx="1">
                  <c:v>281.48177996799996</c:v>
                </c:pt>
                <c:pt idx="2">
                  <c:v>208.33702756399998</c:v>
                </c:pt>
                <c:pt idx="3">
                  <c:v>187.62</c:v>
                </c:pt>
                <c:pt idx="4">
                  <c:v>312.2</c:v>
                </c:pt>
              </c:numCache>
            </c:numRef>
          </c:val>
          <c:extLst>
            <c:ext xmlns:c16="http://schemas.microsoft.com/office/drawing/2014/chart" uri="{C3380CC4-5D6E-409C-BE32-E72D297353CC}">
              <c16:uniqueId val="{00000001-2548-492C-983A-DF8CF546A943}"/>
            </c:ext>
          </c:extLst>
        </c:ser>
        <c:ser>
          <c:idx val="2"/>
          <c:order val="2"/>
          <c:tx>
            <c:strRef>
              <c:f>'Environmental Data'!$B$728</c:f>
              <c:strCache>
                <c:ptCount val="1"/>
                <c:pt idx="0">
                  <c:v>Other**</c:v>
                </c:pt>
              </c:strCache>
            </c:strRef>
          </c:tx>
          <c:spPr>
            <a:solidFill>
              <a:srgbClr val="ECB11F"/>
            </a:solidFill>
            <a:ln>
              <a:noFill/>
            </a:ln>
            <a:effectLst/>
          </c:spPr>
          <c:invertIfNegative val="0"/>
          <c:dLbls>
            <c:dLbl>
              <c:idx val="0"/>
              <c:layout>
                <c:manualLayout>
                  <c:x val="7.0672218255235925E-2"/>
                  <c:y val="3.52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548-492C-983A-DF8CF546A943}"/>
                </c:ext>
              </c:extLst>
            </c:dLbl>
            <c:dLbl>
              <c:idx val="1"/>
              <c:layout>
                <c:manualLayout>
                  <c:x val="7.067221825523598E-2"/>
                  <c:y val="3.9197530864197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548-492C-983A-DF8CF546A943}"/>
                </c:ext>
              </c:extLst>
            </c:dLbl>
            <c:dLbl>
              <c:idx val="2"/>
              <c:layout>
                <c:manualLayout>
                  <c:x val="7.2278405033764065E-2"/>
                  <c:y val="2.743827160493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548-492C-983A-DF8CF546A943}"/>
                </c:ext>
              </c:extLst>
            </c:dLbl>
            <c:dLbl>
              <c:idx val="3"/>
              <c:layout>
                <c:manualLayout>
                  <c:x val="7.2278405033763954E-2"/>
                  <c:y val="3.1358024691358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548-492C-983A-DF8CF546A94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'Environmental Data'!$D$725:$H$725</c:f>
              <c:numCache>
                <c:formatCode>General</c:formatCode>
                <c:ptCount val="5"/>
                <c:pt idx="0">
                  <c:v>2019</c:v>
                </c:pt>
                <c:pt idx="1">
                  <c:v>2020</c:v>
                </c:pt>
                <c:pt idx="2">
                  <c:v>2021</c:v>
                </c:pt>
                <c:pt idx="3">
                  <c:v>2022</c:v>
                </c:pt>
                <c:pt idx="4">
                  <c:v>2023</c:v>
                </c:pt>
              </c:numCache>
            </c:numRef>
          </c:cat>
          <c:val>
            <c:numRef>
              <c:f>'Environmental Data'!$D$728:$H$728</c:f>
              <c:numCache>
                <c:formatCode>0.0</c:formatCode>
                <c:ptCount val="5"/>
                <c:pt idx="0">
                  <c:v>18.374900133000004</c:v>
                </c:pt>
                <c:pt idx="1">
                  <c:v>18.317663528000001</c:v>
                </c:pt>
                <c:pt idx="2">
                  <c:v>21.359586875000002</c:v>
                </c:pt>
                <c:pt idx="3">
                  <c:v>32.54</c:v>
                </c:pt>
                <c:pt idx="4">
                  <c:v>57.8</c:v>
                </c:pt>
              </c:numCache>
            </c:numRef>
          </c:val>
          <c:extLst>
            <c:ext xmlns:c16="http://schemas.microsoft.com/office/drawing/2014/chart" uri="{C3380CC4-5D6E-409C-BE32-E72D297353CC}">
              <c16:uniqueId val="{00000002-2548-492C-983A-DF8CF546A943}"/>
            </c:ext>
          </c:extLst>
        </c:ser>
        <c:dLbls>
          <c:showLegendKey val="0"/>
          <c:showVal val="1"/>
          <c:showCatName val="0"/>
          <c:showSerName val="0"/>
          <c:showPercent val="0"/>
          <c:showBubbleSize val="0"/>
        </c:dLbls>
        <c:gapWidth val="150"/>
        <c:overlap val="100"/>
        <c:axId val="416933255"/>
        <c:axId val="416931287"/>
      </c:barChart>
      <c:lineChart>
        <c:grouping val="standard"/>
        <c:varyColors val="0"/>
        <c:ser>
          <c:idx val="3"/>
          <c:order val="3"/>
          <c:tx>
            <c:strRef>
              <c:f>'Environmental Data'!$B$729</c:f>
              <c:strCache>
                <c:ptCount val="1"/>
                <c:pt idx="0">
                  <c:v>Total</c:v>
                </c:pt>
              </c:strCache>
            </c:strRef>
          </c:tx>
          <c:spPr>
            <a:ln w="28575" cap="rnd">
              <a:noFill/>
              <a:round/>
            </a:ln>
            <a:effectLst/>
          </c:spPr>
          <c:marker>
            <c:symbol val="diamond"/>
            <c:size val="5"/>
            <c:spPr>
              <a:solidFill>
                <a:srgbClr val="555555"/>
              </a:solidFill>
              <a:ln w="9525">
                <a:solidFill>
                  <a:srgbClr val="555555"/>
                </a:solidFill>
              </a:ln>
              <a:effectLst/>
            </c:spPr>
          </c:marker>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'Environmental Data'!$D$725:$H$725</c:f>
              <c:numCache>
                <c:formatCode>General</c:formatCode>
                <c:ptCount val="5"/>
                <c:pt idx="0">
                  <c:v>2019</c:v>
                </c:pt>
                <c:pt idx="1">
                  <c:v>2020</c:v>
                </c:pt>
                <c:pt idx="2">
                  <c:v>2021</c:v>
                </c:pt>
                <c:pt idx="3">
                  <c:v>2022</c:v>
                </c:pt>
                <c:pt idx="4">
                  <c:v>2023</c:v>
                </c:pt>
              </c:numCache>
            </c:numRef>
          </c:cat>
          <c:val>
            <c:numRef>
              <c:f>'Environmental Data'!$D$729:$H$729</c:f>
              <c:numCache>
                <c:formatCode>0.0</c:formatCode>
                <c:ptCount val="5"/>
                <c:pt idx="0">
                  <c:v>681.97102023799994</c:v>
                </c:pt>
                <c:pt idx="1">
                  <c:v>728.73708087599994</c:v>
                </c:pt>
                <c:pt idx="2">
                  <c:v>536.98803541199993</c:v>
                </c:pt>
                <c:pt idx="3">
                  <c:v>576.91</c:v>
                </c:pt>
                <c:pt idx="4">
                  <c:v>721.1</c:v>
                </c:pt>
              </c:numCache>
            </c:numRef>
          </c:val>
          <c:smooth val="0"/>
          <c:extLst>
            <c:ext xmlns:c16="http://schemas.microsoft.com/office/drawing/2014/chart" uri="{C3380CC4-5D6E-409C-BE32-E72D297353CC}">
              <c16:uniqueId val="{00000003-2548-492C-983A-DF8CF546A943}"/>
            </c:ext>
          </c:extLst>
        </c:ser>
        <c:dLbls>
          <c:showLegendKey val="0"/>
          <c:showVal val="1"/>
          <c:showCatName val="0"/>
          <c:showSerName val="0"/>
          <c:showPercent val="0"/>
          <c:showBubbleSize val="0"/>
        </c:dLbls>
        <c:marker val="1"/>
        <c:smooth val="0"/>
        <c:axId val="416933255"/>
        <c:axId val="416931287"/>
      </c:lineChart>
      <c:catAx>
        <c:axId val="416933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416931287"/>
        <c:crosses val="autoZero"/>
        <c:auto val="1"/>
        <c:lblAlgn val="ctr"/>
        <c:lblOffset val="100"/>
        <c:noMultiLvlLbl val="0"/>
      </c:catAx>
      <c:valAx>
        <c:axId val="416931287"/>
        <c:scaling>
          <c:orientation val="minMax"/>
          <c:max val="800"/>
        </c:scaling>
        <c:delete val="1"/>
        <c:axPos val="l"/>
        <c:numFmt formatCode="0.0" sourceLinked="1"/>
        <c:majorTickMark val="none"/>
        <c:minorTickMark val="none"/>
        <c:tickLblPos val="nextTo"/>
        <c:crossAx val="416933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sz="900">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50" b="1" i="0" u="none" strike="noStrike" kern="1200" spc="0" baseline="0">
                <a:solidFill>
                  <a:schemeClr val="tx1"/>
                </a:solidFill>
                <a:latin typeface="Arial" panose="020B0604020202020204" pitchFamily="34" charset="0"/>
                <a:ea typeface="+mn-ea"/>
                <a:cs typeface="Arial" panose="020B0604020202020204" pitchFamily="34" charset="0"/>
              </a:defRPr>
            </a:pPr>
            <a:r>
              <a:rPr lang="pt-BR" sz="1050" b="1">
                <a:solidFill>
                  <a:srgbClr val="555555"/>
                </a:solidFill>
              </a:rPr>
              <a:t>Total weight of minerometallurgical waste - Global</a:t>
            </a:r>
          </a:p>
          <a:p>
            <a:pPr>
              <a:defRPr sz="1050" b="1"/>
            </a:pPr>
            <a:r>
              <a:rPr lang="pt-BR" sz="1050" b="1">
                <a:solidFill>
                  <a:srgbClr val="555555"/>
                </a:solidFill>
              </a:rPr>
              <a:t>(in million metric tons)</a:t>
            </a:r>
          </a:p>
        </c:rich>
      </c:tx>
      <c:overlay val="0"/>
      <c:spPr>
        <a:noFill/>
        <a:ln>
          <a:noFill/>
        </a:ln>
        <a:effectLst/>
      </c:spPr>
      <c:txPr>
        <a:bodyPr rot="0" spcFirstLastPara="1" vertOverflow="ellipsis" vert="horz" wrap="square" anchor="ctr" anchorCtr="1"/>
        <a:lstStyle/>
        <a:p>
          <a:pPr>
            <a:defRPr lang="en-US" sz="1050" b="1" i="0" u="none" strike="noStrike" kern="1200" spc="0" baseline="0">
              <a:solidFill>
                <a:schemeClr val="tx1"/>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Data'!$B$815</c:f>
              <c:strCache>
                <c:ptCount val="1"/>
                <c:pt idx="0">
                  <c:v>Iron ore - Waste Rock</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Data'!$D$814:$H$814</c:f>
              <c:numCache>
                <c:formatCode>General</c:formatCode>
                <c:ptCount val="5"/>
                <c:pt idx="0">
                  <c:v>2019</c:v>
                </c:pt>
                <c:pt idx="1">
                  <c:v>2020</c:v>
                </c:pt>
                <c:pt idx="2">
                  <c:v>2021</c:v>
                </c:pt>
                <c:pt idx="3">
                  <c:v>2022</c:v>
                </c:pt>
                <c:pt idx="4">
                  <c:v>2023</c:v>
                </c:pt>
              </c:numCache>
            </c:numRef>
          </c:cat>
          <c:val>
            <c:numRef>
              <c:f>'Environmental Data'!$D$815:$H$815</c:f>
              <c:numCache>
                <c:formatCode>0.0</c:formatCode>
                <c:ptCount val="5"/>
                <c:pt idx="0">
                  <c:v>235.67903493410003</c:v>
                </c:pt>
                <c:pt idx="1">
                  <c:v>191.62531063</c:v>
                </c:pt>
                <c:pt idx="2">
                  <c:v>207.61731759</c:v>
                </c:pt>
                <c:pt idx="3">
                  <c:v>208.5</c:v>
                </c:pt>
                <c:pt idx="4">
                  <c:v>282.39999999999998</c:v>
                </c:pt>
              </c:numCache>
            </c:numRef>
          </c:val>
          <c:extLst>
            <c:ext xmlns:c16="http://schemas.microsoft.com/office/drawing/2014/chart" uri="{C3380CC4-5D6E-409C-BE32-E72D297353CC}">
              <c16:uniqueId val="{00000000-F4D6-440C-BCF1-59B389F08F83}"/>
            </c:ext>
          </c:extLst>
        </c:ser>
        <c:ser>
          <c:idx val="1"/>
          <c:order val="1"/>
          <c:tx>
            <c:strRef>
              <c:f>'Environmental Data'!$B$816</c:f>
              <c:strCache>
                <c:ptCount val="1"/>
                <c:pt idx="0">
                  <c:v>Iron ore - Tailings</c:v>
                </c:pt>
              </c:strCache>
            </c:strRef>
          </c:tx>
          <c:spPr>
            <a:solidFill>
              <a:srgbClr val="ECB1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Data'!$D$814:$H$814</c:f>
              <c:numCache>
                <c:formatCode>General</c:formatCode>
                <c:ptCount val="5"/>
                <c:pt idx="0">
                  <c:v>2019</c:v>
                </c:pt>
                <c:pt idx="1">
                  <c:v>2020</c:v>
                </c:pt>
                <c:pt idx="2">
                  <c:v>2021</c:v>
                </c:pt>
                <c:pt idx="3">
                  <c:v>2022</c:v>
                </c:pt>
                <c:pt idx="4">
                  <c:v>2023</c:v>
                </c:pt>
              </c:numCache>
            </c:numRef>
          </c:cat>
          <c:val>
            <c:numRef>
              <c:f>'Environmental Data'!$D$816:$H$816</c:f>
              <c:numCache>
                <c:formatCode>0.0</c:formatCode>
                <c:ptCount val="5"/>
                <c:pt idx="0">
                  <c:v>55.161802358000003</c:v>
                </c:pt>
                <c:pt idx="1">
                  <c:v>45.394009377000003</c:v>
                </c:pt>
                <c:pt idx="2">
                  <c:v>47.24133304720317</c:v>
                </c:pt>
                <c:pt idx="3">
                  <c:v>46.9</c:v>
                </c:pt>
                <c:pt idx="4">
                  <c:v>48.5</c:v>
                </c:pt>
              </c:numCache>
            </c:numRef>
          </c:val>
          <c:extLst>
            <c:ext xmlns:c16="http://schemas.microsoft.com/office/drawing/2014/chart" uri="{C3380CC4-5D6E-409C-BE32-E72D297353CC}">
              <c16:uniqueId val="{00000001-F4D6-440C-BCF1-59B389F08F83}"/>
            </c:ext>
          </c:extLst>
        </c:ser>
        <c:ser>
          <c:idx val="2"/>
          <c:order val="2"/>
          <c:tx>
            <c:strRef>
              <c:f>'Environmental Data'!$B$817</c:f>
              <c:strCache>
                <c:ptCount val="1"/>
                <c:pt idx="0">
                  <c:v>Other business areas*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Data'!$D$814:$H$814</c:f>
              <c:numCache>
                <c:formatCode>General</c:formatCode>
                <c:ptCount val="5"/>
                <c:pt idx="0">
                  <c:v>2019</c:v>
                </c:pt>
                <c:pt idx="1">
                  <c:v>2020</c:v>
                </c:pt>
                <c:pt idx="2">
                  <c:v>2021</c:v>
                </c:pt>
                <c:pt idx="3">
                  <c:v>2022</c:v>
                </c:pt>
                <c:pt idx="4">
                  <c:v>2023</c:v>
                </c:pt>
              </c:numCache>
            </c:numRef>
          </c:cat>
          <c:val>
            <c:numRef>
              <c:f>'Environmental Data'!$D$817:$H$817</c:f>
              <c:numCache>
                <c:formatCode>0.0</c:formatCode>
                <c:ptCount val="5"/>
                <c:pt idx="0">
                  <c:v>335.04089736479165</c:v>
                </c:pt>
                <c:pt idx="1">
                  <c:v>290.74065043218729</c:v>
                </c:pt>
                <c:pt idx="2">
                  <c:v>260.40087973791123</c:v>
                </c:pt>
                <c:pt idx="3">
                  <c:v>150.609377798</c:v>
                </c:pt>
                <c:pt idx="4">
                  <c:v>153</c:v>
                </c:pt>
              </c:numCache>
            </c:numRef>
          </c:val>
          <c:extLst>
            <c:ext xmlns:c16="http://schemas.microsoft.com/office/drawing/2014/chart" uri="{C3380CC4-5D6E-409C-BE32-E72D297353CC}">
              <c16:uniqueId val="{00000002-F4D6-440C-BCF1-59B389F08F83}"/>
            </c:ext>
          </c:extLst>
        </c:ser>
        <c:dLbls>
          <c:dLblPos val="ctr"/>
          <c:showLegendKey val="0"/>
          <c:showVal val="1"/>
          <c:showCatName val="0"/>
          <c:showSerName val="0"/>
          <c:showPercent val="0"/>
          <c:showBubbleSize val="0"/>
        </c:dLbls>
        <c:gapWidth val="150"/>
        <c:overlap val="100"/>
        <c:axId val="194651023"/>
        <c:axId val="194653975"/>
      </c:barChart>
      <c:lineChart>
        <c:grouping val="standard"/>
        <c:varyColors val="0"/>
        <c:ser>
          <c:idx val="3"/>
          <c:order val="3"/>
          <c:tx>
            <c:strRef>
              <c:f>'Environmental Data'!$B$818</c:f>
              <c:strCache>
                <c:ptCount val="1"/>
                <c:pt idx="0">
                  <c:v>Total</c:v>
                </c:pt>
              </c:strCache>
            </c:strRef>
          </c:tx>
          <c:spPr>
            <a:ln w="28575" cap="rnd">
              <a:noFill/>
              <a:round/>
            </a:ln>
            <a:effectLst/>
          </c:spPr>
          <c:marker>
            <c:symbol val="diamond"/>
            <c:size val="5"/>
            <c:spPr>
              <a:solidFill>
                <a:srgbClr val="555555"/>
              </a:solidFill>
              <a:ln w="9525">
                <a:solidFill>
                  <a:srgbClr val="55555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Data'!$D$814:$H$814</c:f>
              <c:numCache>
                <c:formatCode>General</c:formatCode>
                <c:ptCount val="5"/>
                <c:pt idx="0">
                  <c:v>2019</c:v>
                </c:pt>
                <c:pt idx="1">
                  <c:v>2020</c:v>
                </c:pt>
                <c:pt idx="2">
                  <c:v>2021</c:v>
                </c:pt>
                <c:pt idx="3">
                  <c:v>2022</c:v>
                </c:pt>
                <c:pt idx="4">
                  <c:v>2023</c:v>
                </c:pt>
              </c:numCache>
            </c:numRef>
          </c:cat>
          <c:val>
            <c:numRef>
              <c:f>'Environmental Data'!$D$818:$H$818</c:f>
              <c:numCache>
                <c:formatCode>0.0</c:formatCode>
                <c:ptCount val="5"/>
                <c:pt idx="0">
                  <c:v>625.88173465689169</c:v>
                </c:pt>
                <c:pt idx="1">
                  <c:v>527.75997043918733</c:v>
                </c:pt>
                <c:pt idx="2">
                  <c:v>515.25953037511442</c:v>
                </c:pt>
                <c:pt idx="3">
                  <c:v>406.1</c:v>
                </c:pt>
                <c:pt idx="4">
                  <c:v>483.9</c:v>
                </c:pt>
              </c:numCache>
            </c:numRef>
          </c:val>
          <c:smooth val="0"/>
          <c:extLst>
            <c:ext xmlns:c16="http://schemas.microsoft.com/office/drawing/2014/chart" uri="{C3380CC4-5D6E-409C-BE32-E72D297353CC}">
              <c16:uniqueId val="{00000003-F4D6-440C-BCF1-59B389F08F83}"/>
            </c:ext>
          </c:extLst>
        </c:ser>
        <c:dLbls>
          <c:dLblPos val="ctr"/>
          <c:showLegendKey val="0"/>
          <c:showVal val="1"/>
          <c:showCatName val="0"/>
          <c:showSerName val="0"/>
          <c:showPercent val="0"/>
          <c:showBubbleSize val="0"/>
        </c:dLbls>
        <c:marker val="1"/>
        <c:smooth val="0"/>
        <c:axId val="194651023"/>
        <c:axId val="194653975"/>
      </c:lineChart>
      <c:catAx>
        <c:axId val="1946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crossAx val="194653975"/>
        <c:crosses val="autoZero"/>
        <c:auto val="1"/>
        <c:lblAlgn val="ctr"/>
        <c:lblOffset val="100"/>
        <c:noMultiLvlLbl val="0"/>
      </c:catAx>
      <c:valAx>
        <c:axId val="194653975"/>
        <c:scaling>
          <c:orientation val="minMax"/>
          <c:max val="750"/>
        </c:scaling>
        <c:delete val="1"/>
        <c:axPos val="l"/>
        <c:numFmt formatCode="0.0" sourceLinked="1"/>
        <c:majorTickMark val="none"/>
        <c:minorTickMark val="none"/>
        <c:tickLblPos val="nextTo"/>
        <c:crossAx val="1946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50" b="1" i="0" u="none" strike="noStrike" kern="1200" spc="0" baseline="0">
                <a:solidFill>
                  <a:srgbClr val="555555"/>
                </a:solidFill>
                <a:latin typeface="Arial" panose="020B0604020202020204" pitchFamily="34" charset="0"/>
                <a:ea typeface="+mn-ea"/>
                <a:cs typeface="Arial" panose="020B0604020202020204" pitchFamily="34" charset="0"/>
              </a:defRPr>
            </a:pPr>
            <a:r>
              <a:rPr lang="pt-BR" sz="1050" b="1">
                <a:solidFill>
                  <a:srgbClr val="555555"/>
                </a:solidFill>
              </a:rPr>
              <a:t>Particulate Matter Emissions</a:t>
            </a:r>
          </a:p>
          <a:p>
            <a:pPr>
              <a:defRPr sz="1050" b="1">
                <a:solidFill>
                  <a:srgbClr val="555555"/>
                </a:solidFill>
              </a:defRPr>
            </a:pPr>
            <a:r>
              <a:rPr lang="pt-BR" sz="1050" b="1">
                <a:solidFill>
                  <a:srgbClr val="555555"/>
                </a:solidFill>
              </a:rPr>
              <a:t>(in thousand metric tons)</a:t>
            </a:r>
          </a:p>
        </c:rich>
      </c:tx>
      <c:overlay val="0"/>
      <c:spPr>
        <a:noFill/>
        <a:ln>
          <a:noFill/>
        </a:ln>
        <a:effectLst/>
      </c:spPr>
      <c:txPr>
        <a:bodyPr rot="0" spcFirstLastPara="1" vertOverflow="ellipsis" vert="horz" wrap="square" anchor="ctr" anchorCtr="1"/>
        <a:lstStyle/>
        <a:p>
          <a:pPr>
            <a:defRPr lang="en-US" sz="1050" b="1" i="0" u="none" strike="noStrike" kern="1200" spc="0" baseline="0">
              <a:solidFill>
                <a:srgbClr val="555555"/>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col"/>
        <c:grouping val="stacked"/>
        <c:varyColors val="0"/>
        <c:ser>
          <c:idx val="0"/>
          <c:order val="0"/>
          <c:tx>
            <c:strRef>
              <c:f>'Environmental Data'!$C$630</c:f>
              <c:strCache>
                <c:ptCount val="1"/>
                <c:pt idx="0">
                  <c:v>Nickel</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Data'!$B$632:$B$636</c:f>
              <c:numCache>
                <c:formatCode>General</c:formatCode>
                <c:ptCount val="5"/>
                <c:pt idx="0">
                  <c:v>2019</c:v>
                </c:pt>
                <c:pt idx="1">
                  <c:v>2020</c:v>
                </c:pt>
                <c:pt idx="2">
                  <c:v>2021</c:v>
                </c:pt>
                <c:pt idx="3">
                  <c:v>2022</c:v>
                </c:pt>
                <c:pt idx="4">
                  <c:v>2023</c:v>
                </c:pt>
              </c:numCache>
            </c:numRef>
          </c:cat>
          <c:val>
            <c:numRef>
              <c:f>'Environmental Data'!$C$632:$C$636</c:f>
              <c:numCache>
                <c:formatCode>0.0</c:formatCode>
                <c:ptCount val="5"/>
                <c:pt idx="0">
                  <c:v>6.6</c:v>
                </c:pt>
                <c:pt idx="1">
                  <c:v>7.3285132933361563</c:v>
                </c:pt>
                <c:pt idx="2">
                  <c:v>3.3128790481011454</c:v>
                </c:pt>
                <c:pt idx="3">
                  <c:v>2.6</c:v>
                </c:pt>
                <c:pt idx="4">
                  <c:v>4.69658529726326</c:v>
                </c:pt>
              </c:numCache>
            </c:numRef>
          </c:val>
          <c:extLst>
            <c:ext xmlns:c16="http://schemas.microsoft.com/office/drawing/2014/chart" uri="{C3380CC4-5D6E-409C-BE32-E72D297353CC}">
              <c16:uniqueId val="{00000000-BC21-4D1D-BFC0-33F943302AF0}"/>
            </c:ext>
          </c:extLst>
        </c:ser>
        <c:ser>
          <c:idx val="1"/>
          <c:order val="1"/>
          <c:tx>
            <c:strRef>
              <c:f>'Environmental Data'!$D$630</c:f>
              <c:strCache>
                <c:ptCount val="1"/>
                <c:pt idx="0">
                  <c:v>pelletizing</c:v>
                </c:pt>
              </c:strCache>
            </c:strRef>
          </c:tx>
          <c:spPr>
            <a:solidFill>
              <a:srgbClr val="ECB1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Data'!$B$632:$B$636</c:f>
              <c:numCache>
                <c:formatCode>General</c:formatCode>
                <c:ptCount val="5"/>
                <c:pt idx="0">
                  <c:v>2019</c:v>
                </c:pt>
                <c:pt idx="1">
                  <c:v>2020</c:v>
                </c:pt>
                <c:pt idx="2">
                  <c:v>2021</c:v>
                </c:pt>
                <c:pt idx="3">
                  <c:v>2022</c:v>
                </c:pt>
                <c:pt idx="4">
                  <c:v>2023</c:v>
                </c:pt>
              </c:numCache>
            </c:numRef>
          </c:cat>
          <c:val>
            <c:numRef>
              <c:f>'Environmental Data'!$D$632:$D$636</c:f>
              <c:numCache>
                <c:formatCode>0.0</c:formatCode>
                <c:ptCount val="5"/>
                <c:pt idx="0">
                  <c:v>2.0668426581422761</c:v>
                </c:pt>
                <c:pt idx="1">
                  <c:v>1.6494568973313881</c:v>
                </c:pt>
                <c:pt idx="2">
                  <c:v>1.3644237777911932</c:v>
                </c:pt>
                <c:pt idx="3">
                  <c:v>1.5790550352456705</c:v>
                </c:pt>
                <c:pt idx="4">
                  <c:v>1.9510325913787459</c:v>
                </c:pt>
              </c:numCache>
            </c:numRef>
          </c:val>
          <c:extLst>
            <c:ext xmlns:c16="http://schemas.microsoft.com/office/drawing/2014/chart" uri="{C3380CC4-5D6E-409C-BE32-E72D297353CC}">
              <c16:uniqueId val="{00000001-BC21-4D1D-BFC0-33F943302AF0}"/>
            </c:ext>
          </c:extLst>
        </c:ser>
        <c:ser>
          <c:idx val="3"/>
          <c:order val="2"/>
          <c:tx>
            <c:strRef>
              <c:f>'Environmental Data'!$E$630</c:f>
              <c:strCache>
                <c:ptCount val="1"/>
                <c:pt idx="0">
                  <c:v>Manganese</c:v>
                </c:pt>
              </c:strCache>
            </c:strRef>
          </c:tx>
          <c:spPr>
            <a:solidFill>
              <a:srgbClr val="3CB5E5"/>
            </a:solidFill>
            <a:ln>
              <a:noFill/>
            </a:ln>
            <a:effectLst/>
          </c:spPr>
          <c:invertIfNegative val="0"/>
          <c:dLbls>
            <c:dLbl>
              <c:idx val="0"/>
              <c:layout>
                <c:manualLayout>
                  <c:x val="5.6360076540977924E-2"/>
                  <c:y val="2.7621485600941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B7-4A41-804A-B177C26A265D}"/>
                </c:ext>
              </c:extLst>
            </c:dLbl>
            <c:dLbl>
              <c:idx val="1"/>
              <c:layout>
                <c:manualLayout>
                  <c:x val="6.1994271415893323E-2"/>
                  <c:y val="3.251479788498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F3-41A5-A959-34177C822B56}"/>
                </c:ext>
              </c:extLst>
            </c:dLbl>
            <c:dLbl>
              <c:idx val="2"/>
              <c:layout>
                <c:manualLayout>
                  <c:x val="5.8471714447004962E-2"/>
                  <c:y val="2.9947700539163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21-4D1D-BFC0-33F943302AF0}"/>
                </c:ext>
              </c:extLst>
            </c:dLbl>
            <c:dLbl>
              <c:idx val="3"/>
              <c:delete val="1"/>
              <c:extLst>
                <c:ext xmlns:c15="http://schemas.microsoft.com/office/drawing/2012/chart" uri="{CE6537A1-D6FC-4f65-9D91-7224C49458BB}"/>
                <c:ext xmlns:c16="http://schemas.microsoft.com/office/drawing/2014/chart" uri="{C3380CC4-5D6E-409C-BE32-E72D297353CC}">
                  <c16:uniqueId val="{0000000B-BC21-4D1D-BFC0-33F943302AF0}"/>
                </c:ext>
              </c:extLst>
            </c:dLbl>
            <c:dLbl>
              <c:idx val="4"/>
              <c:delete val="1"/>
              <c:extLst>
                <c:ext xmlns:c15="http://schemas.microsoft.com/office/drawing/2012/chart" uri="{CE6537A1-D6FC-4f65-9D91-7224C49458BB}"/>
                <c:ext xmlns:c16="http://schemas.microsoft.com/office/drawing/2014/chart" uri="{C3380CC4-5D6E-409C-BE32-E72D297353CC}">
                  <c16:uniqueId val="{00000000-C6CC-4F20-9B49-05D8D1BA40B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Data'!$B$632:$B$636</c:f>
              <c:numCache>
                <c:formatCode>General</c:formatCode>
                <c:ptCount val="5"/>
                <c:pt idx="0">
                  <c:v>2019</c:v>
                </c:pt>
                <c:pt idx="1">
                  <c:v>2020</c:v>
                </c:pt>
                <c:pt idx="2">
                  <c:v>2021</c:v>
                </c:pt>
                <c:pt idx="3">
                  <c:v>2022</c:v>
                </c:pt>
                <c:pt idx="4">
                  <c:v>2023</c:v>
                </c:pt>
              </c:numCache>
            </c:numRef>
          </c:cat>
          <c:val>
            <c:numRef>
              <c:f>'Environmental Data'!$E$632:$E$636</c:f>
              <c:numCache>
                <c:formatCode>0.0</c:formatCode>
                <c:ptCount val="5"/>
                <c:pt idx="0">
                  <c:v>0.38111575655099589</c:v>
                </c:pt>
                <c:pt idx="1">
                  <c:v>0.13541435145495767</c:v>
                </c:pt>
                <c:pt idx="2">
                  <c:v>0.13671232517464069</c:v>
                </c:pt>
                <c:pt idx="3">
                  <c:v>0</c:v>
                </c:pt>
                <c:pt idx="4">
                  <c:v>0</c:v>
                </c:pt>
              </c:numCache>
            </c:numRef>
          </c:val>
          <c:extLst>
            <c:ext xmlns:c16="http://schemas.microsoft.com/office/drawing/2014/chart" uri="{C3380CC4-5D6E-409C-BE32-E72D297353CC}">
              <c16:uniqueId val="{0000000D-BC21-4D1D-BFC0-33F943302AF0}"/>
            </c:ext>
          </c:extLst>
        </c:ser>
        <c:dLbls>
          <c:showLegendKey val="0"/>
          <c:showVal val="1"/>
          <c:showCatName val="0"/>
          <c:showSerName val="0"/>
          <c:showPercent val="0"/>
          <c:showBubbleSize val="0"/>
        </c:dLbls>
        <c:gapWidth val="150"/>
        <c:overlap val="100"/>
        <c:axId val="188744423"/>
        <c:axId val="188744751"/>
      </c:barChart>
      <c:lineChart>
        <c:grouping val="standard"/>
        <c:varyColors val="0"/>
        <c:ser>
          <c:idx val="4"/>
          <c:order val="3"/>
          <c:tx>
            <c:strRef>
              <c:f>'Environmental Data'!$F$630</c:f>
              <c:strCache>
                <c:ptCount val="1"/>
                <c:pt idx="0">
                  <c:v>Total</c:v>
                </c:pt>
              </c:strCache>
            </c:strRef>
          </c:tx>
          <c:spPr>
            <a:ln w="28575" cap="rnd">
              <a:noFill/>
              <a:round/>
            </a:ln>
            <a:effectLst/>
          </c:spPr>
          <c:marker>
            <c:symbol val="diamond"/>
            <c:size val="5"/>
            <c:spPr>
              <a:solidFill>
                <a:srgbClr val="555555"/>
              </a:solidFill>
              <a:ln w="9525">
                <a:solidFill>
                  <a:srgbClr val="55555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'Environmental Data'!$B$631:$B$635</c:f>
              <c:numCache>
                <c:formatCode>General</c:formatCode>
                <c:ptCount val="5"/>
                <c:pt idx="0">
                  <c:v>2018</c:v>
                </c:pt>
                <c:pt idx="1">
                  <c:v>2019</c:v>
                </c:pt>
                <c:pt idx="2">
                  <c:v>2020</c:v>
                </c:pt>
                <c:pt idx="3">
                  <c:v>2021</c:v>
                </c:pt>
                <c:pt idx="4">
                  <c:v>2022</c:v>
                </c:pt>
              </c:numCache>
            </c:numRef>
          </c:cat>
          <c:val>
            <c:numRef>
              <c:f>'Environmental Data'!$F$632:$F$636</c:f>
              <c:numCache>
                <c:formatCode>0.0</c:formatCode>
                <c:ptCount val="5"/>
                <c:pt idx="0">
                  <c:v>9</c:v>
                </c:pt>
                <c:pt idx="1">
                  <c:v>9.1133845421225015</c:v>
                </c:pt>
                <c:pt idx="2">
                  <c:v>4.9000000000000004</c:v>
                </c:pt>
                <c:pt idx="3">
                  <c:v>4.2</c:v>
                </c:pt>
                <c:pt idx="4">
                  <c:v>6.7</c:v>
                </c:pt>
              </c:numCache>
            </c:numRef>
          </c:val>
          <c:smooth val="0"/>
          <c:extLst>
            <c:ext xmlns:c16="http://schemas.microsoft.com/office/drawing/2014/chart" uri="{C3380CC4-5D6E-409C-BE32-E72D297353CC}">
              <c16:uniqueId val="{00000013-BC21-4D1D-BFC0-33F943302AF0}"/>
            </c:ext>
          </c:extLst>
        </c:ser>
        <c:dLbls>
          <c:showLegendKey val="0"/>
          <c:showVal val="1"/>
          <c:showCatName val="0"/>
          <c:showSerName val="0"/>
          <c:showPercent val="0"/>
          <c:showBubbleSize val="0"/>
        </c:dLbls>
        <c:marker val="1"/>
        <c:smooth val="0"/>
        <c:axId val="188744423"/>
        <c:axId val="188744751"/>
      </c:lineChart>
      <c:catAx>
        <c:axId val="188744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crossAx val="188744751"/>
        <c:crosses val="autoZero"/>
        <c:auto val="1"/>
        <c:lblAlgn val="ctr"/>
        <c:lblOffset val="100"/>
        <c:noMultiLvlLbl val="0"/>
      </c:catAx>
      <c:valAx>
        <c:axId val="188744751"/>
        <c:scaling>
          <c:orientation val="minMax"/>
          <c:max val="10"/>
        </c:scaling>
        <c:delete val="1"/>
        <c:axPos val="l"/>
        <c:numFmt formatCode="0.0" sourceLinked="1"/>
        <c:majorTickMark val="out"/>
        <c:minorTickMark val="none"/>
        <c:tickLblPos val="nextTo"/>
        <c:crossAx val="188744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200" b="1">
                <a:latin typeface="Arial" panose="020B0604020202020204" pitchFamily="34" charset="0"/>
                <a:cs typeface="Arial" panose="020B0604020202020204" pitchFamily="34" charset="0"/>
              </a:rPr>
              <a:t>Impacted Areas (in km²)</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bar"/>
        <c:grouping val="clustered"/>
        <c:varyColors val="0"/>
        <c:ser>
          <c:idx val="1"/>
          <c:order val="0"/>
          <c:tx>
            <c:strRef>
              <c:f>'Environmental Data'!$B$212</c:f>
              <c:strCache>
                <c:ptCount val="1"/>
                <c:pt idx="0">
                  <c:v>2019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'Environmental Data'!$B$211:$I$211</c15:sqref>
                  </c15:fullRef>
                </c:ext>
              </c:extLst>
              <c:f>'Environmental Data'!$D$211:$I$211</c:f>
              <c:strCache>
                <c:ptCount val="6"/>
                <c:pt idx="0">
                  <c:v>In wilderness</c:v>
                </c:pt>
                <c:pt idx="1">
                  <c:v>In hotspots</c:v>
                </c:pt>
                <c:pt idx="2">
                  <c:v>In protected areas</c:v>
                </c:pt>
                <c:pt idx="3">
                  <c:v>Adjacent to protected areas</c:v>
                </c:pt>
                <c:pt idx="4">
                  <c:v>In priority conservation areas outside protected areas</c:v>
                </c:pt>
                <c:pt idx="5">
                  <c:v>Adjacent to priority areas for conservation outside protected areas</c:v>
                </c:pt>
              </c:strCache>
            </c:strRef>
          </c:cat>
          <c:val>
            <c:numRef>
              <c:extLst>
                <c:ext xmlns:c15="http://schemas.microsoft.com/office/drawing/2012/chart" uri="{02D57815-91ED-43cb-92C2-25804820EDAC}">
                  <c15:fullRef>
                    <c15:sqref>'Environmental Data'!$B$212:$I$212</c15:sqref>
                  </c15:fullRef>
                </c:ext>
              </c:extLst>
              <c:f>'Environmental Data'!$D$212:$I$212</c:f>
              <c:numCache>
                <c:formatCode>0.0</c:formatCode>
                <c:ptCount val="6"/>
                <c:pt idx="0">
                  <c:v>918.04</c:v>
                </c:pt>
                <c:pt idx="1">
                  <c:v>361.21</c:v>
                </c:pt>
                <c:pt idx="2">
                  <c:v>245.49</c:v>
                </c:pt>
                <c:pt idx="3">
                  <c:v>427.21</c:v>
                </c:pt>
                <c:pt idx="4">
                  <c:v>108.54</c:v>
                </c:pt>
                <c:pt idx="5">
                  <c:v>168.8</c:v>
                </c:pt>
              </c:numCache>
            </c:numRef>
          </c:val>
          <c:extLst>
            <c:ext xmlns:c16="http://schemas.microsoft.com/office/drawing/2014/chart" uri="{C3380CC4-5D6E-409C-BE32-E72D297353CC}">
              <c16:uniqueId val="{00000001-D461-466C-8D77-4554E84BA365}"/>
            </c:ext>
          </c:extLst>
        </c:ser>
        <c:ser>
          <c:idx val="2"/>
          <c:order val="1"/>
          <c:tx>
            <c:strRef>
              <c:f>'Environmental Data'!$B$213</c:f>
              <c:strCache>
                <c:ptCount val="1"/>
                <c:pt idx="0">
                  <c:v>2020</c:v>
                </c:pt>
              </c:strCache>
            </c:strRef>
          </c:tx>
          <c:spPr>
            <a:solidFill>
              <a:srgbClr val="ECB1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'Environmental Data'!$B$211:$I$211</c15:sqref>
                  </c15:fullRef>
                </c:ext>
              </c:extLst>
              <c:f>'Environmental Data'!$D$211:$I$211</c:f>
              <c:strCache>
                <c:ptCount val="6"/>
                <c:pt idx="0">
                  <c:v>In wilderness</c:v>
                </c:pt>
                <c:pt idx="1">
                  <c:v>In hotspots</c:v>
                </c:pt>
                <c:pt idx="2">
                  <c:v>In protected areas</c:v>
                </c:pt>
                <c:pt idx="3">
                  <c:v>Adjacent to protected areas</c:v>
                </c:pt>
                <c:pt idx="4">
                  <c:v>In priority conservation areas outside protected areas</c:v>
                </c:pt>
                <c:pt idx="5">
                  <c:v>Adjacent to priority areas for conservation outside protected areas</c:v>
                </c:pt>
              </c:strCache>
            </c:strRef>
          </c:cat>
          <c:val>
            <c:numRef>
              <c:extLst>
                <c:ext xmlns:c15="http://schemas.microsoft.com/office/drawing/2012/chart" uri="{02D57815-91ED-43cb-92C2-25804820EDAC}">
                  <c15:fullRef>
                    <c15:sqref>'Environmental Data'!$B$213:$I$213</c15:sqref>
                  </c15:fullRef>
                </c:ext>
              </c:extLst>
              <c:f>'Environmental Data'!$D$213:$I$213</c:f>
              <c:numCache>
                <c:formatCode>0.0</c:formatCode>
                <c:ptCount val="6"/>
                <c:pt idx="0">
                  <c:v>324.82</c:v>
                </c:pt>
                <c:pt idx="1">
                  <c:v>381.77</c:v>
                </c:pt>
                <c:pt idx="2">
                  <c:v>260.24</c:v>
                </c:pt>
                <c:pt idx="3">
                  <c:v>384.19</c:v>
                </c:pt>
                <c:pt idx="4">
                  <c:v>103.89</c:v>
                </c:pt>
                <c:pt idx="5">
                  <c:v>156.36000000000001</c:v>
                </c:pt>
              </c:numCache>
            </c:numRef>
          </c:val>
          <c:extLst>
            <c:ext xmlns:c16="http://schemas.microsoft.com/office/drawing/2014/chart" uri="{C3380CC4-5D6E-409C-BE32-E72D297353CC}">
              <c16:uniqueId val="{00000002-D461-466C-8D77-4554E84BA365}"/>
            </c:ext>
          </c:extLst>
        </c:ser>
        <c:ser>
          <c:idx val="3"/>
          <c:order val="2"/>
          <c:tx>
            <c:strRef>
              <c:f>'Environmental Data'!$B$214</c:f>
              <c:strCache>
                <c:ptCount val="1"/>
                <c:pt idx="0">
                  <c:v>2021</c:v>
                </c:pt>
              </c:strCache>
            </c:strRef>
          </c:tx>
          <c:spPr>
            <a:solidFill>
              <a:srgbClr val="C030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'Environmental Data'!$B$211:$I$211</c15:sqref>
                  </c15:fullRef>
                </c:ext>
              </c:extLst>
              <c:f>'Environmental Data'!$D$211:$I$211</c:f>
              <c:strCache>
                <c:ptCount val="6"/>
                <c:pt idx="0">
                  <c:v>In wilderness</c:v>
                </c:pt>
                <c:pt idx="1">
                  <c:v>In hotspots</c:v>
                </c:pt>
                <c:pt idx="2">
                  <c:v>In protected areas</c:v>
                </c:pt>
                <c:pt idx="3">
                  <c:v>Adjacent to protected areas</c:v>
                </c:pt>
                <c:pt idx="4">
                  <c:v>In priority conservation areas outside protected areas</c:v>
                </c:pt>
                <c:pt idx="5">
                  <c:v>Adjacent to priority areas for conservation outside protected areas</c:v>
                </c:pt>
              </c:strCache>
            </c:strRef>
          </c:cat>
          <c:val>
            <c:numRef>
              <c:extLst>
                <c:ext xmlns:c15="http://schemas.microsoft.com/office/drawing/2012/chart" uri="{02D57815-91ED-43cb-92C2-25804820EDAC}">
                  <c15:fullRef>
                    <c15:sqref>'Environmental Data'!$B$214:$I$214</c15:sqref>
                  </c15:fullRef>
                </c:ext>
              </c:extLst>
              <c:f>'Environmental Data'!$D$214:$I$214</c:f>
              <c:numCache>
                <c:formatCode>0.0</c:formatCode>
                <c:ptCount val="6"/>
                <c:pt idx="0">
                  <c:v>325.10000000000002</c:v>
                </c:pt>
                <c:pt idx="1">
                  <c:v>372.46</c:v>
                </c:pt>
                <c:pt idx="2">
                  <c:v>255.43</c:v>
                </c:pt>
                <c:pt idx="3">
                  <c:v>396.28</c:v>
                </c:pt>
                <c:pt idx="4">
                  <c:v>103.41</c:v>
                </c:pt>
                <c:pt idx="5">
                  <c:v>156.36000000000001</c:v>
                </c:pt>
              </c:numCache>
            </c:numRef>
          </c:val>
          <c:extLst>
            <c:ext xmlns:c16="http://schemas.microsoft.com/office/drawing/2014/chart" uri="{C3380CC4-5D6E-409C-BE32-E72D297353CC}">
              <c16:uniqueId val="{00000003-D461-466C-8D77-4554E84BA365}"/>
            </c:ext>
          </c:extLst>
        </c:ser>
        <c:ser>
          <c:idx val="4"/>
          <c:order val="3"/>
          <c:tx>
            <c:strRef>
              <c:f>'Environmental Data'!$B$215</c:f>
              <c:strCache>
                <c:ptCount val="1"/>
                <c:pt idx="0">
                  <c:v>2022</c:v>
                </c:pt>
              </c:strCache>
            </c:strRef>
          </c:tx>
          <c:spPr>
            <a:solidFill>
              <a:srgbClr val="0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'Environmental Data'!$B$211:$I$211</c15:sqref>
                  </c15:fullRef>
                </c:ext>
              </c:extLst>
              <c:f>'Environmental Data'!$D$211:$I$211</c:f>
              <c:strCache>
                <c:ptCount val="6"/>
                <c:pt idx="0">
                  <c:v>In wilderness</c:v>
                </c:pt>
                <c:pt idx="1">
                  <c:v>In hotspots</c:v>
                </c:pt>
                <c:pt idx="2">
                  <c:v>In protected areas</c:v>
                </c:pt>
                <c:pt idx="3">
                  <c:v>Adjacent to protected areas</c:v>
                </c:pt>
                <c:pt idx="4">
                  <c:v>In priority conservation areas outside protected areas</c:v>
                </c:pt>
                <c:pt idx="5">
                  <c:v>Adjacent to priority areas for conservation outside protected areas</c:v>
                </c:pt>
              </c:strCache>
            </c:strRef>
          </c:cat>
          <c:val>
            <c:numRef>
              <c:extLst>
                <c:ext xmlns:c15="http://schemas.microsoft.com/office/drawing/2012/chart" uri="{02D57815-91ED-43cb-92C2-25804820EDAC}">
                  <c15:fullRef>
                    <c15:sqref>'Environmental Data'!$B$215:$I$215</c15:sqref>
                  </c15:fullRef>
                </c:ext>
              </c:extLst>
              <c:f>'Environmental Data'!$D$215:$I$215</c:f>
              <c:numCache>
                <c:formatCode>0.0</c:formatCode>
                <c:ptCount val="6"/>
                <c:pt idx="0">
                  <c:v>434.87</c:v>
                </c:pt>
                <c:pt idx="1">
                  <c:v>356.99</c:v>
                </c:pt>
                <c:pt idx="2">
                  <c:v>300.52999999999997</c:v>
                </c:pt>
                <c:pt idx="3">
                  <c:v>397.22</c:v>
                </c:pt>
                <c:pt idx="4">
                  <c:v>96.23</c:v>
                </c:pt>
                <c:pt idx="5">
                  <c:v>95.95</c:v>
                </c:pt>
              </c:numCache>
            </c:numRef>
          </c:val>
          <c:extLst>
            <c:ext xmlns:c16="http://schemas.microsoft.com/office/drawing/2014/chart" uri="{C3380CC4-5D6E-409C-BE32-E72D297353CC}">
              <c16:uniqueId val="{00000004-D461-466C-8D77-4554E84BA365}"/>
            </c:ext>
          </c:extLst>
        </c:ser>
        <c:ser>
          <c:idx val="0"/>
          <c:order val="4"/>
          <c:tx>
            <c:strRef>
              <c:f>'Environmental Data'!$B$216</c:f>
              <c:strCache>
                <c:ptCount val="1"/>
                <c:pt idx="0">
                  <c:v>2023</c:v>
                </c:pt>
              </c:strCache>
            </c:strRef>
          </c:tx>
          <c:spPr>
            <a:solidFill>
              <a:srgbClr val="9DE4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'Environmental Data'!$B$211:$I$211</c15:sqref>
                  </c15:fullRef>
                </c:ext>
              </c:extLst>
              <c:f>'Environmental Data'!$D$211:$I$211</c:f>
              <c:strCache>
                <c:ptCount val="6"/>
                <c:pt idx="0">
                  <c:v>In wilderness</c:v>
                </c:pt>
                <c:pt idx="1">
                  <c:v>In hotspots</c:v>
                </c:pt>
                <c:pt idx="2">
                  <c:v>In protected areas</c:v>
                </c:pt>
                <c:pt idx="3">
                  <c:v>Adjacent to protected areas</c:v>
                </c:pt>
                <c:pt idx="4">
                  <c:v>In priority conservation areas outside protected areas</c:v>
                </c:pt>
                <c:pt idx="5">
                  <c:v>Adjacent to priority areas for conservation outside protected areas</c:v>
                </c:pt>
              </c:strCache>
            </c:strRef>
          </c:cat>
          <c:val>
            <c:numRef>
              <c:extLst>
                <c:ext xmlns:c15="http://schemas.microsoft.com/office/drawing/2012/chart" uri="{02D57815-91ED-43cb-92C2-25804820EDAC}">
                  <c15:fullRef>
                    <c15:sqref>'Environmental Data'!$B$216:$I$216</c15:sqref>
                  </c15:fullRef>
                </c:ext>
              </c:extLst>
              <c:f>'Environmental Data'!$D$216:$I$216</c:f>
              <c:numCache>
                <c:formatCode>0.0</c:formatCode>
                <c:ptCount val="6"/>
                <c:pt idx="0">
                  <c:v>437.19</c:v>
                </c:pt>
                <c:pt idx="1">
                  <c:v>370.73</c:v>
                </c:pt>
                <c:pt idx="2">
                  <c:v>301.13</c:v>
                </c:pt>
                <c:pt idx="3">
                  <c:v>401.95</c:v>
                </c:pt>
                <c:pt idx="4">
                  <c:v>232.49</c:v>
                </c:pt>
                <c:pt idx="5">
                  <c:v>76.83</c:v>
                </c:pt>
              </c:numCache>
            </c:numRef>
          </c:val>
          <c:extLst>
            <c:ext xmlns:c16="http://schemas.microsoft.com/office/drawing/2014/chart" uri="{C3380CC4-5D6E-409C-BE32-E72D297353CC}">
              <c16:uniqueId val="{00000000-2717-4153-9C79-B2BD19EB0305}"/>
            </c:ext>
          </c:extLst>
        </c:ser>
        <c:dLbls>
          <c:dLblPos val="outEnd"/>
          <c:showLegendKey val="0"/>
          <c:showVal val="1"/>
          <c:showCatName val="0"/>
          <c:showSerName val="0"/>
          <c:showPercent val="0"/>
          <c:showBubbleSize val="0"/>
        </c:dLbls>
        <c:gapWidth val="182"/>
        <c:axId val="503188072"/>
        <c:axId val="503187744"/>
      </c:barChart>
      <c:catAx>
        <c:axId val="503188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503187744"/>
        <c:crosses val="autoZero"/>
        <c:auto val="1"/>
        <c:lblAlgn val="ctr"/>
        <c:lblOffset val="100"/>
        <c:noMultiLvlLbl val="0"/>
      </c:catAx>
      <c:valAx>
        <c:axId val="503187744"/>
        <c:scaling>
          <c:orientation val="minMax"/>
          <c:max val="950"/>
          <c:min val="0"/>
        </c:scaling>
        <c:delete val="1"/>
        <c:axPos val="b"/>
        <c:majorGridlines>
          <c:spPr>
            <a:ln w="9525" cap="flat" cmpd="sng" algn="ctr">
              <a:solidFill>
                <a:schemeClr val="bg1">
                  <a:lumMod val="95000"/>
                </a:schemeClr>
              </a:solidFill>
              <a:round/>
            </a:ln>
            <a:effectLst/>
          </c:spPr>
        </c:majorGridlines>
        <c:numFmt formatCode="General" sourceLinked="1"/>
        <c:majorTickMark val="out"/>
        <c:minorTickMark val="none"/>
        <c:tickLblPos val="nextTo"/>
        <c:crossAx val="503188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50" b="1" i="0" u="none" strike="noStrike" kern="1200" spc="0" baseline="0">
                <a:solidFill>
                  <a:srgbClr val="555555"/>
                </a:solidFill>
                <a:latin typeface="Arial" panose="020B0604020202020204" pitchFamily="34" charset="0"/>
                <a:ea typeface="+mn-ea"/>
                <a:cs typeface="Arial" panose="020B0604020202020204" pitchFamily="34" charset="0"/>
              </a:defRPr>
            </a:pPr>
            <a:r>
              <a:rPr lang="pt-BR" sz="1050" b="1">
                <a:solidFill>
                  <a:srgbClr val="555555"/>
                </a:solidFill>
              </a:rPr>
              <a:t>Título do Gráfico</a:t>
            </a:r>
          </a:p>
        </c:rich>
      </c:tx>
      <c:overlay val="0"/>
      <c:spPr>
        <a:noFill/>
        <a:ln>
          <a:noFill/>
        </a:ln>
        <a:effectLst/>
      </c:spPr>
    </c:title>
    <c:autoTitleDeleted val="0"/>
    <c:plotArea>
      <c:layout>
        <c:manualLayout>
          <c:layoutTarget val="inner"/>
          <c:xMode val="edge"/>
          <c:yMode val="edge"/>
          <c:x val="1.552770004973977E-2"/>
          <c:y val="0.13207682363205758"/>
          <c:w val="0.80224679261850707"/>
          <c:h val="0.79724646788626141"/>
        </c:manualLayout>
      </c:layout>
      <c:barChart>
        <c:barDir val="col"/>
        <c:grouping val="stacked"/>
        <c:varyColors val="0"/>
        <c:ser>
          <c:idx val="0"/>
          <c:order val="0"/>
          <c:tx>
            <c:strRef>
              <c:f>'Social Data'!$B$79</c:f>
              <c:strCache>
                <c:ptCount val="1"/>
                <c:pt idx="0">
                  <c:v>Brazil</c:v>
                </c:pt>
              </c:strCache>
            </c:strRef>
          </c:tx>
          <c:spPr>
            <a:solidFill>
              <a:srgbClr val="9DE4D6"/>
            </a:solidFill>
            <a:ln>
              <a:noFill/>
            </a:ln>
            <a:effectLst/>
          </c:spPr>
          <c:invertIfNegative val="0"/>
          <c:dLbls>
            <c:dLbl>
              <c:idx val="3"/>
              <c:layout>
                <c:manualLayout>
                  <c:x val="6.3343576556780509E-2"/>
                  <c:y val="-3.07552595731799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3D-4653-B2AC-A9C200E712B3}"/>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Data'!$C$78:$G$78</c:f>
              <c:numCache>
                <c:formatCode>General</c:formatCode>
                <c:ptCount val="5"/>
                <c:pt idx="0">
                  <c:v>2018</c:v>
                </c:pt>
                <c:pt idx="1">
                  <c:v>2019</c:v>
                </c:pt>
                <c:pt idx="2">
                  <c:v>2020</c:v>
                </c:pt>
                <c:pt idx="3">
                  <c:v>2021</c:v>
                </c:pt>
                <c:pt idx="4">
                  <c:v>2022</c:v>
                </c:pt>
              </c:numCache>
            </c:numRef>
          </c:cat>
          <c:val>
            <c:numRef>
              <c:f>'Social Data'!$C$79:$G$79</c:f>
              <c:numCache>
                <c:formatCode>0.0%</c:formatCode>
                <c:ptCount val="5"/>
                <c:pt idx="0">
                  <c:v>0.16118964408046876</c:v>
                </c:pt>
                <c:pt idx="1">
                  <c:v>8.2953105196451202E-2</c:v>
                </c:pt>
                <c:pt idx="2">
                  <c:v>0.11098685041216472</c:v>
                </c:pt>
                <c:pt idx="3">
                  <c:v>7.9254579477759268E-2</c:v>
                </c:pt>
                <c:pt idx="4">
                  <c:v>7.6261644905297188E-2</c:v>
                </c:pt>
              </c:numCache>
            </c:numRef>
          </c:val>
          <c:extLst>
            <c:ext xmlns:c16="http://schemas.microsoft.com/office/drawing/2014/chart" uri="{C3380CC4-5D6E-409C-BE32-E72D297353CC}">
              <c16:uniqueId val="{00000008-453D-4653-B2AC-A9C200E712B3}"/>
            </c:ext>
          </c:extLst>
        </c:ser>
        <c:ser>
          <c:idx val="1"/>
          <c:order val="1"/>
          <c:tx>
            <c:strRef>
              <c:f>'Social Data'!$B$80</c:f>
              <c:strCache>
                <c:ptCount val="1"/>
                <c:pt idx="0">
                  <c:v>Canada</c:v>
                </c:pt>
              </c:strCache>
            </c:strRef>
          </c:tx>
          <c:spPr>
            <a:solidFill>
              <a:srgbClr val="008080"/>
            </a:solidFill>
            <a:ln>
              <a:noFill/>
            </a:ln>
            <a:effectLst/>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A-453D-4653-B2AC-A9C200E712B3}"/>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Data'!$C$78:$G$78</c:f>
              <c:numCache>
                <c:formatCode>General</c:formatCode>
                <c:ptCount val="5"/>
                <c:pt idx="0">
                  <c:v>2018</c:v>
                </c:pt>
                <c:pt idx="1">
                  <c:v>2019</c:v>
                </c:pt>
                <c:pt idx="2">
                  <c:v>2020</c:v>
                </c:pt>
                <c:pt idx="3">
                  <c:v>2021</c:v>
                </c:pt>
                <c:pt idx="4">
                  <c:v>2022</c:v>
                </c:pt>
              </c:numCache>
            </c:numRef>
          </c:cat>
          <c:val>
            <c:numRef>
              <c:f>'Social Data'!$C$80:$G$80</c:f>
              <c:numCache>
                <c:formatCode>0.0%</c:formatCode>
                <c:ptCount val="5"/>
                <c:pt idx="0">
                  <c:v>7.9729309271935278E-2</c:v>
                </c:pt>
                <c:pt idx="1">
                  <c:v>9.8855531597279819E-2</c:v>
                </c:pt>
                <c:pt idx="2">
                  <c:v>9.188877920368542E-2</c:v>
                </c:pt>
                <c:pt idx="3">
                  <c:v>6.1547194291274733E-2</c:v>
                </c:pt>
                <c:pt idx="4">
                  <c:v>9.1805059754772628E-2</c:v>
                </c:pt>
              </c:numCache>
            </c:numRef>
          </c:val>
          <c:extLst>
            <c:ext xmlns:c16="http://schemas.microsoft.com/office/drawing/2014/chart" uri="{C3380CC4-5D6E-409C-BE32-E72D297353CC}">
              <c16:uniqueId val="{0000000B-453D-4653-B2AC-A9C200E712B3}"/>
            </c:ext>
          </c:extLst>
        </c:ser>
        <c:ser>
          <c:idx val="2"/>
          <c:order val="2"/>
          <c:tx>
            <c:strRef>
              <c:f>'Social Data'!$B$81</c:f>
              <c:strCache>
                <c:ptCount val="1"/>
                <c:pt idx="0">
                  <c:v>Indonesia</c:v>
                </c:pt>
              </c:strCache>
            </c:strRef>
          </c:tx>
          <c:spPr>
            <a:solidFill>
              <a:srgbClr val="FFDD99"/>
            </a:solidFill>
            <a:ln>
              <a:noFill/>
            </a:ln>
            <a:effectLst/>
          </c:spPr>
          <c:invertIfNegative val="0"/>
          <c:dLbls>
            <c:dLbl>
              <c:idx val="0"/>
              <c:layout>
                <c:manualLayout>
                  <c:x val="6.7566481660565988E-2"/>
                  <c:y val="-1.53776297865899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3D-4653-B2AC-A9C200E712B3}"/>
                </c:ext>
              </c:extLst>
            </c:dLbl>
            <c:dLbl>
              <c:idx val="2"/>
              <c:layout>
                <c:manualLayout>
                  <c:x val="6.4751211591375743E-2"/>
                  <c:y val="1.53776297865899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53D-4653-B2AC-A9C200E712B3}"/>
                </c:ext>
              </c:extLst>
            </c:dLbl>
            <c:dLbl>
              <c:idx val="3"/>
              <c:delete val="1"/>
              <c:extLst>
                <c:ext xmlns:c15="http://schemas.microsoft.com/office/drawing/2012/chart" uri="{CE6537A1-D6FC-4f65-9D91-7224C49458BB}"/>
                <c:ext xmlns:c16="http://schemas.microsoft.com/office/drawing/2014/chart" uri="{C3380CC4-5D6E-409C-BE32-E72D297353CC}">
                  <c16:uniqueId val="{0000000F-453D-4653-B2AC-A9C200E712B3}"/>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Data'!$C$78:$G$78</c:f>
              <c:numCache>
                <c:formatCode>General</c:formatCode>
                <c:ptCount val="5"/>
                <c:pt idx="0">
                  <c:v>2018</c:v>
                </c:pt>
                <c:pt idx="1">
                  <c:v>2019</c:v>
                </c:pt>
                <c:pt idx="2">
                  <c:v>2020</c:v>
                </c:pt>
                <c:pt idx="3">
                  <c:v>2021</c:v>
                </c:pt>
                <c:pt idx="4">
                  <c:v>2022</c:v>
                </c:pt>
              </c:numCache>
            </c:numRef>
          </c:cat>
          <c:val>
            <c:numRef>
              <c:f>'Social Data'!$C$81:$G$81</c:f>
              <c:numCache>
                <c:formatCode>0.0%</c:formatCode>
                <c:ptCount val="5"/>
                <c:pt idx="0">
                  <c:v>2.8127881955118353E-2</c:v>
                </c:pt>
                <c:pt idx="1">
                  <c:v>2.1259590792838876E-2</c:v>
                </c:pt>
                <c:pt idx="2">
                  <c:v>2.3747980613893376E-2</c:v>
                </c:pt>
                <c:pt idx="3">
                  <c:v>1.4600908500973394E-2</c:v>
                </c:pt>
                <c:pt idx="4">
                  <c:v>4.243421052631579E-2</c:v>
                </c:pt>
              </c:numCache>
            </c:numRef>
          </c:val>
          <c:extLst>
            <c:ext xmlns:c16="http://schemas.microsoft.com/office/drawing/2014/chart" uri="{C3380CC4-5D6E-409C-BE32-E72D297353CC}">
              <c16:uniqueId val="{00000010-453D-4653-B2AC-A9C200E712B3}"/>
            </c:ext>
          </c:extLst>
        </c:ser>
        <c:ser>
          <c:idx val="3"/>
          <c:order val="3"/>
          <c:tx>
            <c:strRef>
              <c:f>'Social Data'!$B$82</c:f>
              <c:strCache>
                <c:ptCount val="1"/>
                <c:pt idx="0">
                  <c:v>Oman</c:v>
                </c:pt>
              </c:strCache>
            </c:strRef>
          </c:tx>
          <c:spPr>
            <a:solidFill>
              <a:srgbClr val="ECB11F"/>
            </a:solidFill>
            <a:ln>
              <a:noFill/>
            </a:ln>
            <a:effectLst/>
          </c:spPr>
          <c:invertIfNegative val="0"/>
          <c:dLbls>
            <c:dLbl>
              <c:idx val="2"/>
              <c:layout>
                <c:manualLayout>
                  <c:x val="6.7566481660565988E-2"/>
                  <c:y val="-3.844407446647495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53D-4653-B2AC-A9C200E712B3}"/>
                </c:ext>
              </c:extLst>
            </c:dLbl>
            <c:dLbl>
              <c:idx val="3"/>
              <c:layout>
                <c:manualLayout>
                  <c:x val="4.0821416003258622E-2"/>
                  <c:y val="-5.06144148465762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53D-4653-B2AC-A9C200E712B3}"/>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Data'!$C$78:$G$78</c:f>
              <c:numCache>
                <c:formatCode>General</c:formatCode>
                <c:ptCount val="5"/>
                <c:pt idx="0">
                  <c:v>2018</c:v>
                </c:pt>
                <c:pt idx="1">
                  <c:v>2019</c:v>
                </c:pt>
                <c:pt idx="2">
                  <c:v>2020</c:v>
                </c:pt>
                <c:pt idx="3">
                  <c:v>2021</c:v>
                </c:pt>
                <c:pt idx="4">
                  <c:v>2022</c:v>
                </c:pt>
              </c:numCache>
            </c:numRef>
          </c:cat>
          <c:val>
            <c:numRef>
              <c:f>'Social Data'!$C$82:$G$82</c:f>
              <c:numCache>
                <c:formatCode>0.0%</c:formatCode>
                <c:ptCount val="5"/>
                <c:pt idx="0">
                  <c:v>6.9099378881987583E-2</c:v>
                </c:pt>
                <c:pt idx="1">
                  <c:v>5.1617873651771957E-2</c:v>
                </c:pt>
                <c:pt idx="2">
                  <c:v>8.3333333333333329E-2</c:v>
                </c:pt>
                <c:pt idx="3">
                  <c:v>3.2967032967032968E-2</c:v>
                </c:pt>
                <c:pt idx="4">
                  <c:v>4.1734860883797055E-2</c:v>
                </c:pt>
              </c:numCache>
            </c:numRef>
          </c:val>
          <c:extLst>
            <c:ext xmlns:c16="http://schemas.microsoft.com/office/drawing/2014/chart" uri="{C3380CC4-5D6E-409C-BE32-E72D297353CC}">
              <c16:uniqueId val="{00000014-453D-4653-B2AC-A9C200E712B3}"/>
            </c:ext>
          </c:extLst>
        </c:ser>
        <c:ser>
          <c:idx val="4"/>
          <c:order val="4"/>
          <c:tx>
            <c:strRef>
              <c:f>'Social Data'!$B$83</c:f>
              <c:strCache>
                <c:ptCount val="1"/>
                <c:pt idx="0">
                  <c:v>UK</c:v>
                </c:pt>
              </c:strCache>
            </c:strRef>
          </c:tx>
          <c:spPr>
            <a:solidFill>
              <a:srgbClr val="BCBEC0"/>
            </a:solidFill>
            <a:ln>
              <a:noFill/>
            </a:ln>
            <a:effectLst/>
          </c:spPr>
          <c:invertIfNegative val="0"/>
          <c:dLbls>
            <c:dLbl>
              <c:idx val="0"/>
              <c:layout>
                <c:manualLayout>
                  <c:x val="6.7566481660565961E-2"/>
                  <c:y val="-1.15332223399425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53D-4653-B2AC-A9C200E712B3}"/>
                </c:ext>
              </c:extLst>
            </c:dLbl>
            <c:dLbl>
              <c:idx val="1"/>
              <c:layout>
                <c:manualLayout>
                  <c:x val="6.7566481660565988E-2"/>
                  <c:y val="-3.10736496620864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53D-4653-B2AC-A9C200E712B3}"/>
                </c:ext>
              </c:extLst>
            </c:dLbl>
            <c:dLbl>
              <c:idx val="3"/>
              <c:delete val="1"/>
              <c:extLst>
                <c:ext xmlns:c15="http://schemas.microsoft.com/office/drawing/2012/chart" uri="{CE6537A1-D6FC-4f65-9D91-7224C49458BB}"/>
                <c:ext xmlns:c16="http://schemas.microsoft.com/office/drawing/2014/chart" uri="{C3380CC4-5D6E-409C-BE32-E72D297353CC}">
                  <c16:uniqueId val="{00000018-453D-4653-B2AC-A9C200E712B3}"/>
                </c:ext>
              </c:extLst>
            </c:dLbl>
            <c:dLbl>
              <c:idx val="4"/>
              <c:delete val="1"/>
              <c:extLst>
                <c:ext xmlns:c15="http://schemas.microsoft.com/office/drawing/2012/chart" uri="{CE6537A1-D6FC-4f65-9D91-7224C49458BB}"/>
                <c:ext xmlns:c16="http://schemas.microsoft.com/office/drawing/2014/chart" uri="{C3380CC4-5D6E-409C-BE32-E72D297353CC}">
                  <c16:uniqueId val="{00000019-453D-4653-B2AC-A9C200E712B3}"/>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numRef>
              <c:f>'Social Data'!$C$78:$G$78</c:f>
              <c:numCache>
                <c:formatCode>General</c:formatCode>
                <c:ptCount val="5"/>
                <c:pt idx="0">
                  <c:v>2018</c:v>
                </c:pt>
                <c:pt idx="1">
                  <c:v>2019</c:v>
                </c:pt>
                <c:pt idx="2">
                  <c:v>2020</c:v>
                </c:pt>
                <c:pt idx="3">
                  <c:v>2021</c:v>
                </c:pt>
                <c:pt idx="4">
                  <c:v>2022</c:v>
                </c:pt>
              </c:numCache>
            </c:numRef>
          </c:cat>
          <c:val>
            <c:numRef>
              <c:f>'Social Data'!$C$83:$G$83</c:f>
              <c:numCache>
                <c:formatCode>0.0%</c:formatCode>
                <c:ptCount val="5"/>
                <c:pt idx="0">
                  <c:v>0.18166089965397925</c:v>
                </c:pt>
                <c:pt idx="1">
                  <c:v>4.9065420560747662E-2</c:v>
                </c:pt>
                <c:pt idx="2">
                  <c:v>7.5117370892018781E-2</c:v>
                </c:pt>
                <c:pt idx="3">
                  <c:v>1.9512195121951219E-2</c:v>
                </c:pt>
                <c:pt idx="4">
                  <c:v>4.9479166666666664E-2</c:v>
                </c:pt>
              </c:numCache>
            </c:numRef>
          </c:val>
          <c:extLst>
            <c:ext xmlns:c16="http://schemas.microsoft.com/office/drawing/2014/chart" uri="{C3380CC4-5D6E-409C-BE32-E72D297353CC}">
              <c16:uniqueId val="{0000001A-453D-4653-B2AC-A9C200E712B3}"/>
            </c:ext>
          </c:extLst>
        </c:ser>
        <c:dLbls>
          <c:dLblPos val="ctr"/>
          <c:showLegendKey val="0"/>
          <c:showVal val="1"/>
          <c:showCatName val="0"/>
          <c:showSerName val="0"/>
          <c:showPercent val="0"/>
          <c:showBubbleSize val="0"/>
        </c:dLbls>
        <c:gapWidth val="150"/>
        <c:overlap val="100"/>
        <c:axId val="188744423"/>
        <c:axId val="188744751"/>
      </c:barChart>
      <c:catAx>
        <c:axId val="188744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pt-BR"/>
          </a:p>
        </c:txPr>
        <c:crossAx val="188744751"/>
        <c:crosses val="autoZero"/>
        <c:auto val="1"/>
        <c:lblAlgn val="ctr"/>
        <c:lblOffset val="100"/>
        <c:noMultiLvlLbl val="0"/>
      </c:catAx>
      <c:valAx>
        <c:axId val="188744751"/>
        <c:scaling>
          <c:orientation val="minMax"/>
          <c:max val="0.55000000000000004"/>
          <c:min val="0"/>
        </c:scaling>
        <c:delete val="1"/>
        <c:axPos val="l"/>
        <c:numFmt formatCode="0.0%" sourceLinked="1"/>
        <c:majorTickMark val="out"/>
        <c:minorTickMark val="none"/>
        <c:tickLblPos val="nextTo"/>
        <c:crossAx val="188744423"/>
        <c:crosses val="autoZero"/>
        <c:crossBetween val="between"/>
      </c:valAx>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747678"/>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ln>
      <a:solidFill>
        <a:schemeClr val="bg1">
          <a:lumMod val="95000"/>
        </a:schemeClr>
      </a:solidFill>
    </a:ln>
  </c:spPr>
  <c:txPr>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pt-BR"/>
              <a:t>Rate of new hires in 2023</a:t>
            </a:r>
          </a:p>
        </c:rich>
      </c:tx>
      <c:overlay val="0"/>
      <c:spPr>
        <a:noFill/>
        <a:ln>
          <a:noFill/>
        </a:ln>
        <a:effectLst/>
      </c:spPr>
    </c:title>
    <c:autoTitleDeleted val="0"/>
    <c:plotArea>
      <c:layout>
        <c:manualLayout>
          <c:layoutTarget val="inner"/>
          <c:xMode val="edge"/>
          <c:yMode val="edge"/>
          <c:x val="1.552770004973977E-2"/>
          <c:y val="0.13207682363205758"/>
          <c:w val="0.80224679261850707"/>
          <c:h val="0.79724646788626141"/>
        </c:manualLayout>
      </c:layout>
      <c:barChart>
        <c:barDir val="col"/>
        <c:grouping val="stacked"/>
        <c:varyColors val="0"/>
        <c:ser>
          <c:idx val="0"/>
          <c:order val="0"/>
          <c:tx>
            <c:v>Men &lt; 30 years old</c:v>
          </c:tx>
          <c:spPr>
            <a:solidFill>
              <a:srgbClr val="9DE4D6"/>
            </a:solidFill>
            <a:ln>
              <a:noFill/>
            </a:ln>
            <a:effectLst/>
          </c:spPr>
          <c:invertIfNegative val="0"/>
          <c:dLbls>
            <c:dLbl>
              <c:idx val="3"/>
              <c:layout>
                <c:manualLayout>
                  <c:x val="6.3343589402431413E-2"/>
                  <c:y val="-1.478467343565026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2EE-4D92-B8A0-2BD788D81EA2}"/>
                </c:ext>
              </c:extLst>
            </c:dLbl>
            <c:spPr>
              <a:noFill/>
              <a:ln>
                <a:noFill/>
              </a:ln>
              <a:effectLst/>
            </c:spPr>
            <c:txPr>
              <a:bodyPr rot="0" vert="horz"/>
              <a:lstStyle/>
              <a:p>
                <a:pPr>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Data'!$B$48:$B$52</c:f>
              <c:strCache>
                <c:ptCount val="5"/>
                <c:pt idx="0">
                  <c:v>Brazil</c:v>
                </c:pt>
                <c:pt idx="1">
                  <c:v>Canada</c:v>
                </c:pt>
                <c:pt idx="2">
                  <c:v>Indonesia</c:v>
                </c:pt>
                <c:pt idx="3">
                  <c:v>Oman</c:v>
                </c:pt>
                <c:pt idx="4">
                  <c:v>UK</c:v>
                </c:pt>
              </c:strCache>
            </c:strRef>
          </c:cat>
          <c:val>
            <c:numRef>
              <c:f>'Social Data'!$C$48:$C$52</c:f>
              <c:numCache>
                <c:formatCode>0.0%</c:formatCode>
                <c:ptCount val="5"/>
                <c:pt idx="0">
                  <c:v>0.248656228090675</c:v>
                </c:pt>
                <c:pt idx="1">
                  <c:v>0.30783242258652099</c:v>
                </c:pt>
                <c:pt idx="2">
                  <c:v>0.56578947368421095</c:v>
                </c:pt>
                <c:pt idx="3">
                  <c:v>3.03030303030303E-2</c:v>
                </c:pt>
                <c:pt idx="4">
                  <c:v>0.2</c:v>
                </c:pt>
              </c:numCache>
            </c:numRef>
          </c:val>
          <c:extLst>
            <c:ext xmlns:c16="http://schemas.microsoft.com/office/drawing/2014/chart" uri="{C3380CC4-5D6E-409C-BE32-E72D297353CC}">
              <c16:uniqueId val="{00000008-A2EE-4D92-B8A0-2BD788D81EA2}"/>
            </c:ext>
          </c:extLst>
        </c:ser>
        <c:ser>
          <c:idx val="1"/>
          <c:order val="1"/>
          <c:tx>
            <c:v>Women &lt; 30 years old</c:v>
          </c:tx>
          <c:spPr>
            <a:solidFill>
              <a:srgbClr val="008080"/>
            </a:soli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Data'!$B$48:$B$52</c:f>
              <c:strCache>
                <c:ptCount val="5"/>
                <c:pt idx="0">
                  <c:v>Brazil</c:v>
                </c:pt>
                <c:pt idx="1">
                  <c:v>Canada</c:v>
                </c:pt>
                <c:pt idx="2">
                  <c:v>Indonesia</c:v>
                </c:pt>
                <c:pt idx="3">
                  <c:v>Oman</c:v>
                </c:pt>
                <c:pt idx="4">
                  <c:v>UK</c:v>
                </c:pt>
              </c:strCache>
            </c:strRef>
          </c:cat>
          <c:val>
            <c:numRef>
              <c:f>'Social Data'!$D$48:$D$52</c:f>
              <c:numCache>
                <c:formatCode>0.0%</c:formatCode>
                <c:ptCount val="5"/>
                <c:pt idx="0">
                  <c:v>0.30227423272245502</c:v>
                </c:pt>
                <c:pt idx="1">
                  <c:v>0.38604651162790699</c:v>
                </c:pt>
                <c:pt idx="2">
                  <c:v>0.57971014492753603</c:v>
                </c:pt>
                <c:pt idx="3">
                  <c:v>0.13043478260869601</c:v>
                </c:pt>
                <c:pt idx="4">
                  <c:v>0.33333333333333298</c:v>
                </c:pt>
              </c:numCache>
            </c:numRef>
          </c:val>
          <c:extLst>
            <c:ext xmlns:c16="http://schemas.microsoft.com/office/drawing/2014/chart" uri="{C3380CC4-5D6E-409C-BE32-E72D297353CC}">
              <c16:uniqueId val="{0000000A-A2EE-4D92-B8A0-2BD788D81EA2}"/>
            </c:ext>
          </c:extLst>
        </c:ser>
        <c:ser>
          <c:idx val="2"/>
          <c:order val="2"/>
          <c:tx>
            <c:v>Men - 30 a 50 years old</c:v>
          </c:tx>
          <c:spPr>
            <a:solidFill>
              <a:srgbClr val="FFDD99"/>
            </a:solidFill>
            <a:ln>
              <a:noFill/>
            </a:ln>
            <a:effectLst/>
          </c:spPr>
          <c:invertIfNegative val="0"/>
          <c:dLbls>
            <c:dLbl>
              <c:idx val="0"/>
              <c:layout>
                <c:manualLayout>
                  <c:x val="6.6182136699541524E-2"/>
                  <c:y val="-8.34390279665118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90-48BB-9D78-34D800C90433}"/>
                </c:ext>
              </c:extLst>
            </c:dLbl>
            <c:dLbl>
              <c:idx val="1"/>
              <c:layout>
                <c:manualLayout>
                  <c:x val="5.9141483859164769E-2"/>
                  <c:y val="-2.26630419883719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90-48BB-9D78-34D800C90433}"/>
                </c:ext>
              </c:extLst>
            </c:dLbl>
            <c:dLbl>
              <c:idx val="2"/>
              <c:layout>
                <c:manualLayout>
                  <c:x val="6.3365875563390878E-2"/>
                  <c:y val="1.2197952906847629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90-48BB-9D78-34D800C90433}"/>
                </c:ext>
              </c:extLst>
            </c:dLbl>
            <c:dLbl>
              <c:idx val="3"/>
              <c:layout>
                <c:manualLayout>
                  <c:x val="-6.477400613146618E-2"/>
                  <c:y val="-2.204685673843841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2EE-4D92-B8A0-2BD788D81EA2}"/>
                </c:ext>
              </c:extLst>
            </c:dLbl>
            <c:dLbl>
              <c:idx val="4"/>
              <c:layout>
                <c:manualLayout>
                  <c:x val="6.7590267267616883E-2"/>
                  <c:y val="2.411170608617489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09-499C-86F5-BB0F01D1D56F}"/>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Data'!$B$48:$B$52</c:f>
              <c:strCache>
                <c:ptCount val="5"/>
                <c:pt idx="0">
                  <c:v>Brazil</c:v>
                </c:pt>
                <c:pt idx="1">
                  <c:v>Canada</c:v>
                </c:pt>
                <c:pt idx="2">
                  <c:v>Indonesia</c:v>
                </c:pt>
                <c:pt idx="3">
                  <c:v>Oman</c:v>
                </c:pt>
                <c:pt idx="4">
                  <c:v>UK</c:v>
                </c:pt>
              </c:strCache>
            </c:strRef>
          </c:cat>
          <c:val>
            <c:numRef>
              <c:f>'Social Data'!$E$48:$E$52</c:f>
              <c:numCache>
                <c:formatCode>0.0%</c:formatCode>
                <c:ptCount val="5"/>
                <c:pt idx="0">
                  <c:v>5.49340352856382E-2</c:v>
                </c:pt>
                <c:pt idx="1">
                  <c:v>8.1820978160565994E-2</c:v>
                </c:pt>
                <c:pt idx="2">
                  <c:v>5.94149908592322E-2</c:v>
                </c:pt>
                <c:pt idx="3">
                  <c:v>4.65116279069767E-3</c:v>
                </c:pt>
                <c:pt idx="4">
                  <c:v>1.1764705882352899E-2</c:v>
                </c:pt>
              </c:numCache>
            </c:numRef>
          </c:val>
          <c:extLst>
            <c:ext xmlns:c16="http://schemas.microsoft.com/office/drawing/2014/chart" uri="{C3380CC4-5D6E-409C-BE32-E72D297353CC}">
              <c16:uniqueId val="{0000000C-A2EE-4D92-B8A0-2BD788D81EA2}"/>
            </c:ext>
          </c:extLst>
        </c:ser>
        <c:ser>
          <c:idx val="3"/>
          <c:order val="3"/>
          <c:tx>
            <c:v>Women - 30 a 50 Years old</c:v>
          </c:tx>
          <c:spPr>
            <a:solidFill>
              <a:srgbClr val="ECB11F"/>
            </a:solidFill>
            <a:ln>
              <a:noFill/>
            </a:ln>
            <a:effectLst/>
          </c:spPr>
          <c:invertIfNegative val="0"/>
          <c:dLbls>
            <c:dLbl>
              <c:idx val="2"/>
              <c:layout>
                <c:manualLayout>
                  <c:x val="1.3842921371984339E-3"/>
                  <c:y val="-3.309040544234962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2EE-4D92-B8A0-2BD788D81EA2}"/>
                </c:ext>
              </c:extLst>
            </c:dLbl>
            <c:dLbl>
              <c:idx val="3"/>
              <c:delete val="1"/>
              <c:extLst>
                <c:ext xmlns:c15="http://schemas.microsoft.com/office/drawing/2012/chart" uri="{CE6537A1-D6FC-4f65-9D91-7224C49458BB}"/>
                <c:ext xmlns:c16="http://schemas.microsoft.com/office/drawing/2014/chart" uri="{C3380CC4-5D6E-409C-BE32-E72D297353CC}">
                  <c16:uniqueId val="{00000017-A2EE-4D92-B8A0-2BD788D81EA2}"/>
                </c:ext>
              </c:extLst>
            </c:dLbl>
            <c:dLbl>
              <c:idx val="4"/>
              <c:delete val="1"/>
              <c:extLst>
                <c:ext xmlns:c15="http://schemas.microsoft.com/office/drawing/2012/chart" uri="{CE6537A1-D6FC-4f65-9D91-7224C49458BB}"/>
                <c:ext xmlns:c16="http://schemas.microsoft.com/office/drawing/2014/chart" uri="{C3380CC4-5D6E-409C-BE32-E72D297353CC}">
                  <c16:uniqueId val="{00000000-5B09-499C-86F5-BB0F01D1D56F}"/>
                </c:ext>
              </c:extLst>
            </c:dLbl>
            <c:spPr>
              <a:noFill/>
              <a:ln>
                <a:noFill/>
              </a:ln>
              <a:effectLst/>
            </c:spPr>
            <c:txPr>
              <a:bodyPr rot="0" vert="horz"/>
              <a:lstStyle/>
              <a:p>
                <a:pPr>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Data'!$B$48:$B$52</c:f>
              <c:strCache>
                <c:ptCount val="5"/>
                <c:pt idx="0">
                  <c:v>Brazil</c:v>
                </c:pt>
                <c:pt idx="1">
                  <c:v>Canada</c:v>
                </c:pt>
                <c:pt idx="2">
                  <c:v>Indonesia</c:v>
                </c:pt>
                <c:pt idx="3">
                  <c:v>Oman</c:v>
                </c:pt>
                <c:pt idx="4">
                  <c:v>UK</c:v>
                </c:pt>
              </c:strCache>
            </c:strRef>
          </c:cat>
          <c:val>
            <c:numRef>
              <c:f>'Social Data'!$F$48:$F$52</c:f>
              <c:numCache>
                <c:formatCode>0.0%</c:formatCode>
                <c:ptCount val="5"/>
                <c:pt idx="0">
                  <c:v>0.16380224909823901</c:v>
                </c:pt>
                <c:pt idx="1">
                  <c:v>0.15481171548117201</c:v>
                </c:pt>
                <c:pt idx="2">
                  <c:v>9.5435684647302899E-2</c:v>
                </c:pt>
                <c:pt idx="3">
                  <c:v>0</c:v>
                </c:pt>
                <c:pt idx="4">
                  <c:v>0</c:v>
                </c:pt>
              </c:numCache>
            </c:numRef>
          </c:val>
          <c:extLst>
            <c:ext xmlns:c16="http://schemas.microsoft.com/office/drawing/2014/chart" uri="{C3380CC4-5D6E-409C-BE32-E72D297353CC}">
              <c16:uniqueId val="{0000000E-A2EE-4D92-B8A0-2BD788D81EA2}"/>
            </c:ext>
          </c:extLst>
        </c:ser>
        <c:ser>
          <c:idx val="4"/>
          <c:order val="4"/>
          <c:tx>
            <c:v>Men &gt; 50 years old</c:v>
          </c:tx>
          <c:spPr>
            <a:solidFill>
              <a:srgbClr val="BCBEC0"/>
            </a:solidFill>
            <a:ln>
              <a:noFill/>
            </a:ln>
            <a:effectLst/>
          </c:spPr>
          <c:invertIfNegative val="0"/>
          <c:dLbls>
            <c:dLbl>
              <c:idx val="0"/>
              <c:layout>
                <c:manualLayout>
                  <c:x val="6.7566481660565961E-2"/>
                  <c:y val="-1.15332223399425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A2EE-4D92-B8A0-2BD788D81EA2}"/>
                </c:ext>
              </c:extLst>
            </c:dLbl>
            <c:dLbl>
              <c:idx val="1"/>
              <c:layout>
                <c:manualLayout>
                  <c:x val="6.7566481660565988E-2"/>
                  <c:y val="-3.10736496620864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A2EE-4D92-B8A0-2BD788D81EA2}"/>
                </c:ext>
              </c:extLst>
            </c:dLbl>
            <c:dLbl>
              <c:idx val="2"/>
              <c:layout>
                <c:manualLayout>
                  <c:x val="6.618213669954158E-2"/>
                  <c:y val="-2.55528250584684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90-48BB-9D78-34D800C90433}"/>
                </c:ext>
              </c:extLst>
            </c:dLbl>
            <c:dLbl>
              <c:idx val="3"/>
              <c:layout>
                <c:manualLayout>
                  <c:x val="5.930851211688247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2EE-4D92-B8A0-2BD788D81EA2}"/>
                </c:ext>
              </c:extLst>
            </c:dLbl>
            <c:dLbl>
              <c:idx val="4"/>
              <c:layout>
                <c:manualLayout>
                  <c:x val="0"/>
                  <c:y val="-2.57033379427312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2EE-4D92-B8A0-2BD788D81EA2}"/>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15:leaderLines>
                  <c:spPr>
                    <a:ln>
                      <a:solidFill>
                        <a:schemeClr val="bg1">
                          <a:lumMod val="65000"/>
                        </a:schemeClr>
                      </a:solidFill>
                    </a:ln>
                  </c:spPr>
                </c15:leaderLines>
              </c:ext>
            </c:extLst>
          </c:dLbls>
          <c:cat>
            <c:strRef>
              <c:f>'Social Data'!$B$48:$B$52</c:f>
              <c:strCache>
                <c:ptCount val="5"/>
                <c:pt idx="0">
                  <c:v>Brazil</c:v>
                </c:pt>
                <c:pt idx="1">
                  <c:v>Canada</c:v>
                </c:pt>
                <c:pt idx="2">
                  <c:v>Indonesia</c:v>
                </c:pt>
                <c:pt idx="3">
                  <c:v>Oman</c:v>
                </c:pt>
                <c:pt idx="4">
                  <c:v>UK</c:v>
                </c:pt>
              </c:strCache>
            </c:strRef>
          </c:cat>
          <c:val>
            <c:numRef>
              <c:f>'Social Data'!$G$48:$G$52</c:f>
              <c:numCache>
                <c:formatCode>0.0%</c:formatCode>
                <c:ptCount val="5"/>
                <c:pt idx="0">
                  <c:v>1.4584240313452301E-2</c:v>
                </c:pt>
                <c:pt idx="1">
                  <c:v>2.9443254817987201E-2</c:v>
                </c:pt>
                <c:pt idx="2">
                  <c:v>1.8145161290322599E-2</c:v>
                </c:pt>
                <c:pt idx="3">
                  <c:v>3.125E-2</c:v>
                </c:pt>
                <c:pt idx="4">
                  <c:v>4.3478260869565202E-2</c:v>
                </c:pt>
              </c:numCache>
            </c:numRef>
          </c:val>
          <c:extLst>
            <c:ext xmlns:c16="http://schemas.microsoft.com/office/drawing/2014/chart" uri="{C3380CC4-5D6E-409C-BE32-E72D297353CC}">
              <c16:uniqueId val="{00000010-A2EE-4D92-B8A0-2BD788D81EA2}"/>
            </c:ext>
          </c:extLst>
        </c:ser>
        <c:ser>
          <c:idx val="5"/>
          <c:order val="5"/>
          <c:tx>
            <c:v>Women &gt; 50 years old</c:v>
          </c:tx>
          <c:spPr>
            <a:solidFill>
              <a:srgbClr val="747678"/>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A2EE-4D92-B8A0-2BD788D81EA2}"/>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A2EE-4D92-B8A0-2BD788D81EA2}"/>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A2EE-4D92-B8A0-2BD788D81EA2}"/>
                </c:ext>
              </c:extLst>
            </c:dLbl>
            <c:spPr>
              <a:noFill/>
              <a:ln>
                <a:noFill/>
              </a:ln>
              <a:effectLst/>
            </c:spPr>
            <c:txPr>
              <a:bodyPr wrap="square" lIns="38100" tIns="19050" rIns="38100" bIns="19050" anchor="ctr">
                <a:spAutoFit/>
              </a:bodyPr>
              <a:lstStyle/>
              <a:p>
                <a:pPr>
                  <a:defRPr>
                    <a:solidFill>
                      <a:schemeClr val="bg1"/>
                    </a:solidFill>
                  </a:defRPr>
                </a:pPr>
                <a:endParaRPr lang="pt-BR"/>
              </a:p>
            </c:txPr>
            <c:dLblPos val="ctr"/>
            <c:showLegendKey val="0"/>
            <c:showVal val="0"/>
            <c:showCatName val="0"/>
            <c:showSerName val="0"/>
            <c:showPercent val="0"/>
            <c:showBubbleSize val="0"/>
            <c:extLst>
              <c:ext xmlns:c15="http://schemas.microsoft.com/office/drawing/2012/chart" uri="{CE6537A1-D6FC-4f65-9D91-7224C49458BB}">
                <c15:showLeaderLines val="1"/>
              </c:ext>
            </c:extLst>
          </c:dLbls>
          <c:cat>
            <c:strRef>
              <c:f>'Social Data'!$B$48:$B$52</c:f>
              <c:strCache>
                <c:ptCount val="5"/>
                <c:pt idx="0">
                  <c:v>Brazil</c:v>
                </c:pt>
                <c:pt idx="1">
                  <c:v>Canada</c:v>
                </c:pt>
                <c:pt idx="2">
                  <c:v>Indonesia</c:v>
                </c:pt>
                <c:pt idx="3">
                  <c:v>Oman</c:v>
                </c:pt>
                <c:pt idx="4">
                  <c:v>UK</c:v>
                </c:pt>
              </c:strCache>
            </c:strRef>
          </c:cat>
          <c:val>
            <c:numRef>
              <c:f>'Social Data'!$H$48:$H$52</c:f>
              <c:numCache>
                <c:formatCode>0.0%</c:formatCode>
                <c:ptCount val="5"/>
                <c:pt idx="0">
                  <c:v>6.6929133858267695E-2</c:v>
                </c:pt>
                <c:pt idx="1">
                  <c:v>9.5238095238095205E-2</c:v>
                </c:pt>
                <c:pt idx="2">
                  <c:v>0.1</c:v>
                </c:pt>
                <c:pt idx="3">
                  <c:v>0</c:v>
                </c:pt>
                <c:pt idx="4">
                  <c:v>0</c:v>
                </c:pt>
              </c:numCache>
            </c:numRef>
          </c:val>
          <c:extLst>
            <c:ext xmlns:c16="http://schemas.microsoft.com/office/drawing/2014/chart" uri="{C3380CC4-5D6E-409C-BE32-E72D297353CC}">
              <c16:uniqueId val="{00000012-A2EE-4D92-B8A0-2BD788D81EA2}"/>
            </c:ext>
          </c:extLst>
        </c:ser>
        <c:dLbls>
          <c:dLblPos val="ctr"/>
          <c:showLegendKey val="0"/>
          <c:showVal val="1"/>
          <c:showCatName val="0"/>
          <c:showSerName val="0"/>
          <c:showPercent val="0"/>
          <c:showBubbleSize val="0"/>
        </c:dLbls>
        <c:gapWidth val="150"/>
        <c:overlap val="100"/>
        <c:axId val="188744423"/>
        <c:axId val="188744751"/>
      </c:barChart>
      <c:catAx>
        <c:axId val="188744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pt-BR"/>
          </a:p>
        </c:txPr>
        <c:crossAx val="188744751"/>
        <c:crosses val="autoZero"/>
        <c:auto val="1"/>
        <c:lblAlgn val="ctr"/>
        <c:lblOffset val="100"/>
        <c:noMultiLvlLbl val="0"/>
      </c:catAx>
      <c:valAx>
        <c:axId val="188744751"/>
        <c:scaling>
          <c:orientation val="minMax"/>
          <c:max val="1.5"/>
        </c:scaling>
        <c:delete val="1"/>
        <c:axPos val="l"/>
        <c:numFmt formatCode="0.0%" sourceLinked="1"/>
        <c:majorTickMark val="out"/>
        <c:minorTickMark val="none"/>
        <c:tickLblPos val="nextTo"/>
        <c:crossAx val="188744423"/>
        <c:crosses val="autoZero"/>
        <c:crossBetween val="between"/>
      </c:valAx>
    </c:plotArea>
    <c:legend>
      <c:legendPos val="r"/>
      <c:layout>
        <c:manualLayout>
          <c:xMode val="edge"/>
          <c:yMode val="edge"/>
          <c:x val="0.81611123122723583"/>
          <c:y val="6.4608406728541734E-2"/>
          <c:w val="0.17543998536431221"/>
          <c:h val="0.30566661561131736"/>
        </c:manualLayout>
      </c:layout>
      <c:overlay val="0"/>
      <c:spPr>
        <a:noFill/>
        <a:ln>
          <a:noFill/>
        </a:ln>
        <a:effectLst/>
      </c:spPr>
      <c:txPr>
        <a:bodyPr rot="0" vert="horz"/>
        <a:lstStyle/>
        <a:p>
          <a:pPr>
            <a:defRPr/>
          </a:pPr>
          <a:endParaRPr lang="pt-BR"/>
        </a:p>
      </c:txPr>
    </c:legend>
    <c:plotVisOnly val="0"/>
    <c:dispBlanksAs val="gap"/>
    <c:showDLblsOverMax val="0"/>
  </c:chart>
  <c:spPr>
    <a:ln>
      <a:solidFill>
        <a:schemeClr val="bg1">
          <a:lumMod val="95000"/>
        </a:schemeClr>
      </a:solidFill>
    </a:ln>
  </c:spPr>
  <c:txPr>
    <a:bodyPr/>
    <a:lstStyle/>
    <a:p>
      <a:pPr>
        <a:defRPr lang="en-US"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050"/>
            </a:pPr>
            <a:r>
              <a:rPr lang="pt-BR" sz="1050"/>
              <a:t>Percentage of own employees who received performance analysis in</a:t>
            </a:r>
            <a:r>
              <a:rPr lang="pt-BR" sz="1050" baseline="0"/>
              <a:t> 2023</a:t>
            </a:r>
          </a:p>
        </c:rich>
      </c:tx>
      <c:overlay val="0"/>
      <c:spPr>
        <a:noFill/>
        <a:ln>
          <a:noFill/>
        </a:ln>
        <a:effectLst/>
      </c:spPr>
    </c:title>
    <c:autoTitleDeleted val="0"/>
    <c:plotArea>
      <c:layout/>
      <c:barChart>
        <c:barDir val="bar"/>
        <c:grouping val="clustered"/>
        <c:varyColors val="0"/>
        <c:ser>
          <c:idx val="0"/>
          <c:order val="0"/>
          <c:tx>
            <c:strRef>
              <c:f>'Social Data'!$B$409</c:f>
              <c:strCache>
                <c:ptCount val="1"/>
                <c:pt idx="0">
                  <c:v>Men</c:v>
                </c:pt>
              </c:strCache>
            </c:strRef>
          </c:tx>
          <c:spPr>
            <a:solidFill>
              <a:srgbClr val="008080"/>
            </a:solidFill>
            <a:ln>
              <a:noFill/>
            </a:ln>
            <a:effectLst/>
          </c:spPr>
          <c:invertIfNegative val="0"/>
          <c:dLbls>
            <c:spPr>
              <a:noFill/>
              <a:ln>
                <a:noFill/>
              </a:ln>
              <a:effectLst/>
            </c:spPr>
            <c:txPr>
              <a:bodyPr/>
              <a:lstStyle/>
              <a:p>
                <a:pPr>
                  <a:defRPr sz="800"/>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Data'!$C$408:$K$408</c:f>
              <c:strCache>
                <c:ptCount val="9"/>
                <c:pt idx="0">
                  <c:v>Directors</c:v>
                </c:pt>
                <c:pt idx="1">
                  <c:v>General Manager</c:v>
                </c:pt>
                <c:pt idx="2">
                  <c:v>Manager</c:v>
                </c:pt>
                <c:pt idx="3">
                  <c:v> Coordinator</c:v>
                </c:pt>
                <c:pt idx="4">
                  <c:v>Supervisor</c:v>
                </c:pt>
                <c:pt idx="5">
                  <c:v>Technical Specialist</c:v>
                </c:pt>
                <c:pt idx="6">
                  <c:v>Operational Staff</c:v>
                </c:pt>
                <c:pt idx="7">
                  <c:v>Administrative Staff</c:v>
                </c:pt>
                <c:pt idx="8">
                  <c:v>Professional Technician</c:v>
                </c:pt>
              </c:strCache>
            </c:strRef>
          </c:cat>
          <c:val>
            <c:numRef>
              <c:f>'Social Data'!$C$409:$K$409</c:f>
              <c:numCache>
                <c:formatCode>0.0%</c:formatCode>
                <c:ptCount val="9"/>
                <c:pt idx="0">
                  <c:v>0.91228070175438591</c:v>
                </c:pt>
                <c:pt idx="1">
                  <c:v>1</c:v>
                </c:pt>
                <c:pt idx="2">
                  <c:v>0.97558139534883725</c:v>
                </c:pt>
                <c:pt idx="3">
                  <c:v>0.97697841726618706</c:v>
                </c:pt>
                <c:pt idx="4">
                  <c:v>0.98587819947043243</c:v>
                </c:pt>
                <c:pt idx="5">
                  <c:v>0.87610619469026552</c:v>
                </c:pt>
                <c:pt idx="6">
                  <c:v>0.78183116848760614</c:v>
                </c:pt>
                <c:pt idx="7">
                  <c:v>0.86170212765957444</c:v>
                </c:pt>
                <c:pt idx="8">
                  <c:v>0.93504452592980614</c:v>
                </c:pt>
              </c:numCache>
            </c:numRef>
          </c:val>
          <c:extLst>
            <c:ext xmlns:c16="http://schemas.microsoft.com/office/drawing/2014/chart" uri="{C3380CC4-5D6E-409C-BE32-E72D297353CC}">
              <c16:uniqueId val="{00000000-6D2B-4A22-806D-36C0B1643E16}"/>
            </c:ext>
          </c:extLst>
        </c:ser>
        <c:ser>
          <c:idx val="1"/>
          <c:order val="1"/>
          <c:tx>
            <c:strRef>
              <c:f>'Social Data'!$B$410</c:f>
              <c:strCache>
                <c:ptCount val="1"/>
                <c:pt idx="0">
                  <c:v>Women</c:v>
                </c:pt>
              </c:strCache>
            </c:strRef>
          </c:tx>
          <c:spPr>
            <a:solidFill>
              <a:srgbClr val="9DE4D6"/>
            </a:solidFill>
            <a:ln>
              <a:noFill/>
            </a:ln>
            <a:effectLst/>
          </c:spPr>
          <c:invertIfNegative val="0"/>
          <c:dLbls>
            <c:spPr>
              <a:noFill/>
              <a:ln>
                <a:noFill/>
              </a:ln>
              <a:effectLst/>
            </c:spPr>
            <c:txPr>
              <a:bodyPr/>
              <a:lstStyle/>
              <a:p>
                <a:pPr>
                  <a:defRPr sz="800"/>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Data'!$C$408:$K$408</c:f>
              <c:strCache>
                <c:ptCount val="9"/>
                <c:pt idx="0">
                  <c:v>Directors</c:v>
                </c:pt>
                <c:pt idx="1">
                  <c:v>General Manager</c:v>
                </c:pt>
                <c:pt idx="2">
                  <c:v>Manager</c:v>
                </c:pt>
                <c:pt idx="3">
                  <c:v> Coordinator</c:v>
                </c:pt>
                <c:pt idx="4">
                  <c:v>Supervisor</c:v>
                </c:pt>
                <c:pt idx="5">
                  <c:v>Technical Specialist</c:v>
                </c:pt>
                <c:pt idx="6">
                  <c:v>Operational Staff</c:v>
                </c:pt>
                <c:pt idx="7">
                  <c:v>Administrative Staff</c:v>
                </c:pt>
                <c:pt idx="8">
                  <c:v>Professional Technician</c:v>
                </c:pt>
              </c:strCache>
            </c:strRef>
          </c:cat>
          <c:val>
            <c:numRef>
              <c:f>'Social Data'!$C$410:$K$410</c:f>
              <c:numCache>
                <c:formatCode>0.0%</c:formatCode>
                <c:ptCount val="9"/>
                <c:pt idx="0">
                  <c:v>0.81818181818181823</c:v>
                </c:pt>
                <c:pt idx="1">
                  <c:v>1</c:v>
                </c:pt>
                <c:pt idx="2">
                  <c:v>0.96745562130177509</c:v>
                </c:pt>
                <c:pt idx="3">
                  <c:v>0.9754385964912281</c:v>
                </c:pt>
                <c:pt idx="4">
                  <c:v>0.95454545454545459</c:v>
                </c:pt>
                <c:pt idx="5">
                  <c:v>0.77777777777777779</c:v>
                </c:pt>
                <c:pt idx="6">
                  <c:v>0.78462278907472027</c:v>
                </c:pt>
                <c:pt idx="7">
                  <c:v>0.8294117647058824</c:v>
                </c:pt>
                <c:pt idx="8">
                  <c:v>0.90003411804844757</c:v>
                </c:pt>
              </c:numCache>
            </c:numRef>
          </c:val>
          <c:extLst>
            <c:ext xmlns:c16="http://schemas.microsoft.com/office/drawing/2014/chart" uri="{C3380CC4-5D6E-409C-BE32-E72D297353CC}">
              <c16:uniqueId val="{00000001-6D2B-4A22-806D-36C0B1643E16}"/>
            </c:ext>
          </c:extLst>
        </c:ser>
        <c:dLbls>
          <c:dLblPos val="outEnd"/>
          <c:showLegendKey val="0"/>
          <c:showVal val="1"/>
          <c:showCatName val="0"/>
          <c:showSerName val="0"/>
          <c:showPercent val="0"/>
          <c:showBubbleSize val="0"/>
        </c:dLbls>
        <c:gapWidth val="182"/>
        <c:axId val="503188072"/>
        <c:axId val="503187744"/>
      </c:barChart>
      <c:catAx>
        <c:axId val="50318807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sz="900"/>
            </a:pPr>
            <a:endParaRPr lang="pt-BR"/>
          </a:p>
        </c:txPr>
        <c:crossAx val="503187744"/>
        <c:crosses val="autoZero"/>
        <c:auto val="1"/>
        <c:lblAlgn val="ctr"/>
        <c:lblOffset val="100"/>
        <c:noMultiLvlLbl val="0"/>
      </c:catAx>
      <c:valAx>
        <c:axId val="503187744"/>
        <c:scaling>
          <c:orientation val="minMax"/>
          <c:max val="1.05"/>
          <c:min val="0"/>
        </c:scaling>
        <c:delete val="1"/>
        <c:axPos val="t"/>
        <c:numFmt formatCode="0.0%" sourceLinked="1"/>
        <c:majorTickMark val="out"/>
        <c:minorTickMark val="none"/>
        <c:tickLblPos val="nextTo"/>
        <c:crossAx val="503188072"/>
        <c:crosses val="autoZero"/>
        <c:crossBetween val="between"/>
        <c:majorUnit val="0.1"/>
      </c:valAx>
    </c:plotArea>
    <c:legend>
      <c:legendPos val="r"/>
      <c:overlay val="0"/>
      <c:spPr>
        <a:noFill/>
        <a:ln>
          <a:noFill/>
        </a:ln>
        <a:effectLst/>
      </c:spPr>
      <c:txPr>
        <a:bodyPr rot="0" vert="horz"/>
        <a:lstStyle/>
        <a:p>
          <a:pPr>
            <a:defRPr sz="900"/>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a:t>Own employees by employment contract and by gender</a:t>
            </a:r>
          </a:p>
          <a:p>
            <a:pPr>
              <a:defRPr b="1"/>
            </a:pPr>
            <a:r>
              <a:rPr lang="pt-BR" sz="1050" b="1"/>
              <a:t>(2023)</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bar"/>
        <c:grouping val="percentStacked"/>
        <c:varyColors val="0"/>
        <c:ser>
          <c:idx val="0"/>
          <c:order val="0"/>
          <c:tx>
            <c:strRef>
              <c:f>'Social Data'!$C$749</c:f>
              <c:strCache>
                <c:ptCount val="1"/>
                <c:pt idx="0">
                  <c:v>Men</c:v>
                </c:pt>
              </c:strCache>
            </c:strRef>
          </c:tx>
          <c:spPr>
            <a:solidFill>
              <a:srgbClr val="255E91"/>
            </a:solidFill>
            <a:ln>
              <a:noFill/>
            </a:ln>
            <a:effectLst/>
          </c:spPr>
          <c:invertIfNegative val="0"/>
          <c:dLbls>
            <c:dLbl>
              <c:idx val="0"/>
              <c:tx>
                <c:rich>
                  <a:bodyPr/>
                  <a:lstStyle/>
                  <a:p>
                    <a:fld id="{9CF289A8-35CB-4679-BADE-9E56742E51F5}" type="VALUE">
                      <a:rPr lang="en-US" sz="800"/>
                      <a:pPr/>
                      <a:t>[VALUE]</a:t>
                    </a:fld>
                    <a:endParaRPr lang="en-CA"/>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C5C7-4A4D-88DD-5C7BB4F832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Data'!$B$750:$B$753</c:f>
              <c:strCache>
                <c:ptCount val="4"/>
                <c:pt idx="0">
                  <c:v>Trainees</c:v>
                </c:pt>
                <c:pt idx="1">
                  <c:v>Temporary</c:v>
                </c:pt>
                <c:pt idx="2">
                  <c:v>PCD</c:v>
                </c:pt>
                <c:pt idx="3">
                  <c:v>Fixed</c:v>
                </c:pt>
              </c:strCache>
            </c:strRef>
          </c:cat>
          <c:val>
            <c:numRef>
              <c:f>'Social Data'!$C$750:$C$753</c:f>
              <c:numCache>
                <c:formatCode>_-* #,##0_-;\-* #,##0_-;_-* "-"??_-;_-@_-</c:formatCode>
                <c:ptCount val="4"/>
                <c:pt idx="0">
                  <c:v>284</c:v>
                </c:pt>
                <c:pt idx="1">
                  <c:v>205</c:v>
                </c:pt>
                <c:pt idx="2">
                  <c:v>2102</c:v>
                </c:pt>
                <c:pt idx="3">
                  <c:v>47918</c:v>
                </c:pt>
              </c:numCache>
            </c:numRef>
          </c:val>
          <c:extLst>
            <c:ext xmlns:c16="http://schemas.microsoft.com/office/drawing/2014/chart" uri="{C3380CC4-5D6E-409C-BE32-E72D297353CC}">
              <c16:uniqueId val="{00000001-C5C7-4A4D-88DD-5C7BB4F83228}"/>
            </c:ext>
          </c:extLst>
        </c:ser>
        <c:ser>
          <c:idx val="1"/>
          <c:order val="1"/>
          <c:tx>
            <c:strRef>
              <c:f>'Social Data'!$D$749</c:f>
              <c:strCache>
                <c:ptCount val="1"/>
                <c:pt idx="0">
                  <c:v>Women</c:v>
                </c:pt>
              </c:strCache>
            </c:strRef>
          </c:tx>
          <c:spPr>
            <a:solidFill>
              <a:srgbClr val="9DE4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Data'!$B$750:$B$753</c:f>
              <c:strCache>
                <c:ptCount val="4"/>
                <c:pt idx="0">
                  <c:v>Trainees</c:v>
                </c:pt>
                <c:pt idx="1">
                  <c:v>Temporary</c:v>
                </c:pt>
                <c:pt idx="2">
                  <c:v>PCD</c:v>
                </c:pt>
                <c:pt idx="3">
                  <c:v>Fixed</c:v>
                </c:pt>
              </c:strCache>
            </c:strRef>
          </c:cat>
          <c:val>
            <c:numRef>
              <c:f>'Social Data'!$D$750:$D$753</c:f>
              <c:numCache>
                <c:formatCode>_-* #,##0_-;\-* #,##0_-;_-* "-"??_-;_-@_-</c:formatCode>
                <c:ptCount val="4"/>
                <c:pt idx="0">
                  <c:v>1668</c:v>
                </c:pt>
                <c:pt idx="1">
                  <c:v>208</c:v>
                </c:pt>
                <c:pt idx="2">
                  <c:v>834</c:v>
                </c:pt>
                <c:pt idx="3">
                  <c:v>13588</c:v>
                </c:pt>
              </c:numCache>
            </c:numRef>
          </c:val>
          <c:extLst>
            <c:ext xmlns:c16="http://schemas.microsoft.com/office/drawing/2014/chart" uri="{C3380CC4-5D6E-409C-BE32-E72D297353CC}">
              <c16:uniqueId val="{00000002-C5C7-4A4D-88DD-5C7BB4F83228}"/>
            </c:ext>
          </c:extLst>
        </c:ser>
        <c:dLbls>
          <c:dLblPos val="ctr"/>
          <c:showLegendKey val="0"/>
          <c:showVal val="1"/>
          <c:showCatName val="0"/>
          <c:showSerName val="0"/>
          <c:showPercent val="0"/>
          <c:showBubbleSize val="0"/>
        </c:dLbls>
        <c:gapWidth val="150"/>
        <c:overlap val="100"/>
        <c:axId val="1527014320"/>
        <c:axId val="1527015632"/>
      </c:barChart>
      <c:catAx>
        <c:axId val="152701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1527015632"/>
        <c:crosses val="autoZero"/>
        <c:auto val="1"/>
        <c:lblAlgn val="ctr"/>
        <c:lblOffset val="100"/>
        <c:noMultiLvlLbl val="0"/>
      </c:catAx>
      <c:valAx>
        <c:axId val="1527015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15270143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55555"/>
                </a:solidFill>
                <a:latin typeface="Arial" panose="020B0604020202020204" pitchFamily="34" charset="0"/>
                <a:ea typeface="+mn-ea"/>
                <a:cs typeface="Arial" panose="020B0604020202020204" pitchFamily="34" charset="0"/>
              </a:defRPr>
            </a:pPr>
            <a:r>
              <a:rPr lang="pt-BR" sz="1050" b="1">
                <a:solidFill>
                  <a:srgbClr val="555555"/>
                </a:solidFill>
              </a:rPr>
              <a:t>Own employees by region and by gender</a:t>
            </a:r>
          </a:p>
          <a:p>
            <a:pPr>
              <a:defRPr>
                <a:solidFill>
                  <a:srgbClr val="555555"/>
                </a:solidFill>
              </a:defRPr>
            </a:pPr>
            <a:r>
              <a:rPr lang="pt-BR" sz="1050" b="1">
                <a:solidFill>
                  <a:srgbClr val="555555"/>
                </a:solidFill>
              </a:rPr>
              <a:t>(2023)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55555"/>
              </a:solidFill>
              <a:latin typeface="Arial" panose="020B0604020202020204" pitchFamily="34" charset="0"/>
              <a:ea typeface="+mn-ea"/>
              <a:cs typeface="Arial" panose="020B0604020202020204" pitchFamily="34" charset="0"/>
            </a:defRPr>
          </a:pPr>
          <a:endParaRPr lang="pt-BR"/>
        </a:p>
      </c:txPr>
    </c:title>
    <c:autoTitleDeleted val="0"/>
    <c:plotArea>
      <c:layout/>
      <c:barChart>
        <c:barDir val="bar"/>
        <c:grouping val="clustered"/>
        <c:varyColors val="0"/>
        <c:ser>
          <c:idx val="0"/>
          <c:order val="0"/>
          <c:tx>
            <c:strRef>
              <c:f>'Social Data'!$C$757</c:f>
              <c:strCache>
                <c:ptCount val="1"/>
                <c:pt idx="0">
                  <c:v>Women</c:v>
                </c:pt>
              </c:strCache>
            </c:strRef>
          </c:tx>
          <c:spPr>
            <a:solidFill>
              <a:srgbClr val="9DE4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Data'!$B$758:$B$761</c:f>
              <c:strCache>
                <c:ptCount val="4"/>
                <c:pt idx="0">
                  <c:v>Other</c:v>
                </c:pt>
                <c:pt idx="1">
                  <c:v>Indonesia</c:v>
                </c:pt>
                <c:pt idx="2">
                  <c:v>Canada</c:v>
                </c:pt>
                <c:pt idx="3">
                  <c:v>Brazil</c:v>
                </c:pt>
              </c:strCache>
            </c:strRef>
          </c:cat>
          <c:val>
            <c:numRef>
              <c:f>'Social Data'!$C$758:$C$761</c:f>
              <c:numCache>
                <c:formatCode>_-* #,##0_-;\-* #,##0_-;_-* "-"??_-;_-@_-</c:formatCode>
                <c:ptCount val="4"/>
                <c:pt idx="0">
                  <c:v>363</c:v>
                </c:pt>
                <c:pt idx="1">
                  <c:v>330</c:v>
                </c:pt>
                <c:pt idx="2">
                  <c:v>1142</c:v>
                </c:pt>
                <c:pt idx="3">
                  <c:v>14463</c:v>
                </c:pt>
              </c:numCache>
            </c:numRef>
          </c:val>
          <c:extLst>
            <c:ext xmlns:c16="http://schemas.microsoft.com/office/drawing/2014/chart" uri="{C3380CC4-5D6E-409C-BE32-E72D297353CC}">
              <c16:uniqueId val="{00000000-899D-40ED-BE83-AF69ED805F40}"/>
            </c:ext>
          </c:extLst>
        </c:ser>
        <c:ser>
          <c:idx val="1"/>
          <c:order val="1"/>
          <c:tx>
            <c:strRef>
              <c:f>'Social Data'!$D$757</c:f>
              <c:strCache>
                <c:ptCount val="1"/>
                <c:pt idx="0">
                  <c:v>Men</c:v>
                </c:pt>
              </c:strCache>
            </c:strRef>
          </c:tx>
          <c:spPr>
            <a:solidFill>
              <a:srgbClr val="255E9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Data'!$B$758:$B$761</c:f>
              <c:strCache>
                <c:ptCount val="4"/>
                <c:pt idx="0">
                  <c:v>Other</c:v>
                </c:pt>
                <c:pt idx="1">
                  <c:v>Indonesia</c:v>
                </c:pt>
                <c:pt idx="2">
                  <c:v>Canada</c:v>
                </c:pt>
                <c:pt idx="3">
                  <c:v>Brazil</c:v>
                </c:pt>
              </c:strCache>
            </c:strRef>
          </c:cat>
          <c:val>
            <c:numRef>
              <c:f>'Social Data'!$D$758:$D$761</c:f>
              <c:numCache>
                <c:formatCode>_-* #,##0_-;\-* #,##0_-;_-* "-"??_-;_-@_-</c:formatCode>
                <c:ptCount val="4"/>
                <c:pt idx="0">
                  <c:v>1221</c:v>
                </c:pt>
                <c:pt idx="1">
                  <c:v>2836</c:v>
                </c:pt>
                <c:pt idx="2">
                  <c:v>5668</c:v>
                </c:pt>
                <c:pt idx="3">
                  <c:v>40784</c:v>
                </c:pt>
              </c:numCache>
            </c:numRef>
          </c:val>
          <c:extLst>
            <c:ext xmlns:c16="http://schemas.microsoft.com/office/drawing/2014/chart" uri="{C3380CC4-5D6E-409C-BE32-E72D297353CC}">
              <c16:uniqueId val="{00000001-899D-40ED-BE83-AF69ED805F40}"/>
            </c:ext>
          </c:extLst>
        </c:ser>
        <c:dLbls>
          <c:dLblPos val="outEnd"/>
          <c:showLegendKey val="0"/>
          <c:showVal val="1"/>
          <c:showCatName val="0"/>
          <c:showSerName val="0"/>
          <c:showPercent val="0"/>
          <c:showBubbleSize val="0"/>
        </c:dLbls>
        <c:gapWidth val="150"/>
        <c:axId val="1068647104"/>
        <c:axId val="1068640872"/>
      </c:barChart>
      <c:catAx>
        <c:axId val="106864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crossAx val="1068640872"/>
        <c:crosses val="autoZero"/>
        <c:auto val="1"/>
        <c:lblAlgn val="ctr"/>
        <c:lblOffset val="100"/>
        <c:noMultiLvlLbl val="0"/>
      </c:catAx>
      <c:valAx>
        <c:axId val="1068640872"/>
        <c:scaling>
          <c:orientation val="minMax"/>
        </c:scaling>
        <c:delete val="1"/>
        <c:axPos val="b"/>
        <c:numFmt formatCode="_-* #,##0_-;\-* #,##0_-;_-* &quot;-&quot;??_-;_-@_-" sourceLinked="1"/>
        <c:majorTickMark val="none"/>
        <c:minorTickMark val="none"/>
        <c:tickLblPos val="nextTo"/>
        <c:crossAx val="106864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50" b="1"/>
              <a:t>Third parties by employment contract</a:t>
            </a:r>
          </a:p>
          <a:p>
            <a:pPr>
              <a:defRPr sz="1050" b="1"/>
            </a:pPr>
            <a:r>
              <a:rPr lang="en-US" sz="1050" b="1"/>
              <a:t>(2023)</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manualLayout>
          <c:layoutTarget val="inner"/>
          <c:xMode val="edge"/>
          <c:yMode val="edge"/>
          <c:x val="0.32710030003284679"/>
          <c:y val="0.19622222222222221"/>
          <c:w val="0.59929827198354257"/>
          <c:h val="0.75488888888888894"/>
        </c:manualLayout>
      </c:layout>
      <c:barChart>
        <c:barDir val="bar"/>
        <c:grouping val="clustered"/>
        <c:varyColors val="0"/>
        <c:ser>
          <c:idx val="0"/>
          <c:order val="0"/>
          <c:tx>
            <c:strRef>
              <c:f>'Social Data'!$C$764</c:f>
              <c:strCache>
                <c:ptCount val="1"/>
                <c:pt idx="0">
                  <c:v>Third parties</c:v>
                </c:pt>
              </c:strCache>
            </c:strRef>
          </c:tx>
          <c:spPr>
            <a:solidFill>
              <a:srgbClr val="00808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 Data'!$B$765:$B$767</c:f>
              <c:strCache>
                <c:ptCount val="3"/>
                <c:pt idx="0">
                  <c:v>In project</c:v>
                </c:pt>
                <c:pt idx="1">
                  <c:v>Fixed (Administrative and operational)</c:v>
                </c:pt>
                <c:pt idx="2">
                  <c:v>Eventual</c:v>
                </c:pt>
              </c:strCache>
            </c:strRef>
          </c:cat>
          <c:val>
            <c:numRef>
              <c:f>'Social Data'!$C$765:$C$767</c:f>
              <c:numCache>
                <c:formatCode>_-* #,##0_-;\-* #,##0_-;_-* "-"??_-;_-@_-</c:formatCode>
                <c:ptCount val="3"/>
                <c:pt idx="0">
                  <c:v>54142</c:v>
                </c:pt>
                <c:pt idx="1">
                  <c:v>104427</c:v>
                </c:pt>
                <c:pt idx="2">
                  <c:v>9190</c:v>
                </c:pt>
              </c:numCache>
            </c:numRef>
          </c:val>
          <c:extLst>
            <c:ext xmlns:c16="http://schemas.microsoft.com/office/drawing/2014/chart" uri="{C3380CC4-5D6E-409C-BE32-E72D297353CC}">
              <c16:uniqueId val="{00000000-3357-4C5E-8765-E52403C2D457}"/>
            </c:ext>
          </c:extLst>
        </c:ser>
        <c:dLbls>
          <c:dLblPos val="outEnd"/>
          <c:showLegendKey val="0"/>
          <c:showVal val="1"/>
          <c:showCatName val="0"/>
          <c:showSerName val="0"/>
          <c:showPercent val="0"/>
          <c:showBubbleSize val="0"/>
        </c:dLbls>
        <c:gapWidth val="182"/>
        <c:axId val="1064038592"/>
        <c:axId val="1064036952"/>
      </c:barChart>
      <c:catAx>
        <c:axId val="106403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1064036952"/>
        <c:crosses val="autoZero"/>
        <c:auto val="1"/>
        <c:lblAlgn val="ctr"/>
        <c:lblOffset val="100"/>
        <c:noMultiLvlLbl val="0"/>
      </c:catAx>
      <c:valAx>
        <c:axId val="1064036952"/>
        <c:scaling>
          <c:orientation val="minMax"/>
        </c:scaling>
        <c:delete val="1"/>
        <c:axPos val="b"/>
        <c:numFmt formatCode="_-* #,##0_-;\-* #,##0_-;_-* &quot;-&quot;??_-;_-@_-" sourceLinked="1"/>
        <c:majorTickMark val="none"/>
        <c:minorTickMark val="none"/>
        <c:tickLblPos val="nextTo"/>
        <c:crossAx val="1064038592"/>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50" b="1" i="0" u="none" strike="noStrike" kern="1200" spc="0" baseline="0">
                <a:solidFill>
                  <a:srgbClr val="555555"/>
                </a:solidFill>
                <a:latin typeface="Arial" panose="020B0604020202020204" pitchFamily="34" charset="0"/>
                <a:ea typeface="+mn-ea"/>
                <a:cs typeface="Arial" panose="020B0604020202020204" pitchFamily="34" charset="0"/>
              </a:defRPr>
            </a:pPr>
            <a:r>
              <a:rPr lang="pt-BR" sz="1050" b="1">
                <a:solidFill>
                  <a:srgbClr val="555555"/>
                </a:solidFill>
              </a:rPr>
              <a:t>Turnover rate by region</a:t>
            </a:r>
          </a:p>
        </c:rich>
      </c:tx>
      <c:overlay val="0"/>
      <c:spPr>
        <a:noFill/>
        <a:ln>
          <a:noFill/>
        </a:ln>
        <a:effectLst/>
      </c:spPr>
    </c:title>
    <c:autoTitleDeleted val="0"/>
    <c:plotArea>
      <c:layout>
        <c:manualLayout>
          <c:layoutTarget val="inner"/>
          <c:xMode val="edge"/>
          <c:yMode val="edge"/>
          <c:x val="1.552770004973977E-2"/>
          <c:y val="0.13207682363205758"/>
          <c:w val="0.80224679261850707"/>
          <c:h val="0.79724646788626141"/>
        </c:manualLayout>
      </c:layout>
      <c:barChart>
        <c:barDir val="col"/>
        <c:grouping val="stacked"/>
        <c:varyColors val="0"/>
        <c:ser>
          <c:idx val="0"/>
          <c:order val="0"/>
          <c:tx>
            <c:strRef>
              <c:f>'Social Data'!$B$79</c:f>
              <c:strCache>
                <c:ptCount val="1"/>
                <c:pt idx="0">
                  <c:v>Brazil</c:v>
                </c:pt>
              </c:strCache>
            </c:strRef>
          </c:tx>
          <c:spPr>
            <a:solidFill>
              <a:srgbClr val="9DE4D6"/>
            </a:solidFill>
            <a:ln>
              <a:noFill/>
            </a:ln>
            <a:effectLst/>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Data'!$D$78:$H$78</c:f>
              <c:numCache>
                <c:formatCode>General</c:formatCode>
                <c:ptCount val="5"/>
                <c:pt idx="0">
                  <c:v>2019</c:v>
                </c:pt>
                <c:pt idx="1">
                  <c:v>2020</c:v>
                </c:pt>
                <c:pt idx="2">
                  <c:v>2021</c:v>
                </c:pt>
                <c:pt idx="3">
                  <c:v>2022</c:v>
                </c:pt>
                <c:pt idx="4">
                  <c:v>2023</c:v>
                </c:pt>
              </c:numCache>
            </c:numRef>
          </c:cat>
          <c:val>
            <c:numRef>
              <c:f>'Social Data'!$D$79:$H$79</c:f>
              <c:numCache>
                <c:formatCode>0.0%</c:formatCode>
                <c:ptCount val="5"/>
                <c:pt idx="0">
                  <c:v>8.2953105196451202E-2</c:v>
                </c:pt>
                <c:pt idx="1">
                  <c:v>0.11098685041216472</c:v>
                </c:pt>
                <c:pt idx="2">
                  <c:v>7.9254579477759268E-2</c:v>
                </c:pt>
                <c:pt idx="3">
                  <c:v>7.6261644905297188E-2</c:v>
                </c:pt>
                <c:pt idx="4">
                  <c:v>9.0727582909956694E-2</c:v>
                </c:pt>
              </c:numCache>
            </c:numRef>
          </c:val>
          <c:extLst>
            <c:ext xmlns:c16="http://schemas.microsoft.com/office/drawing/2014/chart" uri="{C3380CC4-5D6E-409C-BE32-E72D297353CC}">
              <c16:uniqueId val="{00000008-453D-4653-B2AC-A9C200E712B3}"/>
            </c:ext>
          </c:extLst>
        </c:ser>
        <c:ser>
          <c:idx val="1"/>
          <c:order val="1"/>
          <c:tx>
            <c:strRef>
              <c:f>'Social Data'!$B$80</c:f>
              <c:strCache>
                <c:ptCount val="1"/>
                <c:pt idx="0">
                  <c:v>Canada</c:v>
                </c:pt>
              </c:strCache>
            </c:strRef>
          </c:tx>
          <c:spPr>
            <a:solidFill>
              <a:srgbClr val="008080"/>
            </a:solidFill>
            <a:ln>
              <a:noFill/>
            </a:ln>
            <a:effectLst/>
          </c:spPr>
          <c:invertIfNegative val="0"/>
          <c:dLbls>
            <c:spPr>
              <a:noFill/>
              <a:ln>
                <a:noFill/>
              </a:ln>
              <a:effectLst/>
            </c:spPr>
            <c:txPr>
              <a:bodyPr wrap="square" lIns="38100" tIns="19050" rIns="38100" bIns="19050" anchor="ctr">
                <a:spAutoFit/>
              </a:bodyPr>
              <a:lstStyle/>
              <a:p>
                <a:pPr>
                  <a:defRPr>
                    <a:solidFill>
                      <a:schemeClr val="bg1"/>
                    </a:solidFill>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Data'!$D$78:$H$78</c:f>
              <c:numCache>
                <c:formatCode>General</c:formatCode>
                <c:ptCount val="5"/>
                <c:pt idx="0">
                  <c:v>2019</c:v>
                </c:pt>
                <c:pt idx="1">
                  <c:v>2020</c:v>
                </c:pt>
                <c:pt idx="2">
                  <c:v>2021</c:v>
                </c:pt>
                <c:pt idx="3">
                  <c:v>2022</c:v>
                </c:pt>
                <c:pt idx="4">
                  <c:v>2023</c:v>
                </c:pt>
              </c:numCache>
            </c:numRef>
          </c:cat>
          <c:val>
            <c:numRef>
              <c:f>'Social Data'!$D$80:$H$80</c:f>
              <c:numCache>
                <c:formatCode>0.0%</c:formatCode>
                <c:ptCount val="5"/>
                <c:pt idx="0">
                  <c:v>9.8855531597279819E-2</c:v>
                </c:pt>
                <c:pt idx="1">
                  <c:v>9.188877920368542E-2</c:v>
                </c:pt>
                <c:pt idx="2">
                  <c:v>6.1547194291274733E-2</c:v>
                </c:pt>
                <c:pt idx="3">
                  <c:v>9.1805059754772628E-2</c:v>
                </c:pt>
                <c:pt idx="4">
                  <c:v>8.3904892546867851E-2</c:v>
                </c:pt>
              </c:numCache>
            </c:numRef>
          </c:val>
          <c:extLst>
            <c:ext xmlns:c16="http://schemas.microsoft.com/office/drawing/2014/chart" uri="{C3380CC4-5D6E-409C-BE32-E72D297353CC}">
              <c16:uniqueId val="{0000000B-453D-4653-B2AC-A9C200E712B3}"/>
            </c:ext>
          </c:extLst>
        </c:ser>
        <c:ser>
          <c:idx val="2"/>
          <c:order val="2"/>
          <c:tx>
            <c:strRef>
              <c:f>'Social Data'!$B$81</c:f>
              <c:strCache>
                <c:ptCount val="1"/>
                <c:pt idx="0">
                  <c:v>Indonesia</c:v>
                </c:pt>
              </c:strCache>
            </c:strRef>
          </c:tx>
          <c:spPr>
            <a:solidFill>
              <a:srgbClr val="FFDD99"/>
            </a:solidFill>
            <a:ln>
              <a:noFill/>
            </a:ln>
            <a:effectLst/>
          </c:spPr>
          <c:invertIfNegative val="0"/>
          <c:dLbls>
            <c:dLbl>
              <c:idx val="2"/>
              <c:layout>
                <c:manualLayout>
                  <c:x val="6.3882635693592621E-2"/>
                  <c:y val="-9.5693779904306216E-3"/>
                </c:manualLayout>
              </c:layout>
              <c:tx>
                <c:rich>
                  <a:bodyPr/>
                  <a:lstStyle/>
                  <a:p>
                    <a:fld id="{3BDE3327-0C2A-4AAA-A167-57D7A17C3ADB}" type="VALUE">
                      <a:rPr lang="en-US" sz="900"/>
                      <a:pPr/>
                      <a:t>[VALUE]</a:t>
                    </a:fld>
                    <a:endParaRPr lang="en-CA"/>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115-41F4-9AE0-C24C188B0C77}"/>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Data'!$D$78:$H$78</c:f>
              <c:numCache>
                <c:formatCode>General</c:formatCode>
                <c:ptCount val="5"/>
                <c:pt idx="0">
                  <c:v>2019</c:v>
                </c:pt>
                <c:pt idx="1">
                  <c:v>2020</c:v>
                </c:pt>
                <c:pt idx="2">
                  <c:v>2021</c:v>
                </c:pt>
                <c:pt idx="3">
                  <c:v>2022</c:v>
                </c:pt>
                <c:pt idx="4">
                  <c:v>2023</c:v>
                </c:pt>
              </c:numCache>
            </c:numRef>
          </c:cat>
          <c:val>
            <c:numRef>
              <c:f>'Social Data'!$D$81:$H$81</c:f>
              <c:numCache>
                <c:formatCode>0.0%</c:formatCode>
                <c:ptCount val="5"/>
                <c:pt idx="0">
                  <c:v>2.1259590792838876E-2</c:v>
                </c:pt>
                <c:pt idx="1">
                  <c:v>2.3747980613893376E-2</c:v>
                </c:pt>
                <c:pt idx="2">
                  <c:v>1.4600908500973394E-2</c:v>
                </c:pt>
                <c:pt idx="3">
                  <c:v>4.243421052631579E-2</c:v>
                </c:pt>
                <c:pt idx="4">
                  <c:v>6.8971220641746614E-2</c:v>
                </c:pt>
              </c:numCache>
            </c:numRef>
          </c:val>
          <c:extLst>
            <c:ext xmlns:c16="http://schemas.microsoft.com/office/drawing/2014/chart" uri="{C3380CC4-5D6E-409C-BE32-E72D297353CC}">
              <c16:uniqueId val="{00000010-453D-4653-B2AC-A9C200E712B3}"/>
            </c:ext>
          </c:extLst>
        </c:ser>
        <c:ser>
          <c:idx val="3"/>
          <c:order val="3"/>
          <c:tx>
            <c:strRef>
              <c:f>'Social Data'!$B$82</c:f>
              <c:strCache>
                <c:ptCount val="1"/>
                <c:pt idx="0">
                  <c:v>Oman</c:v>
                </c:pt>
              </c:strCache>
            </c:strRef>
          </c:tx>
          <c:spPr>
            <a:solidFill>
              <a:srgbClr val="ECB11F"/>
            </a:solidFill>
            <a:ln>
              <a:noFill/>
            </a:ln>
            <a:effectLst/>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Data'!$D$78:$H$78</c:f>
              <c:numCache>
                <c:formatCode>General</c:formatCode>
                <c:ptCount val="5"/>
                <c:pt idx="0">
                  <c:v>2019</c:v>
                </c:pt>
                <c:pt idx="1">
                  <c:v>2020</c:v>
                </c:pt>
                <c:pt idx="2">
                  <c:v>2021</c:v>
                </c:pt>
                <c:pt idx="3">
                  <c:v>2022</c:v>
                </c:pt>
                <c:pt idx="4">
                  <c:v>2023</c:v>
                </c:pt>
              </c:numCache>
            </c:numRef>
          </c:cat>
          <c:val>
            <c:numRef>
              <c:f>'Social Data'!$D$82:$H$82</c:f>
              <c:numCache>
                <c:formatCode>0.0%</c:formatCode>
                <c:ptCount val="5"/>
                <c:pt idx="0">
                  <c:v>5.1617873651771957E-2</c:v>
                </c:pt>
                <c:pt idx="1">
                  <c:v>8.3333333333333329E-2</c:v>
                </c:pt>
                <c:pt idx="2">
                  <c:v>3.2967032967032968E-2</c:v>
                </c:pt>
                <c:pt idx="3">
                  <c:v>4.1734860883797055E-2</c:v>
                </c:pt>
                <c:pt idx="4">
                  <c:v>1.507537688442211E-2</c:v>
                </c:pt>
              </c:numCache>
            </c:numRef>
          </c:val>
          <c:extLst>
            <c:ext xmlns:c16="http://schemas.microsoft.com/office/drawing/2014/chart" uri="{C3380CC4-5D6E-409C-BE32-E72D297353CC}">
              <c16:uniqueId val="{00000014-453D-4653-B2AC-A9C200E712B3}"/>
            </c:ext>
          </c:extLst>
        </c:ser>
        <c:ser>
          <c:idx val="4"/>
          <c:order val="4"/>
          <c:tx>
            <c:strRef>
              <c:f>'Social Data'!$B$83</c:f>
              <c:strCache>
                <c:ptCount val="1"/>
                <c:pt idx="0">
                  <c:v>UK</c:v>
                </c:pt>
              </c:strCache>
            </c:strRef>
          </c:tx>
          <c:spPr>
            <a:solidFill>
              <a:srgbClr val="BCBEC0"/>
            </a:solidFill>
            <a:ln>
              <a:noFill/>
            </a:ln>
            <a:effectLst/>
          </c:spPr>
          <c:invertIfNegative val="0"/>
          <c:dLbls>
            <c:dLbl>
              <c:idx val="2"/>
              <c:layout>
                <c:manualLayout>
                  <c:x val="-5.2175366754608301E-17"/>
                  <c:y val="-2.887701021129494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7C-4D3C-A4A2-7C5A6153675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'Social Data'!$D$78:$H$78</c:f>
              <c:numCache>
                <c:formatCode>General</c:formatCode>
                <c:ptCount val="5"/>
                <c:pt idx="0">
                  <c:v>2019</c:v>
                </c:pt>
                <c:pt idx="1">
                  <c:v>2020</c:v>
                </c:pt>
                <c:pt idx="2">
                  <c:v>2021</c:v>
                </c:pt>
                <c:pt idx="3">
                  <c:v>2022</c:v>
                </c:pt>
                <c:pt idx="4">
                  <c:v>2023</c:v>
                </c:pt>
              </c:numCache>
            </c:numRef>
          </c:cat>
          <c:val>
            <c:numRef>
              <c:f>'Social Data'!$D$83:$H$83</c:f>
              <c:numCache>
                <c:formatCode>0.0%</c:formatCode>
                <c:ptCount val="5"/>
                <c:pt idx="0">
                  <c:v>4.9065420560747662E-2</c:v>
                </c:pt>
                <c:pt idx="1">
                  <c:v>7.5117370892018781E-2</c:v>
                </c:pt>
                <c:pt idx="2">
                  <c:v>1.9512195121951219E-2</c:v>
                </c:pt>
                <c:pt idx="3">
                  <c:v>4.9479166666666664E-2</c:v>
                </c:pt>
                <c:pt idx="4">
                  <c:v>4.2105263157894736E-2</c:v>
                </c:pt>
              </c:numCache>
            </c:numRef>
          </c:val>
          <c:extLst>
            <c:ext xmlns:c16="http://schemas.microsoft.com/office/drawing/2014/chart" uri="{C3380CC4-5D6E-409C-BE32-E72D297353CC}">
              <c16:uniqueId val="{0000001A-453D-4653-B2AC-A9C200E712B3}"/>
            </c:ext>
          </c:extLst>
        </c:ser>
        <c:dLbls>
          <c:dLblPos val="ctr"/>
          <c:showLegendKey val="0"/>
          <c:showVal val="1"/>
          <c:showCatName val="0"/>
          <c:showSerName val="0"/>
          <c:showPercent val="0"/>
          <c:showBubbleSize val="0"/>
        </c:dLbls>
        <c:gapWidth val="150"/>
        <c:overlap val="100"/>
        <c:axId val="188744423"/>
        <c:axId val="188744751"/>
      </c:barChart>
      <c:catAx>
        <c:axId val="188744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pt-BR"/>
          </a:p>
        </c:txPr>
        <c:crossAx val="188744751"/>
        <c:crosses val="autoZero"/>
        <c:auto val="1"/>
        <c:lblAlgn val="ctr"/>
        <c:lblOffset val="100"/>
        <c:noMultiLvlLbl val="0"/>
      </c:catAx>
      <c:valAx>
        <c:axId val="188744751"/>
        <c:scaling>
          <c:orientation val="minMax"/>
          <c:max val="0.55000000000000004"/>
          <c:min val="0"/>
        </c:scaling>
        <c:delete val="1"/>
        <c:axPos val="l"/>
        <c:numFmt formatCode="0.0%" sourceLinked="1"/>
        <c:majorTickMark val="out"/>
        <c:minorTickMark val="none"/>
        <c:tickLblPos val="nextTo"/>
        <c:crossAx val="188744423"/>
        <c:crosses val="autoZero"/>
        <c:crossBetween val="between"/>
      </c:valAx>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747678"/>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ln>
      <a:solidFill>
        <a:schemeClr val="bg1">
          <a:lumMod val="95000"/>
        </a:schemeClr>
      </a:solidFill>
    </a:ln>
  </c:spPr>
  <c:txPr>
    <a:bodyPr/>
    <a:lstStyle/>
    <a:p>
      <a:pPr>
        <a:defRPr lang="en-US" sz="900" b="0" i="0" u="none" strike="noStrike" kern="1200" baseline="0">
          <a:solidFill>
            <a:schemeClr val="tx1"/>
          </a:solidFill>
          <a:latin typeface="Arial" panose="020B0604020202020204" pitchFamily="34" charset="0"/>
          <a:ea typeface="+mn-ea"/>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i="0" baseline="0">
                <a:effectLst/>
              </a:rPr>
              <a:t>Staff of professionals</a:t>
            </a:r>
            <a:endParaRPr lang="pt-BR" sz="1050">
              <a:effectLst/>
            </a:endParaRPr>
          </a:p>
        </c:rich>
      </c:tx>
      <c:overlay val="0"/>
      <c:spPr>
        <a:noFill/>
        <a:ln>
          <a:noFill/>
        </a:ln>
        <a:effectLst/>
      </c:spPr>
    </c:title>
    <c:autoTitleDeleted val="0"/>
    <c:plotArea>
      <c:layout/>
      <c:barChart>
        <c:barDir val="col"/>
        <c:grouping val="stacked"/>
        <c:varyColors val="0"/>
        <c:ser>
          <c:idx val="0"/>
          <c:order val="0"/>
          <c:tx>
            <c:strRef>
              <c:f>'Social Data'!$C$740</c:f>
              <c:strCache>
                <c:ptCount val="1"/>
                <c:pt idx="0">
                  <c:v>Own employees</c:v>
                </c:pt>
              </c:strCache>
            </c:strRef>
          </c:tx>
          <c:spPr>
            <a:solidFill>
              <a:srgbClr val="ECB11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Data'!$B$741:$B$745</c:f>
              <c:numCache>
                <c:formatCode>General</c:formatCode>
                <c:ptCount val="5"/>
                <c:pt idx="0">
                  <c:v>2019</c:v>
                </c:pt>
                <c:pt idx="1">
                  <c:v>2020</c:v>
                </c:pt>
                <c:pt idx="2">
                  <c:v>2021</c:v>
                </c:pt>
                <c:pt idx="3">
                  <c:v>2022</c:v>
                </c:pt>
                <c:pt idx="4">
                  <c:v>2023</c:v>
                </c:pt>
              </c:numCache>
            </c:numRef>
          </c:cat>
          <c:val>
            <c:numRef>
              <c:f>'Social Data'!$C$741:$C$745</c:f>
              <c:numCache>
                <c:formatCode>_-* #,##0_-;\-* #,##0_-;_-* "-"??_-;_-@_-</c:formatCode>
                <c:ptCount val="5"/>
                <c:pt idx="0">
                  <c:v>71149</c:v>
                </c:pt>
                <c:pt idx="1">
                  <c:v>74316</c:v>
                </c:pt>
                <c:pt idx="2">
                  <c:v>72266</c:v>
                </c:pt>
                <c:pt idx="3">
                  <c:v>64516</c:v>
                </c:pt>
                <c:pt idx="4">
                  <c:v>66807</c:v>
                </c:pt>
              </c:numCache>
            </c:numRef>
          </c:val>
          <c:extLst>
            <c:ext xmlns:c16="http://schemas.microsoft.com/office/drawing/2014/chart" uri="{C3380CC4-5D6E-409C-BE32-E72D297353CC}">
              <c16:uniqueId val="{0000000F-B9C5-4DA5-BE93-9035AE1A276C}"/>
            </c:ext>
          </c:extLst>
        </c:ser>
        <c:ser>
          <c:idx val="1"/>
          <c:order val="1"/>
          <c:tx>
            <c:strRef>
              <c:f>'Social Data'!$D$740</c:f>
              <c:strCache>
                <c:ptCount val="1"/>
                <c:pt idx="0">
                  <c:v>Third parties employees</c:v>
                </c:pt>
              </c:strCache>
            </c:strRef>
          </c:tx>
          <c:spPr>
            <a:solidFill>
              <a:srgbClr val="00808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Data'!$B$741:$B$745</c:f>
              <c:numCache>
                <c:formatCode>General</c:formatCode>
                <c:ptCount val="5"/>
                <c:pt idx="0">
                  <c:v>2019</c:v>
                </c:pt>
                <c:pt idx="1">
                  <c:v>2020</c:v>
                </c:pt>
                <c:pt idx="2">
                  <c:v>2021</c:v>
                </c:pt>
                <c:pt idx="3">
                  <c:v>2022</c:v>
                </c:pt>
                <c:pt idx="4">
                  <c:v>2023</c:v>
                </c:pt>
              </c:numCache>
            </c:numRef>
          </c:cat>
          <c:val>
            <c:numRef>
              <c:f>'Social Data'!$D$741:$D$745</c:f>
              <c:numCache>
                <c:formatCode>_-* #,##0_-;\-* #,##0_-;_-* "-"??_-;_-@_-</c:formatCode>
                <c:ptCount val="5"/>
                <c:pt idx="0">
                  <c:v>78143</c:v>
                </c:pt>
                <c:pt idx="1">
                  <c:v>111921</c:v>
                </c:pt>
                <c:pt idx="2">
                  <c:v>188314</c:v>
                </c:pt>
                <c:pt idx="3">
                  <c:v>150831</c:v>
                </c:pt>
                <c:pt idx="4">
                  <c:v>167759</c:v>
                </c:pt>
              </c:numCache>
            </c:numRef>
          </c:val>
          <c:extLst>
            <c:ext xmlns:c16="http://schemas.microsoft.com/office/drawing/2014/chart" uri="{C3380CC4-5D6E-409C-BE32-E72D297353CC}">
              <c16:uniqueId val="{00000011-B9C5-4DA5-BE93-9035AE1A276C}"/>
            </c:ext>
          </c:extLst>
        </c:ser>
        <c:dLbls>
          <c:showLegendKey val="0"/>
          <c:showVal val="1"/>
          <c:showCatName val="0"/>
          <c:showSerName val="0"/>
          <c:showPercent val="0"/>
          <c:showBubbleSize val="0"/>
        </c:dLbls>
        <c:gapWidth val="150"/>
        <c:overlap val="100"/>
        <c:axId val="1558763296"/>
        <c:axId val="1558760344"/>
      </c:barChart>
      <c:lineChart>
        <c:grouping val="standard"/>
        <c:varyColors val="0"/>
        <c:ser>
          <c:idx val="2"/>
          <c:order val="2"/>
          <c:tx>
            <c:strRef>
              <c:f>'Social Data'!$E$740</c:f>
              <c:strCache>
                <c:ptCount val="1"/>
                <c:pt idx="0">
                  <c:v>Total</c:v>
                </c:pt>
              </c:strCache>
            </c:strRef>
          </c:tx>
          <c:spPr>
            <a:ln w="28575" cap="rnd">
              <a:noFill/>
              <a:round/>
            </a:ln>
            <a:effectLst/>
          </c:spPr>
          <c:marker>
            <c:symbol val="diamond"/>
            <c:size val="6"/>
            <c:spPr>
              <a:solidFill>
                <a:schemeClr val="tx1">
                  <a:lumMod val="65000"/>
                  <a:lumOff val="35000"/>
                </a:schemeClr>
              </a:solidFill>
              <a:ln w="9525">
                <a:solidFill>
                  <a:schemeClr val="tx1">
                    <a:lumMod val="65000"/>
                    <a:lumOff val="35000"/>
                  </a:schemeClr>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'Social Data'!$B$741:$B$744</c:f>
              <c:numCache>
                <c:formatCode>General</c:formatCode>
                <c:ptCount val="4"/>
                <c:pt idx="0">
                  <c:v>2019</c:v>
                </c:pt>
                <c:pt idx="1">
                  <c:v>2020</c:v>
                </c:pt>
                <c:pt idx="2">
                  <c:v>2021</c:v>
                </c:pt>
                <c:pt idx="3">
                  <c:v>2022</c:v>
                </c:pt>
              </c:numCache>
            </c:numRef>
          </c:cat>
          <c:val>
            <c:numRef>
              <c:f>'Social Data'!$E$741:$E$745</c:f>
              <c:numCache>
                <c:formatCode>_-* #,##0_-;\-* #,##0_-;_-* "-"??_-;_-@_-</c:formatCode>
                <c:ptCount val="5"/>
                <c:pt idx="0">
                  <c:v>149292</c:v>
                </c:pt>
                <c:pt idx="1">
                  <c:v>186237</c:v>
                </c:pt>
                <c:pt idx="2">
                  <c:v>260580</c:v>
                </c:pt>
                <c:pt idx="3">
                  <c:v>215347</c:v>
                </c:pt>
                <c:pt idx="4">
                  <c:v>234566</c:v>
                </c:pt>
              </c:numCache>
            </c:numRef>
          </c:val>
          <c:smooth val="0"/>
          <c:extLst>
            <c:ext xmlns:c16="http://schemas.microsoft.com/office/drawing/2014/chart" uri="{C3380CC4-5D6E-409C-BE32-E72D297353CC}">
              <c16:uniqueId val="{00000013-B9C5-4DA5-BE93-9035AE1A276C}"/>
            </c:ext>
          </c:extLst>
        </c:ser>
        <c:dLbls>
          <c:showLegendKey val="0"/>
          <c:showVal val="1"/>
          <c:showCatName val="0"/>
          <c:showSerName val="0"/>
          <c:showPercent val="0"/>
          <c:showBubbleSize val="0"/>
        </c:dLbls>
        <c:marker val="1"/>
        <c:smooth val="0"/>
        <c:axId val="1558763296"/>
        <c:axId val="1558760344"/>
      </c:lineChart>
      <c:catAx>
        <c:axId val="155876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1558760344"/>
        <c:crosses val="autoZero"/>
        <c:auto val="1"/>
        <c:lblAlgn val="ctr"/>
        <c:lblOffset val="100"/>
        <c:noMultiLvlLbl val="0"/>
      </c:catAx>
      <c:valAx>
        <c:axId val="1558760344"/>
        <c:scaling>
          <c:orientation val="minMax"/>
        </c:scaling>
        <c:delete val="1"/>
        <c:axPos val="l"/>
        <c:numFmt formatCode="_-* #,##0_-;\-* #,##0_-;_-* &quot;-&quot;??_-;_-@_-" sourceLinked="1"/>
        <c:majorTickMark val="none"/>
        <c:minorTickMark val="none"/>
        <c:tickLblPos val="nextTo"/>
        <c:crossAx val="1558763296"/>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050"/>
            </a:pPr>
            <a:r>
              <a:rPr lang="pt-BR" sz="1050"/>
              <a:t>Average hours of training per functional category -</a:t>
            </a:r>
            <a:r>
              <a:rPr lang="pt-BR" sz="1050" baseline="0"/>
              <a:t> 2023</a:t>
            </a:r>
            <a:endParaRPr lang="pt-BR" sz="1050"/>
          </a:p>
        </c:rich>
      </c:tx>
      <c:overlay val="0"/>
      <c:spPr>
        <a:noFill/>
        <a:ln>
          <a:noFill/>
        </a:ln>
        <a:effectLst/>
      </c:spPr>
    </c:title>
    <c:autoTitleDeleted val="0"/>
    <c:plotArea>
      <c:layout/>
      <c:barChart>
        <c:barDir val="bar"/>
        <c:grouping val="clustered"/>
        <c:varyColors val="0"/>
        <c:ser>
          <c:idx val="4"/>
          <c:order val="0"/>
          <c:tx>
            <c:strRef>
              <c:f>'Social Data'!$B$341</c:f>
              <c:strCache>
                <c:ptCount val="1"/>
                <c:pt idx="0">
                  <c:v>2023</c:v>
                </c:pt>
              </c:strCache>
            </c:strRef>
          </c:tx>
          <c:spPr>
            <a:solidFill>
              <a:srgbClr val="008080"/>
            </a:solidFill>
          </c:spPr>
          <c:invertIfNegative val="0"/>
          <c:dLbls>
            <c:spPr>
              <a:noFill/>
              <a:ln>
                <a:noFill/>
              </a:ln>
              <a:effectLst/>
            </c:spPr>
            <c:txPr>
              <a:bodyPr/>
              <a:lstStyle/>
              <a:p>
                <a:pPr>
                  <a:defRPr sz="800"/>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'Social Data'!$B$340:$L$340</c15:sqref>
                  </c15:fullRef>
                </c:ext>
              </c:extLst>
              <c:f>'Social Data'!$C$340:$L$340</c:f>
              <c:strCache>
                <c:ptCount val="10"/>
                <c:pt idx="0">
                  <c:v>Director</c:v>
                </c:pt>
                <c:pt idx="1">
                  <c:v>Manager</c:v>
                </c:pt>
                <c:pt idx="2">
                  <c:v>General Manager</c:v>
                </c:pt>
                <c:pt idx="3">
                  <c:v>Coordinator</c:v>
                </c:pt>
                <c:pt idx="4">
                  <c:v>Supervisor</c:v>
                </c:pt>
                <c:pt idx="5">
                  <c:v>Technical Specialist</c:v>
                </c:pt>
                <c:pt idx="6">
                  <c:v>Administrative Staff</c:v>
                </c:pt>
                <c:pt idx="7">
                  <c:v>Operational Staff</c:v>
                </c:pt>
                <c:pt idx="8">
                  <c:v>Professional Technician</c:v>
                </c:pt>
                <c:pt idx="9">
                  <c:v>Total</c:v>
                </c:pt>
              </c:strCache>
            </c:strRef>
          </c:cat>
          <c:val>
            <c:numRef>
              <c:extLst>
                <c:ext xmlns:c15="http://schemas.microsoft.com/office/drawing/2012/chart" uri="{02D57815-91ED-43cb-92C2-25804820EDAC}">
                  <c15:fullRef>
                    <c15:sqref>'Social Data'!$B$341:$L$341</c15:sqref>
                  </c15:fullRef>
                </c:ext>
              </c:extLst>
              <c:f>'Social Data'!$C$341:$L$341</c:f>
              <c:numCache>
                <c:formatCode>0.0</c:formatCode>
                <c:ptCount val="10"/>
                <c:pt idx="0">
                  <c:v>9</c:v>
                </c:pt>
                <c:pt idx="1">
                  <c:v>23.4</c:v>
                </c:pt>
                <c:pt idx="2">
                  <c:v>12.5</c:v>
                </c:pt>
                <c:pt idx="3">
                  <c:v>48.9</c:v>
                </c:pt>
                <c:pt idx="4">
                  <c:v>67.099999999999994</c:v>
                </c:pt>
                <c:pt idx="5">
                  <c:v>13.3</c:v>
                </c:pt>
                <c:pt idx="6">
                  <c:v>50.7</c:v>
                </c:pt>
                <c:pt idx="7">
                  <c:v>95.9</c:v>
                </c:pt>
                <c:pt idx="8">
                  <c:v>43.4</c:v>
                </c:pt>
                <c:pt idx="9">
                  <c:v>78.8</c:v>
                </c:pt>
              </c:numCache>
            </c:numRef>
          </c:val>
          <c:extLst>
            <c:ext xmlns:c16="http://schemas.microsoft.com/office/drawing/2014/chart" uri="{C3380CC4-5D6E-409C-BE32-E72D297353CC}">
              <c16:uniqueId val="{00000000-BBA9-4D1C-81A5-361696CBCFC6}"/>
            </c:ext>
          </c:extLst>
        </c:ser>
        <c:dLbls>
          <c:dLblPos val="outEnd"/>
          <c:showLegendKey val="0"/>
          <c:showVal val="1"/>
          <c:showCatName val="0"/>
          <c:showSerName val="0"/>
          <c:showPercent val="0"/>
          <c:showBubbleSize val="0"/>
        </c:dLbls>
        <c:gapWidth val="182"/>
        <c:axId val="503188072"/>
        <c:axId val="503187744"/>
      </c:barChart>
      <c:catAx>
        <c:axId val="503188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sz="900"/>
            </a:pPr>
            <a:endParaRPr lang="pt-BR"/>
          </a:p>
        </c:txPr>
        <c:crossAx val="503187744"/>
        <c:crosses val="autoZero"/>
        <c:auto val="1"/>
        <c:lblAlgn val="ctr"/>
        <c:lblOffset val="100"/>
        <c:noMultiLvlLbl val="0"/>
      </c:catAx>
      <c:valAx>
        <c:axId val="503187744"/>
        <c:scaling>
          <c:orientation val="minMax"/>
          <c:max val="100"/>
          <c:min val="0"/>
        </c:scaling>
        <c:delete val="1"/>
        <c:axPos val="b"/>
        <c:numFmt formatCode="0" sourceLinked="1"/>
        <c:majorTickMark val="out"/>
        <c:minorTickMark val="none"/>
        <c:tickLblPos val="nextTo"/>
        <c:crossAx val="503188072"/>
        <c:crosses val="autoZero"/>
        <c:crossBetween val="between"/>
        <c:majorUnit val="10"/>
      </c:valAx>
    </c:plotArea>
    <c:legend>
      <c:legendPos val="r"/>
      <c:overlay val="0"/>
      <c:spPr>
        <a:noFill/>
        <a:ln>
          <a:noFill/>
        </a:ln>
        <a:effectLst/>
      </c:spPr>
      <c:txPr>
        <a:bodyPr rot="0" vert="horz"/>
        <a:lstStyle/>
        <a:p>
          <a:pPr>
            <a:defRPr sz="900"/>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050"/>
            </a:pPr>
            <a:r>
              <a:rPr lang="pt-BR" sz="1050"/>
              <a:t>Average hours of training by functional category and gender - 2023</a:t>
            </a:r>
          </a:p>
        </c:rich>
      </c:tx>
      <c:overlay val="0"/>
      <c:spPr>
        <a:noFill/>
        <a:ln>
          <a:noFill/>
        </a:ln>
        <a:effectLst/>
      </c:spPr>
    </c:title>
    <c:autoTitleDeleted val="0"/>
    <c:plotArea>
      <c:layout/>
      <c:barChart>
        <c:barDir val="bar"/>
        <c:grouping val="clustered"/>
        <c:varyColors val="0"/>
        <c:ser>
          <c:idx val="1"/>
          <c:order val="1"/>
          <c:tx>
            <c:strRef>
              <c:f>'Social Data'!$C$343</c:f>
              <c:strCache>
                <c:ptCount val="1"/>
                <c:pt idx="0">
                  <c:v>Woman</c:v>
                </c:pt>
              </c:strCache>
            </c:strRef>
          </c:tx>
          <c:spPr>
            <a:solidFill>
              <a:srgbClr val="9DE4D6"/>
            </a:solidFill>
            <a:ln>
              <a:noFill/>
            </a:ln>
            <a:effectLst/>
          </c:spPr>
          <c:invertIfNegative val="0"/>
          <c:dLbls>
            <c:dLbl>
              <c:idx val="0"/>
              <c:layout>
                <c:manualLayout>
                  <c:x val="-3.1214373063618212E-3"/>
                  <c:y val="8.07724902890145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B1-4F2F-BB52-27B3B61B8D66}"/>
                </c:ext>
              </c:extLst>
            </c:dLbl>
            <c:dLbl>
              <c:idx val="1"/>
              <c:layout>
                <c:manualLayout>
                  <c:x val="-4.6821559595427312E-3"/>
                  <c:y val="1.2115873543352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B1-4F2F-BB52-27B3B61B8D66}"/>
                </c:ext>
              </c:extLst>
            </c:dLbl>
            <c:dLbl>
              <c:idx val="2"/>
              <c:layout>
                <c:manualLayout>
                  <c:x val="-2.8612844770292274E-17"/>
                  <c:y val="4.0386245144506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75-4BF0-8227-8044B9ECAAAC}"/>
                </c:ext>
              </c:extLst>
            </c:dLbl>
            <c:dLbl>
              <c:idx val="3"/>
              <c:layout>
                <c:manualLayout>
                  <c:x val="-5.7225689540584549E-17"/>
                  <c:y val="8.0772490289016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75-4BF0-8227-8044B9ECAAAC}"/>
                </c:ext>
              </c:extLst>
            </c:dLbl>
            <c:dLbl>
              <c:idx val="5"/>
              <c:layout>
                <c:manualLayout>
                  <c:x val="0"/>
                  <c:y val="8.0772490289016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FB1-4F2F-BB52-27B3B61B8D66}"/>
                </c:ext>
              </c:extLst>
            </c:dLbl>
            <c:dLbl>
              <c:idx val="9"/>
              <c:layout>
                <c:manualLayout>
                  <c:x val="-6.4365033872732591E-3"/>
                  <c:y val="8.25191069093508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FB1-4F2F-BB52-27B3B61B8D66}"/>
                </c:ext>
              </c:extLst>
            </c:dLbl>
            <c:spPr>
              <a:noFill/>
              <a:ln>
                <a:noFill/>
              </a:ln>
              <a:effectLst/>
            </c:spPr>
            <c:txPr>
              <a:bodyPr/>
              <a:lstStyle/>
              <a:p>
                <a:pPr>
                  <a:defRPr sz="900"/>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Data'!$B$344:$B$353</c:f>
              <c:strCache>
                <c:ptCount val="10"/>
                <c:pt idx="0">
                  <c:v>Director</c:v>
                </c:pt>
                <c:pt idx="1">
                  <c:v>Manager</c:v>
                </c:pt>
                <c:pt idx="2">
                  <c:v>General Manager</c:v>
                </c:pt>
                <c:pt idx="3">
                  <c:v>Coordinator</c:v>
                </c:pt>
                <c:pt idx="4">
                  <c:v>Supervisor</c:v>
                </c:pt>
                <c:pt idx="5">
                  <c:v>Technical Specialist</c:v>
                </c:pt>
                <c:pt idx="6">
                  <c:v>Administrative Staff</c:v>
                </c:pt>
                <c:pt idx="7">
                  <c:v>Operational Staff</c:v>
                </c:pt>
                <c:pt idx="8">
                  <c:v>Professional Technician</c:v>
                </c:pt>
                <c:pt idx="9">
                  <c:v>Total</c:v>
                </c:pt>
              </c:strCache>
            </c:strRef>
          </c:cat>
          <c:val>
            <c:numRef>
              <c:f>'Social Data'!$C$344:$C$353</c:f>
              <c:numCache>
                <c:formatCode>0.0</c:formatCode>
                <c:ptCount val="10"/>
                <c:pt idx="0">
                  <c:v>9.0786538461538449</c:v>
                </c:pt>
                <c:pt idx="1">
                  <c:v>23.054392523364488</c:v>
                </c:pt>
                <c:pt idx="2">
                  <c:v>9.1615584415584426</c:v>
                </c:pt>
                <c:pt idx="3">
                  <c:v>42.290676156583629</c:v>
                </c:pt>
                <c:pt idx="4">
                  <c:v>76.271804979253119</c:v>
                </c:pt>
                <c:pt idx="5">
                  <c:v>12.125531914893617</c:v>
                </c:pt>
                <c:pt idx="6">
                  <c:v>54.222391826923072</c:v>
                </c:pt>
                <c:pt idx="7">
                  <c:v>112.17496724240618</c:v>
                </c:pt>
                <c:pt idx="8">
                  <c:v>52.92230218741561</c:v>
                </c:pt>
                <c:pt idx="9">
                  <c:v>76.983918835574201</c:v>
                </c:pt>
              </c:numCache>
            </c:numRef>
          </c:val>
          <c:extLst>
            <c:ext xmlns:c16="http://schemas.microsoft.com/office/drawing/2014/chart" uri="{C3380CC4-5D6E-409C-BE32-E72D297353CC}">
              <c16:uniqueId val="{0000000F-6FB1-4F2F-BB52-27B3B61B8D66}"/>
            </c:ext>
          </c:extLst>
        </c:ser>
        <c:ser>
          <c:idx val="2"/>
          <c:order val="2"/>
          <c:tx>
            <c:strRef>
              <c:f>'Social Data'!$D$343</c:f>
              <c:strCache>
                <c:ptCount val="1"/>
                <c:pt idx="0">
                  <c:v>Man</c:v>
                </c:pt>
              </c:strCache>
            </c:strRef>
          </c:tx>
          <c:spPr>
            <a:solidFill>
              <a:srgbClr val="008080"/>
            </a:solidFill>
            <a:ln>
              <a:noFill/>
            </a:ln>
            <a:effectLst/>
          </c:spPr>
          <c:invertIfNegative val="0"/>
          <c:dLbls>
            <c:dLbl>
              <c:idx val="0"/>
              <c:layout>
                <c:manualLayout>
                  <c:x val="-3.1214373063618212E-3"/>
                  <c:y val="-8.077249028901754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75-4BF0-8227-8044B9ECAAAC}"/>
                </c:ext>
              </c:extLst>
            </c:dLbl>
            <c:dLbl>
              <c:idx val="1"/>
              <c:layout>
                <c:manualLayout>
                  <c:x val="-3.1214373063618212E-3"/>
                  <c:y val="-1.21158735433525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75-4BF0-8227-8044B9ECAAAC}"/>
                </c:ext>
              </c:extLst>
            </c:dLbl>
            <c:dLbl>
              <c:idx val="4"/>
              <c:layout>
                <c:manualLayout>
                  <c:x val="0"/>
                  <c:y val="-1.2115873543352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75-4BF0-8227-8044B9ECAAAC}"/>
                </c:ext>
              </c:extLst>
            </c:dLbl>
            <c:dLbl>
              <c:idx val="5"/>
              <c:layout>
                <c:manualLayout>
                  <c:x val="-1.5607186531809106E-3"/>
                  <c:y val="-1.6154498057803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75-4BF0-8227-8044B9ECAAAC}"/>
                </c:ext>
              </c:extLst>
            </c:dLbl>
            <c:dLbl>
              <c:idx val="7"/>
              <c:layout>
                <c:manualLayout>
                  <c:x val="0"/>
                  <c:y val="-1.6154498057803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75-4BF0-8227-8044B9ECAAAC}"/>
                </c:ext>
              </c:extLst>
            </c:dLbl>
            <c:dLbl>
              <c:idx val="9"/>
              <c:layout>
                <c:manualLayout>
                  <c:x val="-4.8273775404549446E-3"/>
                  <c:y val="-1.23778660364026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25-44DA-9C46-975E6F7A6748}"/>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Data'!$B$344:$B$353</c:f>
              <c:strCache>
                <c:ptCount val="10"/>
                <c:pt idx="0">
                  <c:v>Director</c:v>
                </c:pt>
                <c:pt idx="1">
                  <c:v>Manager</c:v>
                </c:pt>
                <c:pt idx="2">
                  <c:v>General Manager</c:v>
                </c:pt>
                <c:pt idx="3">
                  <c:v>Coordinator</c:v>
                </c:pt>
                <c:pt idx="4">
                  <c:v>Supervisor</c:v>
                </c:pt>
                <c:pt idx="5">
                  <c:v>Technical Specialist</c:v>
                </c:pt>
                <c:pt idx="6">
                  <c:v>Administrative Staff</c:v>
                </c:pt>
                <c:pt idx="7">
                  <c:v>Operational Staff</c:v>
                </c:pt>
                <c:pt idx="8">
                  <c:v>Professional Technician</c:v>
                </c:pt>
                <c:pt idx="9">
                  <c:v>Total</c:v>
                </c:pt>
              </c:strCache>
            </c:strRef>
          </c:cat>
          <c:val>
            <c:numRef>
              <c:f>'Social Data'!$D$344:$D$353</c:f>
              <c:numCache>
                <c:formatCode>0.0</c:formatCode>
                <c:ptCount val="10"/>
                <c:pt idx="0">
                  <c:v>8.9277499999999996</c:v>
                </c:pt>
                <c:pt idx="1">
                  <c:v>23.540464824120601</c:v>
                </c:pt>
                <c:pt idx="2">
                  <c:v>13.640434782608697</c:v>
                </c:pt>
                <c:pt idx="3">
                  <c:v>51.616832116788316</c:v>
                </c:pt>
                <c:pt idx="4">
                  <c:v>65.144610646722398</c:v>
                </c:pt>
                <c:pt idx="5">
                  <c:v>13.716760563380282</c:v>
                </c:pt>
                <c:pt idx="6">
                  <c:v>46.765535714285711</c:v>
                </c:pt>
                <c:pt idx="7">
                  <c:v>92.951502428868849</c:v>
                </c:pt>
                <c:pt idx="8">
                  <c:v>34.358817972938468</c:v>
                </c:pt>
                <c:pt idx="9">
                  <c:v>79.389757125253411</c:v>
                </c:pt>
              </c:numCache>
            </c:numRef>
          </c:val>
          <c:extLst>
            <c:ext xmlns:c16="http://schemas.microsoft.com/office/drawing/2014/chart" uri="{C3380CC4-5D6E-409C-BE32-E72D297353CC}">
              <c16:uniqueId val="{00000000-A875-4BF0-8227-8044B9ECAAAC}"/>
            </c:ext>
          </c:extLst>
        </c:ser>
        <c:dLbls>
          <c:dLblPos val="outEnd"/>
          <c:showLegendKey val="0"/>
          <c:showVal val="1"/>
          <c:showCatName val="0"/>
          <c:showSerName val="0"/>
          <c:showPercent val="0"/>
          <c:showBubbleSize val="0"/>
        </c:dLbls>
        <c:gapWidth val="182"/>
        <c:axId val="503188072"/>
        <c:axId val="503187744"/>
        <c:extLst>
          <c:ext xmlns:c15="http://schemas.microsoft.com/office/drawing/2012/chart" uri="{02D57815-91ED-43cb-92C2-25804820EDAC}">
            <c15:filteredBarSeries>
              <c15:ser>
                <c:idx val="0"/>
                <c:order val="0"/>
                <c:tx>
                  <c:strRef>
                    <c:extLst>
                      <c:ext uri="{02D57815-91ED-43cb-92C2-25804820EDAC}">
                        <c15:formulaRef>
                          <c15:sqref>'Social Data'!$B$343</c15:sqref>
                        </c15:formulaRef>
                      </c:ext>
                    </c:extLst>
                    <c:strCache>
                      <c:ptCount val="1"/>
                      <c:pt idx="0">
                        <c:v>Category</c:v>
                      </c:pt>
                    </c:strCache>
                  </c:strRef>
                </c:tx>
                <c:invertIfNegative val="0"/>
                <c:dLbls>
                  <c:spPr>
                    <a:noFill/>
                    <a:ln>
                      <a:noFill/>
                    </a:ln>
                    <a:effectLst/>
                  </c:spPr>
                  <c:txPr>
                    <a:bodyPr/>
                    <a:lstStyle/>
                    <a:p>
                      <a:pPr>
                        <a:defRPr sz="900"/>
                      </a:pPr>
                      <a:endParaRPr lang="pt-BR"/>
                    </a:p>
                  </c:tx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'Social Data'!$B$344:$B$353</c15:sqref>
                        </c15:formulaRef>
                      </c:ext>
                    </c:extLst>
                    <c:strCache>
                      <c:ptCount val="10"/>
                      <c:pt idx="0">
                        <c:v>Director</c:v>
                      </c:pt>
                      <c:pt idx="1">
                        <c:v>Manager</c:v>
                      </c:pt>
                      <c:pt idx="2">
                        <c:v>General Manager</c:v>
                      </c:pt>
                      <c:pt idx="3">
                        <c:v>Coordinator</c:v>
                      </c:pt>
                      <c:pt idx="4">
                        <c:v>Supervisor</c:v>
                      </c:pt>
                      <c:pt idx="5">
                        <c:v>Technical Specialist</c:v>
                      </c:pt>
                      <c:pt idx="6">
                        <c:v>Administrative Staff</c:v>
                      </c:pt>
                      <c:pt idx="7">
                        <c:v>Operational Staff</c:v>
                      </c:pt>
                      <c:pt idx="8">
                        <c:v>Professional Technician</c:v>
                      </c:pt>
                      <c:pt idx="9">
                        <c:v>Total</c:v>
                      </c:pt>
                    </c:strCache>
                  </c:strRef>
                </c:cat>
                <c:val>
                  <c:numRef>
                    <c:extLst>
                      <c:ext uri="{02D57815-91ED-43cb-92C2-25804820EDAC}">
                        <c15:formulaRef>
                          <c15:sqref>'Social Data'!$B$344:$B$353</c15:sqref>
                        </c15:formulaRef>
                      </c:ext>
                    </c:extLst>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6FB1-4F2F-BB52-27B3B61B8D66}"/>
                  </c:ext>
                </c:extLst>
              </c15:ser>
            </c15:filteredBarSeries>
          </c:ext>
        </c:extLst>
      </c:barChart>
      <c:catAx>
        <c:axId val="503188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sz="900"/>
            </a:pPr>
            <a:endParaRPr lang="pt-BR"/>
          </a:p>
        </c:txPr>
        <c:crossAx val="503187744"/>
        <c:crosses val="autoZero"/>
        <c:auto val="1"/>
        <c:lblAlgn val="ctr"/>
        <c:lblOffset val="100"/>
        <c:noMultiLvlLbl val="0"/>
      </c:catAx>
      <c:valAx>
        <c:axId val="503187744"/>
        <c:scaling>
          <c:orientation val="minMax"/>
          <c:max val="120"/>
          <c:min val="0"/>
        </c:scaling>
        <c:delete val="1"/>
        <c:axPos val="b"/>
        <c:numFmt formatCode="0.0" sourceLinked="1"/>
        <c:majorTickMark val="out"/>
        <c:minorTickMark val="none"/>
        <c:tickLblPos val="nextTo"/>
        <c:crossAx val="503188072"/>
        <c:crosses val="autoZero"/>
        <c:crossBetween val="between"/>
        <c:majorUnit val="10"/>
      </c:valAx>
    </c:plotArea>
    <c:legend>
      <c:legendPos val="r"/>
      <c:overlay val="0"/>
      <c:spPr>
        <a:noFill/>
        <a:ln>
          <a:noFill/>
        </a:ln>
        <a:effectLst/>
      </c:spPr>
      <c:txPr>
        <a:bodyPr rot="0" vert="horz"/>
        <a:lstStyle/>
        <a:p>
          <a:pPr>
            <a:defRPr sz="900"/>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050">
                <a:solidFill>
                  <a:srgbClr val="555555"/>
                </a:solidFill>
              </a:defRPr>
            </a:pPr>
            <a:r>
              <a:rPr lang="pt-BR" sz="1050">
                <a:solidFill>
                  <a:srgbClr val="555555"/>
                </a:solidFill>
              </a:rPr>
              <a:t>Percentage of women by functional category - 2023</a:t>
            </a:r>
          </a:p>
        </c:rich>
      </c:tx>
      <c:overlay val="0"/>
      <c:spPr>
        <a:noFill/>
        <a:ln>
          <a:noFill/>
        </a:ln>
        <a:effectLst/>
      </c:spPr>
    </c:title>
    <c:autoTitleDeleted val="0"/>
    <c:plotArea>
      <c:layout/>
      <c:barChart>
        <c:barDir val="bar"/>
        <c:grouping val="clustered"/>
        <c:varyColors val="0"/>
        <c:ser>
          <c:idx val="0"/>
          <c:order val="0"/>
          <c:tx>
            <c:strRef>
              <c:f>'Social Data'!$A$494</c:f>
              <c:strCache>
                <c:ptCount val="1"/>
                <c:pt idx="0">
                  <c:v>2023</c:v>
                </c:pt>
              </c:strCache>
            </c:strRef>
          </c:tx>
          <c:spPr>
            <a:solidFill>
              <a:srgbClr val="9DE4D6"/>
            </a:solidFill>
          </c:spPr>
          <c:invertIfNegative val="0"/>
          <c:dLbls>
            <c:spPr>
              <a:noFill/>
              <a:ln>
                <a:noFill/>
              </a:ln>
              <a:effectLst/>
            </c:spPr>
            <c:txPr>
              <a:bodyPr/>
              <a:lstStyle/>
              <a:p>
                <a:pPr>
                  <a:defRPr sz="900">
                    <a:solidFill>
                      <a:srgbClr val="555555"/>
                    </a:solidFill>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Data'!$B$493:$J$493</c:f>
              <c:strCache>
                <c:ptCount val="9"/>
                <c:pt idx="0">
                  <c:v>Directors</c:v>
                </c:pt>
                <c:pt idx="1">
                  <c:v>General Manager</c:v>
                </c:pt>
                <c:pt idx="2">
                  <c:v>Manager</c:v>
                </c:pt>
                <c:pt idx="3">
                  <c:v>Coordinator</c:v>
                </c:pt>
                <c:pt idx="4">
                  <c:v>Supervisor</c:v>
                </c:pt>
                <c:pt idx="5">
                  <c:v>Operational Technician</c:v>
                </c:pt>
                <c:pt idx="6">
                  <c:v>Operational Staff</c:v>
                </c:pt>
                <c:pt idx="7">
                  <c:v>Administrative Staff</c:v>
                </c:pt>
                <c:pt idx="8">
                  <c:v>Professional Technician</c:v>
                </c:pt>
              </c:strCache>
            </c:strRef>
          </c:cat>
          <c:val>
            <c:numRef>
              <c:f>'Social Data'!$B$494:$J$494</c:f>
              <c:numCache>
                <c:formatCode>0.0%</c:formatCode>
                <c:ptCount val="9"/>
                <c:pt idx="0">
                  <c:v>0.2046783625730994</c:v>
                </c:pt>
                <c:pt idx="1">
                  <c:v>0.25120772946859904</c:v>
                </c:pt>
                <c:pt idx="2">
                  <c:v>0.31828703703703703</c:v>
                </c:pt>
                <c:pt idx="3">
                  <c:v>0.29502762430939228</c:v>
                </c:pt>
                <c:pt idx="4">
                  <c:v>0.24</c:v>
                </c:pt>
                <c:pt idx="5">
                  <c:v>0.24161073825503357</c:v>
                </c:pt>
                <c:pt idx="6">
                  <c:v>0.19829904961959166</c:v>
                </c:pt>
                <c:pt idx="7">
                  <c:v>0.54529914529914525</c:v>
                </c:pt>
                <c:pt idx="8">
                  <c:v>0.44997776789684302</c:v>
                </c:pt>
              </c:numCache>
            </c:numRef>
          </c:val>
          <c:extLst>
            <c:ext xmlns:c16="http://schemas.microsoft.com/office/drawing/2014/chart" uri="{C3380CC4-5D6E-409C-BE32-E72D297353CC}">
              <c16:uniqueId val="{00000000-A044-42E0-8AC1-EB4DD20214DB}"/>
            </c:ext>
          </c:extLst>
        </c:ser>
        <c:dLbls>
          <c:dLblPos val="outEnd"/>
          <c:showLegendKey val="0"/>
          <c:showVal val="1"/>
          <c:showCatName val="0"/>
          <c:showSerName val="0"/>
          <c:showPercent val="0"/>
          <c:showBubbleSize val="0"/>
        </c:dLbls>
        <c:gapWidth val="182"/>
        <c:axId val="503188072"/>
        <c:axId val="503187744"/>
      </c:barChart>
      <c:catAx>
        <c:axId val="503188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sz="900">
                <a:solidFill>
                  <a:srgbClr val="555555"/>
                </a:solidFill>
              </a:defRPr>
            </a:pPr>
            <a:endParaRPr lang="pt-BR"/>
          </a:p>
        </c:txPr>
        <c:crossAx val="503187744"/>
        <c:crosses val="autoZero"/>
        <c:auto val="1"/>
        <c:lblAlgn val="ctr"/>
        <c:lblOffset val="100"/>
        <c:noMultiLvlLbl val="0"/>
      </c:catAx>
      <c:valAx>
        <c:axId val="503187744"/>
        <c:scaling>
          <c:orientation val="minMax"/>
          <c:max val="0.60000000000000009"/>
          <c:min val="0"/>
        </c:scaling>
        <c:delete val="1"/>
        <c:axPos val="b"/>
        <c:numFmt formatCode="0.0%" sourceLinked="1"/>
        <c:majorTickMark val="out"/>
        <c:minorTickMark val="none"/>
        <c:tickLblPos val="nextTo"/>
        <c:crossAx val="503188072"/>
        <c:crosses val="autoZero"/>
        <c:crossBetween val="between"/>
        <c:majorUnit val="0.1"/>
      </c:valAx>
    </c:plotArea>
    <c:legend>
      <c:legendPos val="r"/>
      <c:overlay val="0"/>
      <c:spPr>
        <a:noFill/>
        <a:ln>
          <a:noFill/>
        </a:ln>
        <a:effectLst/>
      </c:spPr>
      <c:txPr>
        <a:bodyPr rot="0" vert="horz"/>
        <a:lstStyle/>
        <a:p>
          <a:pPr>
            <a:defRPr sz="900">
              <a:solidFill>
                <a:srgbClr val="555555"/>
              </a:solidFill>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050"/>
            </a:pPr>
            <a:r>
              <a:rPr lang="pt-BR" sz="1050">
                <a:solidFill>
                  <a:srgbClr val="555555"/>
                </a:solidFill>
              </a:rPr>
              <a:t>Percentage of employees by employee category and by age group - 2023</a:t>
            </a:r>
          </a:p>
        </c:rich>
      </c:tx>
      <c:overlay val="0"/>
      <c:spPr>
        <a:noFill/>
        <a:ln>
          <a:noFill/>
        </a:ln>
        <a:effectLst/>
      </c:spPr>
    </c:title>
    <c:autoTitleDeleted val="0"/>
    <c:plotArea>
      <c:layout/>
      <c:barChart>
        <c:barDir val="bar"/>
        <c:grouping val="stacked"/>
        <c:varyColors val="0"/>
        <c:ser>
          <c:idx val="0"/>
          <c:order val="0"/>
          <c:tx>
            <c:strRef>
              <c:f>'Social Data'!$B$503</c:f>
              <c:strCache>
                <c:ptCount val="1"/>
                <c:pt idx="0">
                  <c:v>&lt; 30 years</c:v>
                </c:pt>
              </c:strCache>
            </c:strRef>
          </c:tx>
          <c:spPr>
            <a:solidFill>
              <a:srgbClr val="C0305E"/>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9878-4EDD-A144-D6DB6D3B71AA}"/>
                </c:ext>
              </c:extLst>
            </c:dLbl>
            <c:dLbl>
              <c:idx val="1"/>
              <c:layout>
                <c:manualLayout>
                  <c:x val="1.11405767290409E-2"/>
                  <c:y val="-3.81861575178998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78-4EDD-A144-D6DB6D3B71AA}"/>
                </c:ext>
              </c:extLst>
            </c:dLbl>
            <c:dLbl>
              <c:idx val="2"/>
              <c:layout>
                <c:manualLayout>
                  <c:x val="9.9027348702585786E-3"/>
                  <c:y val="-3.50039777247414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78-4EDD-A144-D6DB6D3B71AA}"/>
                </c:ext>
              </c:extLst>
            </c:dLbl>
            <c:dLbl>
              <c:idx val="3"/>
              <c:layout>
                <c:manualLayout>
                  <c:x val="3.7135255763469668E-3"/>
                  <c:y val="-3.18217979315832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78-4EDD-A144-D6DB6D3B71AA}"/>
                </c:ext>
              </c:extLst>
            </c:dLbl>
            <c:dLbl>
              <c:idx val="5"/>
              <c:layout>
                <c:manualLayout>
                  <c:x val="3.7135255763469668E-3"/>
                  <c:y val="-3.5003977724741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78-4EDD-A144-D6DB6D3B71AA}"/>
                </c:ext>
              </c:extLst>
            </c:dLbl>
            <c:spPr>
              <a:noFill/>
              <a:ln>
                <a:noFill/>
              </a:ln>
              <a:effectLst/>
            </c:spPr>
            <c:txPr>
              <a:bodyPr/>
              <a:lstStyle/>
              <a:p>
                <a:pPr>
                  <a:defRPr sz="800"/>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Data'!$C$502:$K$502</c:f>
              <c:strCache>
                <c:ptCount val="9"/>
                <c:pt idx="0">
                  <c:v>Directors</c:v>
                </c:pt>
                <c:pt idx="1">
                  <c:v>General Manager</c:v>
                </c:pt>
                <c:pt idx="2">
                  <c:v>Manager</c:v>
                </c:pt>
                <c:pt idx="3">
                  <c:v>Coordinator</c:v>
                </c:pt>
                <c:pt idx="4">
                  <c:v>Supervisor</c:v>
                </c:pt>
                <c:pt idx="5">
                  <c:v>Technical Specialist</c:v>
                </c:pt>
                <c:pt idx="6">
                  <c:v>Operational Staff</c:v>
                </c:pt>
                <c:pt idx="7">
                  <c:v>Administrative Staff</c:v>
                </c:pt>
                <c:pt idx="8">
                  <c:v>Professional Technician</c:v>
                </c:pt>
              </c:strCache>
            </c:strRef>
          </c:cat>
          <c:val>
            <c:numRef>
              <c:f>'Social Data'!$C$503:$K$503</c:f>
              <c:numCache>
                <c:formatCode>0.0%</c:formatCode>
                <c:ptCount val="9"/>
                <c:pt idx="0">
                  <c:v>0</c:v>
                </c:pt>
                <c:pt idx="1">
                  <c:v>3.4246575342465752E-3</c:v>
                </c:pt>
                <c:pt idx="2">
                  <c:v>2.5041736227045075E-3</c:v>
                </c:pt>
                <c:pt idx="3">
                  <c:v>2.5510204081632654E-2</c:v>
                </c:pt>
                <c:pt idx="4">
                  <c:v>4.2181818181818181E-2</c:v>
                </c:pt>
                <c:pt idx="5">
                  <c:v>2.0134228187919462E-2</c:v>
                </c:pt>
                <c:pt idx="6">
                  <c:v>0.16904493407356003</c:v>
                </c:pt>
                <c:pt idx="7">
                  <c:v>0.1285892634207241</c:v>
                </c:pt>
                <c:pt idx="8">
                  <c:v>0.13527930063713142</c:v>
                </c:pt>
              </c:numCache>
            </c:numRef>
          </c:val>
          <c:extLst>
            <c:ext xmlns:c16="http://schemas.microsoft.com/office/drawing/2014/chart" uri="{C3380CC4-5D6E-409C-BE32-E72D297353CC}">
              <c16:uniqueId val="{00000005-676F-4CE7-B99B-F9DE88A0C588}"/>
            </c:ext>
          </c:extLst>
        </c:ser>
        <c:ser>
          <c:idx val="1"/>
          <c:order val="1"/>
          <c:tx>
            <c:strRef>
              <c:f>'Social Data'!$B$504</c:f>
              <c:strCache>
                <c:ptCount val="1"/>
                <c:pt idx="0">
                  <c:v>30 a 50 years</c:v>
                </c:pt>
              </c:strCache>
            </c:strRef>
          </c:tx>
          <c:spPr>
            <a:solidFill>
              <a:srgbClr val="0ABB98"/>
            </a:solidFill>
          </c:spPr>
          <c:invertIfNegative val="0"/>
          <c:dLbls>
            <c:spPr>
              <a:noFill/>
              <a:ln>
                <a:noFill/>
              </a:ln>
              <a:effectLst/>
            </c:spPr>
            <c:txPr>
              <a:bodyPr/>
              <a:lstStyle/>
              <a:p>
                <a:pPr>
                  <a:defRPr sz="800">
                    <a:solidFill>
                      <a:sysClr val="windowText" lastClr="00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Data'!$C$502:$K$502</c:f>
              <c:strCache>
                <c:ptCount val="9"/>
                <c:pt idx="0">
                  <c:v>Directors</c:v>
                </c:pt>
                <c:pt idx="1">
                  <c:v>General Manager</c:v>
                </c:pt>
                <c:pt idx="2">
                  <c:v>Manager</c:v>
                </c:pt>
                <c:pt idx="3">
                  <c:v>Coordinator</c:v>
                </c:pt>
                <c:pt idx="4">
                  <c:v>Supervisor</c:v>
                </c:pt>
                <c:pt idx="5">
                  <c:v>Technical Specialist</c:v>
                </c:pt>
                <c:pt idx="6">
                  <c:v>Operational Staff</c:v>
                </c:pt>
                <c:pt idx="7">
                  <c:v>Administrative Staff</c:v>
                </c:pt>
                <c:pt idx="8">
                  <c:v>Professional Technician</c:v>
                </c:pt>
              </c:strCache>
            </c:strRef>
          </c:cat>
          <c:val>
            <c:numRef>
              <c:f>'Social Data'!$C$504:$K$504</c:f>
              <c:numCache>
                <c:formatCode>0.0%</c:formatCode>
                <c:ptCount val="9"/>
                <c:pt idx="0">
                  <c:v>0.65486725663716816</c:v>
                </c:pt>
                <c:pt idx="1">
                  <c:v>0.77054794520547942</c:v>
                </c:pt>
                <c:pt idx="2">
                  <c:v>0.79883138564273792</c:v>
                </c:pt>
                <c:pt idx="3">
                  <c:v>0.90612244897959182</c:v>
                </c:pt>
                <c:pt idx="4">
                  <c:v>0.78290909090909089</c:v>
                </c:pt>
                <c:pt idx="5">
                  <c:v>0.70469798657718119</c:v>
                </c:pt>
                <c:pt idx="6">
                  <c:v>0.71751387925052046</c:v>
                </c:pt>
                <c:pt idx="7">
                  <c:v>0.7415730337078652</c:v>
                </c:pt>
                <c:pt idx="8">
                  <c:v>0.75492665580085938</c:v>
                </c:pt>
              </c:numCache>
            </c:numRef>
          </c:val>
          <c:extLst>
            <c:ext xmlns:c16="http://schemas.microsoft.com/office/drawing/2014/chart" uri="{C3380CC4-5D6E-409C-BE32-E72D297353CC}">
              <c16:uniqueId val="{00000006-676F-4CE7-B99B-F9DE88A0C588}"/>
            </c:ext>
          </c:extLst>
        </c:ser>
        <c:ser>
          <c:idx val="2"/>
          <c:order val="2"/>
          <c:tx>
            <c:strRef>
              <c:f>'Social Data'!$B$505</c:f>
              <c:strCache>
                <c:ptCount val="1"/>
                <c:pt idx="0">
                  <c:v>&gt; 50 years</c:v>
                </c:pt>
              </c:strCache>
            </c:strRef>
          </c:tx>
          <c:spPr>
            <a:solidFill>
              <a:srgbClr val="ECB11F"/>
            </a:solidFill>
          </c:spPr>
          <c:invertIfNegative val="0"/>
          <c:dLbls>
            <c:spPr>
              <a:noFill/>
              <a:ln>
                <a:noFill/>
              </a:ln>
              <a:effectLst/>
            </c:spPr>
            <c:txPr>
              <a:bodyPr/>
              <a:lstStyle/>
              <a:p>
                <a:pPr>
                  <a:defRPr sz="800"/>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'Social Data'!$C$502:$K$502</c:f>
              <c:strCache>
                <c:ptCount val="9"/>
                <c:pt idx="0">
                  <c:v>Directors</c:v>
                </c:pt>
                <c:pt idx="1">
                  <c:v>General Manager</c:v>
                </c:pt>
                <c:pt idx="2">
                  <c:v>Manager</c:v>
                </c:pt>
                <c:pt idx="3">
                  <c:v>Coordinator</c:v>
                </c:pt>
                <c:pt idx="4">
                  <c:v>Supervisor</c:v>
                </c:pt>
                <c:pt idx="5">
                  <c:v>Technical Specialist</c:v>
                </c:pt>
                <c:pt idx="6">
                  <c:v>Operational Staff</c:v>
                </c:pt>
                <c:pt idx="7">
                  <c:v>Administrative Staff</c:v>
                </c:pt>
                <c:pt idx="8">
                  <c:v>Professional Technician</c:v>
                </c:pt>
              </c:strCache>
            </c:strRef>
          </c:cat>
          <c:val>
            <c:numRef>
              <c:f>'Social Data'!$C$505:$K$505</c:f>
              <c:numCache>
                <c:formatCode>0.0%</c:formatCode>
                <c:ptCount val="9"/>
                <c:pt idx="0">
                  <c:v>0.34513274336283184</c:v>
                </c:pt>
                <c:pt idx="1">
                  <c:v>0.22602739726027396</c:v>
                </c:pt>
                <c:pt idx="2">
                  <c:v>0.19866444073455761</c:v>
                </c:pt>
                <c:pt idx="3">
                  <c:v>6.8367346938775511E-2</c:v>
                </c:pt>
                <c:pt idx="4">
                  <c:v>0.1749090909090909</c:v>
                </c:pt>
                <c:pt idx="5">
                  <c:v>0.27516778523489932</c:v>
                </c:pt>
                <c:pt idx="6">
                  <c:v>0.1134411866759195</c:v>
                </c:pt>
                <c:pt idx="7">
                  <c:v>0.12983770287141075</c:v>
                </c:pt>
                <c:pt idx="8">
                  <c:v>0.10979404356200918</c:v>
                </c:pt>
              </c:numCache>
            </c:numRef>
          </c:val>
          <c:extLst>
            <c:ext xmlns:c16="http://schemas.microsoft.com/office/drawing/2014/chart" uri="{C3380CC4-5D6E-409C-BE32-E72D297353CC}">
              <c16:uniqueId val="{00000007-676F-4CE7-B99B-F9DE88A0C588}"/>
            </c:ext>
          </c:extLst>
        </c:ser>
        <c:dLbls>
          <c:showLegendKey val="0"/>
          <c:showVal val="1"/>
          <c:showCatName val="0"/>
          <c:showSerName val="0"/>
          <c:showPercent val="0"/>
          <c:showBubbleSize val="0"/>
        </c:dLbls>
        <c:gapWidth val="182"/>
        <c:overlap val="100"/>
        <c:axId val="503188072"/>
        <c:axId val="503187744"/>
      </c:barChart>
      <c:catAx>
        <c:axId val="503188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sz="900" b="0">
                <a:solidFill>
                  <a:srgbClr val="555555"/>
                </a:solidFill>
              </a:defRPr>
            </a:pPr>
            <a:endParaRPr lang="pt-BR"/>
          </a:p>
        </c:txPr>
        <c:crossAx val="503187744"/>
        <c:crosses val="autoZero"/>
        <c:auto val="1"/>
        <c:lblAlgn val="ctr"/>
        <c:lblOffset val="100"/>
        <c:noMultiLvlLbl val="0"/>
      </c:catAx>
      <c:valAx>
        <c:axId val="503187744"/>
        <c:scaling>
          <c:orientation val="minMax"/>
          <c:max val="1"/>
          <c:min val="0"/>
        </c:scaling>
        <c:delete val="1"/>
        <c:axPos val="b"/>
        <c:numFmt formatCode="0.0%" sourceLinked="1"/>
        <c:majorTickMark val="out"/>
        <c:minorTickMark val="none"/>
        <c:tickLblPos val="nextTo"/>
        <c:crossAx val="503188072"/>
        <c:crosses val="autoZero"/>
        <c:crossBetween val="between"/>
        <c:majorUnit val="0.1"/>
      </c:valAx>
    </c:plotArea>
    <c:legend>
      <c:legendPos val="r"/>
      <c:overlay val="0"/>
      <c:spPr>
        <a:noFill/>
        <a:ln>
          <a:noFill/>
        </a:ln>
        <a:effectLst/>
      </c:spPr>
      <c:txPr>
        <a:bodyPr rot="0" vert="horz"/>
        <a:lstStyle/>
        <a:p>
          <a:pPr>
            <a:defRPr sz="900">
              <a:solidFill>
                <a:srgbClr val="555555"/>
              </a:solidFill>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a:t>Percentage of individuals on governance bodies </a:t>
            </a:r>
          </a:p>
          <a:p>
            <a:pPr>
              <a:defRPr/>
            </a:pPr>
            <a:r>
              <a:rPr lang="pt-BR" sz="1050" b="1"/>
              <a:t>by gender -</a:t>
            </a:r>
            <a:r>
              <a:rPr lang="pt-BR" sz="1050" b="1" baseline="0"/>
              <a:t>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pieChart>
        <c:varyColors val="1"/>
        <c:ser>
          <c:idx val="0"/>
          <c:order val="0"/>
          <c:dPt>
            <c:idx val="0"/>
            <c:bubble3D val="0"/>
            <c:spPr>
              <a:solidFill>
                <a:srgbClr val="008080"/>
              </a:solidFill>
              <a:ln w="19050">
                <a:solidFill>
                  <a:schemeClr val="lt1"/>
                </a:solidFill>
              </a:ln>
              <a:effectLst/>
            </c:spPr>
            <c:extLst>
              <c:ext xmlns:c16="http://schemas.microsoft.com/office/drawing/2014/chart" uri="{C3380CC4-5D6E-409C-BE32-E72D297353CC}">
                <c16:uniqueId val="{00000001-E0EF-49E7-ACB9-8896AACD9E3A}"/>
              </c:ext>
            </c:extLst>
          </c:dPt>
          <c:dPt>
            <c:idx val="1"/>
            <c:bubble3D val="0"/>
            <c:spPr>
              <a:solidFill>
                <a:srgbClr val="9DE4D6"/>
              </a:solidFill>
              <a:ln w="19050">
                <a:solidFill>
                  <a:schemeClr val="lt1"/>
                </a:solidFill>
              </a:ln>
              <a:effectLst/>
            </c:spPr>
            <c:extLst>
              <c:ext xmlns:c16="http://schemas.microsoft.com/office/drawing/2014/chart" uri="{C3380CC4-5D6E-409C-BE32-E72D297353CC}">
                <c16:uniqueId val="{00000003-E0EF-49E7-ACB9-8896AACD9E3A}"/>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0EF-49E7-ACB9-8896AACD9E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pt-BR"/>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'Social Data'!$B$527:$B$528</c:f>
              <c:strCache>
                <c:ptCount val="2"/>
                <c:pt idx="0">
                  <c:v>Men</c:v>
                </c:pt>
                <c:pt idx="1">
                  <c:v>Women</c:v>
                </c:pt>
              </c:strCache>
            </c:strRef>
          </c:cat>
          <c:val>
            <c:numRef>
              <c:f>'Social Data'!$C$527:$C$528</c:f>
              <c:numCache>
                <c:formatCode>General</c:formatCode>
                <c:ptCount val="2"/>
                <c:pt idx="0">
                  <c:v>24</c:v>
                </c:pt>
                <c:pt idx="1">
                  <c:v>7</c:v>
                </c:pt>
              </c:numCache>
            </c:numRef>
          </c:val>
          <c:extLst>
            <c:ext xmlns:c16="http://schemas.microsoft.com/office/drawing/2014/chart" uri="{C3380CC4-5D6E-409C-BE32-E72D297353CC}">
              <c16:uniqueId val="{00000004-E0EF-49E7-ACB9-8896AACD9E3A}"/>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pt-BR" sz="1050" b="1"/>
              <a:t>Percentage of individuals on governance bodies </a:t>
            </a:r>
          </a:p>
          <a:p>
            <a:pPr>
              <a:defRPr/>
            </a:pPr>
            <a:r>
              <a:rPr lang="pt-BR" sz="1050" b="1"/>
              <a:t>by age group - 2023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title>
    <c:autoTitleDeleted val="0"/>
    <c:plotArea>
      <c:layout/>
      <c:pieChart>
        <c:varyColors val="1"/>
        <c:ser>
          <c:idx val="0"/>
          <c:order val="0"/>
          <c:dPt>
            <c:idx val="0"/>
            <c:bubble3D val="0"/>
            <c:spPr>
              <a:solidFill>
                <a:srgbClr val="C0305E"/>
              </a:solidFill>
              <a:ln w="19050">
                <a:solidFill>
                  <a:schemeClr val="lt1"/>
                </a:solidFill>
              </a:ln>
              <a:effectLst/>
            </c:spPr>
            <c:extLst>
              <c:ext xmlns:c16="http://schemas.microsoft.com/office/drawing/2014/chart" uri="{C3380CC4-5D6E-409C-BE32-E72D297353CC}">
                <c16:uniqueId val="{00000001-E834-4A7C-91CE-25C3BED71D5D}"/>
              </c:ext>
            </c:extLst>
          </c:dPt>
          <c:dPt>
            <c:idx val="1"/>
            <c:bubble3D val="0"/>
            <c:spPr>
              <a:solidFill>
                <a:srgbClr val="0ABB98"/>
              </a:solidFill>
              <a:ln w="19050">
                <a:solidFill>
                  <a:schemeClr val="lt1"/>
                </a:solidFill>
              </a:ln>
              <a:effectLst/>
            </c:spPr>
            <c:extLst>
              <c:ext xmlns:c16="http://schemas.microsoft.com/office/drawing/2014/chart" uri="{C3380CC4-5D6E-409C-BE32-E72D297353CC}">
                <c16:uniqueId val="{00000003-E834-4A7C-91CE-25C3BED71D5D}"/>
              </c:ext>
            </c:extLst>
          </c:dPt>
          <c:dPt>
            <c:idx val="2"/>
            <c:bubble3D val="0"/>
            <c:spPr>
              <a:solidFill>
                <a:srgbClr val="ECB11F"/>
              </a:solidFill>
              <a:ln w="19050">
                <a:solidFill>
                  <a:schemeClr val="lt1"/>
                </a:solidFill>
              </a:ln>
              <a:effectLst/>
            </c:spPr>
            <c:extLst>
              <c:ext xmlns:c16="http://schemas.microsoft.com/office/drawing/2014/chart" uri="{C3380CC4-5D6E-409C-BE32-E72D297353CC}">
                <c16:uniqueId val="{00000005-E834-4A7C-91CE-25C3BED71D5D}"/>
              </c:ext>
            </c:extLst>
          </c:dPt>
          <c:dLbls>
            <c:dLbl>
              <c:idx val="0"/>
              <c:delete val="1"/>
              <c:extLst>
                <c:ext xmlns:c15="http://schemas.microsoft.com/office/drawing/2012/chart" uri="{CE6537A1-D6FC-4f65-9D91-7224C49458BB}"/>
                <c:ext xmlns:c16="http://schemas.microsoft.com/office/drawing/2014/chart" uri="{C3380CC4-5D6E-409C-BE32-E72D297353CC}">
                  <c16:uniqueId val="{00000001-E834-4A7C-91CE-25C3BED71D5D}"/>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34-4A7C-91CE-25C3BED71D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'Social Data'!$E$527:$E$529</c:f>
              <c:strCache>
                <c:ptCount val="3"/>
                <c:pt idx="0">
                  <c:v>&lt; 30 years</c:v>
                </c:pt>
                <c:pt idx="1">
                  <c:v>30 a 50 years</c:v>
                </c:pt>
                <c:pt idx="2">
                  <c:v>&gt; 50 years</c:v>
                </c:pt>
              </c:strCache>
            </c:strRef>
          </c:cat>
          <c:val>
            <c:numRef>
              <c:f>'Social Data'!$F$527:$F$529</c:f>
              <c:numCache>
                <c:formatCode>General</c:formatCode>
                <c:ptCount val="3"/>
                <c:pt idx="0">
                  <c:v>0</c:v>
                </c:pt>
                <c:pt idx="1">
                  <c:v>8</c:v>
                </c:pt>
                <c:pt idx="2">
                  <c:v>23</c:v>
                </c:pt>
              </c:numCache>
            </c:numRef>
          </c:val>
          <c:extLst>
            <c:ext xmlns:c16="http://schemas.microsoft.com/office/drawing/2014/chart" uri="{C3380CC4-5D6E-409C-BE32-E72D297353CC}">
              <c16:uniqueId val="{00000006-E834-4A7C-91CE-25C3BED71D5D}"/>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55555"/>
              </a:solidFill>
              <a:latin typeface="Arial" panose="020B0604020202020204" pitchFamily="34" charset="0"/>
              <a:ea typeface="+mn-ea"/>
              <a:cs typeface="Arial" panose="020B0604020202020204" pitchFamily="34" charset="0"/>
            </a:defRPr>
          </a:pPr>
          <a:endParaRPr lang="pt-BR"/>
        </a:p>
      </c:txPr>
    </c:legend>
    <c:plotVisOnly val="0"/>
    <c:dispBlanksAs val="gap"/>
    <c:showDLblsOverMax val="0"/>
  </c:chart>
  <c:spPr>
    <a:solidFill>
      <a:schemeClr val="bg1"/>
    </a:solidFill>
    <a:ln w="9525" cap="flat" cmpd="sng" algn="ctr">
      <a:solidFill>
        <a:schemeClr val="bg1">
          <a:lumMod val="95000"/>
        </a:schemeClr>
      </a:solidFill>
      <a:round/>
    </a:ln>
    <a:effectLst/>
  </c:spPr>
  <c:txPr>
    <a:bodyPr/>
    <a:lstStyle/>
    <a:p>
      <a:pPr>
        <a:defRPr>
          <a:latin typeface="Arial" panose="020B0604020202020204" pitchFamily="34" charset="0"/>
          <a:cs typeface="Arial" panose="020B060402020202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31" fmlaLink="$B$81" fmlaRange="$B$75:$B$79" sel="5" val="0"/>
</file>

<file path=xl/ctrlProps/ctrlProp2.xml><?xml version="1.0" encoding="utf-8"?>
<formControlPr xmlns="http://schemas.microsoft.com/office/spreadsheetml/2009/9/main" objectType="Drop" dropStyle="combo" dx="31" fmlaLink="$B$81" fmlaRange="$B$76:$B$80" sel="5" val="0"/>
</file>

<file path=xl/drawings/_rels/drawing1.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image" Target="../media/image2.png"/><Relationship Id="rId5" Type="http://schemas.openxmlformats.org/officeDocument/2006/relationships/hyperlink" Target="#Environmental!A1"/><Relationship Id="rId10" Type="http://schemas.openxmlformats.org/officeDocument/2006/relationships/hyperlink" Target="#'Glossary | Preparation Base'!A1"/><Relationship Id="rId4" Type="http://schemas.openxmlformats.org/officeDocument/2006/relationships/hyperlink" Target="#Economic!A1"/><Relationship Id="rId9" Type="http://schemas.openxmlformats.org/officeDocument/2006/relationships/hyperlink" Target="#Home!A1"/></Relationships>
</file>

<file path=xl/drawings/_rels/drawing2.xml.rels><?xml version="1.0" encoding="UTF-8" standalone="yes"?>
<Relationships xmlns="http://schemas.openxmlformats.org/package/2006/relationships"><Relationship Id="rId8" Type="http://schemas.openxmlformats.org/officeDocument/2006/relationships/hyperlink" Target="#Home!A1"/><Relationship Id="rId3" Type="http://schemas.openxmlformats.org/officeDocument/2006/relationships/hyperlink" Target="#Content!A1"/><Relationship Id="rId7" Type="http://schemas.openxmlformats.org/officeDocument/2006/relationships/hyperlink" Target="#Reference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hyperlink" Target="#'How to use'!A1"/><Relationship Id="rId5" Type="http://schemas.openxmlformats.org/officeDocument/2006/relationships/hyperlink" Target="#Environmental!A1"/><Relationship Id="rId10" Type="http://schemas.openxmlformats.org/officeDocument/2006/relationships/image" Target="../media/image2.png"/><Relationship Id="rId4" Type="http://schemas.openxmlformats.org/officeDocument/2006/relationships/hyperlink" Target="#Economic!A1"/><Relationship Id="rId9" Type="http://schemas.openxmlformats.org/officeDocument/2006/relationships/hyperlink" Target="#Frameworks!A1"/></Relationships>
</file>

<file path=xl/drawings/_rels/drawing3.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5" Type="http://schemas.openxmlformats.org/officeDocument/2006/relationships/hyperlink" Target="#Environmental!A1"/><Relationship Id="rId10" Type="http://schemas.openxmlformats.org/officeDocument/2006/relationships/image" Target="../media/image2.png"/><Relationship Id="rId4" Type="http://schemas.openxmlformats.org/officeDocument/2006/relationships/hyperlink" Target="#Economic!A1"/><Relationship Id="rId9" Type="http://schemas.openxmlformats.org/officeDocument/2006/relationships/hyperlink" Target="#Home!A1"/></Relationships>
</file>

<file path=xl/drawings/_rels/drawing4.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12" Type="http://schemas.openxmlformats.org/officeDocument/2006/relationships/hyperlink" Target="#Advance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image" Target="../media/image2.png"/><Relationship Id="rId5" Type="http://schemas.openxmlformats.org/officeDocument/2006/relationships/hyperlink" Target="#Environmental!A1"/><Relationship Id="rId10" Type="http://schemas.openxmlformats.org/officeDocument/2006/relationships/hyperlink" Target="#'How to use'!A1"/><Relationship Id="rId4" Type="http://schemas.openxmlformats.org/officeDocument/2006/relationships/hyperlink" Target="#Economic!A1"/><Relationship Id="rId9" Type="http://schemas.openxmlformats.org/officeDocument/2006/relationships/hyperlink" Target="#Home!A1"/></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18" Type="http://schemas.openxmlformats.org/officeDocument/2006/relationships/hyperlink" Target="#Economic!A1"/><Relationship Id="rId3" Type="http://schemas.openxmlformats.org/officeDocument/2006/relationships/image" Target="../media/image4.jpeg"/><Relationship Id="rId21" Type="http://schemas.openxmlformats.org/officeDocument/2006/relationships/image" Target="../media/image2.png"/><Relationship Id="rId7" Type="http://schemas.openxmlformats.org/officeDocument/2006/relationships/image" Target="../media/image8.jpeg"/><Relationship Id="rId12" Type="http://schemas.openxmlformats.org/officeDocument/2006/relationships/image" Target="../media/image13.png"/><Relationship Id="rId17" Type="http://schemas.openxmlformats.org/officeDocument/2006/relationships/hyperlink" Target="#Content!A1"/><Relationship Id="rId2" Type="http://schemas.openxmlformats.org/officeDocument/2006/relationships/image" Target="../media/image3.jpeg"/><Relationship Id="rId16" Type="http://schemas.openxmlformats.org/officeDocument/2006/relationships/hyperlink" Target="#'Material Topics'!A1"/><Relationship Id="rId20" Type="http://schemas.openxmlformats.org/officeDocument/2006/relationships/hyperlink" Target="#Home!A1"/><Relationship Id="rId1" Type="http://schemas.openxmlformats.org/officeDocument/2006/relationships/image" Target="../media/image1.png"/><Relationship Id="rId6" Type="http://schemas.openxmlformats.org/officeDocument/2006/relationships/image" Target="../media/image7.jpeg"/><Relationship Id="rId11" Type="http://schemas.openxmlformats.org/officeDocument/2006/relationships/image" Target="../media/image12.png"/><Relationship Id="rId24" Type="http://schemas.openxmlformats.org/officeDocument/2006/relationships/hyperlink" Target="#Frameworks!A1"/><Relationship Id="rId5" Type="http://schemas.openxmlformats.org/officeDocument/2006/relationships/image" Target="../media/image6.jpeg"/><Relationship Id="rId15" Type="http://schemas.openxmlformats.org/officeDocument/2006/relationships/image" Target="../media/image16.png"/><Relationship Id="rId23" Type="http://schemas.openxmlformats.org/officeDocument/2006/relationships/hyperlink" Target="#Environmental!A1"/><Relationship Id="rId10" Type="http://schemas.openxmlformats.org/officeDocument/2006/relationships/image" Target="../media/image11.png"/><Relationship Id="rId19" Type="http://schemas.openxmlformats.org/officeDocument/2006/relationships/hyperlink" Target="#References!A1"/><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png"/><Relationship Id="rId22" Type="http://schemas.openxmlformats.org/officeDocument/2006/relationships/hyperlink" Target="#Social!A1"/></Relationships>
</file>

<file path=xl/drawings/_rels/drawing6.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image" Target="../media/image2.png"/><Relationship Id="rId5" Type="http://schemas.openxmlformats.org/officeDocument/2006/relationships/hyperlink" Target="#Environmental!A1"/><Relationship Id="rId10" Type="http://schemas.openxmlformats.org/officeDocument/2006/relationships/hyperlink" Target="#Advances!A1"/><Relationship Id="rId4" Type="http://schemas.openxmlformats.org/officeDocument/2006/relationships/hyperlink" Target="#Economic!A1"/><Relationship Id="rId9" Type="http://schemas.openxmlformats.org/officeDocument/2006/relationships/hyperlink" Target="#Home!A1"/></Relationships>
</file>

<file path=xl/drawings/_rels/drawing7.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hyperlink" Target="#'Economic Data'!A1"/><Relationship Id="rId5" Type="http://schemas.openxmlformats.org/officeDocument/2006/relationships/hyperlink" Target="#Environmental!A1"/><Relationship Id="rId10" Type="http://schemas.openxmlformats.org/officeDocument/2006/relationships/image" Target="../media/image2.png"/><Relationship Id="rId4" Type="http://schemas.openxmlformats.org/officeDocument/2006/relationships/hyperlink" Target="#Economic!A1"/><Relationship Id="rId9" Type="http://schemas.openxmlformats.org/officeDocument/2006/relationships/hyperlink" Target="#Home!A1"/></Relationships>
</file>

<file path=xl/drawings/_rels/drawing8.xml.rels><?xml version="1.0" encoding="UTF-8" standalone="yes"?>
<Relationships xmlns="http://schemas.openxmlformats.org/package/2006/relationships"><Relationship Id="rId8" Type="http://schemas.openxmlformats.org/officeDocument/2006/relationships/hyperlink" Target="#Home!A1"/><Relationship Id="rId3" Type="http://schemas.openxmlformats.org/officeDocument/2006/relationships/hyperlink" Target="#Content!A1"/><Relationship Id="rId7" Type="http://schemas.openxmlformats.org/officeDocument/2006/relationships/hyperlink" Target="#Reference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5" Type="http://schemas.openxmlformats.org/officeDocument/2006/relationships/hyperlink" Target="#Environmental!A1"/><Relationship Id="rId10" Type="http://schemas.openxmlformats.org/officeDocument/2006/relationships/hyperlink" Target="#Frameworks!A1"/><Relationship Id="rId4" Type="http://schemas.openxmlformats.org/officeDocument/2006/relationships/hyperlink" Target="#Economic!A1"/><Relationship Id="rId9" Type="http://schemas.openxmlformats.org/officeDocument/2006/relationships/image" Target="../media/image2.png"/></Relationships>
</file>

<file path=xl/drawings/_rels/drawing9.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12" Type="http://schemas.openxmlformats.org/officeDocument/2006/relationships/hyperlink" Target="#'Environmental Data'!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image" Target="../media/image2.png"/><Relationship Id="rId5" Type="http://schemas.openxmlformats.org/officeDocument/2006/relationships/hyperlink" Target="#Environmental!A1"/><Relationship Id="rId10" Type="http://schemas.openxmlformats.org/officeDocument/2006/relationships/hyperlink" Target="#'Economic Data'!A1"/><Relationship Id="rId4" Type="http://schemas.openxmlformats.org/officeDocument/2006/relationships/hyperlink" Target="#Economic!A1"/><Relationship Id="rId9" Type="http://schemas.openxmlformats.org/officeDocument/2006/relationships/hyperlink" Target="#Home!A1"/></Relationships>
</file>

<file path=xl/drawings/_rels/drawing10.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hyperlink" Target="#Economic!A1"/><Relationship Id="rId7" Type="http://schemas.openxmlformats.org/officeDocument/2006/relationships/hyperlink" Target="#References!A1"/><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hyperlink" Target="#Content!A1"/><Relationship Id="rId16" Type="http://schemas.openxmlformats.org/officeDocument/2006/relationships/chart" Target="../charts/chart7.xml"/><Relationship Id="rId1" Type="http://schemas.openxmlformats.org/officeDocument/2006/relationships/hyperlink" Target="#'Material Topics'!A1"/><Relationship Id="rId6" Type="http://schemas.openxmlformats.org/officeDocument/2006/relationships/hyperlink" Target="#Frameworks!A1"/><Relationship Id="rId11" Type="http://schemas.openxmlformats.org/officeDocument/2006/relationships/chart" Target="../charts/chart2.xml"/><Relationship Id="rId5" Type="http://schemas.openxmlformats.org/officeDocument/2006/relationships/hyperlink" Target="#Social!A1"/><Relationship Id="rId15" Type="http://schemas.openxmlformats.org/officeDocument/2006/relationships/chart" Target="../charts/chart6.xml"/><Relationship Id="rId10" Type="http://schemas.openxmlformats.org/officeDocument/2006/relationships/image" Target="../media/image1.png"/><Relationship Id="rId19" Type="http://schemas.openxmlformats.org/officeDocument/2006/relationships/image" Target="../media/image2.png"/><Relationship Id="rId4" Type="http://schemas.openxmlformats.org/officeDocument/2006/relationships/hyperlink" Target="#Environmental!A1"/><Relationship Id="rId9" Type="http://schemas.openxmlformats.org/officeDocument/2006/relationships/chart" Target="../charts/chart1.xml"/><Relationship Id="rId1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8" Type="http://schemas.openxmlformats.org/officeDocument/2006/relationships/hyperlink" Target="#Home!A1"/><Relationship Id="rId3" Type="http://schemas.openxmlformats.org/officeDocument/2006/relationships/hyperlink" Target="#Content!A1"/><Relationship Id="rId7" Type="http://schemas.openxmlformats.org/officeDocument/2006/relationships/hyperlink" Target="#References!A1"/><Relationship Id="rId12" Type="http://schemas.openxmlformats.org/officeDocument/2006/relationships/hyperlink" Target="#Framework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hyperlink" Target="#'Social Data'!A1"/><Relationship Id="rId5" Type="http://schemas.openxmlformats.org/officeDocument/2006/relationships/hyperlink" Target="#Environmental!A1"/><Relationship Id="rId10" Type="http://schemas.openxmlformats.org/officeDocument/2006/relationships/image" Target="../media/image2.png"/><Relationship Id="rId4" Type="http://schemas.openxmlformats.org/officeDocument/2006/relationships/hyperlink" Target="#Economic!A1"/><Relationship Id="rId9" Type="http://schemas.openxmlformats.org/officeDocument/2006/relationships/hyperlink" Target="#'Environmental Data'!A1"/></Relationships>
</file>

<file path=xl/drawings/_rels/drawing12.xml.rels><?xml version="1.0" encoding="UTF-8" standalone="yes"?>
<Relationships xmlns="http://schemas.openxmlformats.org/package/2006/relationships"><Relationship Id="rId8" Type="http://schemas.openxmlformats.org/officeDocument/2006/relationships/hyperlink" Target="#Home!A1"/><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hyperlink" Target="#Economic!A1"/><Relationship Id="rId21" Type="http://schemas.openxmlformats.org/officeDocument/2006/relationships/chart" Target="../charts/chart21.xml"/><Relationship Id="rId7" Type="http://schemas.openxmlformats.org/officeDocument/2006/relationships/hyperlink" Target="#References!A1"/><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hyperlink" Target="#Content!A1"/><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hyperlink" Target="#'Material Topics'!A1"/><Relationship Id="rId6" Type="http://schemas.openxmlformats.org/officeDocument/2006/relationships/hyperlink" Target="#Frameworks!A1"/><Relationship Id="rId11" Type="http://schemas.openxmlformats.org/officeDocument/2006/relationships/chart" Target="../charts/chart11.xml"/><Relationship Id="rId24" Type="http://schemas.openxmlformats.org/officeDocument/2006/relationships/image" Target="../media/image2.png"/><Relationship Id="rId5" Type="http://schemas.openxmlformats.org/officeDocument/2006/relationships/hyperlink" Target="#Social!A1"/><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image" Target="../media/image1.png"/><Relationship Id="rId19" Type="http://schemas.openxmlformats.org/officeDocument/2006/relationships/chart" Target="../charts/chart19.xml"/><Relationship Id="rId4" Type="http://schemas.openxmlformats.org/officeDocument/2006/relationships/hyperlink" Target="#Environmental!A1"/><Relationship Id="rId9" Type="http://schemas.openxmlformats.org/officeDocument/2006/relationships/chart" Target="../charts/chart10.xml"/><Relationship Id="rId14" Type="http://schemas.openxmlformats.org/officeDocument/2006/relationships/chart" Target="../charts/chart14.xml"/><Relationship Id="rId22"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8" Type="http://schemas.openxmlformats.org/officeDocument/2006/relationships/hyperlink" Target="#Home!A1"/><Relationship Id="rId3" Type="http://schemas.openxmlformats.org/officeDocument/2006/relationships/hyperlink" Target="#Content!A1"/><Relationship Id="rId7" Type="http://schemas.openxmlformats.org/officeDocument/2006/relationships/hyperlink" Target="#References!A1"/><Relationship Id="rId12" Type="http://schemas.openxmlformats.org/officeDocument/2006/relationships/hyperlink" Target="#Frameworks!A1"/><Relationship Id="rId2" Type="http://schemas.openxmlformats.org/officeDocument/2006/relationships/hyperlink" Target="#'Material Topics'!A1"/><Relationship Id="rId1" Type="http://schemas.openxmlformats.org/officeDocument/2006/relationships/image" Target="../media/image1.png"/><Relationship Id="rId6" Type="http://schemas.openxmlformats.org/officeDocument/2006/relationships/hyperlink" Target="#Social!A1"/><Relationship Id="rId11" Type="http://schemas.openxmlformats.org/officeDocument/2006/relationships/hyperlink" Target="#'ICMM principles'!A1"/><Relationship Id="rId5" Type="http://schemas.openxmlformats.org/officeDocument/2006/relationships/hyperlink" Target="#Environmental!A1"/><Relationship Id="rId10" Type="http://schemas.openxmlformats.org/officeDocument/2006/relationships/image" Target="../media/image2.png"/><Relationship Id="rId4" Type="http://schemas.openxmlformats.org/officeDocument/2006/relationships/hyperlink" Target="#Economic!A1"/><Relationship Id="rId9" Type="http://schemas.openxmlformats.org/officeDocument/2006/relationships/hyperlink" Target="#'Social Data'!A1"/></Relationships>
</file>

<file path=xl/drawings/_rels/drawing14.xml.rels><?xml version="1.0" encoding="UTF-8" standalone="yes"?>
<Relationships xmlns="http://schemas.openxmlformats.org/package/2006/relationships"><Relationship Id="rId8" Type="http://schemas.openxmlformats.org/officeDocument/2006/relationships/hyperlink" Target="#Frameworks!A1"/><Relationship Id="rId3" Type="http://schemas.openxmlformats.org/officeDocument/2006/relationships/hyperlink" Target="#'Material Topics'!A1"/><Relationship Id="rId7" Type="http://schemas.openxmlformats.org/officeDocument/2006/relationships/hyperlink" Target="#Social!A1"/><Relationship Id="rId12" Type="http://schemas.openxmlformats.org/officeDocument/2006/relationships/image" Target="../media/image2.png"/><Relationship Id="rId2" Type="http://schemas.openxmlformats.org/officeDocument/2006/relationships/hyperlink" Target="https://www.icmm.com/en-gb/about-us/member-requirements/mining-principles" TargetMode="External"/><Relationship Id="rId1" Type="http://schemas.openxmlformats.org/officeDocument/2006/relationships/image" Target="../media/image1.png"/><Relationship Id="rId6" Type="http://schemas.openxmlformats.org/officeDocument/2006/relationships/hyperlink" Target="#Environmental!A1"/><Relationship Id="rId11" Type="http://schemas.openxmlformats.org/officeDocument/2006/relationships/hyperlink" Target="#'ICMM Report'!A1"/><Relationship Id="rId5" Type="http://schemas.openxmlformats.org/officeDocument/2006/relationships/hyperlink" Target="#Economic!A1"/><Relationship Id="rId10" Type="http://schemas.openxmlformats.org/officeDocument/2006/relationships/hyperlink" Target="#Home!A1"/><Relationship Id="rId4" Type="http://schemas.openxmlformats.org/officeDocument/2006/relationships/hyperlink" Target="#Content!A1"/><Relationship Id="rId9" Type="http://schemas.openxmlformats.org/officeDocument/2006/relationships/hyperlink" Target="#References!A1"/></Relationships>
</file>

<file path=xl/drawings/_rels/drawing15.xml.rels><?xml version="1.0" encoding="UTF-8" standalone="yes"?>
<Relationships xmlns="http://schemas.openxmlformats.org/package/2006/relationships"><Relationship Id="rId13" Type="http://schemas.openxmlformats.org/officeDocument/2006/relationships/hyperlink" Target="https://www.vale.com/web/esg/our-people" TargetMode="External"/><Relationship Id="rId18" Type="http://schemas.openxmlformats.org/officeDocument/2006/relationships/hyperlink" Target="https://www.vale.com/web/esg/biodiversity" TargetMode="External"/><Relationship Id="rId26" Type="http://schemas.openxmlformats.org/officeDocument/2006/relationships/hyperlink" Target="https://www.vale.com/documents/d/guest/by-law" TargetMode="External"/><Relationship Id="rId39" Type="http://schemas.openxmlformats.org/officeDocument/2006/relationships/hyperlink" Target="#'GRI index'!A1"/><Relationship Id="rId21" Type="http://schemas.openxmlformats.org/officeDocument/2006/relationships/hyperlink" Target="https://www.vale.com/web/esg" TargetMode="External"/><Relationship Id="rId34" Type="http://schemas.openxmlformats.org/officeDocument/2006/relationships/hyperlink" Target="#Home!A1"/><Relationship Id="rId7" Type="http://schemas.openxmlformats.org/officeDocument/2006/relationships/hyperlink" Target="https://api.mziq.com/mzfilemanager/v2/d/53207d1c-63b4-48f1-96b7-19869fae19fe/d1bca918-527d-94fa-315e-87dcf684a52b?origin=2" TargetMode="External"/><Relationship Id="rId2" Type="http://schemas.openxmlformats.org/officeDocument/2006/relationships/hyperlink" Target="https://www.vale.com/web/esg/impact-to-communities" TargetMode="External"/><Relationship Id="rId16" Type="http://schemas.openxmlformats.org/officeDocument/2006/relationships/hyperlink" Target="https://www.vale.com/web/esg/occupational-health-and-safety" TargetMode="External"/><Relationship Id="rId20" Type="http://schemas.openxmlformats.org/officeDocument/2006/relationships/hyperlink" Target="https://www.vale.com/web/esg/climate-change" TargetMode="External"/><Relationship Id="rId29" Type="http://schemas.openxmlformats.org/officeDocument/2006/relationships/hyperlink" Target="#Economic!A1"/><Relationship Id="rId41" Type="http://schemas.openxmlformats.org/officeDocument/2006/relationships/hyperlink" Target="#'ICMM principles'!A1"/><Relationship Id="rId1" Type="http://schemas.openxmlformats.org/officeDocument/2006/relationships/image" Target="../media/image17.png"/><Relationship Id="rId6" Type="http://schemas.openxmlformats.org/officeDocument/2006/relationships/hyperlink" Target="https://www.vale.com/web/esg/ethics-compliance-and-tax-transparency" TargetMode="External"/><Relationship Id="rId11" Type="http://schemas.openxmlformats.org/officeDocument/2006/relationships/image" Target="../media/image18.png"/><Relationship Id="rId24" Type="http://schemas.openxmlformats.org/officeDocument/2006/relationships/hyperlink" Target="http://www.vale.com/brasil/PT/Documents/Executive_Summary_GISTM.pdf#search=GISTM" TargetMode="External"/><Relationship Id="rId32" Type="http://schemas.openxmlformats.org/officeDocument/2006/relationships/hyperlink" Target="#Frameworks!A1"/><Relationship Id="rId37" Type="http://schemas.openxmlformats.org/officeDocument/2006/relationships/hyperlink" Target="https://vale.com/documents/44618/387477/POL-0036-Rev00_ENG.pdf/7238fb39-c1c5-a1d5-871a-4f2144360980?version=1.2&amp;t=1704381360508&amp;download=false" TargetMode="External"/><Relationship Id="rId40" Type="http://schemas.openxmlformats.org/officeDocument/2006/relationships/image" Target="../media/image2.png"/><Relationship Id="rId5" Type="http://schemas.openxmlformats.org/officeDocument/2006/relationships/hyperlink" Target="https://vale.com/documents/d/guest/hr-guide" TargetMode="External"/><Relationship Id="rId15" Type="http://schemas.openxmlformats.org/officeDocument/2006/relationships/hyperlink" Target="https://vale.com/documents/d/guest/pol-0009-g-risk-management-policy_rev06_e" TargetMode="External"/><Relationship Id="rId23" Type="http://schemas.openxmlformats.org/officeDocument/2006/relationships/hyperlink" Target="https://vale.com/documents/d/guest/vale_cc_2021-en" TargetMode="External"/><Relationship Id="rId28" Type="http://schemas.openxmlformats.org/officeDocument/2006/relationships/hyperlink" Target="#Content!A1"/><Relationship Id="rId36" Type="http://schemas.openxmlformats.org/officeDocument/2006/relationships/hyperlink" Target="https://vale.com/esg/our-people" TargetMode="External"/><Relationship Id="rId10" Type="http://schemas.openxmlformats.org/officeDocument/2006/relationships/hyperlink" Target="https://www.vale.com/web/esg/suppliers-and-customers" TargetMode="External"/><Relationship Id="rId19" Type="http://schemas.openxmlformats.org/officeDocument/2006/relationships/hyperlink" Target="https://www.vale.com/web/esg/water-and-effluents" TargetMode="External"/><Relationship Id="rId31" Type="http://schemas.openxmlformats.org/officeDocument/2006/relationships/hyperlink" Target="#Social!A1"/><Relationship Id="rId4" Type="http://schemas.openxmlformats.org/officeDocument/2006/relationships/hyperlink" Target="https://www.vale.com/documents/d/guest/pol-0005-g-human-rights-policy_2019" TargetMode="External"/><Relationship Id="rId9" Type="http://schemas.openxmlformats.org/officeDocument/2006/relationships/hyperlink" Target="https://www.vale.com/web/esg/our-strategy-and-commitments" TargetMode="External"/><Relationship Id="rId14" Type="http://schemas.openxmlformats.org/officeDocument/2006/relationships/hyperlink" Target="https://www.vale.com/web/esg/risk-management" TargetMode="External"/><Relationship Id="rId22" Type="http://schemas.openxmlformats.org/officeDocument/2006/relationships/hyperlink" Target="https://www.vale.com/web/esg/sustainability-reports" TargetMode="External"/><Relationship Id="rId27" Type="http://schemas.openxmlformats.org/officeDocument/2006/relationships/hyperlink" Target="#'Material Topics'!A1"/><Relationship Id="rId30" Type="http://schemas.openxmlformats.org/officeDocument/2006/relationships/hyperlink" Target="#Environmental!A1"/><Relationship Id="rId35" Type="http://schemas.openxmlformats.org/officeDocument/2006/relationships/hyperlink" Target="https://api.mziq.com/mzfilemanager/v2/d/53207d1c-63b4-48f1-96b7-19869fae19fe/0e221e32-aed3-1fa6-3bfd-5f512e9ab6b9?origin=1" TargetMode="External"/><Relationship Id="rId8" Type="http://schemas.openxmlformats.org/officeDocument/2006/relationships/hyperlink" Target="https://vale.com/documents/d/guest/regimento-interno-comite-sustentabilidade_en" TargetMode="External"/><Relationship Id="rId3" Type="http://schemas.openxmlformats.org/officeDocument/2006/relationships/hyperlink" Target="https://www.vale.com/web/esg/human-rights" TargetMode="External"/><Relationship Id="rId12" Type="http://schemas.openxmlformats.org/officeDocument/2006/relationships/hyperlink" Target="https://www.vale.com/web/esg/compensation" TargetMode="External"/><Relationship Id="rId17" Type="http://schemas.openxmlformats.org/officeDocument/2006/relationships/hyperlink" Target="https://www.vale.com/web/esg/indigenous-peoples-and-traditional-community" TargetMode="External"/><Relationship Id="rId25" Type="http://schemas.openxmlformats.org/officeDocument/2006/relationships/hyperlink" Target="https://www.vale.com/documents/d/guest/codigo_de_conduta_en" TargetMode="External"/><Relationship Id="rId33" Type="http://schemas.openxmlformats.org/officeDocument/2006/relationships/hyperlink" Target="#References!A1"/><Relationship Id="rId38" Type="http://schemas.openxmlformats.org/officeDocument/2006/relationships/hyperlink" Target="https://vale.com/esg/partilhar-program" TargetMode="External"/></Relationships>
</file>

<file path=xl/drawings/_rels/drawing16.xml.rels><?xml version="1.0" encoding="UTF-8" standalone="yes"?>
<Relationships xmlns="http://schemas.openxmlformats.org/package/2006/relationships"><Relationship Id="rId8" Type="http://schemas.openxmlformats.org/officeDocument/2006/relationships/hyperlink" Target="#Frameworks!A1"/><Relationship Id="rId13" Type="http://schemas.openxmlformats.org/officeDocument/2006/relationships/hyperlink" Target="#'SASB index'!A1"/><Relationship Id="rId3" Type="http://schemas.openxmlformats.org/officeDocument/2006/relationships/hyperlink" Target="#'Material Topics'!A1"/><Relationship Id="rId7" Type="http://schemas.openxmlformats.org/officeDocument/2006/relationships/hyperlink" Target="#Social!A1"/><Relationship Id="rId12" Type="http://schemas.openxmlformats.org/officeDocument/2006/relationships/image" Target="../media/image2.png"/><Relationship Id="rId2"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hyperlink" Target="#Environmental!A1"/><Relationship Id="rId11" Type="http://schemas.openxmlformats.org/officeDocument/2006/relationships/hyperlink" Target="#'ICMM Report'!A1"/><Relationship Id="rId5" Type="http://schemas.openxmlformats.org/officeDocument/2006/relationships/hyperlink" Target="#Economic!A1"/><Relationship Id="rId10" Type="http://schemas.openxmlformats.org/officeDocument/2006/relationships/hyperlink" Target="#Home!A1"/><Relationship Id="rId4" Type="http://schemas.openxmlformats.org/officeDocument/2006/relationships/hyperlink" Target="#Content!A1"/><Relationship Id="rId9" Type="http://schemas.openxmlformats.org/officeDocument/2006/relationships/hyperlink" Target="#References!A1"/></Relationships>
</file>

<file path=xl/drawings/_rels/drawing17.xml.rels><?xml version="1.0" encoding="UTF-8" standalone="yes"?>
<Relationships xmlns="http://schemas.openxmlformats.org/package/2006/relationships"><Relationship Id="rId8" Type="http://schemas.openxmlformats.org/officeDocument/2006/relationships/hyperlink" Target="#Frameworks!A1"/><Relationship Id="rId13" Type="http://schemas.openxmlformats.org/officeDocument/2006/relationships/hyperlink" Target="#TCFD!A1"/><Relationship Id="rId3" Type="http://schemas.openxmlformats.org/officeDocument/2006/relationships/hyperlink" Target="#'Material Topics'!A1"/><Relationship Id="rId7" Type="http://schemas.openxmlformats.org/officeDocument/2006/relationships/hyperlink" Target="#Social!A1"/><Relationship Id="rId12" Type="http://schemas.openxmlformats.org/officeDocument/2006/relationships/image" Target="../media/image2.png"/><Relationship Id="rId2"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hyperlink" Target="#Environmental!A1"/><Relationship Id="rId11" Type="http://schemas.openxmlformats.org/officeDocument/2006/relationships/hyperlink" Target="#'GRI index'!A1"/><Relationship Id="rId5" Type="http://schemas.openxmlformats.org/officeDocument/2006/relationships/hyperlink" Target="#Economic!A1"/><Relationship Id="rId10" Type="http://schemas.openxmlformats.org/officeDocument/2006/relationships/hyperlink" Target="#Home!A1"/><Relationship Id="rId4" Type="http://schemas.openxmlformats.org/officeDocument/2006/relationships/hyperlink" Target="#Content!A1"/><Relationship Id="rId9" Type="http://schemas.openxmlformats.org/officeDocument/2006/relationships/hyperlink" Target="#References!A1"/></Relationships>
</file>

<file path=xl/drawings/_rels/drawing18.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Social!A1"/><Relationship Id="rId3" Type="http://schemas.openxmlformats.org/officeDocument/2006/relationships/hyperlink" Target="#Economic!A1"/><Relationship Id="rId7" Type="http://schemas.openxmlformats.org/officeDocument/2006/relationships/hyperlink" Target="#Home!A1"/><Relationship Id="rId12" Type="http://schemas.openxmlformats.org/officeDocument/2006/relationships/hyperlink" Target="#'SASB index'!A1"/><Relationship Id="rId2" Type="http://schemas.openxmlformats.org/officeDocument/2006/relationships/hyperlink" Target="#Content!A1"/><Relationship Id="rId1" Type="http://schemas.openxmlformats.org/officeDocument/2006/relationships/hyperlink" Target="#'Material Topics'!A1"/><Relationship Id="rId6" Type="http://schemas.openxmlformats.org/officeDocument/2006/relationships/hyperlink" Target="#References!A1"/><Relationship Id="rId11" Type="http://schemas.openxmlformats.org/officeDocument/2006/relationships/image" Target="../media/image2.png"/><Relationship Id="rId5" Type="http://schemas.openxmlformats.org/officeDocument/2006/relationships/hyperlink" Target="#Frameworks!A1"/><Relationship Id="rId10" Type="http://schemas.openxmlformats.org/officeDocument/2006/relationships/hyperlink" Target="#WEF!A1"/><Relationship Id="rId4" Type="http://schemas.openxmlformats.org/officeDocument/2006/relationships/hyperlink" Target="#Environmental!A1"/><Relationship Id="rId9" Type="http://schemas.openxmlformats.org/officeDocument/2006/relationships/image" Target="../media/image21.jpg"/></Relationships>
</file>

<file path=xl/drawings/_rels/drawing19.xml.rels><?xml version="1.0" encoding="UTF-8" standalone="yes"?>
<Relationships xmlns="http://schemas.openxmlformats.org/package/2006/relationships"><Relationship Id="rId8" Type="http://schemas.openxmlformats.org/officeDocument/2006/relationships/hyperlink" Target="#References!A1"/><Relationship Id="rId13" Type="http://schemas.openxmlformats.org/officeDocument/2006/relationships/hyperlink" Target="#Social!A1"/><Relationship Id="rId3" Type="http://schemas.openxmlformats.org/officeDocument/2006/relationships/hyperlink" Target="#'Material Topics'!A1"/><Relationship Id="rId7" Type="http://schemas.openxmlformats.org/officeDocument/2006/relationships/hyperlink" Target="#Frameworks!A1"/><Relationship Id="rId12" Type="http://schemas.openxmlformats.org/officeDocument/2006/relationships/hyperlink" Target="#'ICMM Social &amp; Economic'!A1"/><Relationship Id="rId2" Type="http://schemas.openxmlformats.org/officeDocument/2006/relationships/image" Target="../media/image22.jpeg"/><Relationship Id="rId1" Type="http://schemas.openxmlformats.org/officeDocument/2006/relationships/image" Target="../media/image1.png"/><Relationship Id="rId6" Type="http://schemas.openxmlformats.org/officeDocument/2006/relationships/hyperlink" Target="#Environmental!A1"/><Relationship Id="rId11" Type="http://schemas.openxmlformats.org/officeDocument/2006/relationships/image" Target="../media/image2.png"/><Relationship Id="rId5" Type="http://schemas.openxmlformats.org/officeDocument/2006/relationships/hyperlink" Target="#Economic!A1"/><Relationship Id="rId10" Type="http://schemas.openxmlformats.org/officeDocument/2006/relationships/hyperlink" Target="#TCFD!A1"/><Relationship Id="rId4" Type="http://schemas.openxmlformats.org/officeDocument/2006/relationships/hyperlink" Target="#Content!A1"/><Relationship Id="rId9" Type="http://schemas.openxmlformats.org/officeDocument/2006/relationships/hyperlink" Target="#Home!A1"/></Relationships>
</file>

<file path=xl/drawings/_rels/drawing20.xml.rels><?xml version="1.0" encoding="UTF-8" standalone="yes"?>
<Relationships xmlns="http://schemas.openxmlformats.org/package/2006/relationships"><Relationship Id="rId8" Type="http://schemas.openxmlformats.org/officeDocument/2006/relationships/hyperlink" Target="#Social!A1"/><Relationship Id="rId13" Type="http://schemas.openxmlformats.org/officeDocument/2006/relationships/hyperlink" Target="#'TNFD Index'!A1"/><Relationship Id="rId3" Type="http://schemas.openxmlformats.org/officeDocument/2006/relationships/hyperlink" Target="https://www.icmm.com/pt/sobre-nos/principios-de-exploracao-mineira/verificacao-e-validacao" TargetMode="External"/><Relationship Id="rId7" Type="http://schemas.openxmlformats.org/officeDocument/2006/relationships/hyperlink" Target="#Environmental!A1"/><Relationship Id="rId12" Type="http://schemas.openxmlformats.org/officeDocument/2006/relationships/image" Target="../media/image2.png"/><Relationship Id="rId2" Type="http://schemas.openxmlformats.org/officeDocument/2006/relationships/image" Target="../media/image23.png"/><Relationship Id="rId1" Type="http://schemas.openxmlformats.org/officeDocument/2006/relationships/hyperlink" Target="#Home!A1"/><Relationship Id="rId6" Type="http://schemas.openxmlformats.org/officeDocument/2006/relationships/hyperlink" Target="#Economic!A1"/><Relationship Id="rId11" Type="http://schemas.openxmlformats.org/officeDocument/2006/relationships/hyperlink" Target="#WEF!A1"/><Relationship Id="rId5" Type="http://schemas.openxmlformats.org/officeDocument/2006/relationships/hyperlink" Target="#Content!A1"/><Relationship Id="rId10" Type="http://schemas.openxmlformats.org/officeDocument/2006/relationships/hyperlink" Target="#References!A1"/><Relationship Id="rId4" Type="http://schemas.openxmlformats.org/officeDocument/2006/relationships/hyperlink" Target="#'Material Topics'!A1"/><Relationship Id="rId9" Type="http://schemas.openxmlformats.org/officeDocument/2006/relationships/hyperlink" Target="#Frameworks!A1"/></Relationships>
</file>

<file path=xl/drawings/_rels/drawing21.xml.rels><?xml version="1.0" encoding="UTF-8" standalone="yes"?>
<Relationships xmlns="http://schemas.openxmlformats.org/package/2006/relationships"><Relationship Id="rId8" Type="http://schemas.openxmlformats.org/officeDocument/2006/relationships/hyperlink" Target="#Social!A1"/><Relationship Id="rId13" Type="http://schemas.openxmlformats.org/officeDocument/2006/relationships/hyperlink" Target="#'Responsible Sourcing'!A1"/><Relationship Id="rId3" Type="http://schemas.openxmlformats.org/officeDocument/2006/relationships/hyperlink" Target="https://www.icmm.com/pt/sobre-nos/principios-de-exploracao-mineira/verificacao-e-validacao" TargetMode="External"/><Relationship Id="rId7" Type="http://schemas.openxmlformats.org/officeDocument/2006/relationships/hyperlink" Target="#Environmental!A1"/><Relationship Id="rId12" Type="http://schemas.openxmlformats.org/officeDocument/2006/relationships/image" Target="../media/image2.png"/><Relationship Id="rId2" Type="http://schemas.openxmlformats.org/officeDocument/2006/relationships/image" Target="../media/image23.png"/><Relationship Id="rId1" Type="http://schemas.openxmlformats.org/officeDocument/2006/relationships/hyperlink" Target="#Home!A1"/><Relationship Id="rId6" Type="http://schemas.openxmlformats.org/officeDocument/2006/relationships/hyperlink" Target="#Economic!A1"/><Relationship Id="rId11" Type="http://schemas.openxmlformats.org/officeDocument/2006/relationships/hyperlink" Target="#'ICMM Social &amp; Economic'!A1"/><Relationship Id="rId5" Type="http://schemas.openxmlformats.org/officeDocument/2006/relationships/hyperlink" Target="#Content!A1"/><Relationship Id="rId10" Type="http://schemas.openxmlformats.org/officeDocument/2006/relationships/hyperlink" Target="#References!A1"/><Relationship Id="rId4" Type="http://schemas.openxmlformats.org/officeDocument/2006/relationships/hyperlink" Target="#'Material Topics'!A1"/><Relationship Id="rId9" Type="http://schemas.openxmlformats.org/officeDocument/2006/relationships/hyperlink" Target="#Frameworks!A1"/></Relationships>
</file>

<file path=xl/drawings/_rels/drawing22.xml.rels><?xml version="1.0" encoding="UTF-8" standalone="yes"?>
<Relationships xmlns="http://schemas.openxmlformats.org/package/2006/relationships"><Relationship Id="rId8" Type="http://schemas.openxmlformats.org/officeDocument/2006/relationships/hyperlink" Target="#References!A1"/><Relationship Id="rId3" Type="http://schemas.openxmlformats.org/officeDocument/2006/relationships/hyperlink" Target="#Content!A1"/><Relationship Id="rId7" Type="http://schemas.openxmlformats.org/officeDocument/2006/relationships/hyperlink" Target="#Frameworks!A1"/><Relationship Id="rId12" Type="http://schemas.openxmlformats.org/officeDocument/2006/relationships/image" Target="../media/image23.png"/><Relationship Id="rId2" Type="http://schemas.openxmlformats.org/officeDocument/2006/relationships/hyperlink" Target="#'Material Topics'!A1"/><Relationship Id="rId1" Type="http://schemas.openxmlformats.org/officeDocument/2006/relationships/hyperlink" Target="#Home!A1"/><Relationship Id="rId6" Type="http://schemas.openxmlformats.org/officeDocument/2006/relationships/hyperlink" Target="#Social!A1"/><Relationship Id="rId11" Type="http://schemas.openxmlformats.org/officeDocument/2006/relationships/hyperlink" Target="#'Swiss Code'!A1"/><Relationship Id="rId5" Type="http://schemas.openxmlformats.org/officeDocument/2006/relationships/hyperlink" Target="#Environmental!A1"/><Relationship Id="rId10" Type="http://schemas.openxmlformats.org/officeDocument/2006/relationships/image" Target="../media/image2.png"/><Relationship Id="rId4" Type="http://schemas.openxmlformats.org/officeDocument/2006/relationships/hyperlink" Target="#Economic!A1"/><Relationship Id="rId9" Type="http://schemas.openxmlformats.org/officeDocument/2006/relationships/hyperlink" Target="#'TNFD Index'!A1"/></Relationships>
</file>

<file path=xl/drawings/_rels/drawing23.xml.rels><?xml version="1.0" encoding="UTF-8" standalone="yes"?>
<Relationships xmlns="http://schemas.openxmlformats.org/package/2006/relationships"><Relationship Id="rId8" Type="http://schemas.openxmlformats.org/officeDocument/2006/relationships/hyperlink" Target="#Frameworks!A1"/><Relationship Id="rId3" Type="http://schemas.openxmlformats.org/officeDocument/2006/relationships/hyperlink" Target="#'Material Topics'!A1"/><Relationship Id="rId7" Type="http://schemas.openxmlformats.org/officeDocument/2006/relationships/hyperlink" Target="#Social!A1"/><Relationship Id="rId12" Type="http://schemas.openxmlformats.org/officeDocument/2006/relationships/hyperlink" Target="#'Glossary | Preparation Base'!A1"/><Relationship Id="rId2" Type="http://schemas.openxmlformats.org/officeDocument/2006/relationships/hyperlink" Target="#Home!A1"/><Relationship Id="rId1" Type="http://schemas.openxmlformats.org/officeDocument/2006/relationships/image" Target="../media/image23.png"/><Relationship Id="rId6" Type="http://schemas.openxmlformats.org/officeDocument/2006/relationships/hyperlink" Target="#Environmental!A1"/><Relationship Id="rId11" Type="http://schemas.openxmlformats.org/officeDocument/2006/relationships/image" Target="../media/image2.png"/><Relationship Id="rId5" Type="http://schemas.openxmlformats.org/officeDocument/2006/relationships/hyperlink" Target="#Economic!A1"/><Relationship Id="rId10" Type="http://schemas.openxmlformats.org/officeDocument/2006/relationships/hyperlink" Target="#'Responsible Sourcing'!A1"/><Relationship Id="rId4" Type="http://schemas.openxmlformats.org/officeDocument/2006/relationships/hyperlink" Target="#Content!A1"/><Relationship Id="rId9" Type="http://schemas.openxmlformats.org/officeDocument/2006/relationships/hyperlink" Target="#References!A1"/></Relationships>
</file>

<file path=xl/drawings/_rels/drawing24.xml.rels><?xml version="1.0" encoding="UTF-8" standalone="yes"?>
<Relationships xmlns="http://schemas.openxmlformats.org/package/2006/relationships"><Relationship Id="rId8" Type="http://schemas.openxmlformats.org/officeDocument/2006/relationships/hyperlink" Target="#'Swiss Code'!A1"/><Relationship Id="rId3" Type="http://schemas.openxmlformats.org/officeDocument/2006/relationships/hyperlink" Target="#Content!A1"/><Relationship Id="rId7" Type="http://schemas.openxmlformats.org/officeDocument/2006/relationships/hyperlink" Target="#References!A1"/><Relationship Id="rId2" Type="http://schemas.openxmlformats.org/officeDocument/2006/relationships/hyperlink" Target="#'Material Topics'!A1"/><Relationship Id="rId1" Type="http://schemas.openxmlformats.org/officeDocument/2006/relationships/image" Target="../media/image23.png"/><Relationship Id="rId6" Type="http://schemas.openxmlformats.org/officeDocument/2006/relationships/hyperlink" Target="#Home!A1"/><Relationship Id="rId11" Type="http://schemas.openxmlformats.org/officeDocument/2006/relationships/hyperlink" Target="#Social!A1"/><Relationship Id="rId5" Type="http://schemas.openxmlformats.org/officeDocument/2006/relationships/hyperlink" Target="#Environmental!A1"/><Relationship Id="rId10" Type="http://schemas.openxmlformats.org/officeDocument/2006/relationships/hyperlink" Target="#Frameworks!A1"/><Relationship Id="rId4" Type="http://schemas.openxmlformats.org/officeDocument/2006/relationships/hyperlink" Target="#Economic!A1"/><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1992607</xdr:colOff>
      <xdr:row>0</xdr:row>
      <xdr:rowOff>47625</xdr:rowOff>
    </xdr:from>
    <xdr:to>
      <xdr:col>1</xdr:col>
      <xdr:colOff>2917807</xdr:colOff>
      <xdr:row>1</xdr:row>
      <xdr:rowOff>141412</xdr:rowOff>
    </xdr:to>
    <xdr:sp macro="" textlink="">
      <xdr:nvSpPr>
        <xdr:cNvPr id="36" name="CaixaDeTexto 8">
          <a:hlinkClick xmlns:r="http://schemas.openxmlformats.org/officeDocument/2006/relationships" r:id="rId2"/>
          <a:extLst>
            <a:ext uri="{FF2B5EF4-FFF2-40B4-BE49-F238E27FC236}">
              <a16:creationId xmlns:a16="http://schemas.microsoft.com/office/drawing/2014/main" id="{00000000-0008-0000-0000-000024000000}"/>
            </a:ext>
          </a:extLst>
        </xdr:cNvPr>
        <xdr:cNvSpPr txBox="1"/>
      </xdr:nvSpPr>
      <xdr:spPr>
        <a:xfrm>
          <a:off x="2572390" y="47625"/>
          <a:ext cx="925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1246518</xdr:colOff>
      <xdr:row>0</xdr:row>
      <xdr:rowOff>47625</xdr:rowOff>
    </xdr:from>
    <xdr:to>
      <xdr:col>1</xdr:col>
      <xdr:colOff>1821668</xdr:colOff>
      <xdr:row>1</xdr:row>
      <xdr:rowOff>141412</xdr:rowOff>
    </xdr:to>
    <xdr:sp macro="" textlink="">
      <xdr:nvSpPr>
        <xdr:cNvPr id="35" name="CaixaDeTexto 9">
          <a:hlinkClick xmlns:r="http://schemas.openxmlformats.org/officeDocument/2006/relationships" r:id="rId3"/>
          <a:extLst>
            <a:ext uri="{FF2B5EF4-FFF2-40B4-BE49-F238E27FC236}">
              <a16:creationId xmlns:a16="http://schemas.microsoft.com/office/drawing/2014/main" id="{00000000-0008-0000-0000-000023000000}"/>
            </a:ext>
          </a:extLst>
        </xdr:cNvPr>
        <xdr:cNvSpPr txBox="1"/>
      </xdr:nvSpPr>
      <xdr:spPr>
        <a:xfrm>
          <a:off x="1826301" y="47625"/>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3095096</xdr:colOff>
      <xdr:row>0</xdr:row>
      <xdr:rowOff>47625</xdr:rowOff>
    </xdr:from>
    <xdr:to>
      <xdr:col>2</xdr:col>
      <xdr:colOff>297337</xdr:colOff>
      <xdr:row>1</xdr:row>
      <xdr:rowOff>141412</xdr:rowOff>
    </xdr:to>
    <xdr:sp macro="" textlink="">
      <xdr:nvSpPr>
        <xdr:cNvPr id="34" name="CaixaDeTexto 10">
          <a:hlinkClick xmlns:r="http://schemas.openxmlformats.org/officeDocument/2006/relationships" r:id="rId4"/>
          <a:extLst>
            <a:ext uri="{FF2B5EF4-FFF2-40B4-BE49-F238E27FC236}">
              <a16:creationId xmlns:a16="http://schemas.microsoft.com/office/drawing/2014/main" id="{00000000-0008-0000-0000-000022000000}"/>
            </a:ext>
          </a:extLst>
        </xdr:cNvPr>
        <xdr:cNvSpPr txBox="1"/>
      </xdr:nvSpPr>
      <xdr:spPr>
        <a:xfrm>
          <a:off x="3674879" y="47625"/>
          <a:ext cx="699434"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468276</xdr:colOff>
      <xdr:row>0</xdr:row>
      <xdr:rowOff>47625</xdr:rowOff>
    </xdr:from>
    <xdr:to>
      <xdr:col>2</xdr:col>
      <xdr:colOff>1363826</xdr:colOff>
      <xdr:row>1</xdr:row>
      <xdr:rowOff>141412</xdr:rowOff>
    </xdr:to>
    <xdr:sp macro="" textlink="">
      <xdr:nvSpPr>
        <xdr:cNvPr id="33" name="CaixaDeTexto 11">
          <a:hlinkClick xmlns:r="http://schemas.openxmlformats.org/officeDocument/2006/relationships" r:id="rId5"/>
          <a:extLst>
            <a:ext uri="{FF2B5EF4-FFF2-40B4-BE49-F238E27FC236}">
              <a16:creationId xmlns:a16="http://schemas.microsoft.com/office/drawing/2014/main" id="{00000000-0008-0000-0000-000021000000}"/>
            </a:ext>
          </a:extLst>
        </xdr:cNvPr>
        <xdr:cNvSpPr txBox="1"/>
      </xdr:nvSpPr>
      <xdr:spPr>
        <a:xfrm>
          <a:off x="4551602" y="47625"/>
          <a:ext cx="889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1534765</xdr:colOff>
      <xdr:row>0</xdr:row>
      <xdr:rowOff>47625</xdr:rowOff>
    </xdr:from>
    <xdr:to>
      <xdr:col>2</xdr:col>
      <xdr:colOff>2017165</xdr:colOff>
      <xdr:row>1</xdr:row>
      <xdr:rowOff>141412</xdr:rowOff>
    </xdr:to>
    <xdr:sp macro="" textlink="">
      <xdr:nvSpPr>
        <xdr:cNvPr id="32" name="CaixaDeTexto 12">
          <a:hlinkClick xmlns:r="http://schemas.openxmlformats.org/officeDocument/2006/relationships" r:id="rId6"/>
          <a:extLst>
            <a:ext uri="{FF2B5EF4-FFF2-40B4-BE49-F238E27FC236}">
              <a16:creationId xmlns:a16="http://schemas.microsoft.com/office/drawing/2014/main" id="{00000000-0008-0000-0000-000020000000}"/>
            </a:ext>
          </a:extLst>
        </xdr:cNvPr>
        <xdr:cNvSpPr txBox="1"/>
      </xdr:nvSpPr>
      <xdr:spPr>
        <a:xfrm>
          <a:off x="5618091" y="47625"/>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2200806</xdr:colOff>
      <xdr:row>0</xdr:row>
      <xdr:rowOff>47625</xdr:rowOff>
    </xdr:from>
    <xdr:to>
      <xdr:col>2</xdr:col>
      <xdr:colOff>3146136</xdr:colOff>
      <xdr:row>1</xdr:row>
      <xdr:rowOff>141412</xdr:rowOff>
    </xdr:to>
    <xdr:sp macro="" textlink="">
      <xdr:nvSpPr>
        <xdr:cNvPr id="31" name="CaixaDeTexto 13">
          <a:hlinkClick xmlns:r="http://schemas.openxmlformats.org/officeDocument/2006/relationships" r:id="rId7"/>
          <a:extLst>
            <a:ext uri="{FF2B5EF4-FFF2-40B4-BE49-F238E27FC236}">
              <a16:creationId xmlns:a16="http://schemas.microsoft.com/office/drawing/2014/main" id="{00000000-0008-0000-0000-00001F000000}"/>
            </a:ext>
          </a:extLst>
        </xdr:cNvPr>
        <xdr:cNvSpPr txBox="1"/>
      </xdr:nvSpPr>
      <xdr:spPr>
        <a:xfrm>
          <a:off x="6484170" y="47625"/>
          <a:ext cx="945330" cy="27274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332079</xdr:colOff>
      <xdr:row>0</xdr:row>
      <xdr:rowOff>47625</xdr:rowOff>
    </xdr:from>
    <xdr:to>
      <xdr:col>1</xdr:col>
      <xdr:colOff>1069229</xdr:colOff>
      <xdr:row>1</xdr:row>
      <xdr:rowOff>141412</xdr:rowOff>
    </xdr:to>
    <xdr:sp macro="" textlink="">
      <xdr:nvSpPr>
        <xdr:cNvPr id="29" name="CaixaDeTexto 15">
          <a:hlinkClick xmlns:r="http://schemas.openxmlformats.org/officeDocument/2006/relationships" r:id="rId8"/>
          <a:extLst>
            <a:ext uri="{FF2B5EF4-FFF2-40B4-BE49-F238E27FC236}">
              <a16:creationId xmlns:a16="http://schemas.microsoft.com/office/drawing/2014/main" id="{00000000-0008-0000-0000-00001D000000}"/>
            </a:ext>
          </a:extLst>
        </xdr:cNvPr>
        <xdr:cNvSpPr txBox="1"/>
      </xdr:nvSpPr>
      <xdr:spPr>
        <a:xfrm>
          <a:off x="918212" y="47625"/>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xdr:from>
      <xdr:col>1</xdr:col>
      <xdr:colOff>0</xdr:colOff>
      <xdr:row>9</xdr:row>
      <xdr:rowOff>123824</xdr:rowOff>
    </xdr:from>
    <xdr:to>
      <xdr:col>4</xdr:col>
      <xdr:colOff>0</xdr:colOff>
      <xdr:row>28</xdr:row>
      <xdr:rowOff>179916</xdr:rowOff>
    </xdr:to>
    <xdr:sp macro="" textlink="">
      <xdr:nvSpPr>
        <xdr:cNvPr id="8" name="Retângulo 1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1D000000}"/>
            </a:ext>
          </a:extLst>
        </xdr:cNvPr>
        <xdr:cNvSpPr/>
      </xdr:nvSpPr>
      <xdr:spPr>
        <a:xfrm>
          <a:off x="582083" y="1922991"/>
          <a:ext cx="7588250" cy="3675592"/>
        </a:xfrm>
        <a:prstGeom prst="rect">
          <a:avLst/>
        </a:prstGeom>
        <a:solidFill>
          <a:srgbClr val="F2F2F2">
            <a:alpha val="69804"/>
          </a:srgbClr>
        </a:solidFill>
        <a:ln w="6350">
          <a:solidFill>
            <a:schemeClr val="bg2">
              <a:lumMod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pt-BR" sz="1050" b="1" baseline="0">
              <a:solidFill>
                <a:srgbClr val="555555"/>
              </a:solidFill>
              <a:latin typeface="Arial" panose="020B0604020202020204" pitchFamily="34" charset="0"/>
              <a:cs typeface="Arial" panose="020B0604020202020204" pitchFamily="34" charset="0"/>
            </a:rPr>
            <a:t>About this Databook</a:t>
          </a:r>
        </a:p>
        <a:p>
          <a:pPr algn="l"/>
          <a:endParaRPr lang="pt-BR" sz="1000" b="0" baseline="0">
            <a:solidFill>
              <a:srgbClr val="555555"/>
            </a:solidFill>
            <a:latin typeface="Arial" panose="020B0604020202020204" pitchFamily="34" charset="0"/>
            <a:cs typeface="Arial" panose="020B0604020202020204" pitchFamily="34" charset="0"/>
          </a:endParaRPr>
        </a:p>
        <a:p>
          <a:pPr algn="l"/>
          <a:r>
            <a:rPr lang="pt-BR" sz="1000" b="0" baseline="0">
              <a:solidFill>
                <a:srgbClr val="555555"/>
              </a:solidFill>
              <a:latin typeface="Arial" panose="020B0604020202020204" pitchFamily="34" charset="0"/>
              <a:cs typeface="Arial" panose="020B0604020202020204" pitchFamily="34" charset="0"/>
            </a:rPr>
            <a:t>Vale's </a:t>
          </a:r>
          <a:r>
            <a:rPr lang="pt-BR" sz="1100" b="0" baseline="0">
              <a:solidFill>
                <a:srgbClr val="555555"/>
              </a:solidFill>
              <a:effectLst/>
              <a:latin typeface="+mn-lt"/>
              <a:ea typeface="+mn-ea"/>
              <a:cs typeface="+mn-cs"/>
            </a:rPr>
            <a:t>ESG </a:t>
          </a:r>
          <a:r>
            <a:rPr lang="pt-BR" sz="1000" b="0" baseline="0">
              <a:solidFill>
                <a:srgbClr val="555555"/>
              </a:solidFill>
              <a:latin typeface="Arial" panose="020B0604020202020204" pitchFamily="34" charset="0"/>
              <a:cs typeface="Arial" panose="020B0604020202020204" pitchFamily="34" charset="0"/>
            </a:rPr>
            <a:t>Databook 2023 is intended to offer to the stakeholders an extensive vision of our performance according to the sustainable development, presenting data relating to the period of January 1 to December 31, 2023, and supply, as much as possible, history data from the last 5 years. These data complete the informations presented on our Integrated Report 2023.</a:t>
          </a:r>
        </a:p>
        <a:p>
          <a:pPr algn="l"/>
          <a:endParaRPr lang="pt-BR" sz="1000" b="0" baseline="0">
            <a:solidFill>
              <a:srgbClr val="555555"/>
            </a:solidFill>
            <a:latin typeface="Arial" panose="020B0604020202020204" pitchFamily="34" charset="0"/>
            <a:cs typeface="Arial" panose="020B0604020202020204" pitchFamily="34" charset="0"/>
          </a:endParaRPr>
        </a:p>
        <a:p>
          <a:pPr algn="l"/>
          <a:r>
            <a:rPr lang="pt-BR" sz="1000" b="0" baseline="0">
              <a:solidFill>
                <a:srgbClr val="555555"/>
              </a:solidFill>
              <a:latin typeface="Arial" panose="020B0604020202020204" pitchFamily="34" charset="0"/>
              <a:cs typeface="Arial" panose="020B0604020202020204" pitchFamily="34" charset="0"/>
            </a:rPr>
            <a:t>The "Material Topics" section of this document indicates the economic, environmental, social and governance topics that have been prioritized in accordance with the materiality matrix of Vale's Integrated Report (IR) 2023, which identifies priority topics that have a significant impact on the organization's value creation in the short, medium and long terms and presents the GRI Standards 2021 (Global Reporting Initiative) contents related to each material theme. As a good practice, we seek to report in this document, in addition to the GRI content considered material for the Integrated Reporting, other GRI indicators/content that can be reported, but that are not material for the IR 2023, and therefore are not listed in the GRI Content Summary nor in the Preparation Basis for the IR 2023.</a:t>
          </a:r>
        </a:p>
        <a:p>
          <a:pPr algn="l"/>
          <a:endParaRPr lang="pt-BR" sz="1000" b="0" baseline="0">
            <a:solidFill>
              <a:srgbClr val="555555"/>
            </a:solidFill>
            <a:latin typeface="Arial" panose="020B0604020202020204" pitchFamily="34" charset="0"/>
            <a:cs typeface="Arial" panose="020B0604020202020204" pitchFamily="34" charset="0"/>
          </a:endParaRPr>
        </a:p>
        <a:p>
          <a:pPr algn="l"/>
          <a:r>
            <a:rPr lang="pt-BR" sz="1000" b="0" baseline="0">
              <a:solidFill>
                <a:srgbClr val="555555"/>
              </a:solidFill>
              <a:latin typeface="Arial" panose="020B0604020202020204" pitchFamily="34" charset="0"/>
              <a:cs typeface="Arial" panose="020B0604020202020204" pitchFamily="34" charset="0"/>
            </a:rPr>
            <a:t>In this Databook we have reported indicators of the Global Reporting Initiative (GRI); the Metals &amp; Mining from Sustainability Accounting Standard (SASB); the Taks Force on Climate-related Financial Disclosures (TCFD); the key metrics from World Economic Forum (WEF) and the Sustainable Development Goals (SDG) of UN, as well as our adherence to the Mining Principles of the International Council on Mining and Metals (ICMM).</a:t>
          </a:r>
        </a:p>
        <a:p>
          <a:pPr algn="l"/>
          <a:r>
            <a:rPr lang="pt-BR" sz="1000" b="0" baseline="0">
              <a:solidFill>
                <a:srgbClr val="555555"/>
              </a:solidFill>
              <a:latin typeface="Arial" panose="020B0604020202020204" pitchFamily="34" charset="0"/>
              <a:cs typeface="Arial" panose="020B0604020202020204" pitchFamily="34" charset="0"/>
            </a:rPr>
            <a:t> </a:t>
          </a:r>
        </a:p>
        <a:p>
          <a:pPr algn="l"/>
          <a:r>
            <a:rPr lang="pt-BR" sz="1000" b="0" baseline="0">
              <a:solidFill>
                <a:srgbClr val="555555"/>
              </a:solidFill>
              <a:latin typeface="Arial" panose="020B0604020202020204" pitchFamily="34" charset="0"/>
              <a:cs typeface="Arial" panose="020B0604020202020204" pitchFamily="34" charset="0"/>
            </a:rPr>
            <a:t>We also present the of Integrated Report 2023 </a:t>
          </a:r>
          <a:r>
            <a:rPr lang="pt-BR" sz="1000" b="0" baseline="0">
              <a:solidFill>
                <a:srgbClr val="555555"/>
              </a:solidFill>
              <a:latin typeface="Arial" panose="020B0604020202020204" pitchFamily="34" charset="0"/>
              <a:ea typeface="+mn-ea"/>
              <a:cs typeface="Arial" panose="020B0604020202020204" pitchFamily="34" charset="0"/>
            </a:rPr>
            <a:t>Preparation Basis</a:t>
          </a:r>
          <a:r>
            <a:rPr lang="pt-BR" sz="1000" b="0" baseline="0">
              <a:solidFill>
                <a:srgbClr val="555555"/>
              </a:solidFill>
              <a:latin typeface="Arial" panose="020B0604020202020204" pitchFamily="34" charset="0"/>
              <a:cs typeface="Arial" panose="020B0604020202020204" pitchFamily="34" charset="0"/>
            </a:rPr>
            <a:t>, that has as function sharing with readers the definitions and details of concepts adopted by Vale to report it's non-finance contents refering to GRI Standards and to identify the </a:t>
          </a:r>
          <a:r>
            <a:rPr lang="pt-BR" sz="1000" b="0" baseline="0">
              <a:solidFill>
                <a:srgbClr val="555555"/>
              </a:solidFill>
              <a:latin typeface="Arial" panose="020B0604020202020204" pitchFamily="34" charset="0"/>
              <a:ea typeface="+mn-ea"/>
              <a:cs typeface="Arial" panose="020B0604020202020204" pitchFamily="34" charset="0"/>
            </a:rPr>
            <a:t>assured</a:t>
          </a:r>
          <a:r>
            <a:rPr lang="pt-BR" sz="1000" b="0" baseline="0">
              <a:solidFill>
                <a:srgbClr val="555555"/>
              </a:solidFill>
              <a:latin typeface="Arial" panose="020B0604020202020204" pitchFamily="34" charset="0"/>
              <a:cs typeface="Arial" panose="020B0604020202020204" pitchFamily="34" charset="0"/>
            </a:rPr>
            <a:t> contents for the Integrated Report 2023.</a:t>
          </a:r>
        </a:p>
        <a:p>
          <a:pPr algn="l"/>
          <a:endParaRPr lang="pt-BR" sz="1000" b="0" baseline="0">
            <a:solidFill>
              <a:srgbClr val="555555"/>
            </a:solidFill>
            <a:latin typeface="Arial" panose="020B0604020202020204" pitchFamily="34" charset="0"/>
            <a:cs typeface="Arial" panose="020B0604020202020204" pitchFamily="34" charset="0"/>
          </a:endParaRPr>
        </a:p>
      </xdr:txBody>
    </xdr:sp>
    <xdr:clientData/>
  </xdr:twoCellAnchor>
  <xdr:twoCellAnchor editAs="absolute">
    <xdr:from>
      <xdr:col>0</xdr:col>
      <xdr:colOff>0</xdr:colOff>
      <xdr:row>0</xdr:row>
      <xdr:rowOff>64563</xdr:rowOff>
    </xdr:from>
    <xdr:to>
      <xdr:col>1</xdr:col>
      <xdr:colOff>0</xdr:colOff>
      <xdr:row>1</xdr:row>
      <xdr:rowOff>124474</xdr:rowOff>
    </xdr:to>
    <xdr:sp macro="" textlink="">
      <xdr:nvSpPr>
        <xdr:cNvPr id="16" name="CaixaDeTexto 14">
          <a:hlinkClick xmlns:r="http://schemas.openxmlformats.org/officeDocument/2006/relationships" r:id="rId9"/>
          <a:extLst>
            <a:ext uri="{FF2B5EF4-FFF2-40B4-BE49-F238E27FC236}">
              <a16:creationId xmlns:a16="http://schemas.microsoft.com/office/drawing/2014/main" id="{00000000-0008-0000-0000-000010000000}"/>
            </a:ext>
          </a:extLst>
        </xdr:cNvPr>
        <xdr:cNvSpPr txBox="1"/>
      </xdr:nvSpPr>
      <xdr:spPr>
        <a:xfrm>
          <a:off x="0" y="64563"/>
          <a:ext cx="579783" cy="233846"/>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38100</xdr:colOff>
      <xdr:row>0</xdr:row>
      <xdr:rowOff>38100</xdr:rowOff>
    </xdr:from>
    <xdr:to>
      <xdr:col>3</xdr:col>
      <xdr:colOff>603246</xdr:colOff>
      <xdr:row>1</xdr:row>
      <xdr:rowOff>161781</xdr:rowOff>
    </xdr:to>
    <xdr:pic>
      <xdr:nvPicPr>
        <xdr:cNvPr id="11" name="Picture 8">
          <a:hlinkClick xmlns:r="http://schemas.openxmlformats.org/officeDocument/2006/relationships" r:id="rId10"/>
          <a:extLst>
            <a:ext uri="{FF2B5EF4-FFF2-40B4-BE49-F238E27FC236}">
              <a16:creationId xmlns:a16="http://schemas.microsoft.com/office/drawing/2014/main" id="{00000000-0008-0000-0000-00000B000000}"/>
            </a:ext>
            <a:ext uri="{147F2762-F138-4A5C-976F-8EAC2B608ADB}">
              <a16:predDERef xmlns:a16="http://schemas.microsoft.com/office/drawing/2014/main" pred="{5EBD17DD-D315-4866-B3A8-D616C97D5FAD}"/>
            </a:ext>
          </a:extLst>
        </xdr:cNvPr>
        <xdr:cNvPicPr preferRelativeResize="0">
          <a:picLocks/>
        </xdr:cNvPicPr>
      </xdr:nvPicPr>
      <xdr:blipFill>
        <a:blip xmlns:r="http://schemas.openxmlformats.org/officeDocument/2006/relationships" r:embed="rId11"/>
        <a:stretch>
          <a:fillRect/>
        </a:stretch>
      </xdr:blipFill>
      <xdr:spPr>
        <a:xfrm flipH="1">
          <a:off x="7696200" y="38100"/>
          <a:ext cx="565146" cy="304656"/>
        </a:xfrm>
        <a:prstGeom prst="rect">
          <a:avLst/>
        </a:prstGeom>
      </xdr:spPr>
    </xdr:pic>
    <xdr:clientData/>
  </xdr:twoCellAnchor>
  <xdr:twoCellAnchor editAs="oneCell">
    <xdr:from>
      <xdr:col>3</xdr:col>
      <xdr:colOff>628650</xdr:colOff>
      <xdr:row>0</xdr:row>
      <xdr:rowOff>38100</xdr:rowOff>
    </xdr:from>
    <xdr:to>
      <xdr:col>3</xdr:col>
      <xdr:colOff>1189245</xdr:colOff>
      <xdr:row>1</xdr:row>
      <xdr:rowOff>161781</xdr:rowOff>
    </xdr:to>
    <xdr:pic>
      <xdr:nvPicPr>
        <xdr:cNvPr id="21" name="Picture 9">
          <a:hlinkClick xmlns:r="http://schemas.openxmlformats.org/officeDocument/2006/relationships" r:id="rId8"/>
          <a:extLst>
            <a:ext uri="{FF2B5EF4-FFF2-40B4-BE49-F238E27FC236}">
              <a16:creationId xmlns:a16="http://schemas.microsoft.com/office/drawing/2014/main" id="{00000000-0008-0000-0000-000015000000}"/>
            </a:ext>
            <a:ext uri="{147F2762-F138-4A5C-976F-8EAC2B608ADB}">
              <a16:predDERef xmlns:a16="http://schemas.microsoft.com/office/drawing/2014/main" pred="{6E64DB22-221A-4139-805C-40DA81A250D3}"/>
            </a:ext>
          </a:extLst>
        </xdr:cNvPr>
        <xdr:cNvPicPr preferRelativeResize="0">
          <a:picLocks/>
        </xdr:cNvPicPr>
      </xdr:nvPicPr>
      <xdr:blipFill>
        <a:blip xmlns:r="http://schemas.openxmlformats.org/officeDocument/2006/relationships" r:embed="rId11"/>
        <a:stretch>
          <a:fillRect/>
        </a:stretch>
      </xdr:blipFill>
      <xdr:spPr>
        <a:xfrm rot="10800000" flipH="1">
          <a:off x="8286750" y="38100"/>
          <a:ext cx="560595" cy="3046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4901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1963875</xdr:colOff>
      <xdr:row>0</xdr:row>
      <xdr:rowOff>47943</xdr:rowOff>
    </xdr:from>
    <xdr:to>
      <xdr:col>2</xdr:col>
      <xdr:colOff>563238</xdr:colOff>
      <xdr:row>1</xdr:row>
      <xdr:rowOff>141730</xdr:rowOff>
    </xdr:to>
    <xdr:sp macro="" textlink="">
      <xdr:nvSpPr>
        <xdr:cNvPr id="18" name="CaixaDeTexto 8">
          <a:hlinkClick xmlns:r="http://schemas.openxmlformats.org/officeDocument/2006/relationships" r:id="rId2"/>
          <a:extLst>
            <a:ext uri="{FF2B5EF4-FFF2-40B4-BE49-F238E27FC236}">
              <a16:creationId xmlns:a16="http://schemas.microsoft.com/office/drawing/2014/main" id="{00000000-0008-0000-0100-000012000000}"/>
            </a:ext>
          </a:extLst>
        </xdr:cNvPr>
        <xdr:cNvSpPr txBox="1"/>
      </xdr:nvSpPr>
      <xdr:spPr>
        <a:xfrm>
          <a:off x="2543658" y="44768"/>
          <a:ext cx="965014"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1228977</xdr:colOff>
      <xdr:row>0</xdr:row>
      <xdr:rowOff>47943</xdr:rowOff>
    </xdr:from>
    <xdr:to>
      <xdr:col>1</xdr:col>
      <xdr:colOff>1797777</xdr:colOff>
      <xdr:row>1</xdr:row>
      <xdr:rowOff>141730</xdr:rowOff>
    </xdr:to>
    <xdr:sp macro="" textlink="">
      <xdr:nvSpPr>
        <xdr:cNvPr id="19" name="CaixaDeTexto 9">
          <a:hlinkClick xmlns:r="http://schemas.openxmlformats.org/officeDocument/2006/relationships" r:id="rId3"/>
          <a:extLst>
            <a:ext uri="{FF2B5EF4-FFF2-40B4-BE49-F238E27FC236}">
              <a16:creationId xmlns:a16="http://schemas.microsoft.com/office/drawing/2014/main" id="{00000000-0008-0000-0100-000013000000}"/>
            </a:ext>
          </a:extLst>
        </xdr:cNvPr>
        <xdr:cNvSpPr txBox="1"/>
      </xdr:nvSpPr>
      <xdr:spPr>
        <a:xfrm>
          <a:off x="1811935" y="44768"/>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722986</xdr:colOff>
      <xdr:row>0</xdr:row>
      <xdr:rowOff>47943</xdr:rowOff>
    </xdr:from>
    <xdr:to>
      <xdr:col>3</xdr:col>
      <xdr:colOff>388336</xdr:colOff>
      <xdr:row>1</xdr:row>
      <xdr:rowOff>141730</xdr:rowOff>
    </xdr:to>
    <xdr:sp macro="" textlink="">
      <xdr:nvSpPr>
        <xdr:cNvPr id="27" name="CaixaDeTexto 10">
          <a:hlinkClick xmlns:r="http://schemas.openxmlformats.org/officeDocument/2006/relationships" r:id="rId4"/>
          <a:extLst>
            <a:ext uri="{FF2B5EF4-FFF2-40B4-BE49-F238E27FC236}">
              <a16:creationId xmlns:a16="http://schemas.microsoft.com/office/drawing/2014/main" id="{00000000-0008-0000-0100-00001B000000}"/>
            </a:ext>
          </a:extLst>
        </xdr:cNvPr>
        <xdr:cNvSpPr txBox="1"/>
      </xdr:nvSpPr>
      <xdr:spPr>
        <a:xfrm>
          <a:off x="3671595" y="44768"/>
          <a:ext cx="697501"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3</xdr:col>
      <xdr:colOff>544909</xdr:colOff>
      <xdr:row>0</xdr:row>
      <xdr:rowOff>47943</xdr:rowOff>
    </xdr:from>
    <xdr:to>
      <xdr:col>4</xdr:col>
      <xdr:colOff>354609</xdr:colOff>
      <xdr:row>1</xdr:row>
      <xdr:rowOff>141730</xdr:rowOff>
    </xdr:to>
    <xdr:sp macro="" textlink="">
      <xdr:nvSpPr>
        <xdr:cNvPr id="28" name="CaixaDeTexto 11">
          <a:hlinkClick xmlns:r="http://schemas.openxmlformats.org/officeDocument/2006/relationships" r:id="rId5"/>
          <a:extLst>
            <a:ext uri="{FF2B5EF4-FFF2-40B4-BE49-F238E27FC236}">
              <a16:creationId xmlns:a16="http://schemas.microsoft.com/office/drawing/2014/main" id="{00000000-0008-0000-0100-00001C000000}"/>
            </a:ext>
          </a:extLst>
        </xdr:cNvPr>
        <xdr:cNvSpPr txBox="1"/>
      </xdr:nvSpPr>
      <xdr:spPr>
        <a:xfrm>
          <a:off x="4532019" y="44768"/>
          <a:ext cx="838676"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4</xdr:col>
      <xdr:colOff>514357</xdr:colOff>
      <xdr:row>0</xdr:row>
      <xdr:rowOff>47943</xdr:rowOff>
    </xdr:from>
    <xdr:to>
      <xdr:col>4</xdr:col>
      <xdr:colOff>999932</xdr:colOff>
      <xdr:row>1</xdr:row>
      <xdr:rowOff>141730</xdr:rowOff>
    </xdr:to>
    <xdr:sp macro="" textlink="">
      <xdr:nvSpPr>
        <xdr:cNvPr id="30" name="CaixaDeTexto 12">
          <a:hlinkClick xmlns:r="http://schemas.openxmlformats.org/officeDocument/2006/relationships" r:id="rId6"/>
          <a:extLst>
            <a:ext uri="{FF2B5EF4-FFF2-40B4-BE49-F238E27FC236}">
              <a16:creationId xmlns:a16="http://schemas.microsoft.com/office/drawing/2014/main" id="{00000000-0008-0000-0100-00001E000000}"/>
            </a:ext>
          </a:extLst>
        </xdr:cNvPr>
        <xdr:cNvSpPr txBox="1"/>
      </xdr:nvSpPr>
      <xdr:spPr>
        <a:xfrm>
          <a:off x="5533618" y="44768"/>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1</xdr:col>
      <xdr:colOff>335254</xdr:colOff>
      <xdr:row>0</xdr:row>
      <xdr:rowOff>47943</xdr:rowOff>
    </xdr:from>
    <xdr:to>
      <xdr:col>1</xdr:col>
      <xdr:colOff>1069229</xdr:colOff>
      <xdr:row>1</xdr:row>
      <xdr:rowOff>141730</xdr:rowOff>
    </xdr:to>
    <xdr:sp macro="" textlink="">
      <xdr:nvSpPr>
        <xdr:cNvPr id="33" name="CaixaDeTexto 15">
          <a:hlinkClick xmlns:r="http://schemas.openxmlformats.org/officeDocument/2006/relationships" r:id="rId7"/>
          <a:extLst>
            <a:ext uri="{FF2B5EF4-FFF2-40B4-BE49-F238E27FC236}">
              <a16:creationId xmlns:a16="http://schemas.microsoft.com/office/drawing/2014/main" id="{00000000-0008-0000-0100-000021000000}"/>
            </a:ext>
          </a:extLst>
        </xdr:cNvPr>
        <xdr:cNvSpPr txBox="1"/>
      </xdr:nvSpPr>
      <xdr:spPr>
        <a:xfrm>
          <a:off x="918212" y="44768"/>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44519</xdr:rowOff>
    </xdr:from>
    <xdr:to>
      <xdr:col>1</xdr:col>
      <xdr:colOff>0</xdr:colOff>
      <xdr:row>1</xdr:row>
      <xdr:rowOff>145154</xdr:rowOff>
    </xdr:to>
    <xdr:sp macro="" textlink="">
      <xdr:nvSpPr>
        <xdr:cNvPr id="34" name="CaixaDeTexto 14">
          <a:hlinkClick xmlns:r="http://schemas.openxmlformats.org/officeDocument/2006/relationships" r:id="rId8"/>
          <a:extLst>
            <a:ext uri="{FF2B5EF4-FFF2-40B4-BE49-F238E27FC236}">
              <a16:creationId xmlns:a16="http://schemas.microsoft.com/office/drawing/2014/main" id="{00000000-0008-0000-0100-000022000000}"/>
            </a:ext>
          </a:extLst>
        </xdr:cNvPr>
        <xdr:cNvSpPr txBox="1"/>
      </xdr:nvSpPr>
      <xdr:spPr>
        <a:xfrm>
          <a:off x="0" y="41344"/>
          <a:ext cx="579783" cy="274570"/>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xdr:from>
      <xdr:col>5</xdr:col>
      <xdr:colOff>76200</xdr:colOff>
      <xdr:row>0</xdr:row>
      <xdr:rowOff>47625</xdr:rowOff>
    </xdr:from>
    <xdr:to>
      <xdr:col>5</xdr:col>
      <xdr:colOff>904875</xdr:colOff>
      <xdr:row>1</xdr:row>
      <xdr:rowOff>142875</xdr:rowOff>
    </xdr:to>
    <xdr:sp macro="" textlink="">
      <xdr:nvSpPr>
        <xdr:cNvPr id="7" name="TextBox 2">
          <a:hlinkClick xmlns:r="http://schemas.openxmlformats.org/officeDocument/2006/relationships" r:id="rId9"/>
          <a:extLst>
            <a:ext uri="{FF2B5EF4-FFF2-40B4-BE49-F238E27FC236}">
              <a16:creationId xmlns:a16="http://schemas.microsoft.com/office/drawing/2014/main" id="{00000000-0008-0000-0100-000007000000}"/>
            </a:ext>
            <a:ext uri="{147F2762-F138-4A5C-976F-8EAC2B608ADB}">
              <a16:predDERef xmlns:a16="http://schemas.microsoft.com/office/drawing/2014/main" pred="{00000000-0008-0000-0100-00000E000000}"/>
            </a:ext>
          </a:extLst>
        </xdr:cNvPr>
        <xdr:cNvSpPr txBox="1"/>
      </xdr:nvSpPr>
      <xdr:spPr>
        <a:xfrm>
          <a:off x="6143625" y="47625"/>
          <a:ext cx="828675" cy="26670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oneCell">
    <xdr:from>
      <xdr:col>6</xdr:col>
      <xdr:colOff>38100</xdr:colOff>
      <xdr:row>0</xdr:row>
      <xdr:rowOff>35902</xdr:rowOff>
    </xdr:from>
    <xdr:to>
      <xdr:col>6</xdr:col>
      <xdr:colOff>600071</xdr:colOff>
      <xdr:row>1</xdr:row>
      <xdr:rowOff>155383</xdr:rowOff>
    </xdr:to>
    <xdr:pic>
      <xdr:nvPicPr>
        <xdr:cNvPr id="20" name="Picture 4">
          <a:hlinkClick xmlns:r="http://schemas.openxmlformats.org/officeDocument/2006/relationships" r:id="rId8"/>
          <a:extLst>
            <a:ext uri="{FF2B5EF4-FFF2-40B4-BE49-F238E27FC236}">
              <a16:creationId xmlns:a16="http://schemas.microsoft.com/office/drawing/2014/main" id="{00000000-0008-0000-0100-000014000000}"/>
            </a:ext>
            <a:ext uri="{147F2762-F138-4A5C-976F-8EAC2B608ADB}">
              <a16:predDERef xmlns:a16="http://schemas.microsoft.com/office/drawing/2014/main" pred="{00000000-0008-0000-0100-000007000000}"/>
            </a:ext>
          </a:extLst>
        </xdr:cNvPr>
        <xdr:cNvPicPr preferRelativeResize="0">
          <a:picLocks/>
        </xdr:cNvPicPr>
      </xdr:nvPicPr>
      <xdr:blipFill>
        <a:blip xmlns:r="http://schemas.openxmlformats.org/officeDocument/2006/relationships" r:embed="rId10"/>
        <a:stretch>
          <a:fillRect/>
        </a:stretch>
      </xdr:blipFill>
      <xdr:spPr>
        <a:xfrm flipH="1">
          <a:off x="7152542" y="35902"/>
          <a:ext cx="561971" cy="288000"/>
        </a:xfrm>
        <a:prstGeom prst="rect">
          <a:avLst/>
        </a:prstGeom>
      </xdr:spPr>
    </xdr:pic>
    <xdr:clientData/>
  </xdr:twoCellAnchor>
  <xdr:twoCellAnchor editAs="oneCell">
    <xdr:from>
      <xdr:col>6</xdr:col>
      <xdr:colOff>628650</xdr:colOff>
      <xdr:row>0</xdr:row>
      <xdr:rowOff>35903</xdr:rowOff>
    </xdr:from>
    <xdr:to>
      <xdr:col>6</xdr:col>
      <xdr:colOff>1185781</xdr:colOff>
      <xdr:row>1</xdr:row>
      <xdr:rowOff>155384</xdr:rowOff>
    </xdr:to>
    <xdr:pic>
      <xdr:nvPicPr>
        <xdr:cNvPr id="16" name="Picture 5">
          <a:hlinkClick xmlns:r="http://schemas.openxmlformats.org/officeDocument/2006/relationships" r:id="rId11"/>
          <a:extLst>
            <a:ext uri="{FF2B5EF4-FFF2-40B4-BE49-F238E27FC236}">
              <a16:creationId xmlns:a16="http://schemas.microsoft.com/office/drawing/2014/main" id="{00000000-0008-0000-0100-000010000000}"/>
            </a:ext>
            <a:ext uri="{147F2762-F138-4A5C-976F-8EAC2B608ADB}">
              <a16:predDERef xmlns:a16="http://schemas.microsoft.com/office/drawing/2014/main" pred="{7EA0B197-C261-4BCC-958F-C4D718D2F15F}"/>
            </a:ext>
          </a:extLst>
        </xdr:cNvPr>
        <xdr:cNvPicPr preferRelativeResize="0">
          <a:picLocks/>
        </xdr:cNvPicPr>
      </xdr:nvPicPr>
      <xdr:blipFill>
        <a:blip xmlns:r="http://schemas.openxmlformats.org/officeDocument/2006/relationships" r:embed="rId10"/>
        <a:stretch>
          <a:fillRect/>
        </a:stretch>
      </xdr:blipFill>
      <xdr:spPr>
        <a:xfrm rot="10800000" flipH="1">
          <a:off x="7743092" y="35903"/>
          <a:ext cx="557131" cy="28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608134</xdr:colOff>
      <xdr:row>9</xdr:row>
      <xdr:rowOff>45671</xdr:rowOff>
    </xdr:from>
    <xdr:to>
      <xdr:col>3</xdr:col>
      <xdr:colOff>1219199</xdr:colOff>
      <xdr:row>32</xdr:row>
      <xdr:rowOff>63500</xdr:rowOff>
    </xdr:to>
    <xdr:sp macro="" textlink="">
      <xdr:nvSpPr>
        <xdr:cNvPr id="20" name="Retângulo 17">
          <a:extLst>
            <a:ext uri="{FF2B5EF4-FFF2-40B4-BE49-F238E27FC236}">
              <a16:creationId xmlns:a16="http://schemas.microsoft.com/office/drawing/2014/main" id="{00000000-0008-0000-0200-000014000000}"/>
            </a:ext>
          </a:extLst>
        </xdr:cNvPr>
        <xdr:cNvSpPr/>
      </xdr:nvSpPr>
      <xdr:spPr>
        <a:xfrm>
          <a:off x="608134" y="1826846"/>
          <a:ext cx="8554915" cy="4180254"/>
        </a:xfrm>
        <a:prstGeom prst="rect">
          <a:avLst/>
        </a:prstGeom>
        <a:solidFill>
          <a:srgbClr val="F2F2F2">
            <a:alpha val="69804"/>
          </a:srgbClr>
        </a:solidFill>
        <a:ln w="6350">
          <a:solidFill>
            <a:schemeClr val="bg2">
              <a:lumMod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pt-BR" sz="1050" b="1" i="0" u="none" strike="noStrike">
              <a:solidFill>
                <a:srgbClr val="555555"/>
              </a:solidFill>
              <a:effectLst/>
              <a:latin typeface="Arial" panose="020B0604020202020204" pitchFamily="34" charset="0"/>
              <a:ea typeface="+mn-ea"/>
              <a:cs typeface="Arial" panose="020B0604020202020204" pitchFamily="34" charset="0"/>
            </a:rPr>
            <a:t>How to read the Databook</a:t>
          </a:r>
        </a:p>
        <a:p>
          <a:pPr algn="l"/>
          <a:endParaRPr lang="pt-BR" sz="1000" b="1" i="0" u="none" strike="noStrike">
            <a:solidFill>
              <a:srgbClr val="555555"/>
            </a:solidFill>
            <a:effectLst/>
            <a:latin typeface="Arial" panose="020B0604020202020204" pitchFamily="34" charset="0"/>
            <a:ea typeface="+mn-ea"/>
            <a:cs typeface="Arial" panose="020B0604020202020204" pitchFamily="34" charset="0"/>
          </a:endParaRPr>
        </a:p>
        <a:p>
          <a:pPr algn="l"/>
          <a:r>
            <a:rPr lang="pt-BR" sz="1000" b="0" i="0" u="none" strike="noStrike">
              <a:solidFill>
                <a:srgbClr val="555555"/>
              </a:solidFill>
              <a:effectLst/>
              <a:latin typeface="Arial" panose="020B0604020202020204" pitchFamily="34" charset="0"/>
              <a:ea typeface="+mn-ea"/>
              <a:cs typeface="Arial" panose="020B0604020202020204" pitchFamily="34" charset="0"/>
            </a:rPr>
            <a:t>The Databook is</a:t>
          </a:r>
          <a:r>
            <a:rPr lang="pt-BR" sz="1000" b="0" i="0" u="none" strike="noStrike" baseline="0">
              <a:solidFill>
                <a:srgbClr val="555555"/>
              </a:solidFill>
              <a:effectLst/>
              <a:latin typeface="Arial" panose="020B0604020202020204" pitchFamily="34" charset="0"/>
              <a:ea typeface="+mn-ea"/>
              <a:cs typeface="Arial" panose="020B0604020202020204" pitchFamily="34" charset="0"/>
            </a:rPr>
            <a:t> divided in three main topics, Economic, Environmental and Social. These tabs present informations of the GRI and SASB standards. The informations about the standards ICMM and WEF can be found separated in their tabs.</a:t>
          </a:r>
        </a:p>
        <a:p>
          <a:pPr algn="l"/>
          <a:r>
            <a:rPr lang="pt-BR" sz="1000" b="0" i="0" u="none" strike="noStrike" baseline="0">
              <a:solidFill>
                <a:srgbClr val="555555"/>
              </a:solidFill>
              <a:effectLst/>
              <a:latin typeface="Arial" panose="020B0604020202020204" pitchFamily="34" charset="0"/>
              <a:ea typeface="+mn-ea"/>
              <a:cs typeface="Arial" panose="020B0604020202020204" pitchFamily="34" charset="0"/>
            </a:rPr>
            <a:t>To make it easier for the reader to search for informaton, the tabs refering to the indexes are represented by the orange colour, in these tabs are present the informations that will come next, and also direct links for the reader to click and by directed directely to the information.</a:t>
          </a:r>
          <a:endParaRPr lang="pt-BR" sz="1000" b="0" i="0" u="none" strike="noStrike">
            <a:solidFill>
              <a:srgbClr val="555555"/>
            </a:solidFill>
            <a:effectLst/>
            <a:latin typeface="Arial" panose="020B0604020202020204" pitchFamily="34" charset="0"/>
            <a:ea typeface="+mn-ea"/>
            <a:cs typeface="Arial" panose="020B0604020202020204" pitchFamily="34" charset="0"/>
          </a:endParaRPr>
        </a:p>
        <a:p>
          <a:pPr algn="l"/>
          <a:endParaRPr lang="pt-BR" sz="1000" b="0" i="0" u="none" strike="noStrike">
            <a:solidFill>
              <a:srgbClr val="555555"/>
            </a:solidFill>
            <a:effectLst/>
            <a:latin typeface="Arial" panose="020B0604020202020204" pitchFamily="34" charset="0"/>
            <a:ea typeface="+mn-ea"/>
            <a:cs typeface="Arial" panose="020B0604020202020204" pitchFamily="34" charset="0"/>
          </a:endParaRPr>
        </a:p>
        <a:p>
          <a:pPr algn="l"/>
          <a:endParaRPr lang="pt-BR" sz="1000" b="0" i="0" u="none" strike="noStrike">
            <a:solidFill>
              <a:srgbClr val="555555"/>
            </a:solidFill>
            <a:effectLst/>
            <a:latin typeface="Arial" panose="020B0604020202020204" pitchFamily="34" charset="0"/>
            <a:ea typeface="+mn-ea"/>
            <a:cs typeface="Arial" panose="020B0604020202020204" pitchFamily="34" charset="0"/>
          </a:endParaRPr>
        </a:p>
        <a:p>
          <a:pPr algn="l"/>
          <a:r>
            <a:rPr lang="pt-BR" sz="1050" b="1" i="0" u="none" strike="noStrike">
              <a:solidFill>
                <a:srgbClr val="555555"/>
              </a:solidFill>
              <a:effectLst/>
              <a:latin typeface="Arial" panose="020B0604020202020204" pitchFamily="34" charset="0"/>
              <a:ea typeface="+mn-ea"/>
              <a:cs typeface="Arial" panose="020B0604020202020204" pitchFamily="34" charset="0"/>
            </a:rPr>
            <a:t>How to search for information</a:t>
          </a:r>
          <a:endParaRPr lang="pt-BR" sz="1050" b="1" i="0" u="none" strike="noStrike" baseline="0">
            <a:solidFill>
              <a:srgbClr val="555555"/>
            </a:solidFill>
            <a:effectLst/>
            <a:latin typeface="Arial" panose="020B0604020202020204" pitchFamily="34" charset="0"/>
            <a:ea typeface="+mn-ea"/>
            <a:cs typeface="Arial" panose="020B0604020202020204" pitchFamily="34" charset="0"/>
          </a:endParaRPr>
        </a:p>
        <a:p>
          <a:pPr algn="l"/>
          <a:endParaRPr lang="pt-BR" sz="1000" b="1" i="0" u="none" strike="noStrike" baseline="0">
            <a:solidFill>
              <a:srgbClr val="555555"/>
            </a:solidFill>
            <a:effectLst/>
            <a:latin typeface="Arial" panose="020B0604020202020204" pitchFamily="34" charset="0"/>
            <a:ea typeface="+mn-ea"/>
            <a:cs typeface="Arial" panose="020B0604020202020204" pitchFamily="34" charset="0"/>
          </a:endParaRPr>
        </a:p>
        <a:p>
          <a:pPr algn="l"/>
          <a:r>
            <a:rPr lang="pt-BR" sz="1000" b="0" i="0" u="none" strike="noStrike" baseline="0">
              <a:solidFill>
                <a:srgbClr val="555555"/>
              </a:solidFill>
              <a:effectLst/>
              <a:latin typeface="Arial" panose="020B0604020202020204" pitchFamily="34" charset="0"/>
              <a:ea typeface="+mn-ea"/>
              <a:cs typeface="Arial" panose="020B0604020202020204" pitchFamily="34" charset="0"/>
            </a:rPr>
            <a:t>It is advised to the reader to use the index tabs to reach for the information wanted. To access the indicator information just click on the indicated link in the index tabs and the reader will be directly pointed to the report.</a:t>
          </a:r>
        </a:p>
        <a:p>
          <a:pPr algn="l"/>
          <a:r>
            <a:rPr lang="pt-BR" sz="1000" b="0" i="0" u="none" strike="noStrike" baseline="0">
              <a:solidFill>
                <a:srgbClr val="555555"/>
              </a:solidFill>
              <a:effectLst/>
              <a:latin typeface="Arial" panose="020B0604020202020204" pitchFamily="34" charset="0"/>
              <a:ea typeface="+mn-ea"/>
              <a:cs typeface="Arial" panose="020B0604020202020204" pitchFamily="34" charset="0"/>
            </a:rPr>
            <a:t>If the reader is looking for a specific indicator of the GRI or SASB standard, it is recommended to use the index tabs with the name of the framework, in these are presented all the indicators and their links to access the information reported.</a:t>
          </a:r>
        </a:p>
        <a:p>
          <a:pPr algn="l"/>
          <a:endParaRPr lang="pt-BR" sz="1000" b="0" i="0" u="none" strike="noStrike" baseline="0">
            <a:solidFill>
              <a:srgbClr val="555555"/>
            </a:solidFill>
            <a:effectLst/>
            <a:latin typeface="Arial" panose="020B0604020202020204" pitchFamily="34" charset="0"/>
            <a:ea typeface="+mn-ea"/>
            <a:cs typeface="Arial" panose="020B0604020202020204" pitchFamily="34" charset="0"/>
          </a:endParaRPr>
        </a:p>
        <a:p>
          <a:pPr algn="l"/>
          <a:endParaRPr lang="pt-BR" sz="1000" b="0" i="0" u="none" strike="noStrike" baseline="0">
            <a:solidFill>
              <a:srgbClr val="555555"/>
            </a:solidFill>
            <a:effectLst/>
            <a:latin typeface="Arial" panose="020B0604020202020204" pitchFamily="34" charset="0"/>
            <a:ea typeface="+mn-ea"/>
            <a:cs typeface="Arial" panose="020B0604020202020204" pitchFamily="34" charset="0"/>
          </a:endParaRPr>
        </a:p>
        <a:p>
          <a:pPr algn="l"/>
          <a:r>
            <a:rPr lang="pt-BR" sz="1050" b="1" i="0" u="none" strike="noStrike" baseline="0">
              <a:solidFill>
                <a:srgbClr val="555555"/>
              </a:solidFill>
              <a:effectLst/>
              <a:latin typeface="Arial" panose="020B0604020202020204" pitchFamily="34" charset="0"/>
              <a:ea typeface="+mn-ea"/>
              <a:cs typeface="Arial" panose="020B0604020202020204" pitchFamily="34" charset="0"/>
            </a:rPr>
            <a:t>How to navigate and use the buttons</a:t>
          </a:r>
        </a:p>
        <a:p>
          <a:pPr algn="l"/>
          <a:endParaRPr lang="pt-BR" sz="1100" b="1" i="0" u="none" strike="noStrike" baseline="0">
            <a:solidFill>
              <a:srgbClr val="555555"/>
            </a:solidFill>
            <a:effectLst/>
            <a:latin typeface="Arial" panose="020B0604020202020204" pitchFamily="34" charset="0"/>
            <a:ea typeface="+mn-ea"/>
            <a:cs typeface="Arial" panose="020B0604020202020204" pitchFamily="34" charset="0"/>
          </a:endParaRPr>
        </a:p>
        <a:p>
          <a:pPr algn="l"/>
          <a:r>
            <a:rPr lang="pt-BR" sz="1000" b="0" baseline="0">
              <a:solidFill>
                <a:srgbClr val="555555"/>
              </a:solidFill>
              <a:latin typeface="Arial" panose="020B0604020202020204" pitchFamily="34" charset="0"/>
              <a:cs typeface="Arial" panose="020B0604020202020204" pitchFamily="34" charset="0"/>
            </a:rPr>
            <a:t>This Databook was made with the intention of presenting a more fluid navigability to the reader, for a better navigation experience the indicated is to use the navigation buttons at the top of the page. There are buttons that take you directly to the introduction pages of the Databook (Home, References, How to use, and Content), buttons that lead directly to the indexes prior to the contents presented (Economic, Environmental, Social and Frameworks), a button that leads to the next page (represented by the arrow pointing to the right) and a button that leads to the previous page (represented by the arrow pointing on the left).</a:t>
          </a:r>
        </a:p>
        <a:p>
          <a:pPr algn="l"/>
          <a:r>
            <a:rPr lang="pt-BR" sz="1000" b="0" baseline="0">
              <a:solidFill>
                <a:srgbClr val="555555"/>
              </a:solidFill>
              <a:latin typeface="Arial" panose="020B0604020202020204" pitchFamily="34" charset="0"/>
              <a:cs typeface="Arial" panose="020B0604020202020204" pitchFamily="34" charset="0"/>
            </a:rPr>
            <a:t>All external links are represented by buttons that lead directly to the site or file referenced throughout the text, so to access them simply click on the button with the name of the link you wish to access.</a:t>
          </a:r>
        </a:p>
        <a:p>
          <a:pPr algn="l"/>
          <a:r>
            <a:rPr lang="pt-BR" sz="1000" b="0" baseline="0">
              <a:solidFill>
                <a:srgbClr val="555555"/>
              </a:solidFill>
              <a:latin typeface="Arial" panose="020B0604020202020204" pitchFamily="34" charset="0"/>
              <a:cs typeface="Arial" panose="020B0604020202020204" pitchFamily="34" charset="0"/>
            </a:rPr>
            <a:t>  </a:t>
          </a:r>
          <a:endParaRPr lang="pt-BR" sz="1000" b="0">
            <a:solidFill>
              <a:srgbClr val="555555"/>
            </a:solidFill>
            <a:latin typeface="Arial" panose="020B0604020202020204" pitchFamily="34" charset="0"/>
            <a:cs typeface="Arial" panose="020B0604020202020204" pitchFamily="34" charset="0"/>
          </a:endParaRPr>
        </a:p>
      </xdr:txBody>
    </xdr:sp>
    <xdr:clientData/>
  </xdr:twoCellAnchor>
  <xdr:twoCellAnchor editAs="absolute">
    <xdr:from>
      <xdr:col>1</xdr:col>
      <xdr:colOff>2045478</xdr:colOff>
      <xdr:row>0</xdr:row>
      <xdr:rowOff>34925</xdr:rowOff>
    </xdr:from>
    <xdr:to>
      <xdr:col>1</xdr:col>
      <xdr:colOff>3067050</xdr:colOff>
      <xdr:row>1</xdr:row>
      <xdr:rowOff>125537</xdr:rowOff>
    </xdr:to>
    <xdr:sp macro="" textlink="">
      <xdr:nvSpPr>
        <xdr:cNvPr id="19" name="CaixaDeTexto 8">
          <a:hlinkClick xmlns:r="http://schemas.openxmlformats.org/officeDocument/2006/relationships" r:id="rId2"/>
          <a:extLst>
            <a:ext uri="{FF2B5EF4-FFF2-40B4-BE49-F238E27FC236}">
              <a16:creationId xmlns:a16="http://schemas.microsoft.com/office/drawing/2014/main" id="{00000000-0008-0000-0200-000013000000}"/>
            </a:ext>
          </a:extLst>
        </xdr:cNvPr>
        <xdr:cNvSpPr txBox="1"/>
      </xdr:nvSpPr>
      <xdr:spPr>
        <a:xfrm>
          <a:off x="2655078" y="34925"/>
          <a:ext cx="1021572"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1265016</xdr:colOff>
      <xdr:row>0</xdr:row>
      <xdr:rowOff>34925</xdr:rowOff>
    </xdr:from>
    <xdr:to>
      <xdr:col>1</xdr:col>
      <xdr:colOff>1840166</xdr:colOff>
      <xdr:row>1</xdr:row>
      <xdr:rowOff>122362</xdr:rowOff>
    </xdr:to>
    <xdr:sp macro="" textlink="">
      <xdr:nvSpPr>
        <xdr:cNvPr id="21" name="CaixaDeTexto 9">
          <a:hlinkClick xmlns:r="http://schemas.openxmlformats.org/officeDocument/2006/relationships" r:id="rId3"/>
          <a:extLst>
            <a:ext uri="{FF2B5EF4-FFF2-40B4-BE49-F238E27FC236}">
              <a16:creationId xmlns:a16="http://schemas.microsoft.com/office/drawing/2014/main" id="{00000000-0008-0000-0200-000015000000}"/>
            </a:ext>
          </a:extLst>
        </xdr:cNvPr>
        <xdr:cNvSpPr txBox="1"/>
      </xdr:nvSpPr>
      <xdr:spPr>
        <a:xfrm>
          <a:off x="1851149" y="34925"/>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3169640</xdr:colOff>
      <xdr:row>0</xdr:row>
      <xdr:rowOff>34925</xdr:rowOff>
    </xdr:from>
    <xdr:to>
      <xdr:col>2</xdr:col>
      <xdr:colOff>355315</xdr:colOff>
      <xdr:row>1</xdr:row>
      <xdr:rowOff>122362</xdr:rowOff>
    </xdr:to>
    <xdr:sp macro="" textlink="">
      <xdr:nvSpPr>
        <xdr:cNvPr id="22" name="CaixaDeTexto 10">
          <a:hlinkClick xmlns:r="http://schemas.openxmlformats.org/officeDocument/2006/relationships" r:id="rId4"/>
          <a:extLst>
            <a:ext uri="{FF2B5EF4-FFF2-40B4-BE49-F238E27FC236}">
              <a16:creationId xmlns:a16="http://schemas.microsoft.com/office/drawing/2014/main" id="{00000000-0008-0000-0200-000016000000}"/>
            </a:ext>
          </a:extLst>
        </xdr:cNvPr>
        <xdr:cNvSpPr txBox="1"/>
      </xdr:nvSpPr>
      <xdr:spPr>
        <a:xfrm>
          <a:off x="3749423" y="34925"/>
          <a:ext cx="682868"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476250</xdr:colOff>
      <xdr:row>0</xdr:row>
      <xdr:rowOff>34925</xdr:rowOff>
    </xdr:from>
    <xdr:to>
      <xdr:col>2</xdr:col>
      <xdr:colOff>1437127</xdr:colOff>
      <xdr:row>1</xdr:row>
      <xdr:rowOff>125537</xdr:rowOff>
    </xdr:to>
    <xdr:sp macro="" textlink="">
      <xdr:nvSpPr>
        <xdr:cNvPr id="23" name="CaixaDeTexto 11">
          <a:hlinkClick xmlns:r="http://schemas.openxmlformats.org/officeDocument/2006/relationships" r:id="rId5"/>
          <a:extLst>
            <a:ext uri="{FF2B5EF4-FFF2-40B4-BE49-F238E27FC236}">
              <a16:creationId xmlns:a16="http://schemas.microsoft.com/office/drawing/2014/main" id="{00000000-0008-0000-0200-000017000000}"/>
            </a:ext>
          </a:extLst>
        </xdr:cNvPr>
        <xdr:cNvSpPr txBox="1"/>
      </xdr:nvSpPr>
      <xdr:spPr>
        <a:xfrm>
          <a:off x="4752975" y="34925"/>
          <a:ext cx="960877"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1571625</xdr:colOff>
      <xdr:row>0</xdr:row>
      <xdr:rowOff>34925</xdr:rowOff>
    </xdr:from>
    <xdr:to>
      <xdr:col>2</xdr:col>
      <xdr:colOff>2121664</xdr:colOff>
      <xdr:row>1</xdr:row>
      <xdr:rowOff>125537</xdr:rowOff>
    </xdr:to>
    <xdr:sp macro="" textlink="">
      <xdr:nvSpPr>
        <xdr:cNvPr id="24" name="CaixaDeTexto 12">
          <a:hlinkClick xmlns:r="http://schemas.openxmlformats.org/officeDocument/2006/relationships" r:id="rId6"/>
          <a:extLst>
            <a:ext uri="{FF2B5EF4-FFF2-40B4-BE49-F238E27FC236}">
              <a16:creationId xmlns:a16="http://schemas.microsoft.com/office/drawing/2014/main" id="{00000000-0008-0000-0200-000018000000}"/>
            </a:ext>
          </a:extLst>
        </xdr:cNvPr>
        <xdr:cNvSpPr txBox="1"/>
      </xdr:nvSpPr>
      <xdr:spPr>
        <a:xfrm>
          <a:off x="5848350" y="34925"/>
          <a:ext cx="550039"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2326978</xdr:colOff>
      <xdr:row>0</xdr:row>
      <xdr:rowOff>34925</xdr:rowOff>
    </xdr:from>
    <xdr:to>
      <xdr:col>2</xdr:col>
      <xdr:colOff>3111778</xdr:colOff>
      <xdr:row>1</xdr:row>
      <xdr:rowOff>122362</xdr:rowOff>
    </xdr:to>
    <xdr:sp macro="" textlink="">
      <xdr:nvSpPr>
        <xdr:cNvPr id="25" name="CaixaDeTexto 13">
          <a:hlinkClick xmlns:r="http://schemas.openxmlformats.org/officeDocument/2006/relationships" r:id="rId7"/>
          <a:extLst>
            <a:ext uri="{FF2B5EF4-FFF2-40B4-BE49-F238E27FC236}">
              <a16:creationId xmlns:a16="http://schemas.microsoft.com/office/drawing/2014/main" id="{00000000-0008-0000-0200-000019000000}"/>
            </a:ext>
          </a:extLst>
        </xdr:cNvPr>
        <xdr:cNvSpPr txBox="1"/>
      </xdr:nvSpPr>
      <xdr:spPr>
        <a:xfrm>
          <a:off x="6410304" y="34925"/>
          <a:ext cx="784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332079</xdr:colOff>
      <xdr:row>0</xdr:row>
      <xdr:rowOff>34925</xdr:rowOff>
    </xdr:from>
    <xdr:to>
      <xdr:col>1</xdr:col>
      <xdr:colOff>1069229</xdr:colOff>
      <xdr:row>1</xdr:row>
      <xdr:rowOff>122362</xdr:rowOff>
    </xdr:to>
    <xdr:sp macro="" textlink="">
      <xdr:nvSpPr>
        <xdr:cNvPr id="26" name="CaixaDeTexto 15">
          <a:hlinkClick xmlns:r="http://schemas.openxmlformats.org/officeDocument/2006/relationships" r:id="rId8"/>
          <a:extLst>
            <a:ext uri="{FF2B5EF4-FFF2-40B4-BE49-F238E27FC236}">
              <a16:creationId xmlns:a16="http://schemas.microsoft.com/office/drawing/2014/main" id="{00000000-0008-0000-0200-00001A000000}"/>
            </a:ext>
          </a:extLst>
        </xdr:cNvPr>
        <xdr:cNvSpPr txBox="1"/>
      </xdr:nvSpPr>
      <xdr:spPr>
        <a:xfrm>
          <a:off x="918212" y="34925"/>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49931</xdr:rowOff>
    </xdr:from>
    <xdr:to>
      <xdr:col>1</xdr:col>
      <xdr:colOff>0</xdr:colOff>
      <xdr:row>1</xdr:row>
      <xdr:rowOff>126407</xdr:rowOff>
    </xdr:to>
    <xdr:sp macro="" textlink="">
      <xdr:nvSpPr>
        <xdr:cNvPr id="27" name="CaixaDeTexto 14">
          <a:hlinkClick xmlns:r="http://schemas.openxmlformats.org/officeDocument/2006/relationships" r:id="rId9"/>
          <a:extLst>
            <a:ext uri="{FF2B5EF4-FFF2-40B4-BE49-F238E27FC236}">
              <a16:creationId xmlns:a16="http://schemas.microsoft.com/office/drawing/2014/main" id="{00000000-0008-0000-0200-00001B000000}"/>
            </a:ext>
          </a:extLst>
        </xdr:cNvPr>
        <xdr:cNvSpPr txBox="1"/>
      </xdr:nvSpPr>
      <xdr:spPr>
        <a:xfrm>
          <a:off x="0" y="43581"/>
          <a:ext cx="579783" cy="250411"/>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38100</xdr:colOff>
      <xdr:row>0</xdr:row>
      <xdr:rowOff>38100</xdr:rowOff>
    </xdr:from>
    <xdr:to>
      <xdr:col>3</xdr:col>
      <xdr:colOff>603246</xdr:colOff>
      <xdr:row>1</xdr:row>
      <xdr:rowOff>161781</xdr:rowOff>
    </xdr:to>
    <xdr:pic>
      <xdr:nvPicPr>
        <xdr:cNvPr id="13" name="Picture 9">
          <a:hlinkClick xmlns:r="http://schemas.openxmlformats.org/officeDocument/2006/relationships" r:id="rId8"/>
          <a:extLst>
            <a:ext uri="{FF2B5EF4-FFF2-40B4-BE49-F238E27FC236}">
              <a16:creationId xmlns:a16="http://schemas.microsoft.com/office/drawing/2014/main" id="{00000000-0008-0000-0200-00000D000000}"/>
            </a:ext>
            <a:ext uri="{147F2762-F138-4A5C-976F-8EAC2B608ADB}">
              <a16:predDERef xmlns:a16="http://schemas.microsoft.com/office/drawing/2014/main" pred="{E97718DA-2A8F-47DA-95F5-D8A2A385EA7A}"/>
            </a:ext>
          </a:extLst>
        </xdr:cNvPr>
        <xdr:cNvPicPr preferRelativeResize="0">
          <a:picLocks/>
        </xdr:cNvPicPr>
      </xdr:nvPicPr>
      <xdr:blipFill>
        <a:blip xmlns:r="http://schemas.openxmlformats.org/officeDocument/2006/relationships" r:embed="rId10"/>
        <a:stretch>
          <a:fillRect/>
        </a:stretch>
      </xdr:blipFill>
      <xdr:spPr>
        <a:xfrm flipH="1">
          <a:off x="7629525" y="38100"/>
          <a:ext cx="561971" cy="307831"/>
        </a:xfrm>
        <a:prstGeom prst="rect">
          <a:avLst/>
        </a:prstGeom>
      </xdr:spPr>
    </xdr:pic>
    <xdr:clientData/>
  </xdr:twoCellAnchor>
  <xdr:twoCellAnchor editAs="oneCell">
    <xdr:from>
      <xdr:col>3</xdr:col>
      <xdr:colOff>628650</xdr:colOff>
      <xdr:row>0</xdr:row>
      <xdr:rowOff>38100</xdr:rowOff>
    </xdr:from>
    <xdr:to>
      <xdr:col>3</xdr:col>
      <xdr:colOff>1189245</xdr:colOff>
      <xdr:row>1</xdr:row>
      <xdr:rowOff>161781</xdr:rowOff>
    </xdr:to>
    <xdr:pic>
      <xdr:nvPicPr>
        <xdr:cNvPr id="30" name="Picture 10">
          <a:hlinkClick xmlns:r="http://schemas.openxmlformats.org/officeDocument/2006/relationships" r:id="rId3"/>
          <a:extLst>
            <a:ext uri="{FF2B5EF4-FFF2-40B4-BE49-F238E27FC236}">
              <a16:creationId xmlns:a16="http://schemas.microsoft.com/office/drawing/2014/main" id="{00000000-0008-0000-0200-00001E000000}"/>
            </a:ext>
            <a:ext uri="{147F2762-F138-4A5C-976F-8EAC2B608ADB}">
              <a16:predDERef xmlns:a16="http://schemas.microsoft.com/office/drawing/2014/main" pred="{2704657C-DC86-4982-BCB2-71323A451478}"/>
            </a:ext>
          </a:extLst>
        </xdr:cNvPr>
        <xdr:cNvPicPr preferRelativeResize="0">
          <a:picLocks/>
        </xdr:cNvPicPr>
      </xdr:nvPicPr>
      <xdr:blipFill>
        <a:blip xmlns:r="http://schemas.openxmlformats.org/officeDocument/2006/relationships" r:embed="rId10"/>
        <a:stretch>
          <a:fillRect/>
        </a:stretch>
      </xdr:blipFill>
      <xdr:spPr>
        <a:xfrm rot="10800000" flipH="1">
          <a:off x="8220075" y="38100"/>
          <a:ext cx="563770" cy="3078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2008345</xdr:colOff>
      <xdr:row>0</xdr:row>
      <xdr:rowOff>45141</xdr:rowOff>
    </xdr:from>
    <xdr:to>
      <xdr:col>1</xdr:col>
      <xdr:colOff>2946245</xdr:colOff>
      <xdr:row>1</xdr:row>
      <xdr:rowOff>145278</xdr:rowOff>
    </xdr:to>
    <xdr:sp macro="" textlink="">
      <xdr:nvSpPr>
        <xdr:cNvPr id="19" name="CaixaDeTexto 8">
          <a:hlinkClick xmlns:r="http://schemas.openxmlformats.org/officeDocument/2006/relationships" r:id="rId2"/>
          <a:extLst>
            <a:ext uri="{FF2B5EF4-FFF2-40B4-BE49-F238E27FC236}">
              <a16:creationId xmlns:a16="http://schemas.microsoft.com/office/drawing/2014/main" id="{00000000-0008-0000-0300-000013000000}"/>
            </a:ext>
          </a:extLst>
        </xdr:cNvPr>
        <xdr:cNvSpPr txBox="1"/>
      </xdr:nvSpPr>
      <xdr:spPr>
        <a:xfrm>
          <a:off x="2594478" y="51491"/>
          <a:ext cx="925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1257562</xdr:colOff>
      <xdr:row>0</xdr:row>
      <xdr:rowOff>45141</xdr:rowOff>
    </xdr:from>
    <xdr:to>
      <xdr:col>1</xdr:col>
      <xdr:colOff>1826362</xdr:colOff>
      <xdr:row>1</xdr:row>
      <xdr:rowOff>145278</xdr:rowOff>
    </xdr:to>
    <xdr:sp macro="" textlink="">
      <xdr:nvSpPr>
        <xdr:cNvPr id="20" name="CaixaDeTexto 9">
          <a:hlinkClick xmlns:r="http://schemas.openxmlformats.org/officeDocument/2006/relationships" r:id="rId3"/>
          <a:extLst>
            <a:ext uri="{FF2B5EF4-FFF2-40B4-BE49-F238E27FC236}">
              <a16:creationId xmlns:a16="http://schemas.microsoft.com/office/drawing/2014/main" id="{00000000-0008-0000-0300-000014000000}"/>
            </a:ext>
          </a:extLst>
        </xdr:cNvPr>
        <xdr:cNvSpPr txBox="1"/>
      </xdr:nvSpPr>
      <xdr:spPr>
        <a:xfrm>
          <a:off x="1837345" y="51491"/>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3134578</xdr:colOff>
      <xdr:row>0</xdr:row>
      <xdr:rowOff>45141</xdr:rowOff>
    </xdr:from>
    <xdr:to>
      <xdr:col>2</xdr:col>
      <xdr:colOff>332401</xdr:colOff>
      <xdr:row>1</xdr:row>
      <xdr:rowOff>145278</xdr:rowOff>
    </xdr:to>
    <xdr:sp macro="" textlink="">
      <xdr:nvSpPr>
        <xdr:cNvPr id="21" name="CaixaDeTexto 10">
          <a:hlinkClick xmlns:r="http://schemas.openxmlformats.org/officeDocument/2006/relationships" r:id="rId4"/>
          <a:extLst>
            <a:ext uri="{FF2B5EF4-FFF2-40B4-BE49-F238E27FC236}">
              <a16:creationId xmlns:a16="http://schemas.microsoft.com/office/drawing/2014/main" id="{00000000-0008-0000-0300-000015000000}"/>
            </a:ext>
          </a:extLst>
        </xdr:cNvPr>
        <xdr:cNvSpPr txBox="1"/>
      </xdr:nvSpPr>
      <xdr:spPr>
        <a:xfrm>
          <a:off x="3708011" y="51491"/>
          <a:ext cx="707716"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520735</xdr:colOff>
      <xdr:row>0</xdr:row>
      <xdr:rowOff>45141</xdr:rowOff>
    </xdr:from>
    <xdr:to>
      <xdr:col>2</xdr:col>
      <xdr:colOff>1409935</xdr:colOff>
      <xdr:row>1</xdr:row>
      <xdr:rowOff>145278</xdr:rowOff>
    </xdr:to>
    <xdr:sp macro="" textlink="">
      <xdr:nvSpPr>
        <xdr:cNvPr id="22" name="CaixaDeTexto 11">
          <a:hlinkClick xmlns:r="http://schemas.openxmlformats.org/officeDocument/2006/relationships" r:id="rId5"/>
          <a:extLst>
            <a:ext uri="{FF2B5EF4-FFF2-40B4-BE49-F238E27FC236}">
              <a16:creationId xmlns:a16="http://schemas.microsoft.com/office/drawing/2014/main" id="{00000000-0008-0000-0300-000016000000}"/>
            </a:ext>
          </a:extLst>
        </xdr:cNvPr>
        <xdr:cNvSpPr txBox="1"/>
      </xdr:nvSpPr>
      <xdr:spPr>
        <a:xfrm>
          <a:off x="4604061" y="51491"/>
          <a:ext cx="889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1598269</xdr:colOff>
      <xdr:row>0</xdr:row>
      <xdr:rowOff>45141</xdr:rowOff>
    </xdr:from>
    <xdr:to>
      <xdr:col>2</xdr:col>
      <xdr:colOff>2087019</xdr:colOff>
      <xdr:row>1</xdr:row>
      <xdr:rowOff>145278</xdr:rowOff>
    </xdr:to>
    <xdr:sp macro="" textlink="">
      <xdr:nvSpPr>
        <xdr:cNvPr id="23" name="CaixaDeTexto 12">
          <a:hlinkClick xmlns:r="http://schemas.openxmlformats.org/officeDocument/2006/relationships" r:id="rId6"/>
          <a:extLst>
            <a:ext uri="{FF2B5EF4-FFF2-40B4-BE49-F238E27FC236}">
              <a16:creationId xmlns:a16="http://schemas.microsoft.com/office/drawing/2014/main" id="{00000000-0008-0000-0300-000017000000}"/>
            </a:ext>
          </a:extLst>
        </xdr:cNvPr>
        <xdr:cNvSpPr txBox="1"/>
      </xdr:nvSpPr>
      <xdr:spPr>
        <a:xfrm>
          <a:off x="5681595" y="51491"/>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2269003</xdr:colOff>
      <xdr:row>0</xdr:row>
      <xdr:rowOff>45141</xdr:rowOff>
    </xdr:from>
    <xdr:to>
      <xdr:col>2</xdr:col>
      <xdr:colOff>3060153</xdr:colOff>
      <xdr:row>1</xdr:row>
      <xdr:rowOff>145278</xdr:rowOff>
    </xdr:to>
    <xdr:sp macro="" textlink="">
      <xdr:nvSpPr>
        <xdr:cNvPr id="24" name="CaixaDeTexto 13">
          <a:hlinkClick xmlns:r="http://schemas.openxmlformats.org/officeDocument/2006/relationships" r:id="rId7"/>
          <a:extLst>
            <a:ext uri="{FF2B5EF4-FFF2-40B4-BE49-F238E27FC236}">
              <a16:creationId xmlns:a16="http://schemas.microsoft.com/office/drawing/2014/main" id="{00000000-0008-0000-0300-000018000000}"/>
            </a:ext>
          </a:extLst>
        </xdr:cNvPr>
        <xdr:cNvSpPr txBox="1"/>
      </xdr:nvSpPr>
      <xdr:spPr>
        <a:xfrm>
          <a:off x="6352329" y="51491"/>
          <a:ext cx="784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332079</xdr:colOff>
      <xdr:row>0</xdr:row>
      <xdr:rowOff>45141</xdr:rowOff>
    </xdr:from>
    <xdr:to>
      <xdr:col>1</xdr:col>
      <xdr:colOff>1069229</xdr:colOff>
      <xdr:row>1</xdr:row>
      <xdr:rowOff>145278</xdr:rowOff>
    </xdr:to>
    <xdr:sp macro="" textlink="">
      <xdr:nvSpPr>
        <xdr:cNvPr id="25" name="CaixaDeTexto 15">
          <a:hlinkClick xmlns:r="http://schemas.openxmlformats.org/officeDocument/2006/relationships" r:id="rId8"/>
          <a:extLst>
            <a:ext uri="{FF2B5EF4-FFF2-40B4-BE49-F238E27FC236}">
              <a16:creationId xmlns:a16="http://schemas.microsoft.com/office/drawing/2014/main" id="{00000000-0008-0000-0300-000019000000}"/>
            </a:ext>
          </a:extLst>
        </xdr:cNvPr>
        <xdr:cNvSpPr txBox="1"/>
      </xdr:nvSpPr>
      <xdr:spPr>
        <a:xfrm>
          <a:off x="918212" y="51491"/>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8283</xdr:colOff>
      <xdr:row>0</xdr:row>
      <xdr:rowOff>64288</xdr:rowOff>
    </xdr:from>
    <xdr:to>
      <xdr:col>1</xdr:col>
      <xdr:colOff>8283</xdr:colOff>
      <xdr:row>1</xdr:row>
      <xdr:rowOff>132481</xdr:rowOff>
    </xdr:to>
    <xdr:sp macro="" textlink="">
      <xdr:nvSpPr>
        <xdr:cNvPr id="26" name="CaixaDeTexto 14">
          <a:hlinkClick xmlns:r="http://schemas.openxmlformats.org/officeDocument/2006/relationships" r:id="rId9"/>
          <a:extLst>
            <a:ext uri="{FF2B5EF4-FFF2-40B4-BE49-F238E27FC236}">
              <a16:creationId xmlns:a16="http://schemas.microsoft.com/office/drawing/2014/main" id="{00000000-0008-0000-0300-00001A000000}"/>
            </a:ext>
          </a:extLst>
        </xdr:cNvPr>
        <xdr:cNvSpPr txBox="1"/>
      </xdr:nvSpPr>
      <xdr:spPr>
        <a:xfrm>
          <a:off x="8283" y="64288"/>
          <a:ext cx="579783" cy="242128"/>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38100</xdr:colOff>
      <xdr:row>0</xdr:row>
      <xdr:rowOff>38100</xdr:rowOff>
    </xdr:from>
    <xdr:to>
      <xdr:col>3</xdr:col>
      <xdr:colOff>600071</xdr:colOff>
      <xdr:row>1</xdr:row>
      <xdr:rowOff>161781</xdr:rowOff>
    </xdr:to>
    <xdr:pic>
      <xdr:nvPicPr>
        <xdr:cNvPr id="10" name="Picture 6">
          <a:hlinkClick xmlns:r="http://schemas.openxmlformats.org/officeDocument/2006/relationships" r:id="rId10"/>
          <a:extLst>
            <a:ext uri="{FF2B5EF4-FFF2-40B4-BE49-F238E27FC236}">
              <a16:creationId xmlns:a16="http://schemas.microsoft.com/office/drawing/2014/main" id="{00000000-0008-0000-0300-00000A000000}"/>
            </a:ext>
            <a:ext uri="{147F2762-F138-4A5C-976F-8EAC2B608ADB}">
              <a16:predDERef xmlns:a16="http://schemas.microsoft.com/office/drawing/2014/main" pred="{A2404908-DDE0-44F6-ADAD-143BDFD998C1}"/>
            </a:ext>
          </a:extLst>
        </xdr:cNvPr>
        <xdr:cNvPicPr preferRelativeResize="0">
          <a:picLocks/>
        </xdr:cNvPicPr>
      </xdr:nvPicPr>
      <xdr:blipFill>
        <a:blip xmlns:r="http://schemas.openxmlformats.org/officeDocument/2006/relationships" r:embed="rId11"/>
        <a:stretch>
          <a:fillRect/>
        </a:stretch>
      </xdr:blipFill>
      <xdr:spPr>
        <a:xfrm flipH="1">
          <a:off x="7629525" y="38100"/>
          <a:ext cx="561971" cy="304656"/>
        </a:xfrm>
        <a:prstGeom prst="rect">
          <a:avLst/>
        </a:prstGeom>
      </xdr:spPr>
    </xdr:pic>
    <xdr:clientData/>
  </xdr:twoCellAnchor>
  <xdr:twoCellAnchor editAs="oneCell">
    <xdr:from>
      <xdr:col>3</xdr:col>
      <xdr:colOff>628650</xdr:colOff>
      <xdr:row>0</xdr:row>
      <xdr:rowOff>38100</xdr:rowOff>
    </xdr:from>
    <xdr:to>
      <xdr:col>3</xdr:col>
      <xdr:colOff>1189245</xdr:colOff>
      <xdr:row>1</xdr:row>
      <xdr:rowOff>161781</xdr:rowOff>
    </xdr:to>
    <xdr:pic>
      <xdr:nvPicPr>
        <xdr:cNvPr id="30" name="Picture 7">
          <a:hlinkClick xmlns:r="http://schemas.openxmlformats.org/officeDocument/2006/relationships" r:id="rId12"/>
          <a:extLst>
            <a:ext uri="{FF2B5EF4-FFF2-40B4-BE49-F238E27FC236}">
              <a16:creationId xmlns:a16="http://schemas.microsoft.com/office/drawing/2014/main" id="{00000000-0008-0000-0300-00001E000000}"/>
            </a:ext>
            <a:ext uri="{147F2762-F138-4A5C-976F-8EAC2B608ADB}">
              <a16:predDERef xmlns:a16="http://schemas.microsoft.com/office/drawing/2014/main" pred="{3E4679CC-97B0-4B8E-A0B5-06C2950A75B8}"/>
            </a:ext>
          </a:extLst>
        </xdr:cNvPr>
        <xdr:cNvPicPr preferRelativeResize="0">
          <a:picLocks/>
        </xdr:cNvPicPr>
      </xdr:nvPicPr>
      <xdr:blipFill>
        <a:blip xmlns:r="http://schemas.openxmlformats.org/officeDocument/2006/relationships" r:embed="rId11"/>
        <a:stretch>
          <a:fillRect/>
        </a:stretch>
      </xdr:blipFill>
      <xdr:spPr>
        <a:xfrm rot="10800000" flipH="1">
          <a:off x="8220075" y="38100"/>
          <a:ext cx="566945" cy="3046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673966</xdr:colOff>
      <xdr:row>5</xdr:row>
      <xdr:rowOff>9525</xdr:rowOff>
    </xdr:to>
    <xdr:pic>
      <xdr:nvPicPr>
        <xdr:cNvPr id="2" name="Picture 1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7086" y="496455"/>
          <a:ext cx="1176480" cy="424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433153</xdr:colOff>
      <xdr:row>12</xdr:row>
      <xdr:rowOff>398246</xdr:rowOff>
    </xdr:from>
    <xdr:to>
      <xdr:col>3</xdr:col>
      <xdr:colOff>902085</xdr:colOff>
      <xdr:row>12</xdr:row>
      <xdr:rowOff>869421</xdr:rowOff>
    </xdr:to>
    <xdr:pic>
      <xdr:nvPicPr>
        <xdr:cNvPr id="18" name="Imagem 13">
          <a:extLst>
            <a:ext uri="{FF2B5EF4-FFF2-40B4-BE49-F238E27FC236}">
              <a16:creationId xmlns:a16="http://schemas.microsoft.com/office/drawing/2014/main" id="{00000000-0008-0000-0400-000012000000}"/>
            </a:ext>
            <a:ext uri="{147F2762-F138-4A5C-976F-8EAC2B608ADB}">
              <a16:predDERef xmlns:a16="http://schemas.microsoft.com/office/drawing/2014/main" pred="{A6134653-E404-4F78-B572-F2E4362DBD6D}"/>
            </a:ext>
          </a:extLst>
        </xdr:cNvPr>
        <xdr:cNvPicPr>
          <a:picLocks noChangeAspect="1"/>
        </xdr:cNvPicPr>
      </xdr:nvPicPr>
      <xdr:blipFill>
        <a:blip xmlns:r="http://schemas.openxmlformats.org/officeDocument/2006/relationships" r:embed="rId2"/>
        <a:stretch>
          <a:fillRect/>
        </a:stretch>
      </xdr:blipFill>
      <xdr:spPr>
        <a:xfrm>
          <a:off x="2582628" y="3017621"/>
          <a:ext cx="472107" cy="468000"/>
        </a:xfrm>
        <a:prstGeom prst="rect">
          <a:avLst/>
        </a:prstGeom>
      </xdr:spPr>
    </xdr:pic>
    <xdr:clientData/>
  </xdr:twoCellAnchor>
  <xdr:twoCellAnchor>
    <xdr:from>
      <xdr:col>3</xdr:col>
      <xdr:colOff>443236</xdr:colOff>
      <xdr:row>12</xdr:row>
      <xdr:rowOff>963394</xdr:rowOff>
    </xdr:from>
    <xdr:to>
      <xdr:col>3</xdr:col>
      <xdr:colOff>888827</xdr:colOff>
      <xdr:row>13</xdr:row>
      <xdr:rowOff>239471</xdr:rowOff>
    </xdr:to>
    <xdr:pic>
      <xdr:nvPicPr>
        <xdr:cNvPr id="19" name="Imagem 6">
          <a:extLst>
            <a:ext uri="{FF2B5EF4-FFF2-40B4-BE49-F238E27FC236}">
              <a16:creationId xmlns:a16="http://schemas.microsoft.com/office/drawing/2014/main" id="{00000000-0008-0000-0400-000013000000}"/>
            </a:ext>
            <a:ext uri="{147F2762-F138-4A5C-976F-8EAC2B608ADB}">
              <a16:predDERef xmlns:a16="http://schemas.microsoft.com/office/drawing/2014/main" pred="{E2D4E737-CD56-4207-A868-6D83BB8FAABF}"/>
            </a:ext>
          </a:extLst>
        </xdr:cNvPr>
        <xdr:cNvPicPr>
          <a:picLocks noChangeAspect="1"/>
        </xdr:cNvPicPr>
      </xdr:nvPicPr>
      <xdr:blipFill>
        <a:blip xmlns:r="http://schemas.openxmlformats.org/officeDocument/2006/relationships" r:embed="rId3"/>
        <a:stretch>
          <a:fillRect/>
        </a:stretch>
      </xdr:blipFill>
      <xdr:spPr>
        <a:xfrm>
          <a:off x="2599061" y="3579594"/>
          <a:ext cx="439241" cy="457177"/>
        </a:xfrm>
        <a:prstGeom prst="rect">
          <a:avLst/>
        </a:prstGeom>
      </xdr:spPr>
    </xdr:pic>
    <xdr:clientData/>
  </xdr:twoCellAnchor>
  <xdr:twoCellAnchor editAs="oneCell">
    <xdr:from>
      <xdr:col>3</xdr:col>
      <xdr:colOff>441090</xdr:colOff>
      <xdr:row>16</xdr:row>
      <xdr:rowOff>198865</xdr:rowOff>
    </xdr:from>
    <xdr:to>
      <xdr:col>3</xdr:col>
      <xdr:colOff>884622</xdr:colOff>
      <xdr:row>16</xdr:row>
      <xdr:rowOff>677184</xdr:rowOff>
    </xdr:to>
    <xdr:pic>
      <xdr:nvPicPr>
        <xdr:cNvPr id="20" name="Imagem 13">
          <a:extLst>
            <a:ext uri="{FF2B5EF4-FFF2-40B4-BE49-F238E27FC236}">
              <a16:creationId xmlns:a16="http://schemas.microsoft.com/office/drawing/2014/main" id="{00000000-0008-0000-0400-000014000000}"/>
            </a:ext>
            <a:ext uri="{147F2762-F138-4A5C-976F-8EAC2B608ADB}">
              <a16:predDERef xmlns:a16="http://schemas.microsoft.com/office/drawing/2014/main" pred="{A6134653-E404-4F78-B572-F2E4362DBD6D}"/>
            </a:ext>
          </a:extLst>
        </xdr:cNvPr>
        <xdr:cNvPicPr>
          <a:picLocks noChangeAspect="1"/>
        </xdr:cNvPicPr>
      </xdr:nvPicPr>
      <xdr:blipFill>
        <a:blip xmlns:r="http://schemas.openxmlformats.org/officeDocument/2006/relationships" r:embed="rId2"/>
        <a:stretch>
          <a:fillRect/>
        </a:stretch>
      </xdr:blipFill>
      <xdr:spPr>
        <a:xfrm>
          <a:off x="2593740" y="6050390"/>
          <a:ext cx="446707" cy="481494"/>
        </a:xfrm>
        <a:prstGeom prst="rect">
          <a:avLst/>
        </a:prstGeom>
      </xdr:spPr>
    </xdr:pic>
    <xdr:clientData/>
  </xdr:twoCellAnchor>
  <xdr:twoCellAnchor editAs="oneCell">
    <xdr:from>
      <xdr:col>3</xdr:col>
      <xdr:colOff>429077</xdr:colOff>
      <xdr:row>18</xdr:row>
      <xdr:rowOff>146049</xdr:rowOff>
    </xdr:from>
    <xdr:to>
      <xdr:col>3</xdr:col>
      <xdr:colOff>906161</xdr:colOff>
      <xdr:row>18</xdr:row>
      <xdr:rowOff>639449</xdr:rowOff>
    </xdr:to>
    <xdr:pic>
      <xdr:nvPicPr>
        <xdr:cNvPr id="21" name="Imagem 10">
          <a:extLst>
            <a:ext uri="{FF2B5EF4-FFF2-40B4-BE49-F238E27FC236}">
              <a16:creationId xmlns:a16="http://schemas.microsoft.com/office/drawing/2014/main" id="{00000000-0008-0000-0400-000015000000}"/>
            </a:ext>
            <a:ext uri="{147F2762-F138-4A5C-976F-8EAC2B608ADB}">
              <a16:predDERef xmlns:a16="http://schemas.microsoft.com/office/drawing/2014/main" pred="{0E99539E-5471-451C-9427-BB9760ED0DFE}"/>
            </a:ext>
          </a:extLst>
        </xdr:cNvPr>
        <xdr:cNvPicPr>
          <a:picLocks noChangeAspect="1"/>
        </xdr:cNvPicPr>
      </xdr:nvPicPr>
      <xdr:blipFill>
        <a:blip xmlns:r="http://schemas.openxmlformats.org/officeDocument/2006/relationships" r:embed="rId4"/>
        <a:stretch>
          <a:fillRect/>
        </a:stretch>
      </xdr:blipFill>
      <xdr:spPr>
        <a:xfrm>
          <a:off x="2578552" y="7543799"/>
          <a:ext cx="480259" cy="496575"/>
        </a:xfrm>
        <a:prstGeom prst="rect">
          <a:avLst/>
        </a:prstGeom>
      </xdr:spPr>
    </xdr:pic>
    <xdr:clientData/>
  </xdr:twoCellAnchor>
  <xdr:twoCellAnchor>
    <xdr:from>
      <xdr:col>3</xdr:col>
      <xdr:colOff>428964</xdr:colOff>
      <xdr:row>19</xdr:row>
      <xdr:rowOff>133205</xdr:rowOff>
    </xdr:from>
    <xdr:to>
      <xdr:col>3</xdr:col>
      <xdr:colOff>903099</xdr:colOff>
      <xdr:row>19</xdr:row>
      <xdr:rowOff>629780</xdr:rowOff>
    </xdr:to>
    <xdr:pic>
      <xdr:nvPicPr>
        <xdr:cNvPr id="22" name="Imagem 55">
          <a:extLst>
            <a:ext uri="{FF2B5EF4-FFF2-40B4-BE49-F238E27FC236}">
              <a16:creationId xmlns:a16="http://schemas.microsoft.com/office/drawing/2014/main" id="{00000000-0008-0000-0400-000016000000}"/>
            </a:ext>
            <a:ext uri="{147F2762-F138-4A5C-976F-8EAC2B608ADB}">
              <a16:predDERef xmlns:a16="http://schemas.microsoft.com/office/drawing/2014/main" pred="{3B267E62-EA40-4CEF-9A34-854C9CAF3D3D}"/>
            </a:ext>
          </a:extLst>
        </xdr:cNvPr>
        <xdr:cNvPicPr>
          <a:picLocks noChangeAspect="1"/>
        </xdr:cNvPicPr>
      </xdr:nvPicPr>
      <xdr:blipFill>
        <a:blip xmlns:r="http://schemas.openxmlformats.org/officeDocument/2006/relationships" r:embed="rId5"/>
        <a:stretch>
          <a:fillRect/>
        </a:stretch>
      </xdr:blipFill>
      <xdr:spPr>
        <a:xfrm>
          <a:off x="2578439" y="8277080"/>
          <a:ext cx="480485" cy="496575"/>
        </a:xfrm>
        <a:prstGeom prst="rect">
          <a:avLst/>
        </a:prstGeom>
      </xdr:spPr>
    </xdr:pic>
    <xdr:clientData/>
  </xdr:twoCellAnchor>
  <xdr:twoCellAnchor editAs="oneCell">
    <xdr:from>
      <xdr:col>3</xdr:col>
      <xdr:colOff>427906</xdr:colOff>
      <xdr:row>24</xdr:row>
      <xdr:rowOff>307685</xdr:rowOff>
    </xdr:from>
    <xdr:to>
      <xdr:col>3</xdr:col>
      <xdr:colOff>907331</xdr:colOff>
      <xdr:row>25</xdr:row>
      <xdr:rowOff>174504</xdr:rowOff>
    </xdr:to>
    <xdr:pic>
      <xdr:nvPicPr>
        <xdr:cNvPr id="23" name="Imagem 14">
          <a:extLst>
            <a:ext uri="{FF2B5EF4-FFF2-40B4-BE49-F238E27FC236}">
              <a16:creationId xmlns:a16="http://schemas.microsoft.com/office/drawing/2014/main" id="{00000000-0008-0000-0400-000017000000}"/>
            </a:ext>
            <a:ext uri="{147F2762-F138-4A5C-976F-8EAC2B608ADB}">
              <a16:predDERef xmlns:a16="http://schemas.microsoft.com/office/drawing/2014/main" pred="{C02A0C7E-2A38-45BB-A83B-57DA9FF58F3C}"/>
            </a:ext>
          </a:extLst>
        </xdr:cNvPr>
        <xdr:cNvPicPr>
          <a:picLocks noChangeAspect="1"/>
        </xdr:cNvPicPr>
      </xdr:nvPicPr>
      <xdr:blipFill>
        <a:blip xmlns:r="http://schemas.openxmlformats.org/officeDocument/2006/relationships" r:embed="rId6"/>
        <a:stretch>
          <a:fillRect/>
        </a:stretch>
      </xdr:blipFill>
      <xdr:spPr>
        <a:xfrm>
          <a:off x="2583731" y="13299785"/>
          <a:ext cx="476250" cy="480699"/>
        </a:xfrm>
        <a:prstGeom prst="rect">
          <a:avLst/>
        </a:prstGeom>
      </xdr:spPr>
    </xdr:pic>
    <xdr:clientData/>
  </xdr:twoCellAnchor>
  <xdr:twoCellAnchor editAs="oneCell">
    <xdr:from>
      <xdr:col>3</xdr:col>
      <xdr:colOff>425789</xdr:colOff>
      <xdr:row>25</xdr:row>
      <xdr:rowOff>407120</xdr:rowOff>
    </xdr:from>
    <xdr:to>
      <xdr:col>3</xdr:col>
      <xdr:colOff>903099</xdr:colOff>
      <xdr:row>25</xdr:row>
      <xdr:rowOff>850491</xdr:rowOff>
    </xdr:to>
    <xdr:pic>
      <xdr:nvPicPr>
        <xdr:cNvPr id="24" name="Imagem 55">
          <a:extLst>
            <a:ext uri="{FF2B5EF4-FFF2-40B4-BE49-F238E27FC236}">
              <a16:creationId xmlns:a16="http://schemas.microsoft.com/office/drawing/2014/main" id="{00000000-0008-0000-0400-000018000000}"/>
            </a:ext>
            <a:ext uri="{147F2762-F138-4A5C-976F-8EAC2B608ADB}">
              <a16:predDERef xmlns:a16="http://schemas.microsoft.com/office/drawing/2014/main" pred="{3B267E62-EA40-4CEF-9A34-854C9CAF3D3D}"/>
            </a:ext>
          </a:extLst>
        </xdr:cNvPr>
        <xdr:cNvPicPr>
          <a:picLocks noChangeAspect="1"/>
        </xdr:cNvPicPr>
      </xdr:nvPicPr>
      <xdr:blipFill>
        <a:blip xmlns:r="http://schemas.openxmlformats.org/officeDocument/2006/relationships" r:embed="rId5"/>
        <a:stretch>
          <a:fillRect/>
        </a:stretch>
      </xdr:blipFill>
      <xdr:spPr>
        <a:xfrm>
          <a:off x="2581614" y="13878645"/>
          <a:ext cx="474135" cy="453448"/>
        </a:xfrm>
        <a:prstGeom prst="rect">
          <a:avLst/>
        </a:prstGeom>
      </xdr:spPr>
    </xdr:pic>
    <xdr:clientData/>
  </xdr:twoCellAnchor>
  <xdr:twoCellAnchor editAs="oneCell">
    <xdr:from>
      <xdr:col>3</xdr:col>
      <xdr:colOff>433512</xdr:colOff>
      <xdr:row>37</xdr:row>
      <xdr:rowOff>31461</xdr:rowOff>
    </xdr:from>
    <xdr:to>
      <xdr:col>3</xdr:col>
      <xdr:colOff>901726</xdr:colOff>
      <xdr:row>37</xdr:row>
      <xdr:rowOff>502869</xdr:rowOff>
    </xdr:to>
    <xdr:pic>
      <xdr:nvPicPr>
        <xdr:cNvPr id="25" name="Imagem 10">
          <a:extLst>
            <a:ext uri="{FF2B5EF4-FFF2-40B4-BE49-F238E27FC236}">
              <a16:creationId xmlns:a16="http://schemas.microsoft.com/office/drawing/2014/main" id="{00000000-0008-0000-0400-000019000000}"/>
            </a:ext>
            <a:ext uri="{147F2762-F138-4A5C-976F-8EAC2B608ADB}">
              <a16:predDERef xmlns:a16="http://schemas.microsoft.com/office/drawing/2014/main" pred="{5D5FA2F3-F5B2-40B6-B40C-DFFB5F2ACA75}"/>
            </a:ext>
          </a:extLst>
        </xdr:cNvPr>
        <xdr:cNvPicPr>
          <a:picLocks noChangeAspect="1"/>
        </xdr:cNvPicPr>
      </xdr:nvPicPr>
      <xdr:blipFill>
        <a:blip xmlns:r="http://schemas.openxmlformats.org/officeDocument/2006/relationships" r:embed="rId7"/>
        <a:stretch>
          <a:fillRect/>
        </a:stretch>
      </xdr:blipFill>
      <xdr:spPr>
        <a:xfrm>
          <a:off x="2582987" y="18268661"/>
          <a:ext cx="471389" cy="474583"/>
        </a:xfrm>
        <a:prstGeom prst="rect">
          <a:avLst/>
        </a:prstGeom>
      </xdr:spPr>
    </xdr:pic>
    <xdr:clientData/>
  </xdr:twoCellAnchor>
  <xdr:twoCellAnchor editAs="oneCell">
    <xdr:from>
      <xdr:col>3</xdr:col>
      <xdr:colOff>432879</xdr:colOff>
      <xdr:row>39</xdr:row>
      <xdr:rowOff>112569</xdr:rowOff>
    </xdr:from>
    <xdr:to>
      <xdr:col>3</xdr:col>
      <xdr:colOff>902359</xdr:colOff>
      <xdr:row>39</xdr:row>
      <xdr:rowOff>571044</xdr:rowOff>
    </xdr:to>
    <xdr:pic>
      <xdr:nvPicPr>
        <xdr:cNvPr id="26" name="Imagem 7">
          <a:extLst>
            <a:ext uri="{FF2B5EF4-FFF2-40B4-BE49-F238E27FC236}">
              <a16:creationId xmlns:a16="http://schemas.microsoft.com/office/drawing/2014/main" id="{00000000-0008-0000-0400-00001A000000}"/>
            </a:ext>
            <a:ext uri="{147F2762-F138-4A5C-976F-8EAC2B608ADB}">
              <a16:predDERef xmlns:a16="http://schemas.microsoft.com/office/drawing/2014/main" pred="{2B54025B-8A24-417E-8DCE-8936D0BF8DC4}"/>
            </a:ext>
          </a:extLst>
        </xdr:cNvPr>
        <xdr:cNvPicPr>
          <a:picLocks noChangeAspect="1"/>
        </xdr:cNvPicPr>
      </xdr:nvPicPr>
      <xdr:blipFill>
        <a:blip xmlns:r="http://schemas.openxmlformats.org/officeDocument/2006/relationships" r:embed="rId8"/>
        <a:stretch>
          <a:fillRect/>
        </a:stretch>
      </xdr:blipFill>
      <xdr:spPr>
        <a:xfrm>
          <a:off x="2582354" y="19781694"/>
          <a:ext cx="472655" cy="458475"/>
        </a:xfrm>
        <a:prstGeom prst="rect">
          <a:avLst/>
        </a:prstGeom>
      </xdr:spPr>
    </xdr:pic>
    <xdr:clientData/>
  </xdr:twoCellAnchor>
  <xdr:twoCellAnchor editAs="oneCell">
    <xdr:from>
      <xdr:col>3</xdr:col>
      <xdr:colOff>432407</xdr:colOff>
      <xdr:row>40</xdr:row>
      <xdr:rowOff>17318</xdr:rowOff>
    </xdr:from>
    <xdr:to>
      <xdr:col>3</xdr:col>
      <xdr:colOff>902830</xdr:colOff>
      <xdr:row>40</xdr:row>
      <xdr:rowOff>486905</xdr:rowOff>
    </xdr:to>
    <xdr:pic>
      <xdr:nvPicPr>
        <xdr:cNvPr id="27" name="Imagem 9">
          <a:extLst>
            <a:ext uri="{FF2B5EF4-FFF2-40B4-BE49-F238E27FC236}">
              <a16:creationId xmlns:a16="http://schemas.microsoft.com/office/drawing/2014/main" id="{00000000-0008-0000-0400-00001B000000}"/>
            </a:ext>
            <a:ext uri="{147F2762-F138-4A5C-976F-8EAC2B608ADB}">
              <a16:predDERef xmlns:a16="http://schemas.microsoft.com/office/drawing/2014/main" pred="{4B234C1D-B1EE-4D78-B847-600A3CB666F6}"/>
            </a:ext>
          </a:extLst>
        </xdr:cNvPr>
        <xdr:cNvPicPr>
          <a:picLocks noChangeAspect="1"/>
        </xdr:cNvPicPr>
      </xdr:nvPicPr>
      <xdr:blipFill>
        <a:blip xmlns:r="http://schemas.openxmlformats.org/officeDocument/2006/relationships" r:embed="rId9"/>
        <a:stretch>
          <a:fillRect/>
        </a:stretch>
      </xdr:blipFill>
      <xdr:spPr>
        <a:xfrm>
          <a:off x="2581882" y="20324618"/>
          <a:ext cx="473598" cy="466412"/>
        </a:xfrm>
        <a:prstGeom prst="rect">
          <a:avLst/>
        </a:prstGeom>
      </xdr:spPr>
    </xdr:pic>
    <xdr:clientData/>
  </xdr:twoCellAnchor>
  <xdr:twoCellAnchor editAs="oneCell">
    <xdr:from>
      <xdr:col>3</xdr:col>
      <xdr:colOff>431291</xdr:colOff>
      <xdr:row>41</xdr:row>
      <xdr:rowOff>189491</xdr:rowOff>
    </xdr:from>
    <xdr:to>
      <xdr:col>3</xdr:col>
      <xdr:colOff>903946</xdr:colOff>
      <xdr:row>41</xdr:row>
      <xdr:rowOff>676875</xdr:rowOff>
    </xdr:to>
    <xdr:pic>
      <xdr:nvPicPr>
        <xdr:cNvPr id="28" name="Imagem 7">
          <a:extLst>
            <a:ext uri="{FF2B5EF4-FFF2-40B4-BE49-F238E27FC236}">
              <a16:creationId xmlns:a16="http://schemas.microsoft.com/office/drawing/2014/main" id="{00000000-0008-0000-0400-00001C000000}"/>
            </a:ext>
            <a:ext uri="{147F2762-F138-4A5C-976F-8EAC2B608ADB}">
              <a16:predDERef xmlns:a16="http://schemas.microsoft.com/office/drawing/2014/main" pred="{2B54025B-8A24-417E-8DCE-8936D0BF8DC4}"/>
            </a:ext>
          </a:extLst>
        </xdr:cNvPr>
        <xdr:cNvPicPr>
          <a:picLocks noChangeAspect="1"/>
        </xdr:cNvPicPr>
      </xdr:nvPicPr>
      <xdr:blipFill>
        <a:blip xmlns:r="http://schemas.openxmlformats.org/officeDocument/2006/relationships" r:embed="rId8"/>
        <a:stretch>
          <a:fillRect/>
        </a:stretch>
      </xdr:blipFill>
      <xdr:spPr>
        <a:xfrm>
          <a:off x="2580766" y="21134966"/>
          <a:ext cx="475830" cy="478101"/>
        </a:xfrm>
        <a:prstGeom prst="rect">
          <a:avLst/>
        </a:prstGeom>
      </xdr:spPr>
    </xdr:pic>
    <xdr:clientData/>
  </xdr:twoCellAnchor>
  <xdr:twoCellAnchor editAs="oneCell">
    <xdr:from>
      <xdr:col>3</xdr:col>
      <xdr:colOff>433995</xdr:colOff>
      <xdr:row>42</xdr:row>
      <xdr:rowOff>265819</xdr:rowOff>
    </xdr:from>
    <xdr:to>
      <xdr:col>3</xdr:col>
      <xdr:colOff>904418</xdr:colOff>
      <xdr:row>42</xdr:row>
      <xdr:rowOff>742551</xdr:rowOff>
    </xdr:to>
    <xdr:pic>
      <xdr:nvPicPr>
        <xdr:cNvPr id="29" name="Imagem 9">
          <a:extLst>
            <a:ext uri="{FF2B5EF4-FFF2-40B4-BE49-F238E27FC236}">
              <a16:creationId xmlns:a16="http://schemas.microsoft.com/office/drawing/2014/main" id="{00000000-0008-0000-0400-00001D000000}"/>
            </a:ext>
            <a:ext uri="{147F2762-F138-4A5C-976F-8EAC2B608ADB}">
              <a16:predDERef xmlns:a16="http://schemas.microsoft.com/office/drawing/2014/main" pred="{4B234C1D-B1EE-4D78-B847-600A3CB666F6}"/>
            </a:ext>
          </a:extLst>
        </xdr:cNvPr>
        <xdr:cNvPicPr>
          <a:picLocks noChangeAspect="1"/>
        </xdr:cNvPicPr>
      </xdr:nvPicPr>
      <xdr:blipFill>
        <a:blip xmlns:r="http://schemas.openxmlformats.org/officeDocument/2006/relationships" r:embed="rId9"/>
        <a:stretch>
          <a:fillRect/>
        </a:stretch>
      </xdr:blipFill>
      <xdr:spPr>
        <a:xfrm>
          <a:off x="2583470" y="21849469"/>
          <a:ext cx="467248" cy="476732"/>
        </a:xfrm>
        <a:prstGeom prst="rect">
          <a:avLst/>
        </a:prstGeom>
      </xdr:spPr>
    </xdr:pic>
    <xdr:clientData/>
  </xdr:twoCellAnchor>
  <xdr:twoCellAnchor editAs="oneCell">
    <xdr:from>
      <xdr:col>3</xdr:col>
      <xdr:colOff>431081</xdr:colOff>
      <xdr:row>42</xdr:row>
      <xdr:rowOff>978952</xdr:rowOff>
    </xdr:from>
    <xdr:to>
      <xdr:col>3</xdr:col>
      <xdr:colOff>904156</xdr:colOff>
      <xdr:row>43</xdr:row>
      <xdr:rowOff>46968</xdr:rowOff>
    </xdr:to>
    <xdr:pic>
      <xdr:nvPicPr>
        <xdr:cNvPr id="30" name="Imagem 14">
          <a:extLst>
            <a:ext uri="{FF2B5EF4-FFF2-40B4-BE49-F238E27FC236}">
              <a16:creationId xmlns:a16="http://schemas.microsoft.com/office/drawing/2014/main" id="{00000000-0008-0000-0400-00001E000000}"/>
            </a:ext>
            <a:ext uri="{147F2762-F138-4A5C-976F-8EAC2B608ADB}">
              <a16:predDERef xmlns:a16="http://schemas.microsoft.com/office/drawing/2014/main" pred="{C02A0C7E-2A38-45BB-A83B-57DA9FF58F3C}"/>
            </a:ext>
          </a:extLst>
        </xdr:cNvPr>
        <xdr:cNvPicPr>
          <a:picLocks noChangeAspect="1"/>
        </xdr:cNvPicPr>
      </xdr:nvPicPr>
      <xdr:blipFill>
        <a:blip xmlns:r="http://schemas.openxmlformats.org/officeDocument/2006/relationships" r:embed="rId6"/>
        <a:stretch>
          <a:fillRect/>
        </a:stretch>
      </xdr:blipFill>
      <xdr:spPr>
        <a:xfrm>
          <a:off x="2580556" y="22565777"/>
          <a:ext cx="476250" cy="487242"/>
        </a:xfrm>
        <a:prstGeom prst="rect">
          <a:avLst/>
        </a:prstGeom>
      </xdr:spPr>
    </xdr:pic>
    <xdr:clientData/>
  </xdr:twoCellAnchor>
  <xdr:twoCellAnchor editAs="oneCell">
    <xdr:from>
      <xdr:col>3</xdr:col>
      <xdr:colOff>433726</xdr:colOff>
      <xdr:row>43</xdr:row>
      <xdr:rowOff>273844</xdr:rowOff>
    </xdr:from>
    <xdr:to>
      <xdr:col>3</xdr:col>
      <xdr:colOff>904686</xdr:colOff>
      <xdr:row>43</xdr:row>
      <xdr:rowOff>731043</xdr:rowOff>
    </xdr:to>
    <xdr:pic>
      <xdr:nvPicPr>
        <xdr:cNvPr id="31" name="Imagem 55">
          <a:extLst>
            <a:ext uri="{FF2B5EF4-FFF2-40B4-BE49-F238E27FC236}">
              <a16:creationId xmlns:a16="http://schemas.microsoft.com/office/drawing/2014/main" id="{00000000-0008-0000-0400-00001F000000}"/>
            </a:ext>
            <a:ext uri="{147F2762-F138-4A5C-976F-8EAC2B608ADB}">
              <a16:predDERef xmlns:a16="http://schemas.microsoft.com/office/drawing/2014/main" pred="{3B267E62-EA40-4CEF-9A34-854C9CAF3D3D}"/>
            </a:ext>
          </a:extLst>
        </xdr:cNvPr>
        <xdr:cNvPicPr>
          <a:picLocks noChangeAspect="1"/>
        </xdr:cNvPicPr>
      </xdr:nvPicPr>
      <xdr:blipFill>
        <a:blip xmlns:r="http://schemas.openxmlformats.org/officeDocument/2006/relationships" r:embed="rId5"/>
        <a:stretch>
          <a:fillRect/>
        </a:stretch>
      </xdr:blipFill>
      <xdr:spPr>
        <a:xfrm>
          <a:off x="2583201" y="23279894"/>
          <a:ext cx="467785" cy="454024"/>
        </a:xfrm>
        <a:prstGeom prst="rect">
          <a:avLst/>
        </a:prstGeom>
      </xdr:spPr>
    </xdr:pic>
    <xdr:clientData/>
  </xdr:twoCellAnchor>
  <xdr:twoCellAnchor editAs="oneCell">
    <xdr:from>
      <xdr:col>3</xdr:col>
      <xdr:colOff>140950</xdr:colOff>
      <xdr:row>21</xdr:row>
      <xdr:rowOff>681912</xdr:rowOff>
    </xdr:from>
    <xdr:to>
      <xdr:col>3</xdr:col>
      <xdr:colOff>600264</xdr:colOff>
      <xdr:row>21</xdr:row>
      <xdr:rowOff>1171087</xdr:rowOff>
    </xdr:to>
    <xdr:pic>
      <xdr:nvPicPr>
        <xdr:cNvPr id="32" name="Imagem 10">
          <a:extLst>
            <a:ext uri="{FF2B5EF4-FFF2-40B4-BE49-F238E27FC236}">
              <a16:creationId xmlns:a16="http://schemas.microsoft.com/office/drawing/2014/main" id="{00000000-0008-0000-0400-000020000000}"/>
            </a:ext>
            <a:ext uri="{147F2762-F138-4A5C-976F-8EAC2B608ADB}">
              <a16:predDERef xmlns:a16="http://schemas.microsoft.com/office/drawing/2014/main" pred="{5D5FA2F3-F5B2-40B6-B40C-DFFB5F2ACA75}"/>
            </a:ext>
          </a:extLst>
        </xdr:cNvPr>
        <xdr:cNvPicPr>
          <a:picLocks noChangeAspect="1"/>
        </xdr:cNvPicPr>
      </xdr:nvPicPr>
      <xdr:blipFill>
        <a:blip xmlns:r="http://schemas.openxmlformats.org/officeDocument/2006/relationships" r:embed="rId7"/>
        <a:stretch>
          <a:fillRect/>
        </a:stretch>
      </xdr:blipFill>
      <xdr:spPr>
        <a:xfrm>
          <a:off x="2296775" y="10603787"/>
          <a:ext cx="456139" cy="486000"/>
        </a:xfrm>
        <a:prstGeom prst="rect">
          <a:avLst/>
        </a:prstGeom>
      </xdr:spPr>
    </xdr:pic>
    <xdr:clientData/>
  </xdr:twoCellAnchor>
  <xdr:twoCellAnchor editAs="oneCell">
    <xdr:from>
      <xdr:col>3</xdr:col>
      <xdr:colOff>142217</xdr:colOff>
      <xdr:row>21</xdr:row>
      <xdr:rowOff>95153</xdr:rowOff>
    </xdr:from>
    <xdr:to>
      <xdr:col>3</xdr:col>
      <xdr:colOff>598997</xdr:colOff>
      <xdr:row>21</xdr:row>
      <xdr:rowOff>569503</xdr:rowOff>
    </xdr:to>
    <xdr:pic>
      <xdr:nvPicPr>
        <xdr:cNvPr id="33" name="Imagem 7">
          <a:extLst>
            <a:ext uri="{FF2B5EF4-FFF2-40B4-BE49-F238E27FC236}">
              <a16:creationId xmlns:a16="http://schemas.microsoft.com/office/drawing/2014/main" id="{00000000-0008-0000-0400-000021000000}"/>
            </a:ext>
            <a:ext uri="{147F2762-F138-4A5C-976F-8EAC2B608ADB}">
              <a16:predDERef xmlns:a16="http://schemas.microsoft.com/office/drawing/2014/main" pred="{2B54025B-8A24-417E-8DCE-8936D0BF8DC4}"/>
            </a:ext>
          </a:extLst>
        </xdr:cNvPr>
        <xdr:cNvPicPr>
          <a:picLocks noChangeAspect="1"/>
        </xdr:cNvPicPr>
      </xdr:nvPicPr>
      <xdr:blipFill>
        <a:blip xmlns:r="http://schemas.openxmlformats.org/officeDocument/2006/relationships" r:embed="rId8"/>
        <a:stretch>
          <a:fillRect/>
        </a:stretch>
      </xdr:blipFill>
      <xdr:spPr>
        <a:xfrm>
          <a:off x="2298042" y="10020203"/>
          <a:ext cx="453605" cy="474350"/>
        </a:xfrm>
        <a:prstGeom prst="rect">
          <a:avLst/>
        </a:prstGeom>
      </xdr:spPr>
    </xdr:pic>
    <xdr:clientData/>
  </xdr:twoCellAnchor>
  <xdr:twoCellAnchor editAs="oneCell">
    <xdr:from>
      <xdr:col>3</xdr:col>
      <xdr:colOff>714954</xdr:colOff>
      <xdr:row>21</xdr:row>
      <xdr:rowOff>88701</xdr:rowOff>
    </xdr:from>
    <xdr:to>
      <xdr:col>3</xdr:col>
      <xdr:colOff>1209129</xdr:colOff>
      <xdr:row>21</xdr:row>
      <xdr:rowOff>577876</xdr:rowOff>
    </xdr:to>
    <xdr:pic>
      <xdr:nvPicPr>
        <xdr:cNvPr id="34" name="Imagem 20">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864429" y="10010576"/>
          <a:ext cx="497350" cy="486000"/>
        </a:xfrm>
        <a:prstGeom prst="rect">
          <a:avLst/>
        </a:prstGeom>
      </xdr:spPr>
    </xdr:pic>
    <xdr:clientData/>
  </xdr:twoCellAnchor>
  <xdr:twoCellAnchor editAs="oneCell">
    <xdr:from>
      <xdr:col>3</xdr:col>
      <xdr:colOff>722774</xdr:colOff>
      <xdr:row>21</xdr:row>
      <xdr:rowOff>680658</xdr:rowOff>
    </xdr:from>
    <xdr:to>
      <xdr:col>3</xdr:col>
      <xdr:colOff>1201309</xdr:colOff>
      <xdr:row>21</xdr:row>
      <xdr:rowOff>1169833</xdr:rowOff>
    </xdr:to>
    <xdr:pic>
      <xdr:nvPicPr>
        <xdr:cNvPr id="35" name="Imagem 9">
          <a:extLst>
            <a:ext uri="{FF2B5EF4-FFF2-40B4-BE49-F238E27FC236}">
              <a16:creationId xmlns:a16="http://schemas.microsoft.com/office/drawing/2014/main" id="{00000000-0008-0000-0400-000023000000}"/>
            </a:ext>
            <a:ext uri="{147F2762-F138-4A5C-976F-8EAC2B608ADB}">
              <a16:predDERef xmlns:a16="http://schemas.microsoft.com/office/drawing/2014/main" pred="{4B234C1D-B1EE-4D78-B847-600A3CB666F6}"/>
            </a:ext>
          </a:extLst>
        </xdr:cNvPr>
        <xdr:cNvPicPr>
          <a:picLocks noChangeAspect="1"/>
        </xdr:cNvPicPr>
      </xdr:nvPicPr>
      <xdr:blipFill>
        <a:blip xmlns:r="http://schemas.openxmlformats.org/officeDocument/2006/relationships" r:embed="rId9"/>
        <a:stretch>
          <a:fillRect/>
        </a:stretch>
      </xdr:blipFill>
      <xdr:spPr>
        <a:xfrm>
          <a:off x="2875424" y="10602533"/>
          <a:ext cx="478535" cy="492350"/>
        </a:xfrm>
        <a:prstGeom prst="rect">
          <a:avLst/>
        </a:prstGeom>
      </xdr:spPr>
    </xdr:pic>
    <xdr:clientData/>
  </xdr:twoCellAnchor>
  <xdr:twoCellAnchor editAs="oneCell">
    <xdr:from>
      <xdr:col>3</xdr:col>
      <xdr:colOff>124004</xdr:colOff>
      <xdr:row>20</xdr:row>
      <xdr:rowOff>512744</xdr:rowOff>
    </xdr:from>
    <xdr:to>
      <xdr:col>3</xdr:col>
      <xdr:colOff>617211</xdr:colOff>
      <xdr:row>20</xdr:row>
      <xdr:rowOff>998744</xdr:rowOff>
    </xdr:to>
    <xdr:pic>
      <xdr:nvPicPr>
        <xdr:cNvPr id="36" name="Imagem 35">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73479" y="9418619"/>
          <a:ext cx="496382" cy="489175"/>
        </a:xfrm>
        <a:prstGeom prst="rect">
          <a:avLst/>
        </a:prstGeom>
      </xdr:spPr>
    </xdr:pic>
    <xdr:clientData/>
  </xdr:twoCellAnchor>
  <xdr:twoCellAnchor editAs="oneCell">
    <xdr:from>
      <xdr:col>3</xdr:col>
      <xdr:colOff>718676</xdr:colOff>
      <xdr:row>20</xdr:row>
      <xdr:rowOff>512744</xdr:rowOff>
    </xdr:from>
    <xdr:to>
      <xdr:col>3</xdr:col>
      <xdr:colOff>1211757</xdr:colOff>
      <xdr:row>20</xdr:row>
      <xdr:rowOff>998744</xdr:rowOff>
    </xdr:to>
    <xdr:pic>
      <xdr:nvPicPr>
        <xdr:cNvPr id="37" name="Imagem 36">
          <a:extLst>
            <a:ext uri="{FF2B5EF4-FFF2-40B4-BE49-F238E27FC236}">
              <a16:creationId xmlns:a16="http://schemas.microsoft.com/office/drawing/2014/main" id="{00000000-0008-0000-0400-000025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868151" y="9418619"/>
          <a:ext cx="496256" cy="489175"/>
        </a:xfrm>
        <a:prstGeom prst="rect">
          <a:avLst/>
        </a:prstGeom>
      </xdr:spPr>
    </xdr:pic>
    <xdr:clientData/>
  </xdr:twoCellAnchor>
  <xdr:twoCellAnchor editAs="oneCell">
    <xdr:from>
      <xdr:col>3</xdr:col>
      <xdr:colOff>132003</xdr:colOff>
      <xdr:row>21</xdr:row>
      <xdr:rowOff>1278966</xdr:rowOff>
    </xdr:from>
    <xdr:to>
      <xdr:col>3</xdr:col>
      <xdr:colOff>609212</xdr:colOff>
      <xdr:row>22</xdr:row>
      <xdr:rowOff>447341</xdr:rowOff>
    </xdr:to>
    <xdr:pic>
      <xdr:nvPicPr>
        <xdr:cNvPr id="38" name="Imagem 37">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84653" y="11204016"/>
          <a:ext cx="477209" cy="486000"/>
        </a:xfrm>
        <a:prstGeom prst="rect">
          <a:avLst/>
        </a:prstGeom>
      </xdr:spPr>
    </xdr:pic>
    <xdr:clientData/>
  </xdr:twoCellAnchor>
  <xdr:twoCellAnchor editAs="oneCell">
    <xdr:from>
      <xdr:col>3</xdr:col>
      <xdr:colOff>724689</xdr:colOff>
      <xdr:row>21</xdr:row>
      <xdr:rowOff>1278966</xdr:rowOff>
    </xdr:from>
    <xdr:to>
      <xdr:col>3</xdr:col>
      <xdr:colOff>1199394</xdr:colOff>
      <xdr:row>22</xdr:row>
      <xdr:rowOff>447341</xdr:rowOff>
    </xdr:to>
    <xdr:pic>
      <xdr:nvPicPr>
        <xdr:cNvPr id="39" name="Imagem 38">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877339" y="11204016"/>
          <a:ext cx="474705" cy="486000"/>
        </a:xfrm>
        <a:prstGeom prst="rect">
          <a:avLst/>
        </a:prstGeom>
      </xdr:spPr>
    </xdr:pic>
    <xdr:clientData/>
  </xdr:twoCellAnchor>
  <xdr:twoCellAnchor editAs="oneCell">
    <xdr:from>
      <xdr:col>3</xdr:col>
      <xdr:colOff>131585</xdr:colOff>
      <xdr:row>22</xdr:row>
      <xdr:rowOff>551581</xdr:rowOff>
    </xdr:from>
    <xdr:to>
      <xdr:col>3</xdr:col>
      <xdr:colOff>609630</xdr:colOff>
      <xdr:row>22</xdr:row>
      <xdr:rowOff>1037581</xdr:rowOff>
    </xdr:to>
    <xdr:pic>
      <xdr:nvPicPr>
        <xdr:cNvPr id="40" name="Imagem 39">
          <a:extLst>
            <a:ext uri="{FF2B5EF4-FFF2-40B4-BE49-F238E27FC236}">
              <a16:creationId xmlns:a16="http://schemas.microsoft.com/office/drawing/2014/main" id="{00000000-0008-0000-0400-000028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84235" y="11800606"/>
          <a:ext cx="478045" cy="489175"/>
        </a:xfrm>
        <a:prstGeom prst="rect">
          <a:avLst/>
        </a:prstGeom>
      </xdr:spPr>
    </xdr:pic>
    <xdr:clientData/>
  </xdr:twoCellAnchor>
  <xdr:twoCellAnchor editAs="oneCell">
    <xdr:from>
      <xdr:col>3</xdr:col>
      <xdr:colOff>433153</xdr:colOff>
      <xdr:row>12</xdr:row>
      <xdr:rowOff>398246</xdr:rowOff>
    </xdr:from>
    <xdr:to>
      <xdr:col>3</xdr:col>
      <xdr:colOff>902085</xdr:colOff>
      <xdr:row>12</xdr:row>
      <xdr:rowOff>869421</xdr:rowOff>
    </xdr:to>
    <xdr:pic>
      <xdr:nvPicPr>
        <xdr:cNvPr id="41" name="Imagem 13">
          <a:extLst>
            <a:ext uri="{FF2B5EF4-FFF2-40B4-BE49-F238E27FC236}">
              <a16:creationId xmlns:a16="http://schemas.microsoft.com/office/drawing/2014/main" id="{00000000-0008-0000-0400-000029000000}"/>
            </a:ext>
            <a:ext uri="{147F2762-F138-4A5C-976F-8EAC2B608ADB}">
              <a16:predDERef xmlns:a16="http://schemas.microsoft.com/office/drawing/2014/main" pred="{A6134653-E404-4F78-B572-F2E4362DBD6D}"/>
            </a:ext>
          </a:extLst>
        </xdr:cNvPr>
        <xdr:cNvPicPr>
          <a:picLocks noChangeAspect="1"/>
        </xdr:cNvPicPr>
      </xdr:nvPicPr>
      <xdr:blipFill>
        <a:blip xmlns:r="http://schemas.openxmlformats.org/officeDocument/2006/relationships" r:embed="rId2"/>
        <a:stretch>
          <a:fillRect/>
        </a:stretch>
      </xdr:blipFill>
      <xdr:spPr>
        <a:xfrm>
          <a:off x="2585803" y="3001746"/>
          <a:ext cx="472107" cy="468000"/>
        </a:xfrm>
        <a:prstGeom prst="rect">
          <a:avLst/>
        </a:prstGeom>
      </xdr:spPr>
    </xdr:pic>
    <xdr:clientData/>
  </xdr:twoCellAnchor>
  <xdr:twoCellAnchor>
    <xdr:from>
      <xdr:col>3</xdr:col>
      <xdr:colOff>443236</xdr:colOff>
      <xdr:row>12</xdr:row>
      <xdr:rowOff>963394</xdr:rowOff>
    </xdr:from>
    <xdr:to>
      <xdr:col>3</xdr:col>
      <xdr:colOff>888827</xdr:colOff>
      <xdr:row>13</xdr:row>
      <xdr:rowOff>239471</xdr:rowOff>
    </xdr:to>
    <xdr:pic>
      <xdr:nvPicPr>
        <xdr:cNvPr id="42" name="Imagem 6">
          <a:extLst>
            <a:ext uri="{FF2B5EF4-FFF2-40B4-BE49-F238E27FC236}">
              <a16:creationId xmlns:a16="http://schemas.microsoft.com/office/drawing/2014/main" id="{00000000-0008-0000-0400-00002A000000}"/>
            </a:ext>
            <a:ext uri="{147F2762-F138-4A5C-976F-8EAC2B608ADB}">
              <a16:predDERef xmlns:a16="http://schemas.microsoft.com/office/drawing/2014/main" pred="{E2D4E737-CD56-4207-A868-6D83BB8FAABF}"/>
            </a:ext>
          </a:extLst>
        </xdr:cNvPr>
        <xdr:cNvPicPr>
          <a:picLocks noChangeAspect="1"/>
        </xdr:cNvPicPr>
      </xdr:nvPicPr>
      <xdr:blipFill>
        <a:blip xmlns:r="http://schemas.openxmlformats.org/officeDocument/2006/relationships" r:embed="rId3"/>
        <a:stretch>
          <a:fillRect/>
        </a:stretch>
      </xdr:blipFill>
      <xdr:spPr>
        <a:xfrm>
          <a:off x="2595886" y="3566894"/>
          <a:ext cx="445591" cy="457177"/>
        </a:xfrm>
        <a:prstGeom prst="rect">
          <a:avLst/>
        </a:prstGeom>
      </xdr:spPr>
    </xdr:pic>
    <xdr:clientData/>
  </xdr:twoCellAnchor>
  <xdr:twoCellAnchor editAs="oneCell">
    <xdr:from>
      <xdr:col>3</xdr:col>
      <xdr:colOff>441090</xdr:colOff>
      <xdr:row>16</xdr:row>
      <xdr:rowOff>198865</xdr:rowOff>
    </xdr:from>
    <xdr:to>
      <xdr:col>3</xdr:col>
      <xdr:colOff>884622</xdr:colOff>
      <xdr:row>16</xdr:row>
      <xdr:rowOff>677184</xdr:rowOff>
    </xdr:to>
    <xdr:pic>
      <xdr:nvPicPr>
        <xdr:cNvPr id="43" name="Imagem 13">
          <a:extLst>
            <a:ext uri="{FF2B5EF4-FFF2-40B4-BE49-F238E27FC236}">
              <a16:creationId xmlns:a16="http://schemas.microsoft.com/office/drawing/2014/main" id="{00000000-0008-0000-0400-00002B000000}"/>
            </a:ext>
            <a:ext uri="{147F2762-F138-4A5C-976F-8EAC2B608ADB}">
              <a16:predDERef xmlns:a16="http://schemas.microsoft.com/office/drawing/2014/main" pred="{A6134653-E404-4F78-B572-F2E4362DBD6D}"/>
            </a:ext>
          </a:extLst>
        </xdr:cNvPr>
        <xdr:cNvPicPr>
          <a:picLocks noChangeAspect="1"/>
        </xdr:cNvPicPr>
      </xdr:nvPicPr>
      <xdr:blipFill>
        <a:blip xmlns:r="http://schemas.openxmlformats.org/officeDocument/2006/relationships" r:embed="rId2"/>
        <a:stretch>
          <a:fillRect/>
        </a:stretch>
      </xdr:blipFill>
      <xdr:spPr>
        <a:xfrm>
          <a:off x="2593740" y="6034515"/>
          <a:ext cx="446707" cy="481494"/>
        </a:xfrm>
        <a:prstGeom prst="rect">
          <a:avLst/>
        </a:prstGeom>
      </xdr:spPr>
    </xdr:pic>
    <xdr:clientData/>
  </xdr:twoCellAnchor>
  <xdr:twoCellAnchor editAs="oneCell">
    <xdr:from>
      <xdr:col>3</xdr:col>
      <xdr:colOff>429077</xdr:colOff>
      <xdr:row>18</xdr:row>
      <xdr:rowOff>146049</xdr:rowOff>
    </xdr:from>
    <xdr:to>
      <xdr:col>3</xdr:col>
      <xdr:colOff>906161</xdr:colOff>
      <xdr:row>18</xdr:row>
      <xdr:rowOff>639449</xdr:rowOff>
    </xdr:to>
    <xdr:pic>
      <xdr:nvPicPr>
        <xdr:cNvPr id="44" name="Imagem 10">
          <a:extLst>
            <a:ext uri="{FF2B5EF4-FFF2-40B4-BE49-F238E27FC236}">
              <a16:creationId xmlns:a16="http://schemas.microsoft.com/office/drawing/2014/main" id="{00000000-0008-0000-0400-00002C000000}"/>
            </a:ext>
            <a:ext uri="{147F2762-F138-4A5C-976F-8EAC2B608ADB}">
              <a16:predDERef xmlns:a16="http://schemas.microsoft.com/office/drawing/2014/main" pred="{0E99539E-5471-451C-9427-BB9760ED0DFE}"/>
            </a:ext>
          </a:extLst>
        </xdr:cNvPr>
        <xdr:cNvPicPr>
          <a:picLocks noChangeAspect="1"/>
        </xdr:cNvPicPr>
      </xdr:nvPicPr>
      <xdr:blipFill>
        <a:blip xmlns:r="http://schemas.openxmlformats.org/officeDocument/2006/relationships" r:embed="rId4"/>
        <a:stretch>
          <a:fillRect/>
        </a:stretch>
      </xdr:blipFill>
      <xdr:spPr>
        <a:xfrm>
          <a:off x="2581727" y="7537449"/>
          <a:ext cx="480259" cy="496575"/>
        </a:xfrm>
        <a:prstGeom prst="rect">
          <a:avLst/>
        </a:prstGeom>
      </xdr:spPr>
    </xdr:pic>
    <xdr:clientData/>
  </xdr:twoCellAnchor>
  <xdr:twoCellAnchor>
    <xdr:from>
      <xdr:col>3</xdr:col>
      <xdr:colOff>428964</xdr:colOff>
      <xdr:row>19</xdr:row>
      <xdr:rowOff>133205</xdr:rowOff>
    </xdr:from>
    <xdr:to>
      <xdr:col>3</xdr:col>
      <xdr:colOff>903099</xdr:colOff>
      <xdr:row>19</xdr:row>
      <xdr:rowOff>629780</xdr:rowOff>
    </xdr:to>
    <xdr:pic>
      <xdr:nvPicPr>
        <xdr:cNvPr id="45" name="Imagem 55">
          <a:extLst>
            <a:ext uri="{FF2B5EF4-FFF2-40B4-BE49-F238E27FC236}">
              <a16:creationId xmlns:a16="http://schemas.microsoft.com/office/drawing/2014/main" id="{00000000-0008-0000-0400-00002D000000}"/>
            </a:ext>
            <a:ext uri="{147F2762-F138-4A5C-976F-8EAC2B608ADB}">
              <a16:predDERef xmlns:a16="http://schemas.microsoft.com/office/drawing/2014/main" pred="{3B267E62-EA40-4CEF-9A34-854C9CAF3D3D}"/>
            </a:ext>
          </a:extLst>
        </xdr:cNvPr>
        <xdr:cNvPicPr>
          <a:picLocks noChangeAspect="1"/>
        </xdr:cNvPicPr>
      </xdr:nvPicPr>
      <xdr:blipFill>
        <a:blip xmlns:r="http://schemas.openxmlformats.org/officeDocument/2006/relationships" r:embed="rId5"/>
        <a:stretch>
          <a:fillRect/>
        </a:stretch>
      </xdr:blipFill>
      <xdr:spPr>
        <a:xfrm>
          <a:off x="2581614" y="8267555"/>
          <a:ext cx="474135" cy="496575"/>
        </a:xfrm>
        <a:prstGeom prst="rect">
          <a:avLst/>
        </a:prstGeom>
      </xdr:spPr>
    </xdr:pic>
    <xdr:clientData/>
  </xdr:twoCellAnchor>
  <xdr:twoCellAnchor editAs="oneCell">
    <xdr:from>
      <xdr:col>3</xdr:col>
      <xdr:colOff>427906</xdr:colOff>
      <xdr:row>24</xdr:row>
      <xdr:rowOff>307685</xdr:rowOff>
    </xdr:from>
    <xdr:to>
      <xdr:col>3</xdr:col>
      <xdr:colOff>907331</xdr:colOff>
      <xdr:row>25</xdr:row>
      <xdr:rowOff>174504</xdr:rowOff>
    </xdr:to>
    <xdr:pic>
      <xdr:nvPicPr>
        <xdr:cNvPr id="46" name="Imagem 14">
          <a:extLst>
            <a:ext uri="{FF2B5EF4-FFF2-40B4-BE49-F238E27FC236}">
              <a16:creationId xmlns:a16="http://schemas.microsoft.com/office/drawing/2014/main" id="{00000000-0008-0000-0400-00002E000000}"/>
            </a:ext>
            <a:ext uri="{147F2762-F138-4A5C-976F-8EAC2B608ADB}">
              <a16:predDERef xmlns:a16="http://schemas.microsoft.com/office/drawing/2014/main" pred="{C02A0C7E-2A38-45BB-A83B-57DA9FF58F3C}"/>
            </a:ext>
          </a:extLst>
        </xdr:cNvPr>
        <xdr:cNvPicPr>
          <a:picLocks noChangeAspect="1"/>
        </xdr:cNvPicPr>
      </xdr:nvPicPr>
      <xdr:blipFill>
        <a:blip xmlns:r="http://schemas.openxmlformats.org/officeDocument/2006/relationships" r:embed="rId6"/>
        <a:stretch>
          <a:fillRect/>
        </a:stretch>
      </xdr:blipFill>
      <xdr:spPr>
        <a:xfrm>
          <a:off x="2580556" y="13287085"/>
          <a:ext cx="476250" cy="480699"/>
        </a:xfrm>
        <a:prstGeom prst="rect">
          <a:avLst/>
        </a:prstGeom>
      </xdr:spPr>
    </xdr:pic>
    <xdr:clientData/>
  </xdr:twoCellAnchor>
  <xdr:twoCellAnchor editAs="oneCell">
    <xdr:from>
      <xdr:col>3</xdr:col>
      <xdr:colOff>425789</xdr:colOff>
      <xdr:row>25</xdr:row>
      <xdr:rowOff>407120</xdr:rowOff>
    </xdr:from>
    <xdr:to>
      <xdr:col>3</xdr:col>
      <xdr:colOff>903099</xdr:colOff>
      <xdr:row>25</xdr:row>
      <xdr:rowOff>850491</xdr:rowOff>
    </xdr:to>
    <xdr:pic>
      <xdr:nvPicPr>
        <xdr:cNvPr id="47" name="Imagem 55">
          <a:extLst>
            <a:ext uri="{FF2B5EF4-FFF2-40B4-BE49-F238E27FC236}">
              <a16:creationId xmlns:a16="http://schemas.microsoft.com/office/drawing/2014/main" id="{00000000-0008-0000-0400-00002F000000}"/>
            </a:ext>
            <a:ext uri="{147F2762-F138-4A5C-976F-8EAC2B608ADB}">
              <a16:predDERef xmlns:a16="http://schemas.microsoft.com/office/drawing/2014/main" pred="{3B267E62-EA40-4CEF-9A34-854C9CAF3D3D}"/>
            </a:ext>
          </a:extLst>
        </xdr:cNvPr>
        <xdr:cNvPicPr>
          <a:picLocks noChangeAspect="1"/>
        </xdr:cNvPicPr>
      </xdr:nvPicPr>
      <xdr:blipFill>
        <a:blip xmlns:r="http://schemas.openxmlformats.org/officeDocument/2006/relationships" r:embed="rId5"/>
        <a:stretch>
          <a:fillRect/>
        </a:stretch>
      </xdr:blipFill>
      <xdr:spPr>
        <a:xfrm>
          <a:off x="2578439" y="13862770"/>
          <a:ext cx="474135" cy="453448"/>
        </a:xfrm>
        <a:prstGeom prst="rect">
          <a:avLst/>
        </a:prstGeom>
      </xdr:spPr>
    </xdr:pic>
    <xdr:clientData/>
  </xdr:twoCellAnchor>
  <xdr:twoCellAnchor editAs="oneCell">
    <xdr:from>
      <xdr:col>3</xdr:col>
      <xdr:colOff>433512</xdr:colOff>
      <xdr:row>37</xdr:row>
      <xdr:rowOff>31461</xdr:rowOff>
    </xdr:from>
    <xdr:to>
      <xdr:col>3</xdr:col>
      <xdr:colOff>901726</xdr:colOff>
      <xdr:row>37</xdr:row>
      <xdr:rowOff>502869</xdr:rowOff>
    </xdr:to>
    <xdr:pic>
      <xdr:nvPicPr>
        <xdr:cNvPr id="48" name="Imagem 10">
          <a:extLst>
            <a:ext uri="{FF2B5EF4-FFF2-40B4-BE49-F238E27FC236}">
              <a16:creationId xmlns:a16="http://schemas.microsoft.com/office/drawing/2014/main" id="{00000000-0008-0000-0400-000030000000}"/>
            </a:ext>
            <a:ext uri="{147F2762-F138-4A5C-976F-8EAC2B608ADB}">
              <a16:predDERef xmlns:a16="http://schemas.microsoft.com/office/drawing/2014/main" pred="{5D5FA2F3-F5B2-40B6-B40C-DFFB5F2ACA75}"/>
            </a:ext>
          </a:extLst>
        </xdr:cNvPr>
        <xdr:cNvPicPr>
          <a:picLocks noChangeAspect="1"/>
        </xdr:cNvPicPr>
      </xdr:nvPicPr>
      <xdr:blipFill>
        <a:blip xmlns:r="http://schemas.openxmlformats.org/officeDocument/2006/relationships" r:embed="rId7"/>
        <a:stretch>
          <a:fillRect/>
        </a:stretch>
      </xdr:blipFill>
      <xdr:spPr>
        <a:xfrm>
          <a:off x="2586162" y="18059111"/>
          <a:ext cx="471389" cy="474583"/>
        </a:xfrm>
        <a:prstGeom prst="rect">
          <a:avLst/>
        </a:prstGeom>
      </xdr:spPr>
    </xdr:pic>
    <xdr:clientData/>
  </xdr:twoCellAnchor>
  <xdr:twoCellAnchor editAs="oneCell">
    <xdr:from>
      <xdr:col>3</xdr:col>
      <xdr:colOff>432879</xdr:colOff>
      <xdr:row>39</xdr:row>
      <xdr:rowOff>112569</xdr:rowOff>
    </xdr:from>
    <xdr:to>
      <xdr:col>3</xdr:col>
      <xdr:colOff>902359</xdr:colOff>
      <xdr:row>39</xdr:row>
      <xdr:rowOff>571044</xdr:rowOff>
    </xdr:to>
    <xdr:pic>
      <xdr:nvPicPr>
        <xdr:cNvPr id="49" name="Imagem 7">
          <a:extLst>
            <a:ext uri="{FF2B5EF4-FFF2-40B4-BE49-F238E27FC236}">
              <a16:creationId xmlns:a16="http://schemas.microsoft.com/office/drawing/2014/main" id="{00000000-0008-0000-0400-000031000000}"/>
            </a:ext>
            <a:ext uri="{147F2762-F138-4A5C-976F-8EAC2B608ADB}">
              <a16:predDERef xmlns:a16="http://schemas.microsoft.com/office/drawing/2014/main" pred="{2B54025B-8A24-417E-8DCE-8936D0BF8DC4}"/>
            </a:ext>
          </a:extLst>
        </xdr:cNvPr>
        <xdr:cNvPicPr>
          <a:picLocks noChangeAspect="1"/>
        </xdr:cNvPicPr>
      </xdr:nvPicPr>
      <xdr:blipFill>
        <a:blip xmlns:r="http://schemas.openxmlformats.org/officeDocument/2006/relationships" r:embed="rId8"/>
        <a:stretch>
          <a:fillRect/>
        </a:stretch>
      </xdr:blipFill>
      <xdr:spPr>
        <a:xfrm>
          <a:off x="2585529" y="19562619"/>
          <a:ext cx="472655" cy="458475"/>
        </a:xfrm>
        <a:prstGeom prst="rect">
          <a:avLst/>
        </a:prstGeom>
      </xdr:spPr>
    </xdr:pic>
    <xdr:clientData/>
  </xdr:twoCellAnchor>
  <xdr:twoCellAnchor editAs="oneCell">
    <xdr:from>
      <xdr:col>3</xdr:col>
      <xdr:colOff>432407</xdr:colOff>
      <xdr:row>40</xdr:row>
      <xdr:rowOff>17318</xdr:rowOff>
    </xdr:from>
    <xdr:to>
      <xdr:col>3</xdr:col>
      <xdr:colOff>902830</xdr:colOff>
      <xdr:row>40</xdr:row>
      <xdr:rowOff>486905</xdr:rowOff>
    </xdr:to>
    <xdr:pic>
      <xdr:nvPicPr>
        <xdr:cNvPr id="50" name="Imagem 9">
          <a:extLst>
            <a:ext uri="{FF2B5EF4-FFF2-40B4-BE49-F238E27FC236}">
              <a16:creationId xmlns:a16="http://schemas.microsoft.com/office/drawing/2014/main" id="{00000000-0008-0000-0400-000032000000}"/>
            </a:ext>
            <a:ext uri="{147F2762-F138-4A5C-976F-8EAC2B608ADB}">
              <a16:predDERef xmlns:a16="http://schemas.microsoft.com/office/drawing/2014/main" pred="{4B234C1D-B1EE-4D78-B847-600A3CB666F6}"/>
            </a:ext>
          </a:extLst>
        </xdr:cNvPr>
        <xdr:cNvPicPr>
          <a:picLocks noChangeAspect="1"/>
        </xdr:cNvPicPr>
      </xdr:nvPicPr>
      <xdr:blipFill>
        <a:blip xmlns:r="http://schemas.openxmlformats.org/officeDocument/2006/relationships" r:embed="rId9"/>
        <a:stretch>
          <a:fillRect/>
        </a:stretch>
      </xdr:blipFill>
      <xdr:spPr>
        <a:xfrm>
          <a:off x="2585057" y="20108718"/>
          <a:ext cx="473598" cy="466412"/>
        </a:xfrm>
        <a:prstGeom prst="rect">
          <a:avLst/>
        </a:prstGeom>
      </xdr:spPr>
    </xdr:pic>
    <xdr:clientData/>
  </xdr:twoCellAnchor>
  <xdr:twoCellAnchor editAs="oneCell">
    <xdr:from>
      <xdr:col>3</xdr:col>
      <xdr:colOff>431291</xdr:colOff>
      <xdr:row>41</xdr:row>
      <xdr:rowOff>189491</xdr:rowOff>
    </xdr:from>
    <xdr:to>
      <xdr:col>3</xdr:col>
      <xdr:colOff>903946</xdr:colOff>
      <xdr:row>41</xdr:row>
      <xdr:rowOff>676875</xdr:rowOff>
    </xdr:to>
    <xdr:pic>
      <xdr:nvPicPr>
        <xdr:cNvPr id="51" name="Imagem 7">
          <a:extLst>
            <a:ext uri="{FF2B5EF4-FFF2-40B4-BE49-F238E27FC236}">
              <a16:creationId xmlns:a16="http://schemas.microsoft.com/office/drawing/2014/main" id="{00000000-0008-0000-0400-000033000000}"/>
            </a:ext>
            <a:ext uri="{147F2762-F138-4A5C-976F-8EAC2B608ADB}">
              <a16:predDERef xmlns:a16="http://schemas.microsoft.com/office/drawing/2014/main" pred="{2B54025B-8A24-417E-8DCE-8936D0BF8DC4}"/>
            </a:ext>
          </a:extLst>
        </xdr:cNvPr>
        <xdr:cNvPicPr>
          <a:picLocks noChangeAspect="1"/>
        </xdr:cNvPicPr>
      </xdr:nvPicPr>
      <xdr:blipFill>
        <a:blip xmlns:r="http://schemas.openxmlformats.org/officeDocument/2006/relationships" r:embed="rId8"/>
        <a:stretch>
          <a:fillRect/>
        </a:stretch>
      </xdr:blipFill>
      <xdr:spPr>
        <a:xfrm>
          <a:off x="2583941" y="20922241"/>
          <a:ext cx="475830" cy="478102"/>
        </a:xfrm>
        <a:prstGeom prst="rect">
          <a:avLst/>
        </a:prstGeom>
      </xdr:spPr>
    </xdr:pic>
    <xdr:clientData/>
  </xdr:twoCellAnchor>
  <xdr:twoCellAnchor editAs="oneCell">
    <xdr:from>
      <xdr:col>3</xdr:col>
      <xdr:colOff>433995</xdr:colOff>
      <xdr:row>42</xdr:row>
      <xdr:rowOff>265819</xdr:rowOff>
    </xdr:from>
    <xdr:to>
      <xdr:col>3</xdr:col>
      <xdr:colOff>904418</xdr:colOff>
      <xdr:row>42</xdr:row>
      <xdr:rowOff>742551</xdr:rowOff>
    </xdr:to>
    <xdr:pic>
      <xdr:nvPicPr>
        <xdr:cNvPr id="52" name="Imagem 9">
          <a:extLst>
            <a:ext uri="{FF2B5EF4-FFF2-40B4-BE49-F238E27FC236}">
              <a16:creationId xmlns:a16="http://schemas.microsoft.com/office/drawing/2014/main" id="{00000000-0008-0000-0400-000034000000}"/>
            </a:ext>
            <a:ext uri="{147F2762-F138-4A5C-976F-8EAC2B608ADB}">
              <a16:predDERef xmlns:a16="http://schemas.microsoft.com/office/drawing/2014/main" pred="{4B234C1D-B1EE-4D78-B847-600A3CB666F6}"/>
            </a:ext>
          </a:extLst>
        </xdr:cNvPr>
        <xdr:cNvPicPr>
          <a:picLocks noChangeAspect="1"/>
        </xdr:cNvPicPr>
      </xdr:nvPicPr>
      <xdr:blipFill>
        <a:blip xmlns:r="http://schemas.openxmlformats.org/officeDocument/2006/relationships" r:embed="rId9"/>
        <a:stretch>
          <a:fillRect/>
        </a:stretch>
      </xdr:blipFill>
      <xdr:spPr>
        <a:xfrm>
          <a:off x="2586645" y="21639919"/>
          <a:ext cx="467248" cy="476732"/>
        </a:xfrm>
        <a:prstGeom prst="rect">
          <a:avLst/>
        </a:prstGeom>
      </xdr:spPr>
    </xdr:pic>
    <xdr:clientData/>
  </xdr:twoCellAnchor>
  <xdr:twoCellAnchor editAs="oneCell">
    <xdr:from>
      <xdr:col>3</xdr:col>
      <xdr:colOff>431081</xdr:colOff>
      <xdr:row>42</xdr:row>
      <xdr:rowOff>978952</xdr:rowOff>
    </xdr:from>
    <xdr:to>
      <xdr:col>3</xdr:col>
      <xdr:colOff>904156</xdr:colOff>
      <xdr:row>43</xdr:row>
      <xdr:rowOff>46968</xdr:rowOff>
    </xdr:to>
    <xdr:pic>
      <xdr:nvPicPr>
        <xdr:cNvPr id="53" name="Imagem 14">
          <a:extLst>
            <a:ext uri="{FF2B5EF4-FFF2-40B4-BE49-F238E27FC236}">
              <a16:creationId xmlns:a16="http://schemas.microsoft.com/office/drawing/2014/main" id="{00000000-0008-0000-0400-000035000000}"/>
            </a:ext>
            <a:ext uri="{147F2762-F138-4A5C-976F-8EAC2B608ADB}">
              <a16:predDERef xmlns:a16="http://schemas.microsoft.com/office/drawing/2014/main" pred="{C02A0C7E-2A38-45BB-A83B-57DA9FF58F3C}"/>
            </a:ext>
          </a:extLst>
        </xdr:cNvPr>
        <xdr:cNvPicPr>
          <a:picLocks noChangeAspect="1"/>
        </xdr:cNvPicPr>
      </xdr:nvPicPr>
      <xdr:blipFill>
        <a:blip xmlns:r="http://schemas.openxmlformats.org/officeDocument/2006/relationships" r:embed="rId6"/>
        <a:stretch>
          <a:fillRect/>
        </a:stretch>
      </xdr:blipFill>
      <xdr:spPr>
        <a:xfrm>
          <a:off x="2583731" y="22353052"/>
          <a:ext cx="476250" cy="487242"/>
        </a:xfrm>
        <a:prstGeom prst="rect">
          <a:avLst/>
        </a:prstGeom>
      </xdr:spPr>
    </xdr:pic>
    <xdr:clientData/>
  </xdr:twoCellAnchor>
  <xdr:twoCellAnchor editAs="oneCell">
    <xdr:from>
      <xdr:col>3</xdr:col>
      <xdr:colOff>433726</xdr:colOff>
      <xdr:row>43</xdr:row>
      <xdr:rowOff>273844</xdr:rowOff>
    </xdr:from>
    <xdr:to>
      <xdr:col>3</xdr:col>
      <xdr:colOff>904686</xdr:colOff>
      <xdr:row>43</xdr:row>
      <xdr:rowOff>731043</xdr:rowOff>
    </xdr:to>
    <xdr:pic>
      <xdr:nvPicPr>
        <xdr:cNvPr id="54" name="Imagem 55">
          <a:extLst>
            <a:ext uri="{FF2B5EF4-FFF2-40B4-BE49-F238E27FC236}">
              <a16:creationId xmlns:a16="http://schemas.microsoft.com/office/drawing/2014/main" id="{00000000-0008-0000-0400-000036000000}"/>
            </a:ext>
            <a:ext uri="{147F2762-F138-4A5C-976F-8EAC2B608ADB}">
              <a16:predDERef xmlns:a16="http://schemas.microsoft.com/office/drawing/2014/main" pred="{3B267E62-EA40-4CEF-9A34-854C9CAF3D3D}"/>
            </a:ext>
          </a:extLst>
        </xdr:cNvPr>
        <xdr:cNvPicPr>
          <a:picLocks noChangeAspect="1"/>
        </xdr:cNvPicPr>
      </xdr:nvPicPr>
      <xdr:blipFill>
        <a:blip xmlns:r="http://schemas.openxmlformats.org/officeDocument/2006/relationships" r:embed="rId5"/>
        <a:stretch>
          <a:fillRect/>
        </a:stretch>
      </xdr:blipFill>
      <xdr:spPr>
        <a:xfrm>
          <a:off x="2586376" y="23063994"/>
          <a:ext cx="467785" cy="454024"/>
        </a:xfrm>
        <a:prstGeom prst="rect">
          <a:avLst/>
        </a:prstGeom>
      </xdr:spPr>
    </xdr:pic>
    <xdr:clientData/>
  </xdr:twoCellAnchor>
  <xdr:twoCellAnchor editAs="oneCell">
    <xdr:from>
      <xdr:col>3</xdr:col>
      <xdr:colOff>140950</xdr:colOff>
      <xdr:row>21</xdr:row>
      <xdr:rowOff>681912</xdr:rowOff>
    </xdr:from>
    <xdr:to>
      <xdr:col>3</xdr:col>
      <xdr:colOff>600264</xdr:colOff>
      <xdr:row>21</xdr:row>
      <xdr:rowOff>1171087</xdr:rowOff>
    </xdr:to>
    <xdr:pic>
      <xdr:nvPicPr>
        <xdr:cNvPr id="55" name="Imagem 10">
          <a:extLst>
            <a:ext uri="{FF2B5EF4-FFF2-40B4-BE49-F238E27FC236}">
              <a16:creationId xmlns:a16="http://schemas.microsoft.com/office/drawing/2014/main" id="{00000000-0008-0000-0400-000037000000}"/>
            </a:ext>
            <a:ext uri="{147F2762-F138-4A5C-976F-8EAC2B608ADB}">
              <a16:predDERef xmlns:a16="http://schemas.microsoft.com/office/drawing/2014/main" pred="{5D5FA2F3-F5B2-40B6-B40C-DFFB5F2ACA75}"/>
            </a:ext>
          </a:extLst>
        </xdr:cNvPr>
        <xdr:cNvPicPr>
          <a:picLocks noChangeAspect="1"/>
        </xdr:cNvPicPr>
      </xdr:nvPicPr>
      <xdr:blipFill>
        <a:blip xmlns:r="http://schemas.openxmlformats.org/officeDocument/2006/relationships" r:embed="rId7"/>
        <a:stretch>
          <a:fillRect/>
        </a:stretch>
      </xdr:blipFill>
      <xdr:spPr>
        <a:xfrm>
          <a:off x="2293600" y="10600612"/>
          <a:ext cx="456139" cy="486000"/>
        </a:xfrm>
        <a:prstGeom prst="rect">
          <a:avLst/>
        </a:prstGeom>
      </xdr:spPr>
    </xdr:pic>
    <xdr:clientData/>
  </xdr:twoCellAnchor>
  <xdr:twoCellAnchor editAs="oneCell">
    <xdr:from>
      <xdr:col>3</xdr:col>
      <xdr:colOff>142217</xdr:colOff>
      <xdr:row>21</xdr:row>
      <xdr:rowOff>95153</xdr:rowOff>
    </xdr:from>
    <xdr:to>
      <xdr:col>3</xdr:col>
      <xdr:colOff>598997</xdr:colOff>
      <xdr:row>21</xdr:row>
      <xdr:rowOff>569503</xdr:rowOff>
    </xdr:to>
    <xdr:pic>
      <xdr:nvPicPr>
        <xdr:cNvPr id="56" name="Imagem 7">
          <a:extLst>
            <a:ext uri="{FF2B5EF4-FFF2-40B4-BE49-F238E27FC236}">
              <a16:creationId xmlns:a16="http://schemas.microsoft.com/office/drawing/2014/main" id="{00000000-0008-0000-0400-000038000000}"/>
            </a:ext>
            <a:ext uri="{147F2762-F138-4A5C-976F-8EAC2B608ADB}">
              <a16:predDERef xmlns:a16="http://schemas.microsoft.com/office/drawing/2014/main" pred="{2B54025B-8A24-417E-8DCE-8936D0BF8DC4}"/>
            </a:ext>
          </a:extLst>
        </xdr:cNvPr>
        <xdr:cNvPicPr>
          <a:picLocks noChangeAspect="1"/>
        </xdr:cNvPicPr>
      </xdr:nvPicPr>
      <xdr:blipFill>
        <a:blip xmlns:r="http://schemas.openxmlformats.org/officeDocument/2006/relationships" r:embed="rId8"/>
        <a:stretch>
          <a:fillRect/>
        </a:stretch>
      </xdr:blipFill>
      <xdr:spPr>
        <a:xfrm>
          <a:off x="2294867" y="10013853"/>
          <a:ext cx="453605" cy="474350"/>
        </a:xfrm>
        <a:prstGeom prst="rect">
          <a:avLst/>
        </a:prstGeom>
      </xdr:spPr>
    </xdr:pic>
    <xdr:clientData/>
  </xdr:twoCellAnchor>
  <xdr:twoCellAnchor editAs="oneCell">
    <xdr:from>
      <xdr:col>3</xdr:col>
      <xdr:colOff>714954</xdr:colOff>
      <xdr:row>21</xdr:row>
      <xdr:rowOff>88701</xdr:rowOff>
    </xdr:from>
    <xdr:to>
      <xdr:col>3</xdr:col>
      <xdr:colOff>1209129</xdr:colOff>
      <xdr:row>21</xdr:row>
      <xdr:rowOff>577876</xdr:rowOff>
    </xdr:to>
    <xdr:pic>
      <xdr:nvPicPr>
        <xdr:cNvPr id="57" name="Imagem 20">
          <a:extLst>
            <a:ext uri="{FF2B5EF4-FFF2-40B4-BE49-F238E27FC236}">
              <a16:creationId xmlns:a16="http://schemas.microsoft.com/office/drawing/2014/main" id="{00000000-0008-0000-0400-000039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867604" y="10007401"/>
          <a:ext cx="497350" cy="486000"/>
        </a:xfrm>
        <a:prstGeom prst="rect">
          <a:avLst/>
        </a:prstGeom>
      </xdr:spPr>
    </xdr:pic>
    <xdr:clientData/>
  </xdr:twoCellAnchor>
  <xdr:twoCellAnchor editAs="oneCell">
    <xdr:from>
      <xdr:col>3</xdr:col>
      <xdr:colOff>722774</xdr:colOff>
      <xdr:row>21</xdr:row>
      <xdr:rowOff>680658</xdr:rowOff>
    </xdr:from>
    <xdr:to>
      <xdr:col>3</xdr:col>
      <xdr:colOff>1201309</xdr:colOff>
      <xdr:row>21</xdr:row>
      <xdr:rowOff>1169833</xdr:rowOff>
    </xdr:to>
    <xdr:pic>
      <xdr:nvPicPr>
        <xdr:cNvPr id="58" name="Imagem 9">
          <a:extLst>
            <a:ext uri="{FF2B5EF4-FFF2-40B4-BE49-F238E27FC236}">
              <a16:creationId xmlns:a16="http://schemas.microsoft.com/office/drawing/2014/main" id="{00000000-0008-0000-0400-00003A000000}"/>
            </a:ext>
            <a:ext uri="{147F2762-F138-4A5C-976F-8EAC2B608ADB}">
              <a16:predDERef xmlns:a16="http://schemas.microsoft.com/office/drawing/2014/main" pred="{4B234C1D-B1EE-4D78-B847-600A3CB666F6}"/>
            </a:ext>
          </a:extLst>
        </xdr:cNvPr>
        <xdr:cNvPicPr>
          <a:picLocks noChangeAspect="1"/>
        </xdr:cNvPicPr>
      </xdr:nvPicPr>
      <xdr:blipFill>
        <a:blip xmlns:r="http://schemas.openxmlformats.org/officeDocument/2006/relationships" r:embed="rId9"/>
        <a:stretch>
          <a:fillRect/>
        </a:stretch>
      </xdr:blipFill>
      <xdr:spPr>
        <a:xfrm>
          <a:off x="2875424" y="10599358"/>
          <a:ext cx="478535" cy="492350"/>
        </a:xfrm>
        <a:prstGeom prst="rect">
          <a:avLst/>
        </a:prstGeom>
      </xdr:spPr>
    </xdr:pic>
    <xdr:clientData/>
  </xdr:twoCellAnchor>
  <xdr:twoCellAnchor editAs="oneCell">
    <xdr:from>
      <xdr:col>3</xdr:col>
      <xdr:colOff>124004</xdr:colOff>
      <xdr:row>20</xdr:row>
      <xdr:rowOff>512744</xdr:rowOff>
    </xdr:from>
    <xdr:to>
      <xdr:col>3</xdr:col>
      <xdr:colOff>617211</xdr:colOff>
      <xdr:row>20</xdr:row>
      <xdr:rowOff>998744</xdr:rowOff>
    </xdr:to>
    <xdr:pic>
      <xdr:nvPicPr>
        <xdr:cNvPr id="59" name="Imagem 35">
          <a:extLst>
            <a:ext uri="{FF2B5EF4-FFF2-40B4-BE49-F238E27FC236}">
              <a16:creationId xmlns:a16="http://schemas.microsoft.com/office/drawing/2014/main" id="{00000000-0008-0000-0400-00003B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76654" y="9409094"/>
          <a:ext cx="496382" cy="489175"/>
        </a:xfrm>
        <a:prstGeom prst="rect">
          <a:avLst/>
        </a:prstGeom>
      </xdr:spPr>
    </xdr:pic>
    <xdr:clientData/>
  </xdr:twoCellAnchor>
  <xdr:twoCellAnchor editAs="oneCell">
    <xdr:from>
      <xdr:col>3</xdr:col>
      <xdr:colOff>718676</xdr:colOff>
      <xdr:row>20</xdr:row>
      <xdr:rowOff>512744</xdr:rowOff>
    </xdr:from>
    <xdr:to>
      <xdr:col>3</xdr:col>
      <xdr:colOff>1211757</xdr:colOff>
      <xdr:row>20</xdr:row>
      <xdr:rowOff>998744</xdr:rowOff>
    </xdr:to>
    <xdr:pic>
      <xdr:nvPicPr>
        <xdr:cNvPr id="60" name="Imagem 36">
          <a:extLst>
            <a:ext uri="{FF2B5EF4-FFF2-40B4-BE49-F238E27FC236}">
              <a16:creationId xmlns:a16="http://schemas.microsoft.com/office/drawing/2014/main" id="{00000000-0008-0000-0400-00003C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871326" y="9409094"/>
          <a:ext cx="496256" cy="489175"/>
        </a:xfrm>
        <a:prstGeom prst="rect">
          <a:avLst/>
        </a:prstGeom>
      </xdr:spPr>
    </xdr:pic>
    <xdr:clientData/>
  </xdr:twoCellAnchor>
  <xdr:twoCellAnchor editAs="oneCell">
    <xdr:from>
      <xdr:col>3</xdr:col>
      <xdr:colOff>132003</xdr:colOff>
      <xdr:row>21</xdr:row>
      <xdr:rowOff>1278966</xdr:rowOff>
    </xdr:from>
    <xdr:to>
      <xdr:col>3</xdr:col>
      <xdr:colOff>609212</xdr:colOff>
      <xdr:row>22</xdr:row>
      <xdr:rowOff>447341</xdr:rowOff>
    </xdr:to>
    <xdr:pic>
      <xdr:nvPicPr>
        <xdr:cNvPr id="61" name="Imagem 37">
          <a:extLst>
            <a:ext uri="{FF2B5EF4-FFF2-40B4-BE49-F238E27FC236}">
              <a16:creationId xmlns:a16="http://schemas.microsoft.com/office/drawing/2014/main" id="{00000000-0008-0000-0400-00003D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84653" y="11197666"/>
          <a:ext cx="477209" cy="486000"/>
        </a:xfrm>
        <a:prstGeom prst="rect">
          <a:avLst/>
        </a:prstGeom>
      </xdr:spPr>
    </xdr:pic>
    <xdr:clientData/>
  </xdr:twoCellAnchor>
  <xdr:twoCellAnchor editAs="oneCell">
    <xdr:from>
      <xdr:col>3</xdr:col>
      <xdr:colOff>724689</xdr:colOff>
      <xdr:row>21</xdr:row>
      <xdr:rowOff>1278966</xdr:rowOff>
    </xdr:from>
    <xdr:to>
      <xdr:col>3</xdr:col>
      <xdr:colOff>1199394</xdr:colOff>
      <xdr:row>22</xdr:row>
      <xdr:rowOff>447341</xdr:rowOff>
    </xdr:to>
    <xdr:pic>
      <xdr:nvPicPr>
        <xdr:cNvPr id="62" name="Imagem 38">
          <a:extLst>
            <a:ext uri="{FF2B5EF4-FFF2-40B4-BE49-F238E27FC236}">
              <a16:creationId xmlns:a16="http://schemas.microsoft.com/office/drawing/2014/main" id="{00000000-0008-0000-0400-00003E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877339" y="11197666"/>
          <a:ext cx="474705" cy="486000"/>
        </a:xfrm>
        <a:prstGeom prst="rect">
          <a:avLst/>
        </a:prstGeom>
      </xdr:spPr>
    </xdr:pic>
    <xdr:clientData/>
  </xdr:twoCellAnchor>
  <xdr:twoCellAnchor editAs="oneCell">
    <xdr:from>
      <xdr:col>3</xdr:col>
      <xdr:colOff>131585</xdr:colOff>
      <xdr:row>22</xdr:row>
      <xdr:rowOff>551581</xdr:rowOff>
    </xdr:from>
    <xdr:to>
      <xdr:col>3</xdr:col>
      <xdr:colOff>609630</xdr:colOff>
      <xdr:row>22</xdr:row>
      <xdr:rowOff>1037581</xdr:rowOff>
    </xdr:to>
    <xdr:pic>
      <xdr:nvPicPr>
        <xdr:cNvPr id="63" name="Imagem 39">
          <a:extLst>
            <a:ext uri="{FF2B5EF4-FFF2-40B4-BE49-F238E27FC236}">
              <a16:creationId xmlns:a16="http://schemas.microsoft.com/office/drawing/2014/main" id="{00000000-0008-0000-0400-00003F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284235" y="11791081"/>
          <a:ext cx="478045" cy="489175"/>
        </a:xfrm>
        <a:prstGeom prst="rect">
          <a:avLst/>
        </a:prstGeom>
      </xdr:spPr>
    </xdr:pic>
    <xdr:clientData/>
  </xdr:twoCellAnchor>
  <xdr:twoCellAnchor editAs="absolute">
    <xdr:from>
      <xdr:col>3</xdr:col>
      <xdr:colOff>540878</xdr:colOff>
      <xdr:row>0</xdr:row>
      <xdr:rowOff>46524</xdr:rowOff>
    </xdr:from>
    <xdr:to>
      <xdr:col>5</xdr:col>
      <xdr:colOff>58457</xdr:colOff>
      <xdr:row>1</xdr:row>
      <xdr:rowOff>151600</xdr:rowOff>
    </xdr:to>
    <xdr:sp macro="" textlink="">
      <xdr:nvSpPr>
        <xdr:cNvPr id="1036" name="CaixaDeTexto 8">
          <a:hlinkClick xmlns:r="http://schemas.openxmlformats.org/officeDocument/2006/relationships" r:id="rId16"/>
          <a:extLst>
            <a:ext uri="{FF2B5EF4-FFF2-40B4-BE49-F238E27FC236}">
              <a16:creationId xmlns:a16="http://schemas.microsoft.com/office/drawing/2014/main" id="{00000000-0008-0000-0400-00000C040000}"/>
            </a:ext>
          </a:extLst>
        </xdr:cNvPr>
        <xdr:cNvSpPr txBox="1"/>
      </xdr:nvSpPr>
      <xdr:spPr>
        <a:xfrm>
          <a:off x="2601453" y="49699"/>
          <a:ext cx="990779" cy="276526"/>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1276350</xdr:colOff>
      <xdr:row>0</xdr:row>
      <xdr:rowOff>44450</xdr:rowOff>
    </xdr:from>
    <xdr:to>
      <xdr:col>3</xdr:col>
      <xdr:colOff>415925</xdr:colOff>
      <xdr:row>1</xdr:row>
      <xdr:rowOff>149225</xdr:rowOff>
    </xdr:to>
    <xdr:sp macro="" textlink="">
      <xdr:nvSpPr>
        <xdr:cNvPr id="1035" name="CaixaDeTexto 9">
          <a:hlinkClick xmlns:r="http://schemas.openxmlformats.org/officeDocument/2006/relationships" r:id="rId17"/>
          <a:extLst>
            <a:ext uri="{FF2B5EF4-FFF2-40B4-BE49-F238E27FC236}">
              <a16:creationId xmlns:a16="http://schemas.microsoft.com/office/drawing/2014/main" id="{00000000-0008-0000-0400-00000B040000}"/>
            </a:ext>
            <a:ext uri="{147F2762-F138-4A5C-976F-8EAC2B608ADB}">
              <a16:predDERef xmlns:a16="http://schemas.microsoft.com/office/drawing/2014/main" pred="{00000000-0008-0000-0400-000092030000}"/>
            </a:ext>
          </a:extLst>
        </xdr:cNvPr>
        <xdr:cNvSpPr txBox="1"/>
      </xdr:nvSpPr>
      <xdr:spPr>
        <a:xfrm>
          <a:off x="1854200" y="47625"/>
          <a:ext cx="619125" cy="27622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5</xdr:col>
      <xdr:colOff>162933</xdr:colOff>
      <xdr:row>0</xdr:row>
      <xdr:rowOff>46524</xdr:rowOff>
    </xdr:from>
    <xdr:to>
      <xdr:col>5</xdr:col>
      <xdr:colOff>905659</xdr:colOff>
      <xdr:row>1</xdr:row>
      <xdr:rowOff>151600</xdr:rowOff>
    </xdr:to>
    <xdr:sp macro="" textlink="">
      <xdr:nvSpPr>
        <xdr:cNvPr id="1037" name="CaixaDeTexto 10">
          <a:hlinkClick xmlns:r="http://schemas.openxmlformats.org/officeDocument/2006/relationships" r:id="rId18"/>
          <a:extLst>
            <a:ext uri="{FF2B5EF4-FFF2-40B4-BE49-F238E27FC236}">
              <a16:creationId xmlns:a16="http://schemas.microsoft.com/office/drawing/2014/main" id="{00000000-0008-0000-0400-00000D040000}"/>
            </a:ext>
          </a:extLst>
        </xdr:cNvPr>
        <xdr:cNvSpPr txBox="1"/>
      </xdr:nvSpPr>
      <xdr:spPr>
        <a:xfrm>
          <a:off x="3693533" y="49699"/>
          <a:ext cx="745901" cy="276526"/>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1</xdr:col>
      <xdr:colOff>406452</xdr:colOff>
      <xdr:row>0</xdr:row>
      <xdr:rowOff>46524</xdr:rowOff>
    </xdr:from>
    <xdr:to>
      <xdr:col>1</xdr:col>
      <xdr:colOff>1218352</xdr:colOff>
      <xdr:row>1</xdr:row>
      <xdr:rowOff>151600</xdr:rowOff>
    </xdr:to>
    <xdr:sp macro="" textlink="">
      <xdr:nvSpPr>
        <xdr:cNvPr id="1034" name="CaixaDeTexto 15">
          <a:hlinkClick xmlns:r="http://schemas.openxmlformats.org/officeDocument/2006/relationships" r:id="rId19"/>
          <a:extLst>
            <a:ext uri="{FF2B5EF4-FFF2-40B4-BE49-F238E27FC236}">
              <a16:creationId xmlns:a16="http://schemas.microsoft.com/office/drawing/2014/main" id="{00000000-0008-0000-0400-00000A040000}"/>
            </a:ext>
          </a:extLst>
        </xdr:cNvPr>
        <xdr:cNvSpPr txBox="1"/>
      </xdr:nvSpPr>
      <xdr:spPr>
        <a:xfrm>
          <a:off x="987477" y="49699"/>
          <a:ext cx="815075" cy="276526"/>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76200</xdr:colOff>
      <xdr:row>0</xdr:row>
      <xdr:rowOff>66675</xdr:rowOff>
    </xdr:from>
    <xdr:to>
      <xdr:col>1</xdr:col>
      <xdr:colOff>0</xdr:colOff>
      <xdr:row>1</xdr:row>
      <xdr:rowOff>85725</xdr:rowOff>
    </xdr:to>
    <xdr:sp macro="" textlink="">
      <xdr:nvSpPr>
        <xdr:cNvPr id="80" name="CaixaDeTexto 14">
          <a:hlinkClick xmlns:r="http://schemas.openxmlformats.org/officeDocument/2006/relationships" r:id="rId20"/>
          <a:extLst>
            <a:ext uri="{FF2B5EF4-FFF2-40B4-BE49-F238E27FC236}">
              <a16:creationId xmlns:a16="http://schemas.microsoft.com/office/drawing/2014/main" id="{00000000-0008-0000-0400-000050000000}"/>
            </a:ext>
            <a:ext uri="{147F2762-F138-4A5C-976F-8EAC2B608ADB}">
              <a16:predDERef xmlns:a16="http://schemas.microsoft.com/office/drawing/2014/main" pred="{00000000-0008-0000-0400-000090030000}"/>
            </a:ext>
          </a:extLst>
        </xdr:cNvPr>
        <xdr:cNvSpPr txBox="1"/>
      </xdr:nvSpPr>
      <xdr:spPr>
        <a:xfrm>
          <a:off x="76200" y="66675"/>
          <a:ext cx="504825" cy="190500"/>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9</xdr:col>
      <xdr:colOff>350839</xdr:colOff>
      <xdr:row>0</xdr:row>
      <xdr:rowOff>36636</xdr:rowOff>
    </xdr:from>
    <xdr:to>
      <xdr:col>9</xdr:col>
      <xdr:colOff>922335</xdr:colOff>
      <xdr:row>1</xdr:row>
      <xdr:rowOff>164469</xdr:rowOff>
    </xdr:to>
    <xdr:pic>
      <xdr:nvPicPr>
        <xdr:cNvPr id="6" name="Imagem 5">
          <a:hlinkClick xmlns:r="http://schemas.openxmlformats.org/officeDocument/2006/relationships" r:id="rId17"/>
          <a:extLst>
            <a:ext uri="{FF2B5EF4-FFF2-40B4-BE49-F238E27FC236}">
              <a16:creationId xmlns:a16="http://schemas.microsoft.com/office/drawing/2014/main" id="{00000000-0008-0000-0400-000006000000}"/>
            </a:ext>
          </a:extLst>
        </xdr:cNvPr>
        <xdr:cNvPicPr preferRelativeResize="0">
          <a:picLocks/>
        </xdr:cNvPicPr>
      </xdr:nvPicPr>
      <xdr:blipFill>
        <a:blip xmlns:r="http://schemas.openxmlformats.org/officeDocument/2006/relationships" r:embed="rId21"/>
        <a:stretch>
          <a:fillRect/>
        </a:stretch>
      </xdr:blipFill>
      <xdr:spPr>
        <a:xfrm flipH="1">
          <a:off x="7995506" y="36636"/>
          <a:ext cx="565146" cy="304656"/>
        </a:xfrm>
        <a:prstGeom prst="rect">
          <a:avLst/>
        </a:prstGeom>
      </xdr:spPr>
    </xdr:pic>
    <xdr:clientData/>
  </xdr:twoCellAnchor>
  <xdr:twoCellAnchor editAs="absolute">
    <xdr:from>
      <xdr:col>9</xdr:col>
      <xdr:colOff>942032</xdr:colOff>
      <xdr:row>0</xdr:row>
      <xdr:rowOff>36635</xdr:rowOff>
    </xdr:from>
    <xdr:to>
      <xdr:col>9</xdr:col>
      <xdr:colOff>1515327</xdr:colOff>
      <xdr:row>1</xdr:row>
      <xdr:rowOff>164468</xdr:rowOff>
    </xdr:to>
    <xdr:pic>
      <xdr:nvPicPr>
        <xdr:cNvPr id="7" name="Imagem 6">
          <a:hlinkClick xmlns:r="http://schemas.openxmlformats.org/officeDocument/2006/relationships" r:id="rId16"/>
          <a:extLst>
            <a:ext uri="{FF2B5EF4-FFF2-40B4-BE49-F238E27FC236}">
              <a16:creationId xmlns:a16="http://schemas.microsoft.com/office/drawing/2014/main" id="{00000000-0008-0000-0400-000007000000}"/>
            </a:ext>
          </a:extLst>
        </xdr:cNvPr>
        <xdr:cNvPicPr preferRelativeResize="0">
          <a:picLocks/>
        </xdr:cNvPicPr>
      </xdr:nvPicPr>
      <xdr:blipFill>
        <a:blip xmlns:r="http://schemas.openxmlformats.org/officeDocument/2006/relationships" r:embed="rId21"/>
        <a:stretch>
          <a:fillRect/>
        </a:stretch>
      </xdr:blipFill>
      <xdr:spPr>
        <a:xfrm rot="10800000" flipH="1">
          <a:off x="8586699" y="36635"/>
          <a:ext cx="560595" cy="304656"/>
        </a:xfrm>
        <a:prstGeom prst="rect">
          <a:avLst/>
        </a:prstGeom>
      </xdr:spPr>
    </xdr:pic>
    <xdr:clientData/>
  </xdr:twoCellAnchor>
  <xdr:twoCellAnchor>
    <xdr:from>
      <xdr:col>7</xdr:col>
      <xdr:colOff>282575</xdr:colOff>
      <xdr:row>0</xdr:row>
      <xdr:rowOff>47625</xdr:rowOff>
    </xdr:from>
    <xdr:to>
      <xdr:col>7</xdr:col>
      <xdr:colOff>839500</xdr:colOff>
      <xdr:row>1</xdr:row>
      <xdr:rowOff>143176</xdr:rowOff>
    </xdr:to>
    <xdr:sp macro="" textlink="">
      <xdr:nvSpPr>
        <xdr:cNvPr id="1039" name="TextBox 3">
          <a:hlinkClick xmlns:r="http://schemas.openxmlformats.org/officeDocument/2006/relationships" r:id="rId22"/>
          <a:extLst>
            <a:ext uri="{FF2B5EF4-FFF2-40B4-BE49-F238E27FC236}">
              <a16:creationId xmlns:a16="http://schemas.microsoft.com/office/drawing/2014/main" id="{00000000-0008-0000-0400-00000F040000}"/>
            </a:ext>
            <a:ext uri="{147F2762-F138-4A5C-976F-8EAC2B608ADB}">
              <a16:predDERef xmlns:a16="http://schemas.microsoft.com/office/drawing/2014/main" pred="{00000000-0008-0000-0400-000007000000}"/>
            </a:ext>
          </a:extLst>
        </xdr:cNvPr>
        <xdr:cNvSpPr txBox="1"/>
      </xdr:nvSpPr>
      <xdr:spPr>
        <a:xfrm>
          <a:off x="5749925" y="47625"/>
          <a:ext cx="556925" cy="276526"/>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xdr:from>
      <xdr:col>5</xdr:col>
      <xdr:colOff>854075</xdr:colOff>
      <xdr:row>0</xdr:row>
      <xdr:rowOff>47625</xdr:rowOff>
    </xdr:from>
    <xdr:to>
      <xdr:col>7</xdr:col>
      <xdr:colOff>132554</xdr:colOff>
      <xdr:row>1</xdr:row>
      <xdr:rowOff>143176</xdr:rowOff>
    </xdr:to>
    <xdr:sp macro="" textlink="">
      <xdr:nvSpPr>
        <xdr:cNvPr id="1038" name="TextBox 7">
          <a:hlinkClick xmlns:r="http://schemas.openxmlformats.org/officeDocument/2006/relationships" r:id="rId23"/>
          <a:extLst>
            <a:ext uri="{FF2B5EF4-FFF2-40B4-BE49-F238E27FC236}">
              <a16:creationId xmlns:a16="http://schemas.microsoft.com/office/drawing/2014/main" id="{00000000-0008-0000-0400-00000E040000}"/>
            </a:ext>
            <a:ext uri="{147F2762-F138-4A5C-976F-8EAC2B608ADB}">
              <a16:predDERef xmlns:a16="http://schemas.microsoft.com/office/drawing/2014/main" pred="{895323C6-66D6-4CDA-8AE3-849D9F99AE8B}"/>
            </a:ext>
          </a:extLst>
        </xdr:cNvPr>
        <xdr:cNvSpPr txBox="1"/>
      </xdr:nvSpPr>
      <xdr:spPr>
        <a:xfrm>
          <a:off x="4549775" y="47625"/>
          <a:ext cx="1050129" cy="276526"/>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xdr:from>
      <xdr:col>7</xdr:col>
      <xdr:colOff>1148193</xdr:colOff>
      <xdr:row>0</xdr:row>
      <xdr:rowOff>47625</xdr:rowOff>
    </xdr:from>
    <xdr:to>
      <xdr:col>8</xdr:col>
      <xdr:colOff>144316</xdr:colOff>
      <xdr:row>1</xdr:row>
      <xdr:rowOff>142875</xdr:rowOff>
    </xdr:to>
    <xdr:sp macro="" textlink="">
      <xdr:nvSpPr>
        <xdr:cNvPr id="1040" name="TextBox 8">
          <a:hlinkClick xmlns:r="http://schemas.openxmlformats.org/officeDocument/2006/relationships" r:id="rId24"/>
          <a:extLst>
            <a:ext uri="{FF2B5EF4-FFF2-40B4-BE49-F238E27FC236}">
              <a16:creationId xmlns:a16="http://schemas.microsoft.com/office/drawing/2014/main" id="{00000000-0008-0000-0400-000010040000}"/>
            </a:ext>
            <a:ext uri="{147F2762-F138-4A5C-976F-8EAC2B608ADB}">
              <a16:predDERef xmlns:a16="http://schemas.microsoft.com/office/drawing/2014/main" pred="{7A596CEA-05CF-4A99-AADD-621F95ABC4A1}"/>
            </a:ext>
          </a:extLst>
        </xdr:cNvPr>
        <xdr:cNvSpPr txBox="1"/>
      </xdr:nvSpPr>
      <xdr:spPr>
        <a:xfrm>
          <a:off x="6620738" y="47625"/>
          <a:ext cx="964623" cy="27420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7086" y="496455"/>
          <a:ext cx="1179655" cy="4369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817771</xdr:colOff>
      <xdr:row>0</xdr:row>
      <xdr:rowOff>26711</xdr:rowOff>
    </xdr:from>
    <xdr:to>
      <xdr:col>2</xdr:col>
      <xdr:colOff>1742971</xdr:colOff>
      <xdr:row>1</xdr:row>
      <xdr:rowOff>133198</xdr:rowOff>
    </xdr:to>
    <xdr:sp macro="" textlink="">
      <xdr:nvSpPr>
        <xdr:cNvPr id="1041" name="CaixaDeTexto 8">
          <a:hlinkClick xmlns:r="http://schemas.openxmlformats.org/officeDocument/2006/relationships" r:id="rId2"/>
          <a:extLst>
            <a:ext uri="{FF2B5EF4-FFF2-40B4-BE49-F238E27FC236}">
              <a16:creationId xmlns:a16="http://schemas.microsoft.com/office/drawing/2014/main" id="{00000000-0008-0000-0500-000011040000}"/>
            </a:ext>
          </a:extLst>
        </xdr:cNvPr>
        <xdr:cNvSpPr txBox="1"/>
      </xdr:nvSpPr>
      <xdr:spPr>
        <a:xfrm>
          <a:off x="3560971" y="29886"/>
          <a:ext cx="928375" cy="2842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1884650</xdr:colOff>
      <xdr:row>0</xdr:row>
      <xdr:rowOff>26711</xdr:rowOff>
    </xdr:from>
    <xdr:to>
      <xdr:col>2</xdr:col>
      <xdr:colOff>421450</xdr:colOff>
      <xdr:row>1</xdr:row>
      <xdr:rowOff>133198</xdr:rowOff>
    </xdr:to>
    <xdr:sp macro="" textlink="">
      <xdr:nvSpPr>
        <xdr:cNvPr id="1040" name="CaixaDeTexto 9">
          <a:hlinkClick xmlns:r="http://schemas.openxmlformats.org/officeDocument/2006/relationships" r:id="rId3"/>
          <a:extLst>
            <a:ext uri="{FF2B5EF4-FFF2-40B4-BE49-F238E27FC236}">
              <a16:creationId xmlns:a16="http://schemas.microsoft.com/office/drawing/2014/main" id="{00000000-0008-0000-0500-000010040000}"/>
            </a:ext>
          </a:extLst>
        </xdr:cNvPr>
        <xdr:cNvSpPr txBox="1"/>
      </xdr:nvSpPr>
      <xdr:spPr>
        <a:xfrm>
          <a:off x="2494250" y="29886"/>
          <a:ext cx="670400" cy="2842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2145642</xdr:colOff>
      <xdr:row>0</xdr:row>
      <xdr:rowOff>26711</xdr:rowOff>
    </xdr:from>
    <xdr:to>
      <xdr:col>2</xdr:col>
      <xdr:colOff>2821592</xdr:colOff>
      <xdr:row>1</xdr:row>
      <xdr:rowOff>133198</xdr:rowOff>
    </xdr:to>
    <xdr:sp macro="" textlink="">
      <xdr:nvSpPr>
        <xdr:cNvPr id="1042" name="CaixaDeTexto 10">
          <a:hlinkClick xmlns:r="http://schemas.openxmlformats.org/officeDocument/2006/relationships" r:id="rId4"/>
          <a:extLst>
            <a:ext uri="{FF2B5EF4-FFF2-40B4-BE49-F238E27FC236}">
              <a16:creationId xmlns:a16="http://schemas.microsoft.com/office/drawing/2014/main" id="{00000000-0008-0000-0500-000012040000}"/>
            </a:ext>
          </a:extLst>
        </xdr:cNvPr>
        <xdr:cNvSpPr txBox="1"/>
      </xdr:nvSpPr>
      <xdr:spPr>
        <a:xfrm>
          <a:off x="4885667" y="29886"/>
          <a:ext cx="679125" cy="2842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3179813</xdr:colOff>
      <xdr:row>0</xdr:row>
      <xdr:rowOff>29886</xdr:rowOff>
    </xdr:from>
    <xdr:to>
      <xdr:col>2</xdr:col>
      <xdr:colOff>4159250</xdr:colOff>
      <xdr:row>1</xdr:row>
      <xdr:rowOff>133198</xdr:rowOff>
    </xdr:to>
    <xdr:sp macro="" textlink="">
      <xdr:nvSpPr>
        <xdr:cNvPr id="1043" name="CaixaDeTexto 11">
          <a:hlinkClick xmlns:r="http://schemas.openxmlformats.org/officeDocument/2006/relationships" r:id="rId5"/>
          <a:extLst>
            <a:ext uri="{FF2B5EF4-FFF2-40B4-BE49-F238E27FC236}">
              <a16:creationId xmlns:a16="http://schemas.microsoft.com/office/drawing/2014/main" id="{00000000-0008-0000-0500-000013040000}"/>
            </a:ext>
          </a:extLst>
        </xdr:cNvPr>
        <xdr:cNvSpPr txBox="1"/>
      </xdr:nvSpPr>
      <xdr:spPr>
        <a:xfrm>
          <a:off x="5923013" y="26711"/>
          <a:ext cx="982612" cy="28746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4341509</xdr:colOff>
      <xdr:row>0</xdr:row>
      <xdr:rowOff>26711</xdr:rowOff>
    </xdr:from>
    <xdr:to>
      <xdr:col>3</xdr:col>
      <xdr:colOff>1084</xdr:colOff>
      <xdr:row>1</xdr:row>
      <xdr:rowOff>133198</xdr:rowOff>
    </xdr:to>
    <xdr:sp macro="" textlink="">
      <xdr:nvSpPr>
        <xdr:cNvPr id="1044" name="CaixaDeTexto 12">
          <a:hlinkClick xmlns:r="http://schemas.openxmlformats.org/officeDocument/2006/relationships" r:id="rId6"/>
          <a:extLst>
            <a:ext uri="{FF2B5EF4-FFF2-40B4-BE49-F238E27FC236}">
              <a16:creationId xmlns:a16="http://schemas.microsoft.com/office/drawing/2014/main" id="{00000000-0008-0000-0500-000014040000}"/>
            </a:ext>
          </a:extLst>
        </xdr:cNvPr>
        <xdr:cNvSpPr txBox="1"/>
      </xdr:nvSpPr>
      <xdr:spPr>
        <a:xfrm>
          <a:off x="7084709" y="29886"/>
          <a:ext cx="726875" cy="2842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3</xdr:col>
      <xdr:colOff>67206</xdr:colOff>
      <xdr:row>0</xdr:row>
      <xdr:rowOff>29886</xdr:rowOff>
    </xdr:from>
    <xdr:to>
      <xdr:col>3</xdr:col>
      <xdr:colOff>971550</xdr:colOff>
      <xdr:row>1</xdr:row>
      <xdr:rowOff>133198</xdr:rowOff>
    </xdr:to>
    <xdr:sp macro="" textlink="">
      <xdr:nvSpPr>
        <xdr:cNvPr id="1045" name="CaixaDeTexto 13">
          <a:hlinkClick xmlns:r="http://schemas.openxmlformats.org/officeDocument/2006/relationships" r:id="rId7"/>
          <a:extLst>
            <a:ext uri="{FF2B5EF4-FFF2-40B4-BE49-F238E27FC236}">
              <a16:creationId xmlns:a16="http://schemas.microsoft.com/office/drawing/2014/main" id="{00000000-0008-0000-0500-000015040000}"/>
            </a:ext>
          </a:extLst>
        </xdr:cNvPr>
        <xdr:cNvSpPr txBox="1"/>
      </xdr:nvSpPr>
      <xdr:spPr>
        <a:xfrm>
          <a:off x="7922156" y="26711"/>
          <a:ext cx="907519" cy="28746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751179</xdr:colOff>
      <xdr:row>0</xdr:row>
      <xdr:rowOff>26711</xdr:rowOff>
    </xdr:from>
    <xdr:to>
      <xdr:col>1</xdr:col>
      <xdr:colOff>1488329</xdr:colOff>
      <xdr:row>1</xdr:row>
      <xdr:rowOff>133198</xdr:rowOff>
    </xdr:to>
    <xdr:sp macro="" textlink="">
      <xdr:nvSpPr>
        <xdr:cNvPr id="1039" name="CaixaDeTexto 15">
          <a:hlinkClick xmlns:r="http://schemas.openxmlformats.org/officeDocument/2006/relationships" r:id="rId8"/>
          <a:extLst>
            <a:ext uri="{FF2B5EF4-FFF2-40B4-BE49-F238E27FC236}">
              <a16:creationId xmlns:a16="http://schemas.microsoft.com/office/drawing/2014/main" id="{00000000-0008-0000-0500-00000F040000}"/>
            </a:ext>
          </a:extLst>
        </xdr:cNvPr>
        <xdr:cNvSpPr txBox="1"/>
      </xdr:nvSpPr>
      <xdr:spPr>
        <a:xfrm>
          <a:off x="1363954" y="29886"/>
          <a:ext cx="733975" cy="2842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40751</xdr:rowOff>
    </xdr:from>
    <xdr:to>
      <xdr:col>1</xdr:col>
      <xdr:colOff>0</xdr:colOff>
      <xdr:row>1</xdr:row>
      <xdr:rowOff>125509</xdr:rowOff>
    </xdr:to>
    <xdr:sp macro="" textlink="">
      <xdr:nvSpPr>
        <xdr:cNvPr id="34" name="CaixaDeTexto 14">
          <a:hlinkClick xmlns:r="http://schemas.openxmlformats.org/officeDocument/2006/relationships" r:id="rId9"/>
          <a:extLst>
            <a:ext uri="{FF2B5EF4-FFF2-40B4-BE49-F238E27FC236}">
              <a16:creationId xmlns:a16="http://schemas.microsoft.com/office/drawing/2014/main" id="{00000000-0008-0000-0500-000022000000}"/>
            </a:ext>
          </a:extLst>
        </xdr:cNvPr>
        <xdr:cNvSpPr txBox="1"/>
      </xdr:nvSpPr>
      <xdr:spPr>
        <a:xfrm>
          <a:off x="0" y="40751"/>
          <a:ext cx="579783" cy="258693"/>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1457325</xdr:colOff>
      <xdr:row>0</xdr:row>
      <xdr:rowOff>38100</xdr:rowOff>
    </xdr:from>
    <xdr:to>
      <xdr:col>3</xdr:col>
      <xdr:colOff>2019296</xdr:colOff>
      <xdr:row>1</xdr:row>
      <xdr:rowOff>164956</xdr:rowOff>
    </xdr:to>
    <xdr:pic>
      <xdr:nvPicPr>
        <xdr:cNvPr id="11" name="Picture 1079">
          <a:hlinkClick xmlns:r="http://schemas.openxmlformats.org/officeDocument/2006/relationships" r:id="rId10"/>
          <a:extLst>
            <a:ext uri="{FF2B5EF4-FFF2-40B4-BE49-F238E27FC236}">
              <a16:creationId xmlns:a16="http://schemas.microsoft.com/office/drawing/2014/main" id="{00000000-0008-0000-0500-00000B000000}"/>
            </a:ext>
            <a:ext uri="{147F2762-F138-4A5C-976F-8EAC2B608ADB}">
              <a16:predDERef xmlns:a16="http://schemas.microsoft.com/office/drawing/2014/main" pred="{9095A460-53A7-4571-9CEF-838AA3658CFF}"/>
            </a:ext>
          </a:extLst>
        </xdr:cNvPr>
        <xdr:cNvPicPr preferRelativeResize="0">
          <a:picLocks/>
        </xdr:cNvPicPr>
      </xdr:nvPicPr>
      <xdr:blipFill>
        <a:blip xmlns:r="http://schemas.openxmlformats.org/officeDocument/2006/relationships" r:embed="rId11"/>
        <a:stretch>
          <a:fillRect/>
        </a:stretch>
      </xdr:blipFill>
      <xdr:spPr>
        <a:xfrm flipH="1">
          <a:off x="8953500" y="38100"/>
          <a:ext cx="565146" cy="304656"/>
        </a:xfrm>
        <a:prstGeom prst="rect">
          <a:avLst/>
        </a:prstGeom>
      </xdr:spPr>
    </xdr:pic>
    <xdr:clientData/>
  </xdr:twoCellAnchor>
  <xdr:twoCellAnchor editAs="oneCell">
    <xdr:from>
      <xdr:col>3</xdr:col>
      <xdr:colOff>2038350</xdr:colOff>
      <xdr:row>0</xdr:row>
      <xdr:rowOff>38100</xdr:rowOff>
    </xdr:from>
    <xdr:to>
      <xdr:col>3</xdr:col>
      <xdr:colOff>2598945</xdr:colOff>
      <xdr:row>1</xdr:row>
      <xdr:rowOff>164956</xdr:rowOff>
    </xdr:to>
    <xdr:pic>
      <xdr:nvPicPr>
        <xdr:cNvPr id="22" name="Picture 1080">
          <a:hlinkClick xmlns:r="http://schemas.openxmlformats.org/officeDocument/2006/relationships" r:id="rId4"/>
          <a:extLst>
            <a:ext uri="{FF2B5EF4-FFF2-40B4-BE49-F238E27FC236}">
              <a16:creationId xmlns:a16="http://schemas.microsoft.com/office/drawing/2014/main" id="{00000000-0008-0000-0500-000016000000}"/>
            </a:ext>
            <a:ext uri="{147F2762-F138-4A5C-976F-8EAC2B608ADB}">
              <a16:predDERef xmlns:a16="http://schemas.microsoft.com/office/drawing/2014/main" pred="{0D6A4681-FC9C-4D42-A56B-5F07CE003B52}"/>
            </a:ext>
          </a:extLst>
        </xdr:cNvPr>
        <xdr:cNvPicPr preferRelativeResize="0">
          <a:picLocks/>
        </xdr:cNvPicPr>
      </xdr:nvPicPr>
      <xdr:blipFill>
        <a:blip xmlns:r="http://schemas.openxmlformats.org/officeDocument/2006/relationships" r:embed="rId11"/>
        <a:stretch>
          <a:fillRect/>
        </a:stretch>
      </xdr:blipFill>
      <xdr:spPr>
        <a:xfrm rot="10800000" flipH="1">
          <a:off x="9534525" y="38100"/>
          <a:ext cx="563770" cy="3046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587433</xdr:colOff>
      <xdr:row>0</xdr:row>
      <xdr:rowOff>40698</xdr:rowOff>
    </xdr:from>
    <xdr:to>
      <xdr:col>2</xdr:col>
      <xdr:colOff>1514942</xdr:colOff>
      <xdr:row>1</xdr:row>
      <xdr:rowOff>141990</xdr:rowOff>
    </xdr:to>
    <xdr:sp macro="" textlink="">
      <xdr:nvSpPr>
        <xdr:cNvPr id="900" name="CaixaDeTexto 8">
          <a:hlinkClick xmlns:r="http://schemas.openxmlformats.org/officeDocument/2006/relationships" r:id="rId2"/>
          <a:extLst>
            <a:ext uri="{FF2B5EF4-FFF2-40B4-BE49-F238E27FC236}">
              <a16:creationId xmlns:a16="http://schemas.microsoft.com/office/drawing/2014/main" id="{00000000-0008-0000-0600-000084030000}"/>
            </a:ext>
          </a:extLst>
        </xdr:cNvPr>
        <xdr:cNvSpPr txBox="1"/>
      </xdr:nvSpPr>
      <xdr:spPr>
        <a:xfrm>
          <a:off x="3204737" y="40698"/>
          <a:ext cx="927509"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1682820</xdr:colOff>
      <xdr:row>0</xdr:row>
      <xdr:rowOff>40698</xdr:rowOff>
    </xdr:from>
    <xdr:to>
      <xdr:col>2</xdr:col>
      <xdr:colOff>219620</xdr:colOff>
      <xdr:row>1</xdr:row>
      <xdr:rowOff>141990</xdr:rowOff>
    </xdr:to>
    <xdr:sp macro="" textlink="">
      <xdr:nvSpPr>
        <xdr:cNvPr id="899" name="CaixaDeTexto 9">
          <a:hlinkClick xmlns:r="http://schemas.openxmlformats.org/officeDocument/2006/relationships" r:id="rId3"/>
          <a:extLst>
            <a:ext uri="{FF2B5EF4-FFF2-40B4-BE49-F238E27FC236}">
              <a16:creationId xmlns:a16="http://schemas.microsoft.com/office/drawing/2014/main" id="{00000000-0008-0000-0600-000083030000}"/>
            </a:ext>
          </a:extLst>
        </xdr:cNvPr>
        <xdr:cNvSpPr txBox="1"/>
      </xdr:nvSpPr>
      <xdr:spPr>
        <a:xfrm>
          <a:off x="2262603" y="40698"/>
          <a:ext cx="567971"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1889105</xdr:colOff>
      <xdr:row>0</xdr:row>
      <xdr:rowOff>40698</xdr:rowOff>
    </xdr:from>
    <xdr:to>
      <xdr:col>2</xdr:col>
      <xdr:colOff>2565055</xdr:colOff>
      <xdr:row>1</xdr:row>
      <xdr:rowOff>141990</xdr:rowOff>
    </xdr:to>
    <xdr:sp macro="" textlink="">
      <xdr:nvSpPr>
        <xdr:cNvPr id="901" name="CaixaDeTexto 10">
          <a:hlinkClick xmlns:r="http://schemas.openxmlformats.org/officeDocument/2006/relationships" r:id="rId4"/>
          <a:extLst>
            <a:ext uri="{FF2B5EF4-FFF2-40B4-BE49-F238E27FC236}">
              <a16:creationId xmlns:a16="http://schemas.microsoft.com/office/drawing/2014/main" id="{00000000-0008-0000-0600-000085030000}"/>
            </a:ext>
          </a:extLst>
        </xdr:cNvPr>
        <xdr:cNvSpPr txBox="1"/>
      </xdr:nvSpPr>
      <xdr:spPr>
        <a:xfrm>
          <a:off x="4506409" y="40698"/>
          <a:ext cx="669600"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2932868</xdr:colOff>
      <xdr:row>0</xdr:row>
      <xdr:rowOff>40698</xdr:rowOff>
    </xdr:from>
    <xdr:to>
      <xdr:col>2</xdr:col>
      <xdr:colOff>3822068</xdr:colOff>
      <xdr:row>1</xdr:row>
      <xdr:rowOff>141990</xdr:rowOff>
    </xdr:to>
    <xdr:sp macro="" textlink="">
      <xdr:nvSpPr>
        <xdr:cNvPr id="902" name="CaixaDeTexto 11">
          <a:hlinkClick xmlns:r="http://schemas.openxmlformats.org/officeDocument/2006/relationships" r:id="rId5"/>
          <a:extLst>
            <a:ext uri="{FF2B5EF4-FFF2-40B4-BE49-F238E27FC236}">
              <a16:creationId xmlns:a16="http://schemas.microsoft.com/office/drawing/2014/main" id="{00000000-0008-0000-0600-000086030000}"/>
            </a:ext>
          </a:extLst>
        </xdr:cNvPr>
        <xdr:cNvSpPr txBox="1"/>
      </xdr:nvSpPr>
      <xdr:spPr>
        <a:xfrm>
          <a:off x="5550172" y="40698"/>
          <a:ext cx="889200"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4069230</xdr:colOff>
      <xdr:row>0</xdr:row>
      <xdr:rowOff>40698</xdr:rowOff>
    </xdr:from>
    <xdr:to>
      <xdr:col>2</xdr:col>
      <xdr:colOff>4702390</xdr:colOff>
      <xdr:row>1</xdr:row>
      <xdr:rowOff>145165</xdr:rowOff>
    </xdr:to>
    <xdr:sp macro="" textlink="">
      <xdr:nvSpPr>
        <xdr:cNvPr id="903" name="CaixaDeTexto 12">
          <a:hlinkClick xmlns:r="http://schemas.openxmlformats.org/officeDocument/2006/relationships" r:id="rId6"/>
          <a:extLst>
            <a:ext uri="{FF2B5EF4-FFF2-40B4-BE49-F238E27FC236}">
              <a16:creationId xmlns:a16="http://schemas.microsoft.com/office/drawing/2014/main" id="{00000000-0008-0000-0600-000087030000}"/>
            </a:ext>
          </a:extLst>
        </xdr:cNvPr>
        <xdr:cNvSpPr txBox="1"/>
      </xdr:nvSpPr>
      <xdr:spPr>
        <a:xfrm>
          <a:off x="6809255" y="40698"/>
          <a:ext cx="744285" cy="28226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3</xdr:col>
      <xdr:colOff>85451</xdr:colOff>
      <xdr:row>0</xdr:row>
      <xdr:rowOff>40698</xdr:rowOff>
    </xdr:from>
    <xdr:to>
      <xdr:col>3</xdr:col>
      <xdr:colOff>876601</xdr:colOff>
      <xdr:row>1</xdr:row>
      <xdr:rowOff>141990</xdr:rowOff>
    </xdr:to>
    <xdr:sp macro="" textlink="">
      <xdr:nvSpPr>
        <xdr:cNvPr id="904" name="CaixaDeTexto 13">
          <a:hlinkClick xmlns:r="http://schemas.openxmlformats.org/officeDocument/2006/relationships" r:id="rId7"/>
          <a:extLst>
            <a:ext uri="{FF2B5EF4-FFF2-40B4-BE49-F238E27FC236}">
              <a16:creationId xmlns:a16="http://schemas.microsoft.com/office/drawing/2014/main" id="{00000000-0008-0000-0600-000088030000}"/>
            </a:ext>
          </a:extLst>
        </xdr:cNvPr>
        <xdr:cNvSpPr txBox="1"/>
      </xdr:nvSpPr>
      <xdr:spPr>
        <a:xfrm>
          <a:off x="7756251" y="40698"/>
          <a:ext cx="787975" cy="28544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540741</xdr:colOff>
      <xdr:row>0</xdr:row>
      <xdr:rowOff>40698</xdr:rowOff>
    </xdr:from>
    <xdr:to>
      <xdr:col>1</xdr:col>
      <xdr:colOff>1302307</xdr:colOff>
      <xdr:row>1</xdr:row>
      <xdr:rowOff>141990</xdr:rowOff>
    </xdr:to>
    <xdr:sp macro="" textlink="">
      <xdr:nvSpPr>
        <xdr:cNvPr id="898" name="CaixaDeTexto 15">
          <a:hlinkClick xmlns:r="http://schemas.openxmlformats.org/officeDocument/2006/relationships" r:id="rId8"/>
          <a:extLst>
            <a:ext uri="{FF2B5EF4-FFF2-40B4-BE49-F238E27FC236}">
              <a16:creationId xmlns:a16="http://schemas.microsoft.com/office/drawing/2014/main" id="{00000000-0008-0000-0600-000082030000}"/>
            </a:ext>
          </a:extLst>
        </xdr:cNvPr>
        <xdr:cNvSpPr txBox="1"/>
      </xdr:nvSpPr>
      <xdr:spPr>
        <a:xfrm>
          <a:off x="1126874" y="40698"/>
          <a:ext cx="761566"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69671</xdr:rowOff>
    </xdr:from>
    <xdr:to>
      <xdr:col>1</xdr:col>
      <xdr:colOff>0</xdr:colOff>
      <xdr:row>1</xdr:row>
      <xdr:rowOff>113016</xdr:rowOff>
    </xdr:to>
    <xdr:sp macro="" textlink="">
      <xdr:nvSpPr>
        <xdr:cNvPr id="25" name="CaixaDeTexto 14">
          <a:hlinkClick xmlns:r="http://schemas.openxmlformats.org/officeDocument/2006/relationships" r:id="rId9"/>
          <a:extLst>
            <a:ext uri="{FF2B5EF4-FFF2-40B4-BE49-F238E27FC236}">
              <a16:creationId xmlns:a16="http://schemas.microsoft.com/office/drawing/2014/main" id="{00000000-0008-0000-0600-000019000000}"/>
            </a:ext>
          </a:extLst>
        </xdr:cNvPr>
        <xdr:cNvSpPr txBox="1"/>
      </xdr:nvSpPr>
      <xdr:spPr>
        <a:xfrm>
          <a:off x="0" y="69671"/>
          <a:ext cx="579783" cy="217280"/>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1152525</xdr:colOff>
      <xdr:row>0</xdr:row>
      <xdr:rowOff>38100</xdr:rowOff>
    </xdr:from>
    <xdr:to>
      <xdr:col>3</xdr:col>
      <xdr:colOff>1711321</xdr:colOff>
      <xdr:row>1</xdr:row>
      <xdr:rowOff>164956</xdr:rowOff>
    </xdr:to>
    <xdr:pic>
      <xdr:nvPicPr>
        <xdr:cNvPr id="16" name="Picture 10">
          <a:hlinkClick xmlns:r="http://schemas.openxmlformats.org/officeDocument/2006/relationships" r:id="rId2"/>
          <a:extLst>
            <a:ext uri="{FF2B5EF4-FFF2-40B4-BE49-F238E27FC236}">
              <a16:creationId xmlns:a16="http://schemas.microsoft.com/office/drawing/2014/main" id="{00000000-0008-0000-0600-000010000000}"/>
            </a:ext>
            <a:ext uri="{147F2762-F138-4A5C-976F-8EAC2B608ADB}">
              <a16:predDERef xmlns:a16="http://schemas.microsoft.com/office/drawing/2014/main" pred="{10BCDA0A-F2BF-41D8-A763-59842F73DA94}"/>
            </a:ext>
          </a:extLst>
        </xdr:cNvPr>
        <xdr:cNvPicPr preferRelativeResize="0">
          <a:picLocks/>
        </xdr:cNvPicPr>
      </xdr:nvPicPr>
      <xdr:blipFill>
        <a:blip xmlns:r="http://schemas.openxmlformats.org/officeDocument/2006/relationships" r:embed="rId10"/>
        <a:stretch>
          <a:fillRect/>
        </a:stretch>
      </xdr:blipFill>
      <xdr:spPr>
        <a:xfrm flipH="1">
          <a:off x="8477250" y="38100"/>
          <a:ext cx="561971" cy="307831"/>
        </a:xfrm>
        <a:prstGeom prst="rect">
          <a:avLst/>
        </a:prstGeom>
      </xdr:spPr>
    </xdr:pic>
    <xdr:clientData/>
  </xdr:twoCellAnchor>
  <xdr:twoCellAnchor editAs="oneCell">
    <xdr:from>
      <xdr:col>3</xdr:col>
      <xdr:colOff>1733550</xdr:colOff>
      <xdr:row>0</xdr:row>
      <xdr:rowOff>38100</xdr:rowOff>
    </xdr:from>
    <xdr:to>
      <xdr:col>3</xdr:col>
      <xdr:colOff>2297320</xdr:colOff>
      <xdr:row>1</xdr:row>
      <xdr:rowOff>164956</xdr:rowOff>
    </xdr:to>
    <xdr:pic>
      <xdr:nvPicPr>
        <xdr:cNvPr id="27" name="Picture 11">
          <a:hlinkClick xmlns:r="http://schemas.openxmlformats.org/officeDocument/2006/relationships" r:id="rId11"/>
          <a:extLst>
            <a:ext uri="{FF2B5EF4-FFF2-40B4-BE49-F238E27FC236}">
              <a16:creationId xmlns:a16="http://schemas.microsoft.com/office/drawing/2014/main" id="{00000000-0008-0000-0600-00001B000000}"/>
            </a:ext>
            <a:ext uri="{147F2762-F138-4A5C-976F-8EAC2B608ADB}">
              <a16:predDERef xmlns:a16="http://schemas.microsoft.com/office/drawing/2014/main" pred="{027EBDFD-53D4-4250-88FD-8049CA0EE859}"/>
            </a:ext>
          </a:extLst>
        </xdr:cNvPr>
        <xdr:cNvPicPr preferRelativeResize="0">
          <a:picLocks/>
        </xdr:cNvPicPr>
      </xdr:nvPicPr>
      <xdr:blipFill>
        <a:blip xmlns:r="http://schemas.openxmlformats.org/officeDocument/2006/relationships" r:embed="rId10"/>
        <a:stretch>
          <a:fillRect/>
        </a:stretch>
      </xdr:blipFill>
      <xdr:spPr>
        <a:xfrm rot="10800000" flipH="1">
          <a:off x="9058275" y="38100"/>
          <a:ext cx="563770" cy="3078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3</xdr:col>
      <xdr:colOff>1067198</xdr:colOff>
      <xdr:row>0</xdr:row>
      <xdr:rowOff>49212</xdr:rowOff>
    </xdr:from>
    <xdr:to>
      <xdr:col>4</xdr:col>
      <xdr:colOff>942635</xdr:colOff>
      <xdr:row>1</xdr:row>
      <xdr:rowOff>144410</xdr:rowOff>
    </xdr:to>
    <xdr:sp macro="" textlink="">
      <xdr:nvSpPr>
        <xdr:cNvPr id="19" name="CaixaDeTexto 8">
          <a:hlinkClick xmlns:r="http://schemas.openxmlformats.org/officeDocument/2006/relationships" r:id="rId2"/>
          <a:extLst>
            <a:ext uri="{FF2B5EF4-FFF2-40B4-BE49-F238E27FC236}">
              <a16:creationId xmlns:a16="http://schemas.microsoft.com/office/drawing/2014/main" id="{00000000-0008-0000-0700-000013000000}"/>
            </a:ext>
          </a:extLst>
        </xdr:cNvPr>
        <xdr:cNvSpPr txBox="1"/>
      </xdr:nvSpPr>
      <xdr:spPr>
        <a:xfrm>
          <a:off x="4124723" y="49212"/>
          <a:ext cx="1113687" cy="2666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1169889</xdr:colOff>
      <xdr:row>0</xdr:row>
      <xdr:rowOff>49212</xdr:rowOff>
    </xdr:from>
    <xdr:to>
      <xdr:col>3</xdr:col>
      <xdr:colOff>659308</xdr:colOff>
      <xdr:row>1</xdr:row>
      <xdr:rowOff>144410</xdr:rowOff>
    </xdr:to>
    <xdr:sp macro="" textlink="">
      <xdr:nvSpPr>
        <xdr:cNvPr id="20" name="CaixaDeTexto 9">
          <a:hlinkClick xmlns:r="http://schemas.openxmlformats.org/officeDocument/2006/relationships" r:id="rId3"/>
          <a:extLst>
            <a:ext uri="{FF2B5EF4-FFF2-40B4-BE49-F238E27FC236}">
              <a16:creationId xmlns:a16="http://schemas.microsoft.com/office/drawing/2014/main" id="{00000000-0008-0000-0700-000014000000}"/>
            </a:ext>
          </a:extLst>
        </xdr:cNvPr>
        <xdr:cNvSpPr txBox="1"/>
      </xdr:nvSpPr>
      <xdr:spPr>
        <a:xfrm>
          <a:off x="2989164" y="49212"/>
          <a:ext cx="727669" cy="2666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5</xdr:col>
      <xdr:colOff>112275</xdr:colOff>
      <xdr:row>0</xdr:row>
      <xdr:rowOff>49212</xdr:rowOff>
    </xdr:from>
    <xdr:to>
      <xdr:col>5</xdr:col>
      <xdr:colOff>1007930</xdr:colOff>
      <xdr:row>1</xdr:row>
      <xdr:rowOff>144410</xdr:rowOff>
    </xdr:to>
    <xdr:sp macro="" textlink="">
      <xdr:nvSpPr>
        <xdr:cNvPr id="21" name="CaixaDeTexto 10">
          <a:hlinkClick xmlns:r="http://schemas.openxmlformats.org/officeDocument/2006/relationships" r:id="rId4"/>
          <a:extLst>
            <a:ext uri="{FF2B5EF4-FFF2-40B4-BE49-F238E27FC236}">
              <a16:creationId xmlns:a16="http://schemas.microsoft.com/office/drawing/2014/main" id="{00000000-0008-0000-0700-000015000000}"/>
            </a:ext>
          </a:extLst>
        </xdr:cNvPr>
        <xdr:cNvSpPr txBox="1"/>
      </xdr:nvSpPr>
      <xdr:spPr>
        <a:xfrm>
          <a:off x="5646300" y="49212"/>
          <a:ext cx="895655" cy="2666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6</xdr:col>
      <xdr:colOff>183920</xdr:colOff>
      <xdr:row>0</xdr:row>
      <xdr:rowOff>49212</xdr:rowOff>
    </xdr:from>
    <xdr:to>
      <xdr:col>7</xdr:col>
      <xdr:colOff>31293</xdr:colOff>
      <xdr:row>1</xdr:row>
      <xdr:rowOff>144410</xdr:rowOff>
    </xdr:to>
    <xdr:sp macro="" textlink="">
      <xdr:nvSpPr>
        <xdr:cNvPr id="22" name="CaixaDeTexto 11">
          <a:hlinkClick xmlns:r="http://schemas.openxmlformats.org/officeDocument/2006/relationships" r:id="rId5"/>
          <a:extLst>
            <a:ext uri="{FF2B5EF4-FFF2-40B4-BE49-F238E27FC236}">
              <a16:creationId xmlns:a16="http://schemas.microsoft.com/office/drawing/2014/main" id="{00000000-0008-0000-0700-000016000000}"/>
            </a:ext>
          </a:extLst>
        </xdr:cNvPr>
        <xdr:cNvSpPr txBox="1"/>
      </xdr:nvSpPr>
      <xdr:spPr>
        <a:xfrm>
          <a:off x="6949845" y="49212"/>
          <a:ext cx="1085623" cy="2666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7</xdr:col>
      <xdr:colOff>426482</xdr:colOff>
      <xdr:row>0</xdr:row>
      <xdr:rowOff>49212</xdr:rowOff>
    </xdr:from>
    <xdr:to>
      <xdr:col>7</xdr:col>
      <xdr:colOff>1028801</xdr:colOff>
      <xdr:row>1</xdr:row>
      <xdr:rowOff>144410</xdr:rowOff>
    </xdr:to>
    <xdr:sp macro="" textlink="">
      <xdr:nvSpPr>
        <xdr:cNvPr id="23" name="CaixaDeTexto 12">
          <a:hlinkClick xmlns:r="http://schemas.openxmlformats.org/officeDocument/2006/relationships" r:id="rId6"/>
          <a:extLst>
            <a:ext uri="{FF2B5EF4-FFF2-40B4-BE49-F238E27FC236}">
              <a16:creationId xmlns:a16="http://schemas.microsoft.com/office/drawing/2014/main" id="{00000000-0008-0000-0700-000017000000}"/>
            </a:ext>
          </a:extLst>
        </xdr:cNvPr>
        <xdr:cNvSpPr txBox="1"/>
      </xdr:nvSpPr>
      <xdr:spPr>
        <a:xfrm>
          <a:off x="8443357" y="49212"/>
          <a:ext cx="595969" cy="2666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1</xdr:col>
      <xdr:colOff>1103250</xdr:colOff>
      <xdr:row>0</xdr:row>
      <xdr:rowOff>49212</xdr:rowOff>
    </xdr:from>
    <xdr:to>
      <xdr:col>2</xdr:col>
      <xdr:colOff>761999</xdr:colOff>
      <xdr:row>1</xdr:row>
      <xdr:rowOff>144410</xdr:rowOff>
    </xdr:to>
    <xdr:sp macro="" textlink="">
      <xdr:nvSpPr>
        <xdr:cNvPr id="25" name="CaixaDeTexto 15">
          <a:hlinkClick xmlns:r="http://schemas.openxmlformats.org/officeDocument/2006/relationships" r:id="rId7"/>
          <a:extLst>
            <a:ext uri="{FF2B5EF4-FFF2-40B4-BE49-F238E27FC236}">
              <a16:creationId xmlns:a16="http://schemas.microsoft.com/office/drawing/2014/main" id="{00000000-0008-0000-0700-000019000000}"/>
            </a:ext>
          </a:extLst>
        </xdr:cNvPr>
        <xdr:cNvSpPr txBox="1"/>
      </xdr:nvSpPr>
      <xdr:spPr>
        <a:xfrm>
          <a:off x="1684275" y="49212"/>
          <a:ext cx="896999" cy="2666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47625</xdr:colOff>
      <xdr:row>0</xdr:row>
      <xdr:rowOff>67002</xdr:rowOff>
    </xdr:from>
    <xdr:to>
      <xdr:col>0</xdr:col>
      <xdr:colOff>552450</xdr:colOff>
      <xdr:row>1</xdr:row>
      <xdr:rowOff>126621</xdr:rowOff>
    </xdr:to>
    <xdr:sp macro="" textlink="">
      <xdr:nvSpPr>
        <xdr:cNvPr id="26" name="CaixaDeTexto 14">
          <a:hlinkClick xmlns:r="http://schemas.openxmlformats.org/officeDocument/2006/relationships" r:id="rId8"/>
          <a:extLst>
            <a:ext uri="{FF2B5EF4-FFF2-40B4-BE49-F238E27FC236}">
              <a16:creationId xmlns:a16="http://schemas.microsoft.com/office/drawing/2014/main" id="{00000000-0008-0000-0700-00001A000000}"/>
            </a:ext>
          </a:extLst>
        </xdr:cNvPr>
        <xdr:cNvSpPr txBox="1"/>
      </xdr:nvSpPr>
      <xdr:spPr>
        <a:xfrm>
          <a:off x="47625" y="67002"/>
          <a:ext cx="504825" cy="231069"/>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9</xdr:col>
      <xdr:colOff>38100</xdr:colOff>
      <xdr:row>0</xdr:row>
      <xdr:rowOff>38100</xdr:rowOff>
    </xdr:from>
    <xdr:to>
      <xdr:col>9</xdr:col>
      <xdr:colOff>600071</xdr:colOff>
      <xdr:row>1</xdr:row>
      <xdr:rowOff>163898</xdr:rowOff>
    </xdr:to>
    <xdr:pic>
      <xdr:nvPicPr>
        <xdr:cNvPr id="10" name="Picture 6">
          <a:hlinkClick xmlns:r="http://schemas.openxmlformats.org/officeDocument/2006/relationships" r:id="rId4"/>
          <a:extLst>
            <a:ext uri="{FF2B5EF4-FFF2-40B4-BE49-F238E27FC236}">
              <a16:creationId xmlns:a16="http://schemas.microsoft.com/office/drawing/2014/main" id="{00000000-0008-0000-0700-00000A000000}"/>
            </a:ext>
            <a:ext uri="{147F2762-F138-4A5C-976F-8EAC2B608ADB}">
              <a16:predDERef xmlns:a16="http://schemas.microsoft.com/office/drawing/2014/main" pred="{D11C5CB8-1E5E-438F-9A94-70D82D7BF121}"/>
            </a:ext>
          </a:extLst>
        </xdr:cNvPr>
        <xdr:cNvPicPr preferRelativeResize="0">
          <a:picLocks/>
        </xdr:cNvPicPr>
      </xdr:nvPicPr>
      <xdr:blipFill>
        <a:blip xmlns:r="http://schemas.openxmlformats.org/officeDocument/2006/relationships" r:embed="rId9"/>
        <a:stretch>
          <a:fillRect/>
        </a:stretch>
      </xdr:blipFill>
      <xdr:spPr>
        <a:xfrm flipH="1">
          <a:off x="11001375" y="38100"/>
          <a:ext cx="565146" cy="303598"/>
        </a:xfrm>
        <a:prstGeom prst="rect">
          <a:avLst/>
        </a:prstGeom>
      </xdr:spPr>
    </xdr:pic>
    <xdr:clientData/>
  </xdr:twoCellAnchor>
  <xdr:twoCellAnchor editAs="oneCell">
    <xdr:from>
      <xdr:col>9</xdr:col>
      <xdr:colOff>628650</xdr:colOff>
      <xdr:row>0</xdr:row>
      <xdr:rowOff>38100</xdr:rowOff>
    </xdr:from>
    <xdr:to>
      <xdr:col>9</xdr:col>
      <xdr:colOff>1192420</xdr:colOff>
      <xdr:row>1</xdr:row>
      <xdr:rowOff>163898</xdr:rowOff>
    </xdr:to>
    <xdr:pic>
      <xdr:nvPicPr>
        <xdr:cNvPr id="29" name="Picture 7">
          <a:hlinkClick xmlns:r="http://schemas.openxmlformats.org/officeDocument/2006/relationships" r:id="rId5"/>
          <a:extLst>
            <a:ext uri="{FF2B5EF4-FFF2-40B4-BE49-F238E27FC236}">
              <a16:creationId xmlns:a16="http://schemas.microsoft.com/office/drawing/2014/main" id="{00000000-0008-0000-0700-00001D000000}"/>
            </a:ext>
            <a:ext uri="{147F2762-F138-4A5C-976F-8EAC2B608ADB}">
              <a16:predDERef xmlns:a16="http://schemas.microsoft.com/office/drawing/2014/main" pred="{F9B059D4-1258-4E95-93CB-06F64695C080}"/>
            </a:ext>
          </a:extLst>
        </xdr:cNvPr>
        <xdr:cNvPicPr preferRelativeResize="0">
          <a:picLocks/>
        </xdr:cNvPicPr>
      </xdr:nvPicPr>
      <xdr:blipFill>
        <a:blip xmlns:r="http://schemas.openxmlformats.org/officeDocument/2006/relationships" r:embed="rId9"/>
        <a:stretch>
          <a:fillRect/>
        </a:stretch>
      </xdr:blipFill>
      <xdr:spPr>
        <a:xfrm rot="10800000" flipH="1">
          <a:off x="11591925" y="38100"/>
          <a:ext cx="560595" cy="303598"/>
        </a:xfrm>
        <a:prstGeom prst="rect">
          <a:avLst/>
        </a:prstGeom>
      </xdr:spPr>
    </xdr:pic>
    <xdr:clientData/>
  </xdr:twoCellAnchor>
  <xdr:twoCellAnchor>
    <xdr:from>
      <xdr:col>8</xdr:col>
      <xdr:colOff>85725</xdr:colOff>
      <xdr:row>0</xdr:row>
      <xdr:rowOff>47625</xdr:rowOff>
    </xdr:from>
    <xdr:to>
      <xdr:col>8</xdr:col>
      <xdr:colOff>1133475</xdr:colOff>
      <xdr:row>1</xdr:row>
      <xdr:rowOff>142875</xdr:rowOff>
    </xdr:to>
    <xdr:sp macro="" textlink="">
      <xdr:nvSpPr>
        <xdr:cNvPr id="6" name="TextBox 2">
          <a:hlinkClick xmlns:r="http://schemas.openxmlformats.org/officeDocument/2006/relationships" r:id="rId10"/>
          <a:extLst>
            <a:ext uri="{FF2B5EF4-FFF2-40B4-BE49-F238E27FC236}">
              <a16:creationId xmlns:a16="http://schemas.microsoft.com/office/drawing/2014/main" id="{00000000-0008-0000-0700-000006000000}"/>
            </a:ext>
            <a:ext uri="{147F2762-F138-4A5C-976F-8EAC2B608ADB}">
              <a16:predDERef xmlns:a16="http://schemas.microsoft.com/office/drawing/2014/main" pred="{00000000-0008-0000-0700-00001D000000}"/>
            </a:ext>
          </a:extLst>
        </xdr:cNvPr>
        <xdr:cNvSpPr txBox="1"/>
      </xdr:nvSpPr>
      <xdr:spPr>
        <a:xfrm>
          <a:off x="9344025" y="47625"/>
          <a:ext cx="1047750" cy="26670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587433</xdr:colOff>
      <xdr:row>0</xdr:row>
      <xdr:rowOff>47765</xdr:rowOff>
    </xdr:from>
    <xdr:to>
      <xdr:col>2</xdr:col>
      <xdr:colOff>1514942</xdr:colOff>
      <xdr:row>1</xdr:row>
      <xdr:rowOff>142707</xdr:rowOff>
    </xdr:to>
    <xdr:sp macro="" textlink="">
      <xdr:nvSpPr>
        <xdr:cNvPr id="3" name="CaixaDeTexto 8">
          <a:hlinkClick xmlns:r="http://schemas.openxmlformats.org/officeDocument/2006/relationships" r:id="rId2"/>
          <a:extLst>
            <a:ext uri="{FF2B5EF4-FFF2-40B4-BE49-F238E27FC236}">
              <a16:creationId xmlns:a16="http://schemas.microsoft.com/office/drawing/2014/main" id="{00000000-0008-0000-0800-000003000000}"/>
            </a:ext>
          </a:extLst>
        </xdr:cNvPr>
        <xdr:cNvSpPr txBox="1"/>
      </xdr:nvSpPr>
      <xdr:spPr>
        <a:xfrm>
          <a:off x="3204737" y="41415"/>
          <a:ext cx="927509"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1682820</xdr:colOff>
      <xdr:row>0</xdr:row>
      <xdr:rowOff>47765</xdr:rowOff>
    </xdr:from>
    <xdr:to>
      <xdr:col>2</xdr:col>
      <xdr:colOff>219620</xdr:colOff>
      <xdr:row>1</xdr:row>
      <xdr:rowOff>142707</xdr:rowOff>
    </xdr:to>
    <xdr:sp macro="" textlink="">
      <xdr:nvSpPr>
        <xdr:cNvPr id="4" name="CaixaDeTexto 9">
          <a:hlinkClick xmlns:r="http://schemas.openxmlformats.org/officeDocument/2006/relationships" r:id="rId3"/>
          <a:extLst>
            <a:ext uri="{FF2B5EF4-FFF2-40B4-BE49-F238E27FC236}">
              <a16:creationId xmlns:a16="http://schemas.microsoft.com/office/drawing/2014/main" id="{00000000-0008-0000-0800-000004000000}"/>
            </a:ext>
          </a:extLst>
        </xdr:cNvPr>
        <xdr:cNvSpPr txBox="1"/>
      </xdr:nvSpPr>
      <xdr:spPr>
        <a:xfrm>
          <a:off x="2262603" y="41415"/>
          <a:ext cx="567971"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1889105</xdr:colOff>
      <xdr:row>0</xdr:row>
      <xdr:rowOff>47765</xdr:rowOff>
    </xdr:from>
    <xdr:to>
      <xdr:col>2</xdr:col>
      <xdr:colOff>2565055</xdr:colOff>
      <xdr:row>1</xdr:row>
      <xdr:rowOff>142707</xdr:rowOff>
    </xdr:to>
    <xdr:sp macro="" textlink="">
      <xdr:nvSpPr>
        <xdr:cNvPr id="5" name="CaixaDeTexto 10">
          <a:hlinkClick xmlns:r="http://schemas.openxmlformats.org/officeDocument/2006/relationships" r:id="rId4"/>
          <a:extLst>
            <a:ext uri="{FF2B5EF4-FFF2-40B4-BE49-F238E27FC236}">
              <a16:creationId xmlns:a16="http://schemas.microsoft.com/office/drawing/2014/main" id="{00000000-0008-0000-0800-000005000000}"/>
            </a:ext>
          </a:extLst>
        </xdr:cNvPr>
        <xdr:cNvSpPr txBox="1"/>
      </xdr:nvSpPr>
      <xdr:spPr>
        <a:xfrm>
          <a:off x="4506409" y="41415"/>
          <a:ext cx="669600"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2932868</xdr:colOff>
      <xdr:row>0</xdr:row>
      <xdr:rowOff>44590</xdr:rowOff>
    </xdr:from>
    <xdr:to>
      <xdr:col>2</xdr:col>
      <xdr:colOff>3829050</xdr:colOff>
      <xdr:row>1</xdr:row>
      <xdr:rowOff>145882</xdr:rowOff>
    </xdr:to>
    <xdr:sp macro="" textlink="">
      <xdr:nvSpPr>
        <xdr:cNvPr id="6" name="CaixaDeTexto 11">
          <a:hlinkClick xmlns:r="http://schemas.openxmlformats.org/officeDocument/2006/relationships" r:id="rId5"/>
          <a:extLst>
            <a:ext uri="{FF2B5EF4-FFF2-40B4-BE49-F238E27FC236}">
              <a16:creationId xmlns:a16="http://schemas.microsoft.com/office/drawing/2014/main" id="{00000000-0008-0000-0800-000006000000}"/>
            </a:ext>
          </a:extLst>
        </xdr:cNvPr>
        <xdr:cNvSpPr txBox="1"/>
      </xdr:nvSpPr>
      <xdr:spPr>
        <a:xfrm>
          <a:off x="5676068" y="44590"/>
          <a:ext cx="896182" cy="28226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4142255</xdr:colOff>
      <xdr:row>0</xdr:row>
      <xdr:rowOff>47765</xdr:rowOff>
    </xdr:from>
    <xdr:to>
      <xdr:col>2</xdr:col>
      <xdr:colOff>4702390</xdr:colOff>
      <xdr:row>1</xdr:row>
      <xdr:rowOff>142707</xdr:rowOff>
    </xdr:to>
    <xdr:sp macro="" textlink="">
      <xdr:nvSpPr>
        <xdr:cNvPr id="7" name="CaixaDeTexto 12">
          <a:hlinkClick xmlns:r="http://schemas.openxmlformats.org/officeDocument/2006/relationships" r:id="rId6"/>
          <a:extLst>
            <a:ext uri="{FF2B5EF4-FFF2-40B4-BE49-F238E27FC236}">
              <a16:creationId xmlns:a16="http://schemas.microsoft.com/office/drawing/2014/main" id="{00000000-0008-0000-0800-000007000000}"/>
            </a:ext>
          </a:extLst>
        </xdr:cNvPr>
        <xdr:cNvSpPr txBox="1"/>
      </xdr:nvSpPr>
      <xdr:spPr>
        <a:xfrm>
          <a:off x="6885455" y="47765"/>
          <a:ext cx="741110" cy="27591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3</xdr:col>
      <xdr:colOff>285476</xdr:colOff>
      <xdr:row>0</xdr:row>
      <xdr:rowOff>35065</xdr:rowOff>
    </xdr:from>
    <xdr:to>
      <xdr:col>3</xdr:col>
      <xdr:colOff>1076626</xdr:colOff>
      <xdr:row>1</xdr:row>
      <xdr:rowOff>136357</xdr:rowOff>
    </xdr:to>
    <xdr:sp macro="" textlink="">
      <xdr:nvSpPr>
        <xdr:cNvPr id="8" name="CaixaDeTexto 13">
          <a:hlinkClick xmlns:r="http://schemas.openxmlformats.org/officeDocument/2006/relationships" r:id="rId7"/>
          <a:extLst>
            <a:ext uri="{FF2B5EF4-FFF2-40B4-BE49-F238E27FC236}">
              <a16:creationId xmlns:a16="http://schemas.microsoft.com/office/drawing/2014/main" id="{00000000-0008-0000-0800-000008000000}"/>
            </a:ext>
          </a:extLst>
        </xdr:cNvPr>
        <xdr:cNvSpPr txBox="1"/>
      </xdr:nvSpPr>
      <xdr:spPr>
        <a:xfrm>
          <a:off x="7953101" y="35065"/>
          <a:ext cx="791150" cy="28226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540741</xdr:colOff>
      <xdr:row>0</xdr:row>
      <xdr:rowOff>47765</xdr:rowOff>
    </xdr:from>
    <xdr:to>
      <xdr:col>1</xdr:col>
      <xdr:colOff>1302307</xdr:colOff>
      <xdr:row>1</xdr:row>
      <xdr:rowOff>142707</xdr:rowOff>
    </xdr:to>
    <xdr:sp macro="" textlink="">
      <xdr:nvSpPr>
        <xdr:cNvPr id="9" name="CaixaDeTexto 15">
          <a:hlinkClick xmlns:r="http://schemas.openxmlformats.org/officeDocument/2006/relationships" r:id="rId8"/>
          <a:extLst>
            <a:ext uri="{FF2B5EF4-FFF2-40B4-BE49-F238E27FC236}">
              <a16:creationId xmlns:a16="http://schemas.microsoft.com/office/drawing/2014/main" id="{00000000-0008-0000-0800-000009000000}"/>
            </a:ext>
          </a:extLst>
        </xdr:cNvPr>
        <xdr:cNvSpPr txBox="1"/>
      </xdr:nvSpPr>
      <xdr:spPr>
        <a:xfrm>
          <a:off x="1126874" y="41415"/>
          <a:ext cx="761566" cy="27522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64038</xdr:rowOff>
    </xdr:from>
    <xdr:to>
      <xdr:col>1</xdr:col>
      <xdr:colOff>0</xdr:colOff>
      <xdr:row>1</xdr:row>
      <xdr:rowOff>113733</xdr:rowOff>
    </xdr:to>
    <xdr:sp macro="" textlink="">
      <xdr:nvSpPr>
        <xdr:cNvPr id="10" name="CaixaDeTexto 14">
          <a:hlinkClick xmlns:r="http://schemas.openxmlformats.org/officeDocument/2006/relationships" r:id="rId9"/>
          <a:extLst>
            <a:ext uri="{FF2B5EF4-FFF2-40B4-BE49-F238E27FC236}">
              <a16:creationId xmlns:a16="http://schemas.microsoft.com/office/drawing/2014/main" id="{00000000-0008-0000-0800-00000A000000}"/>
            </a:ext>
          </a:extLst>
        </xdr:cNvPr>
        <xdr:cNvSpPr txBox="1"/>
      </xdr:nvSpPr>
      <xdr:spPr>
        <a:xfrm>
          <a:off x="0" y="70388"/>
          <a:ext cx="579783" cy="217280"/>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1419225</xdr:colOff>
      <xdr:row>0</xdr:row>
      <xdr:rowOff>38100</xdr:rowOff>
    </xdr:from>
    <xdr:to>
      <xdr:col>3</xdr:col>
      <xdr:colOff>1981196</xdr:colOff>
      <xdr:row>1</xdr:row>
      <xdr:rowOff>161781</xdr:rowOff>
    </xdr:to>
    <xdr:pic>
      <xdr:nvPicPr>
        <xdr:cNvPr id="21" name="Picture 14">
          <a:hlinkClick xmlns:r="http://schemas.openxmlformats.org/officeDocument/2006/relationships" r:id="rId10"/>
          <a:extLst>
            <a:ext uri="{FF2B5EF4-FFF2-40B4-BE49-F238E27FC236}">
              <a16:creationId xmlns:a16="http://schemas.microsoft.com/office/drawing/2014/main" id="{00000000-0008-0000-0800-000015000000}"/>
            </a:ext>
            <a:ext uri="{147F2762-F138-4A5C-976F-8EAC2B608ADB}">
              <a16:predDERef xmlns:a16="http://schemas.microsoft.com/office/drawing/2014/main" pred="{5CC122F2-B06C-4D13-A5E5-974714CFDDC7}"/>
            </a:ext>
          </a:extLst>
        </xdr:cNvPr>
        <xdr:cNvPicPr preferRelativeResize="0">
          <a:picLocks/>
        </xdr:cNvPicPr>
      </xdr:nvPicPr>
      <xdr:blipFill>
        <a:blip xmlns:r="http://schemas.openxmlformats.org/officeDocument/2006/relationships" r:embed="rId11"/>
        <a:stretch>
          <a:fillRect/>
        </a:stretch>
      </xdr:blipFill>
      <xdr:spPr>
        <a:xfrm flipH="1">
          <a:off x="8743950" y="38100"/>
          <a:ext cx="565146" cy="304656"/>
        </a:xfrm>
        <a:prstGeom prst="rect">
          <a:avLst/>
        </a:prstGeom>
      </xdr:spPr>
    </xdr:pic>
    <xdr:clientData/>
  </xdr:twoCellAnchor>
  <xdr:twoCellAnchor editAs="oneCell">
    <xdr:from>
      <xdr:col>3</xdr:col>
      <xdr:colOff>2009775</xdr:colOff>
      <xdr:row>0</xdr:row>
      <xdr:rowOff>38100</xdr:rowOff>
    </xdr:from>
    <xdr:to>
      <xdr:col>3</xdr:col>
      <xdr:colOff>2567195</xdr:colOff>
      <xdr:row>1</xdr:row>
      <xdr:rowOff>161781</xdr:rowOff>
    </xdr:to>
    <xdr:pic>
      <xdr:nvPicPr>
        <xdr:cNvPr id="26" name="Picture 15">
          <a:hlinkClick xmlns:r="http://schemas.openxmlformats.org/officeDocument/2006/relationships" r:id="rId12"/>
          <a:extLst>
            <a:ext uri="{FF2B5EF4-FFF2-40B4-BE49-F238E27FC236}">
              <a16:creationId xmlns:a16="http://schemas.microsoft.com/office/drawing/2014/main" id="{00000000-0008-0000-0800-00001A000000}"/>
            </a:ext>
            <a:ext uri="{147F2762-F138-4A5C-976F-8EAC2B608ADB}">
              <a16:predDERef xmlns:a16="http://schemas.microsoft.com/office/drawing/2014/main" pred="{1A99C8C0-375B-4A66-9091-5217F3222D39}"/>
            </a:ext>
          </a:extLst>
        </xdr:cNvPr>
        <xdr:cNvPicPr preferRelativeResize="0">
          <a:picLocks/>
        </xdr:cNvPicPr>
      </xdr:nvPicPr>
      <xdr:blipFill>
        <a:blip xmlns:r="http://schemas.openxmlformats.org/officeDocument/2006/relationships" r:embed="rId11"/>
        <a:stretch>
          <a:fillRect/>
        </a:stretch>
      </xdr:blipFill>
      <xdr:spPr>
        <a:xfrm rot="10800000" flipH="1">
          <a:off x="9334500" y="38100"/>
          <a:ext cx="560595" cy="30465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3</xdr:col>
      <xdr:colOff>1074962</xdr:colOff>
      <xdr:row>0</xdr:row>
      <xdr:rowOff>46212</xdr:rowOff>
    </xdr:from>
    <xdr:to>
      <xdr:col>4</xdr:col>
      <xdr:colOff>950046</xdr:colOff>
      <xdr:row>1</xdr:row>
      <xdr:rowOff>139999</xdr:rowOff>
    </xdr:to>
    <xdr:sp macro="" textlink="">
      <xdr:nvSpPr>
        <xdr:cNvPr id="47354" name="CaixaDeTexto 8">
          <a:hlinkClick xmlns:r="http://schemas.openxmlformats.org/officeDocument/2006/relationships" r:id="rId1"/>
          <a:extLst>
            <a:ext uri="{FF2B5EF4-FFF2-40B4-BE49-F238E27FC236}">
              <a16:creationId xmlns:a16="http://schemas.microsoft.com/office/drawing/2014/main" id="{00000000-0008-0000-0900-0000FAB80000}"/>
            </a:ext>
          </a:extLst>
        </xdr:cNvPr>
        <xdr:cNvSpPr txBox="1"/>
      </xdr:nvSpPr>
      <xdr:spPr>
        <a:xfrm>
          <a:off x="4129312" y="49387"/>
          <a:ext cx="1116509"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1168481</xdr:colOff>
      <xdr:row>0</xdr:row>
      <xdr:rowOff>46212</xdr:rowOff>
    </xdr:from>
    <xdr:to>
      <xdr:col>3</xdr:col>
      <xdr:colOff>663897</xdr:colOff>
      <xdr:row>1</xdr:row>
      <xdr:rowOff>139999</xdr:rowOff>
    </xdr:to>
    <xdr:sp macro="" textlink="">
      <xdr:nvSpPr>
        <xdr:cNvPr id="47355" name="CaixaDeTexto 9">
          <a:hlinkClick xmlns:r="http://schemas.openxmlformats.org/officeDocument/2006/relationships" r:id="rId2"/>
          <a:extLst>
            <a:ext uri="{FF2B5EF4-FFF2-40B4-BE49-F238E27FC236}">
              <a16:creationId xmlns:a16="http://schemas.microsoft.com/office/drawing/2014/main" id="{00000000-0008-0000-0900-0000FBB80000}"/>
            </a:ext>
          </a:extLst>
        </xdr:cNvPr>
        <xdr:cNvSpPr txBox="1"/>
      </xdr:nvSpPr>
      <xdr:spPr>
        <a:xfrm>
          <a:off x="2990931" y="49387"/>
          <a:ext cx="730491"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5</xdr:col>
      <xdr:colOff>122861</xdr:colOff>
      <xdr:row>0</xdr:row>
      <xdr:rowOff>46212</xdr:rowOff>
    </xdr:from>
    <xdr:to>
      <xdr:col>5</xdr:col>
      <xdr:colOff>1021339</xdr:colOff>
      <xdr:row>1</xdr:row>
      <xdr:rowOff>139999</xdr:rowOff>
    </xdr:to>
    <xdr:sp macro="" textlink="">
      <xdr:nvSpPr>
        <xdr:cNvPr id="47353" name="CaixaDeTexto 10">
          <a:hlinkClick xmlns:r="http://schemas.openxmlformats.org/officeDocument/2006/relationships" r:id="rId3"/>
          <a:extLst>
            <a:ext uri="{FF2B5EF4-FFF2-40B4-BE49-F238E27FC236}">
              <a16:creationId xmlns:a16="http://schemas.microsoft.com/office/drawing/2014/main" id="{00000000-0008-0000-0900-0000F9B80000}"/>
            </a:ext>
          </a:extLst>
        </xdr:cNvPr>
        <xdr:cNvSpPr txBox="1"/>
      </xdr:nvSpPr>
      <xdr:spPr>
        <a:xfrm>
          <a:off x="5653711" y="49387"/>
          <a:ext cx="898478"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6</xdr:col>
      <xdr:colOff>187804</xdr:colOff>
      <xdr:row>0</xdr:row>
      <xdr:rowOff>46212</xdr:rowOff>
    </xdr:from>
    <xdr:to>
      <xdr:col>7</xdr:col>
      <xdr:colOff>37999</xdr:colOff>
      <xdr:row>1</xdr:row>
      <xdr:rowOff>139999</xdr:rowOff>
    </xdr:to>
    <xdr:sp macro="" textlink="">
      <xdr:nvSpPr>
        <xdr:cNvPr id="47338" name="CaixaDeTexto 11">
          <a:hlinkClick xmlns:r="http://schemas.openxmlformats.org/officeDocument/2006/relationships" r:id="rId4"/>
          <a:extLst>
            <a:ext uri="{FF2B5EF4-FFF2-40B4-BE49-F238E27FC236}">
              <a16:creationId xmlns:a16="http://schemas.microsoft.com/office/drawing/2014/main" id="{00000000-0008-0000-0900-0000EAB80000}"/>
            </a:ext>
          </a:extLst>
        </xdr:cNvPr>
        <xdr:cNvSpPr txBox="1"/>
      </xdr:nvSpPr>
      <xdr:spPr>
        <a:xfrm>
          <a:off x="6960079" y="49387"/>
          <a:ext cx="1088445"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7</xdr:col>
      <xdr:colOff>445535</xdr:colOff>
      <xdr:row>0</xdr:row>
      <xdr:rowOff>46212</xdr:rowOff>
    </xdr:from>
    <xdr:to>
      <xdr:col>7</xdr:col>
      <xdr:colOff>1044679</xdr:colOff>
      <xdr:row>1</xdr:row>
      <xdr:rowOff>139999</xdr:rowOff>
    </xdr:to>
    <xdr:sp macro="" textlink="">
      <xdr:nvSpPr>
        <xdr:cNvPr id="47339" name="CaixaDeTexto 12">
          <a:hlinkClick xmlns:r="http://schemas.openxmlformats.org/officeDocument/2006/relationships" r:id="rId5"/>
          <a:extLst>
            <a:ext uri="{FF2B5EF4-FFF2-40B4-BE49-F238E27FC236}">
              <a16:creationId xmlns:a16="http://schemas.microsoft.com/office/drawing/2014/main" id="{00000000-0008-0000-0900-0000EBB80000}"/>
            </a:ext>
          </a:extLst>
        </xdr:cNvPr>
        <xdr:cNvSpPr txBox="1"/>
      </xdr:nvSpPr>
      <xdr:spPr>
        <a:xfrm>
          <a:off x="8459235" y="49387"/>
          <a:ext cx="595969"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8</xdr:col>
      <xdr:colOff>217492</xdr:colOff>
      <xdr:row>0</xdr:row>
      <xdr:rowOff>46212</xdr:rowOff>
    </xdr:from>
    <xdr:to>
      <xdr:col>8</xdr:col>
      <xdr:colOff>1155350</xdr:colOff>
      <xdr:row>1</xdr:row>
      <xdr:rowOff>139999</xdr:rowOff>
    </xdr:to>
    <xdr:sp macro="" textlink="">
      <xdr:nvSpPr>
        <xdr:cNvPr id="47340" name="CaixaDeTexto 13">
          <a:hlinkClick xmlns:r="http://schemas.openxmlformats.org/officeDocument/2006/relationships" r:id="rId6"/>
          <a:extLst>
            <a:ext uri="{FF2B5EF4-FFF2-40B4-BE49-F238E27FC236}">
              <a16:creationId xmlns:a16="http://schemas.microsoft.com/office/drawing/2014/main" id="{00000000-0008-0000-0900-0000ECB80000}"/>
            </a:ext>
          </a:extLst>
        </xdr:cNvPr>
        <xdr:cNvSpPr txBox="1"/>
      </xdr:nvSpPr>
      <xdr:spPr>
        <a:xfrm>
          <a:off x="9463092" y="49387"/>
          <a:ext cx="937858"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1102195</xdr:colOff>
      <xdr:row>0</xdr:row>
      <xdr:rowOff>46212</xdr:rowOff>
    </xdr:from>
    <xdr:to>
      <xdr:col>2</xdr:col>
      <xdr:colOff>763766</xdr:colOff>
      <xdr:row>1</xdr:row>
      <xdr:rowOff>139999</xdr:rowOff>
    </xdr:to>
    <xdr:sp macro="" textlink="">
      <xdr:nvSpPr>
        <xdr:cNvPr id="47356" name="CaixaDeTexto 15">
          <a:hlinkClick xmlns:r="http://schemas.openxmlformats.org/officeDocument/2006/relationships" r:id="rId7"/>
          <a:extLst>
            <a:ext uri="{FF2B5EF4-FFF2-40B4-BE49-F238E27FC236}">
              <a16:creationId xmlns:a16="http://schemas.microsoft.com/office/drawing/2014/main" id="{00000000-0008-0000-0900-0000FCB80000}"/>
            </a:ext>
          </a:extLst>
        </xdr:cNvPr>
        <xdr:cNvSpPr txBox="1"/>
      </xdr:nvSpPr>
      <xdr:spPr>
        <a:xfrm>
          <a:off x="1683220" y="49387"/>
          <a:ext cx="899821"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46217</xdr:colOff>
      <xdr:row>0</xdr:row>
      <xdr:rowOff>64001</xdr:rowOff>
    </xdr:from>
    <xdr:to>
      <xdr:col>0</xdr:col>
      <xdr:colOff>554217</xdr:colOff>
      <xdr:row>1</xdr:row>
      <xdr:rowOff>122209</xdr:rowOff>
    </xdr:to>
    <xdr:sp macro="" textlink="">
      <xdr:nvSpPr>
        <xdr:cNvPr id="47357" name="CaixaDeTexto 14">
          <a:hlinkClick xmlns:r="http://schemas.openxmlformats.org/officeDocument/2006/relationships" r:id="rId8"/>
          <a:extLst>
            <a:ext uri="{FF2B5EF4-FFF2-40B4-BE49-F238E27FC236}">
              <a16:creationId xmlns:a16="http://schemas.microsoft.com/office/drawing/2014/main" id="{00000000-0008-0000-0900-0000FDB80000}"/>
            </a:ext>
          </a:extLst>
        </xdr:cNvPr>
        <xdr:cNvSpPr txBox="1"/>
      </xdr:nvSpPr>
      <xdr:spPr>
        <a:xfrm>
          <a:off x="49392" y="67176"/>
          <a:ext cx="504825" cy="229658"/>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xdr:from>
      <xdr:col>1</xdr:col>
      <xdr:colOff>0</xdr:colOff>
      <xdr:row>43</xdr:row>
      <xdr:rowOff>133350</xdr:rowOff>
    </xdr:from>
    <xdr:to>
      <xdr:col>6</xdr:col>
      <xdr:colOff>946150</xdr:colOff>
      <xdr:row>62</xdr:row>
      <xdr:rowOff>85727</xdr:rowOff>
    </xdr:to>
    <xdr:graphicFrame macro="">
      <xdr:nvGraphicFramePr>
        <xdr:cNvPr id="24" name="Gráfico 18">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541</xdr:row>
      <xdr:rowOff>33335</xdr:rowOff>
    </xdr:from>
    <xdr:to>
      <xdr:col>9</xdr:col>
      <xdr:colOff>0</xdr:colOff>
      <xdr:row>564</xdr:row>
      <xdr:rowOff>31750</xdr:rowOff>
    </xdr:to>
    <xdr:graphicFrame macro="">
      <xdr:nvGraphicFramePr>
        <xdr:cNvPr id="7" name="Gráfico 83967">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598768</xdr:colOff>
      <xdr:row>565</xdr:row>
      <xdr:rowOff>74083</xdr:rowOff>
    </xdr:from>
    <xdr:to>
      <xdr:col>9</xdr:col>
      <xdr:colOff>0</xdr:colOff>
      <xdr:row>588</xdr:row>
      <xdr:rowOff>85430</xdr:rowOff>
    </xdr:to>
    <xdr:graphicFrame macro="">
      <xdr:nvGraphicFramePr>
        <xdr:cNvPr id="8" name="Gráfico 83969">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1083</xdr:colOff>
      <xdr:row>23</xdr:row>
      <xdr:rowOff>0</xdr:rowOff>
    </xdr:from>
    <xdr:to>
      <xdr:col>8</xdr:col>
      <xdr:colOff>1</xdr:colOff>
      <xdr:row>41</xdr:row>
      <xdr:rowOff>31662</xdr:rowOff>
    </xdr:to>
    <xdr:graphicFrame macro="">
      <xdr:nvGraphicFramePr>
        <xdr:cNvPr id="47107" name="Gráfico 21">
          <a:extLst>
            <a:ext uri="{FF2B5EF4-FFF2-40B4-BE49-F238E27FC236}">
              <a16:creationId xmlns:a16="http://schemas.microsoft.com/office/drawing/2014/main" id="{00000000-0008-0000-0900-000003B80000}"/>
            </a:ext>
            <a:ext uri="{147F2762-F138-4A5C-976F-8EAC2B608ADB}">
              <a16:predDERef xmlns:a16="http://schemas.microsoft.com/office/drawing/2014/main" pred="{00000000-0008-0000-1500-000002480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2379</xdr:colOff>
      <xdr:row>666</xdr:row>
      <xdr:rowOff>3174</xdr:rowOff>
    </xdr:from>
    <xdr:to>
      <xdr:col>8</xdr:col>
      <xdr:colOff>-1</xdr:colOff>
      <xdr:row>683</xdr:row>
      <xdr:rowOff>1499</xdr:rowOff>
    </xdr:to>
    <xdr:graphicFrame macro="">
      <xdr:nvGraphicFramePr>
        <xdr:cNvPr id="20" name="Gráfico 18">
          <a:extLst>
            <a:ext uri="{FF2B5EF4-FFF2-40B4-BE49-F238E27FC236}">
              <a16:creationId xmlns:a16="http://schemas.microsoft.com/office/drawing/2014/main" id="{00000000-0008-0000-09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703</xdr:row>
      <xdr:rowOff>246149</xdr:rowOff>
    </xdr:from>
    <xdr:to>
      <xdr:col>8</xdr:col>
      <xdr:colOff>31750</xdr:colOff>
      <xdr:row>721</xdr:row>
      <xdr:rowOff>127000</xdr:rowOff>
    </xdr:to>
    <xdr:graphicFrame macro="">
      <xdr:nvGraphicFramePr>
        <xdr:cNvPr id="23" name="Gráfico 22">
          <a:extLst>
            <a:ext uri="{FF2B5EF4-FFF2-40B4-BE49-F238E27FC236}">
              <a16:creationId xmlns:a16="http://schemas.microsoft.com/office/drawing/2014/main" id="{00000000-0008-0000-09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607218</xdr:colOff>
      <xdr:row>799</xdr:row>
      <xdr:rowOff>1</xdr:rowOff>
    </xdr:from>
    <xdr:to>
      <xdr:col>8</xdr:col>
      <xdr:colOff>-1</xdr:colOff>
      <xdr:row>812</xdr:row>
      <xdr:rowOff>0</xdr:rowOff>
    </xdr:to>
    <xdr:graphicFrame macro="">
      <xdr:nvGraphicFramePr>
        <xdr:cNvPr id="30" name="Gráfico 29">
          <a:extLst>
            <a:ext uri="{FF2B5EF4-FFF2-40B4-BE49-F238E27FC236}">
              <a16:creationId xmlns:a16="http://schemas.microsoft.com/office/drawing/2014/main" id="{00000000-0008-0000-09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589</xdr:row>
      <xdr:rowOff>179916</xdr:rowOff>
    </xdr:from>
    <xdr:to>
      <xdr:col>9</xdr:col>
      <xdr:colOff>10832</xdr:colOff>
      <xdr:row>611</xdr:row>
      <xdr:rowOff>179916</xdr:rowOff>
    </xdr:to>
    <xdr:graphicFrame macro="">
      <xdr:nvGraphicFramePr>
        <xdr:cNvPr id="14" name="Gráfico 26">
          <a:extLst>
            <a:ext uri="{FF2B5EF4-FFF2-40B4-BE49-F238E27FC236}">
              <a16:creationId xmlns:a16="http://schemas.microsoft.com/office/drawing/2014/main" id="{00000000-0008-0000-09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1181100</xdr:colOff>
          <xdr:row>44</xdr:row>
          <xdr:rowOff>30480</xdr:rowOff>
        </xdr:from>
        <xdr:to>
          <xdr:col>5</xdr:col>
          <xdr:colOff>1181100</xdr:colOff>
          <xdr:row>45</xdr:row>
          <xdr:rowOff>68580</xdr:rowOff>
        </xdr:to>
        <xdr:sp macro="" textlink="">
          <xdr:nvSpPr>
            <xdr:cNvPr id="47106" name="Drop Down 2" hidden="1">
              <a:extLst>
                <a:ext uri="{63B3BB69-23CF-44E3-9099-C40C66FF867C}">
                  <a14:compatExt spid="_x0000_s47106"/>
                </a:ext>
                <a:ext uri="{FF2B5EF4-FFF2-40B4-BE49-F238E27FC236}">
                  <a16:creationId xmlns:a16="http://schemas.microsoft.com/office/drawing/2014/main" id="{00000000-0008-0000-0900-000002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563564</xdr:colOff>
      <xdr:row>217</xdr:row>
      <xdr:rowOff>71421</xdr:rowOff>
    </xdr:from>
    <xdr:to>
      <xdr:col>8</xdr:col>
      <xdr:colOff>1773126</xdr:colOff>
      <xdr:row>253</xdr:row>
      <xdr:rowOff>71439</xdr:rowOff>
    </xdr:to>
    <xdr:graphicFrame macro="">
      <xdr:nvGraphicFramePr>
        <xdr:cNvPr id="28" name="Gráfico 28">
          <a:extLst>
            <a:ext uri="{FF2B5EF4-FFF2-40B4-BE49-F238E27FC236}">
              <a16:creationId xmlns:a16="http://schemas.microsoft.com/office/drawing/2014/main" id="{00000000-0008-0000-0900-00001C000000}"/>
            </a:ext>
            <a:ext uri="{147F2762-F138-4A5C-976F-8EAC2B608ADB}">
              <a16:predDERef xmlns:a16="http://schemas.microsoft.com/office/drawing/2014/main" pred="{00000000-0008-0000-1500-000002B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1127760</xdr:colOff>
          <xdr:row>44</xdr:row>
          <xdr:rowOff>22860</xdr:rowOff>
        </xdr:from>
        <xdr:to>
          <xdr:col>6</xdr:col>
          <xdr:colOff>822960</xdr:colOff>
          <xdr:row>45</xdr:row>
          <xdr:rowOff>60960</xdr:rowOff>
        </xdr:to>
        <xdr:sp macro="" textlink="">
          <xdr:nvSpPr>
            <xdr:cNvPr id="3" name="Drop Down 3" hidden="1">
              <a:extLst>
                <a:ext uri="{63B3BB69-23CF-44E3-9099-C40C66FF867C}">
                  <a14:compatExt spid="_x0000_s47107"/>
                </a:ext>
                <a:ext uri="{FF2B5EF4-FFF2-40B4-BE49-F238E27FC236}">
                  <a16:creationId xmlns:a16="http://schemas.microsoft.com/office/drawing/2014/main" id="{00000000-0008-0000-09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8</xdr:col>
      <xdr:colOff>1552575</xdr:colOff>
      <xdr:row>0</xdr:row>
      <xdr:rowOff>38101</xdr:rowOff>
    </xdr:from>
    <xdr:to>
      <xdr:col>9</xdr:col>
      <xdr:colOff>336546</xdr:colOff>
      <xdr:row>1</xdr:row>
      <xdr:rowOff>161782</xdr:rowOff>
    </xdr:to>
    <xdr:pic>
      <xdr:nvPicPr>
        <xdr:cNvPr id="6" name="Imagem 5">
          <a:hlinkClick xmlns:r="http://schemas.openxmlformats.org/officeDocument/2006/relationships" r:id="rId4"/>
          <a:extLst>
            <a:ext uri="{FF2B5EF4-FFF2-40B4-BE49-F238E27FC236}">
              <a16:creationId xmlns:a16="http://schemas.microsoft.com/office/drawing/2014/main" id="{00000000-0008-0000-0900-000006000000}"/>
            </a:ext>
          </a:extLst>
        </xdr:cNvPr>
        <xdr:cNvPicPr preferRelativeResize="0">
          <a:picLocks/>
        </xdr:cNvPicPr>
      </xdr:nvPicPr>
      <xdr:blipFill>
        <a:blip xmlns:r="http://schemas.openxmlformats.org/officeDocument/2006/relationships" r:embed="rId19"/>
        <a:stretch>
          <a:fillRect/>
        </a:stretch>
      </xdr:blipFill>
      <xdr:spPr>
        <a:xfrm flipH="1">
          <a:off x="11229975" y="38101"/>
          <a:ext cx="565146" cy="304656"/>
        </a:xfrm>
        <a:prstGeom prst="rect">
          <a:avLst/>
        </a:prstGeom>
      </xdr:spPr>
    </xdr:pic>
    <xdr:clientData/>
  </xdr:twoCellAnchor>
  <xdr:twoCellAnchor editAs="absolute">
    <xdr:from>
      <xdr:col>9</xdr:col>
      <xdr:colOff>362593</xdr:colOff>
      <xdr:row>0</xdr:row>
      <xdr:rowOff>38100</xdr:rowOff>
    </xdr:from>
    <xdr:to>
      <xdr:col>10</xdr:col>
      <xdr:colOff>313588</xdr:colOff>
      <xdr:row>1</xdr:row>
      <xdr:rowOff>161781</xdr:rowOff>
    </xdr:to>
    <xdr:pic>
      <xdr:nvPicPr>
        <xdr:cNvPr id="9" name="Imagem 8">
          <a:hlinkClick xmlns:r="http://schemas.openxmlformats.org/officeDocument/2006/relationships" r:id="rId5"/>
          <a:extLst>
            <a:ext uri="{FF2B5EF4-FFF2-40B4-BE49-F238E27FC236}">
              <a16:creationId xmlns:a16="http://schemas.microsoft.com/office/drawing/2014/main" id="{00000000-0008-0000-0900-000009000000}"/>
            </a:ext>
          </a:extLst>
        </xdr:cNvPr>
        <xdr:cNvPicPr preferRelativeResize="0">
          <a:picLocks/>
        </xdr:cNvPicPr>
      </xdr:nvPicPr>
      <xdr:blipFill>
        <a:blip xmlns:r="http://schemas.openxmlformats.org/officeDocument/2006/relationships" r:embed="rId19"/>
        <a:stretch>
          <a:fillRect/>
        </a:stretch>
      </xdr:blipFill>
      <xdr:spPr>
        <a:xfrm rot="10800000" flipH="1">
          <a:off x="11821168" y="38100"/>
          <a:ext cx="560595" cy="3046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587433</xdr:colOff>
      <xdr:row>0</xdr:row>
      <xdr:rowOff>49871</xdr:rowOff>
    </xdr:from>
    <xdr:to>
      <xdr:col>2</xdr:col>
      <xdr:colOff>1514942</xdr:colOff>
      <xdr:row>1</xdr:row>
      <xdr:rowOff>159254</xdr:rowOff>
    </xdr:to>
    <xdr:sp macro="" textlink="">
      <xdr:nvSpPr>
        <xdr:cNvPr id="9" name="CaixaDeTexto 8">
          <a:hlinkClick xmlns:r="http://schemas.openxmlformats.org/officeDocument/2006/relationships" r:id="rId2"/>
          <a:extLst>
            <a:ext uri="{FF2B5EF4-FFF2-40B4-BE49-F238E27FC236}">
              <a16:creationId xmlns:a16="http://schemas.microsoft.com/office/drawing/2014/main" id="{00000000-0008-0000-0A00-000009000000}"/>
            </a:ext>
          </a:extLst>
        </xdr:cNvPr>
        <xdr:cNvSpPr txBox="1"/>
      </xdr:nvSpPr>
      <xdr:spPr>
        <a:xfrm>
          <a:off x="3337259" y="46696"/>
          <a:ext cx="924334" cy="2979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1682820</xdr:colOff>
      <xdr:row>0</xdr:row>
      <xdr:rowOff>49871</xdr:rowOff>
    </xdr:from>
    <xdr:to>
      <xdr:col>2</xdr:col>
      <xdr:colOff>219620</xdr:colOff>
      <xdr:row>1</xdr:row>
      <xdr:rowOff>159254</xdr:rowOff>
    </xdr:to>
    <xdr:sp macro="" textlink="">
      <xdr:nvSpPr>
        <xdr:cNvPr id="10" name="CaixaDeTexto 9">
          <a:hlinkClick xmlns:r="http://schemas.openxmlformats.org/officeDocument/2006/relationships" r:id="rId3"/>
          <a:extLst>
            <a:ext uri="{FF2B5EF4-FFF2-40B4-BE49-F238E27FC236}">
              <a16:creationId xmlns:a16="http://schemas.microsoft.com/office/drawing/2014/main" id="{00000000-0008-0000-0A00-00000A000000}"/>
            </a:ext>
          </a:extLst>
        </xdr:cNvPr>
        <xdr:cNvSpPr txBox="1"/>
      </xdr:nvSpPr>
      <xdr:spPr>
        <a:xfrm>
          <a:off x="2298908" y="46696"/>
          <a:ext cx="667363" cy="2979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1889105</xdr:colOff>
      <xdr:row>0</xdr:row>
      <xdr:rowOff>49871</xdr:rowOff>
    </xdr:from>
    <xdr:to>
      <xdr:col>2</xdr:col>
      <xdr:colOff>2565055</xdr:colOff>
      <xdr:row>1</xdr:row>
      <xdr:rowOff>159254</xdr:rowOff>
    </xdr:to>
    <xdr:sp macro="" textlink="">
      <xdr:nvSpPr>
        <xdr:cNvPr id="11" name="CaixaDeTexto 10">
          <a:hlinkClick xmlns:r="http://schemas.openxmlformats.org/officeDocument/2006/relationships" r:id="rId4"/>
          <a:extLst>
            <a:ext uri="{FF2B5EF4-FFF2-40B4-BE49-F238E27FC236}">
              <a16:creationId xmlns:a16="http://schemas.microsoft.com/office/drawing/2014/main" id="{00000000-0008-0000-0A00-00000B000000}"/>
            </a:ext>
          </a:extLst>
        </xdr:cNvPr>
        <xdr:cNvSpPr txBox="1"/>
      </xdr:nvSpPr>
      <xdr:spPr>
        <a:xfrm>
          <a:off x="4638931" y="46696"/>
          <a:ext cx="672775" cy="2979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2932868</xdr:colOff>
      <xdr:row>0</xdr:row>
      <xdr:rowOff>49871</xdr:rowOff>
    </xdr:from>
    <xdr:to>
      <xdr:col>2</xdr:col>
      <xdr:colOff>3925957</xdr:colOff>
      <xdr:row>1</xdr:row>
      <xdr:rowOff>159254</xdr:rowOff>
    </xdr:to>
    <xdr:sp macro="" textlink="">
      <xdr:nvSpPr>
        <xdr:cNvPr id="12" name="CaixaDeTexto 11">
          <a:hlinkClick xmlns:r="http://schemas.openxmlformats.org/officeDocument/2006/relationships" r:id="rId5"/>
          <a:extLst>
            <a:ext uri="{FF2B5EF4-FFF2-40B4-BE49-F238E27FC236}">
              <a16:creationId xmlns:a16="http://schemas.microsoft.com/office/drawing/2014/main" id="{00000000-0008-0000-0A00-00000C000000}"/>
            </a:ext>
          </a:extLst>
        </xdr:cNvPr>
        <xdr:cNvSpPr txBox="1"/>
      </xdr:nvSpPr>
      <xdr:spPr>
        <a:xfrm>
          <a:off x="5682694" y="46696"/>
          <a:ext cx="993089" cy="2979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4105117</xdr:colOff>
      <xdr:row>0</xdr:row>
      <xdr:rowOff>49871</xdr:rowOff>
    </xdr:from>
    <xdr:to>
      <xdr:col>2</xdr:col>
      <xdr:colOff>4703904</xdr:colOff>
      <xdr:row>1</xdr:row>
      <xdr:rowOff>159254</xdr:rowOff>
    </xdr:to>
    <xdr:sp macro="" textlink="">
      <xdr:nvSpPr>
        <xdr:cNvPr id="13" name="CaixaDeTexto 12">
          <a:hlinkClick xmlns:r="http://schemas.openxmlformats.org/officeDocument/2006/relationships" r:id="rId6"/>
          <a:extLst>
            <a:ext uri="{FF2B5EF4-FFF2-40B4-BE49-F238E27FC236}">
              <a16:creationId xmlns:a16="http://schemas.microsoft.com/office/drawing/2014/main" id="{00000000-0008-0000-0A00-00000D000000}"/>
            </a:ext>
          </a:extLst>
        </xdr:cNvPr>
        <xdr:cNvSpPr txBox="1"/>
      </xdr:nvSpPr>
      <xdr:spPr>
        <a:xfrm>
          <a:off x="6858118" y="46696"/>
          <a:ext cx="728962" cy="2979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1</xdr:col>
      <xdr:colOff>540741</xdr:colOff>
      <xdr:row>0</xdr:row>
      <xdr:rowOff>49871</xdr:rowOff>
    </xdr:from>
    <xdr:to>
      <xdr:col>1</xdr:col>
      <xdr:colOff>1302307</xdr:colOff>
      <xdr:row>1</xdr:row>
      <xdr:rowOff>159254</xdr:rowOff>
    </xdr:to>
    <xdr:sp macro="" textlink="">
      <xdr:nvSpPr>
        <xdr:cNvPr id="15" name="CaixaDeTexto 15">
          <a:hlinkClick xmlns:r="http://schemas.openxmlformats.org/officeDocument/2006/relationships" r:id="rId7"/>
          <a:extLst>
            <a:ext uri="{FF2B5EF4-FFF2-40B4-BE49-F238E27FC236}">
              <a16:creationId xmlns:a16="http://schemas.microsoft.com/office/drawing/2014/main" id="{00000000-0008-0000-0A00-00000F000000}"/>
            </a:ext>
          </a:extLst>
        </xdr:cNvPr>
        <xdr:cNvSpPr txBox="1"/>
      </xdr:nvSpPr>
      <xdr:spPr>
        <a:xfrm>
          <a:off x="1156829" y="46696"/>
          <a:ext cx="761566" cy="2979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83779</xdr:rowOff>
    </xdr:from>
    <xdr:to>
      <xdr:col>1</xdr:col>
      <xdr:colOff>0</xdr:colOff>
      <xdr:row>1</xdr:row>
      <xdr:rowOff>130299</xdr:rowOff>
    </xdr:to>
    <xdr:sp macro="" textlink="">
      <xdr:nvSpPr>
        <xdr:cNvPr id="16" name="CaixaDeTexto 14">
          <a:hlinkClick xmlns:r="http://schemas.openxmlformats.org/officeDocument/2006/relationships" r:id="rId8"/>
          <a:extLst>
            <a:ext uri="{FF2B5EF4-FFF2-40B4-BE49-F238E27FC236}">
              <a16:creationId xmlns:a16="http://schemas.microsoft.com/office/drawing/2014/main" id="{00000000-0008-0000-0A00-000010000000}"/>
            </a:ext>
          </a:extLst>
        </xdr:cNvPr>
        <xdr:cNvSpPr txBox="1"/>
      </xdr:nvSpPr>
      <xdr:spPr>
        <a:xfrm>
          <a:off x="0" y="86954"/>
          <a:ext cx="579783" cy="217280"/>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1152525</xdr:colOff>
      <xdr:row>0</xdr:row>
      <xdr:rowOff>47625</xdr:rowOff>
    </xdr:from>
    <xdr:to>
      <xdr:col>3</xdr:col>
      <xdr:colOff>1714496</xdr:colOff>
      <xdr:row>1</xdr:row>
      <xdr:rowOff>160539</xdr:rowOff>
    </xdr:to>
    <xdr:pic>
      <xdr:nvPicPr>
        <xdr:cNvPr id="17" name="Picture 4">
          <a:hlinkClick xmlns:r="http://schemas.openxmlformats.org/officeDocument/2006/relationships" r:id="rId9"/>
          <a:extLst>
            <a:ext uri="{FF2B5EF4-FFF2-40B4-BE49-F238E27FC236}">
              <a16:creationId xmlns:a16="http://schemas.microsoft.com/office/drawing/2014/main" id="{00000000-0008-0000-0A00-000011000000}"/>
            </a:ext>
            <a:ext uri="{147F2762-F138-4A5C-976F-8EAC2B608ADB}">
              <a16:predDERef xmlns:a16="http://schemas.microsoft.com/office/drawing/2014/main" pred="{90EAC7BA-D0A9-43B0-A26F-16554D80EA21}"/>
            </a:ext>
          </a:extLst>
        </xdr:cNvPr>
        <xdr:cNvPicPr preferRelativeResize="0">
          <a:picLocks/>
        </xdr:cNvPicPr>
      </xdr:nvPicPr>
      <xdr:blipFill>
        <a:blip xmlns:r="http://schemas.openxmlformats.org/officeDocument/2006/relationships" r:embed="rId10"/>
        <a:stretch>
          <a:fillRect/>
        </a:stretch>
      </xdr:blipFill>
      <xdr:spPr>
        <a:xfrm flipH="1">
          <a:off x="8477250" y="47625"/>
          <a:ext cx="565146" cy="297064"/>
        </a:xfrm>
        <a:prstGeom prst="rect">
          <a:avLst/>
        </a:prstGeom>
      </xdr:spPr>
    </xdr:pic>
    <xdr:clientData/>
  </xdr:twoCellAnchor>
  <xdr:twoCellAnchor editAs="oneCell">
    <xdr:from>
      <xdr:col>3</xdr:col>
      <xdr:colOff>1752600</xdr:colOff>
      <xdr:row>0</xdr:row>
      <xdr:rowOff>47625</xdr:rowOff>
    </xdr:from>
    <xdr:to>
      <xdr:col>3</xdr:col>
      <xdr:colOff>2313057</xdr:colOff>
      <xdr:row>1</xdr:row>
      <xdr:rowOff>160539</xdr:rowOff>
    </xdr:to>
    <xdr:pic>
      <xdr:nvPicPr>
        <xdr:cNvPr id="25" name="Picture 5">
          <a:hlinkClick xmlns:r="http://schemas.openxmlformats.org/officeDocument/2006/relationships" r:id="rId11"/>
          <a:extLst>
            <a:ext uri="{FF2B5EF4-FFF2-40B4-BE49-F238E27FC236}">
              <a16:creationId xmlns:a16="http://schemas.microsoft.com/office/drawing/2014/main" id="{00000000-0008-0000-0A00-000019000000}"/>
            </a:ext>
            <a:ext uri="{147F2762-F138-4A5C-976F-8EAC2B608ADB}">
              <a16:predDERef xmlns:a16="http://schemas.microsoft.com/office/drawing/2014/main" pred="{A6AA0753-DE11-4588-9CB6-C4C35CB32FF9}"/>
            </a:ext>
          </a:extLst>
        </xdr:cNvPr>
        <xdr:cNvPicPr preferRelativeResize="0">
          <a:picLocks/>
        </xdr:cNvPicPr>
      </xdr:nvPicPr>
      <xdr:blipFill>
        <a:blip xmlns:r="http://schemas.openxmlformats.org/officeDocument/2006/relationships" r:embed="rId10"/>
        <a:stretch>
          <a:fillRect/>
        </a:stretch>
      </xdr:blipFill>
      <xdr:spPr>
        <a:xfrm rot="10800000" flipH="1">
          <a:off x="9077325" y="47625"/>
          <a:ext cx="560457" cy="297064"/>
        </a:xfrm>
        <a:prstGeom prst="rect">
          <a:avLst/>
        </a:prstGeom>
      </xdr:spPr>
    </xdr:pic>
    <xdr:clientData/>
  </xdr:twoCellAnchor>
  <xdr:twoCellAnchor>
    <xdr:from>
      <xdr:col>3</xdr:col>
      <xdr:colOff>104775</xdr:colOff>
      <xdr:row>0</xdr:row>
      <xdr:rowOff>47625</xdr:rowOff>
    </xdr:from>
    <xdr:to>
      <xdr:col>3</xdr:col>
      <xdr:colOff>905450</xdr:colOff>
      <xdr:row>1</xdr:row>
      <xdr:rowOff>157008</xdr:rowOff>
    </xdr:to>
    <xdr:sp macro="" textlink="">
      <xdr:nvSpPr>
        <xdr:cNvPr id="7" name="TextBox 2">
          <a:hlinkClick xmlns:r="http://schemas.openxmlformats.org/officeDocument/2006/relationships" r:id="rId12"/>
          <a:extLst>
            <a:ext uri="{FF2B5EF4-FFF2-40B4-BE49-F238E27FC236}">
              <a16:creationId xmlns:a16="http://schemas.microsoft.com/office/drawing/2014/main" id="{00000000-0008-0000-0A00-000007000000}"/>
            </a:ext>
            <a:ext uri="{147F2762-F138-4A5C-976F-8EAC2B608ADB}">
              <a16:predDERef xmlns:a16="http://schemas.microsoft.com/office/drawing/2014/main" pred="{00000000-0008-0000-0A00-000019000000}"/>
            </a:ext>
          </a:extLst>
        </xdr:cNvPr>
        <xdr:cNvSpPr txBox="1"/>
      </xdr:nvSpPr>
      <xdr:spPr>
        <a:xfrm>
          <a:off x="7429500" y="47625"/>
          <a:ext cx="800675" cy="280833"/>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3</xdr:col>
      <xdr:colOff>1055206</xdr:colOff>
      <xdr:row>0</xdr:row>
      <xdr:rowOff>48683</xdr:rowOff>
    </xdr:from>
    <xdr:to>
      <xdr:col>4</xdr:col>
      <xdr:colOff>942990</xdr:colOff>
      <xdr:row>1</xdr:row>
      <xdr:rowOff>136120</xdr:rowOff>
    </xdr:to>
    <xdr:sp macro="" textlink="">
      <xdr:nvSpPr>
        <xdr:cNvPr id="49307" name="CaixaDeTexto 8">
          <a:hlinkClick xmlns:r="http://schemas.openxmlformats.org/officeDocument/2006/relationships" r:id="rId1"/>
          <a:extLst>
            <a:ext uri="{FF2B5EF4-FFF2-40B4-BE49-F238E27FC236}">
              <a16:creationId xmlns:a16="http://schemas.microsoft.com/office/drawing/2014/main" id="{00000000-0008-0000-0B00-00009BC00000}"/>
            </a:ext>
          </a:extLst>
        </xdr:cNvPr>
        <xdr:cNvSpPr txBox="1"/>
      </xdr:nvSpPr>
      <xdr:spPr>
        <a:xfrm>
          <a:off x="4122256" y="42333"/>
          <a:ext cx="1116509"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1164600</xdr:colOff>
      <xdr:row>0</xdr:row>
      <xdr:rowOff>48683</xdr:rowOff>
    </xdr:from>
    <xdr:to>
      <xdr:col>3</xdr:col>
      <xdr:colOff>656841</xdr:colOff>
      <xdr:row>1</xdr:row>
      <xdr:rowOff>136120</xdr:rowOff>
    </xdr:to>
    <xdr:sp macro="" textlink="">
      <xdr:nvSpPr>
        <xdr:cNvPr id="49308" name="CaixaDeTexto 9">
          <a:hlinkClick xmlns:r="http://schemas.openxmlformats.org/officeDocument/2006/relationships" r:id="rId2"/>
          <a:extLst>
            <a:ext uri="{FF2B5EF4-FFF2-40B4-BE49-F238E27FC236}">
              <a16:creationId xmlns:a16="http://schemas.microsoft.com/office/drawing/2014/main" id="{00000000-0008-0000-0B00-00009CC00000}"/>
            </a:ext>
          </a:extLst>
        </xdr:cNvPr>
        <xdr:cNvSpPr txBox="1"/>
      </xdr:nvSpPr>
      <xdr:spPr>
        <a:xfrm>
          <a:off x="2983875" y="42333"/>
          <a:ext cx="730491"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5</xdr:col>
      <xdr:colOff>103105</xdr:colOff>
      <xdr:row>0</xdr:row>
      <xdr:rowOff>48683</xdr:rowOff>
    </xdr:from>
    <xdr:to>
      <xdr:col>5</xdr:col>
      <xdr:colOff>1011108</xdr:colOff>
      <xdr:row>1</xdr:row>
      <xdr:rowOff>136120</xdr:rowOff>
    </xdr:to>
    <xdr:sp macro="" textlink="">
      <xdr:nvSpPr>
        <xdr:cNvPr id="49309" name="CaixaDeTexto 10">
          <a:hlinkClick xmlns:r="http://schemas.openxmlformats.org/officeDocument/2006/relationships" r:id="rId3"/>
          <a:extLst>
            <a:ext uri="{FF2B5EF4-FFF2-40B4-BE49-F238E27FC236}">
              <a16:creationId xmlns:a16="http://schemas.microsoft.com/office/drawing/2014/main" id="{00000000-0008-0000-0B00-00009DC00000}"/>
            </a:ext>
          </a:extLst>
        </xdr:cNvPr>
        <xdr:cNvSpPr txBox="1"/>
      </xdr:nvSpPr>
      <xdr:spPr>
        <a:xfrm>
          <a:off x="5646655" y="42333"/>
          <a:ext cx="898478"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6</xdr:col>
      <xdr:colOff>180748</xdr:colOff>
      <xdr:row>0</xdr:row>
      <xdr:rowOff>48683</xdr:rowOff>
    </xdr:from>
    <xdr:to>
      <xdr:col>6</xdr:col>
      <xdr:colOff>1269193</xdr:colOff>
      <xdr:row>1</xdr:row>
      <xdr:rowOff>136120</xdr:rowOff>
    </xdr:to>
    <xdr:sp macro="" textlink="">
      <xdr:nvSpPr>
        <xdr:cNvPr id="49310" name="CaixaDeTexto 11">
          <a:hlinkClick xmlns:r="http://schemas.openxmlformats.org/officeDocument/2006/relationships" r:id="rId4"/>
          <a:extLst>
            <a:ext uri="{FF2B5EF4-FFF2-40B4-BE49-F238E27FC236}">
              <a16:creationId xmlns:a16="http://schemas.microsoft.com/office/drawing/2014/main" id="{00000000-0008-0000-0B00-00009EC00000}"/>
            </a:ext>
          </a:extLst>
        </xdr:cNvPr>
        <xdr:cNvSpPr txBox="1"/>
      </xdr:nvSpPr>
      <xdr:spPr>
        <a:xfrm>
          <a:off x="6953023" y="42333"/>
          <a:ext cx="1088445"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7</xdr:col>
      <xdr:colOff>82879</xdr:colOff>
      <xdr:row>0</xdr:row>
      <xdr:rowOff>48683</xdr:rowOff>
    </xdr:from>
    <xdr:to>
      <xdr:col>7</xdr:col>
      <xdr:colOff>675673</xdr:colOff>
      <xdr:row>1</xdr:row>
      <xdr:rowOff>136120</xdr:rowOff>
    </xdr:to>
    <xdr:sp macro="" textlink="">
      <xdr:nvSpPr>
        <xdr:cNvPr id="49311" name="CaixaDeTexto 12">
          <a:hlinkClick xmlns:r="http://schemas.openxmlformats.org/officeDocument/2006/relationships" r:id="rId5"/>
          <a:extLst>
            <a:ext uri="{FF2B5EF4-FFF2-40B4-BE49-F238E27FC236}">
              <a16:creationId xmlns:a16="http://schemas.microsoft.com/office/drawing/2014/main" id="{00000000-0008-0000-0B00-00009FC00000}"/>
            </a:ext>
          </a:extLst>
        </xdr:cNvPr>
        <xdr:cNvSpPr txBox="1"/>
      </xdr:nvSpPr>
      <xdr:spPr>
        <a:xfrm>
          <a:off x="8452179" y="42333"/>
          <a:ext cx="595969"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7</xdr:col>
      <xdr:colOff>1074036</xdr:colOff>
      <xdr:row>0</xdr:row>
      <xdr:rowOff>48683</xdr:rowOff>
    </xdr:from>
    <xdr:to>
      <xdr:col>8</xdr:col>
      <xdr:colOff>779994</xdr:colOff>
      <xdr:row>1</xdr:row>
      <xdr:rowOff>136120</xdr:rowOff>
    </xdr:to>
    <xdr:sp macro="" textlink="">
      <xdr:nvSpPr>
        <xdr:cNvPr id="49312" name="CaixaDeTexto 13">
          <a:hlinkClick xmlns:r="http://schemas.openxmlformats.org/officeDocument/2006/relationships" r:id="rId6"/>
          <a:extLst>
            <a:ext uri="{FF2B5EF4-FFF2-40B4-BE49-F238E27FC236}">
              <a16:creationId xmlns:a16="http://schemas.microsoft.com/office/drawing/2014/main" id="{00000000-0008-0000-0B00-0000A0C00000}"/>
            </a:ext>
          </a:extLst>
        </xdr:cNvPr>
        <xdr:cNvSpPr txBox="1"/>
      </xdr:nvSpPr>
      <xdr:spPr>
        <a:xfrm>
          <a:off x="9456036" y="42333"/>
          <a:ext cx="937858"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1095139</xdr:colOff>
      <xdr:row>0</xdr:row>
      <xdr:rowOff>48683</xdr:rowOff>
    </xdr:from>
    <xdr:to>
      <xdr:col>2</xdr:col>
      <xdr:colOff>750360</xdr:colOff>
      <xdr:row>1</xdr:row>
      <xdr:rowOff>136120</xdr:rowOff>
    </xdr:to>
    <xdr:sp macro="" textlink="">
      <xdr:nvSpPr>
        <xdr:cNvPr id="49313" name="CaixaDeTexto 15">
          <a:hlinkClick xmlns:r="http://schemas.openxmlformats.org/officeDocument/2006/relationships" r:id="rId7"/>
          <a:extLst>
            <a:ext uri="{FF2B5EF4-FFF2-40B4-BE49-F238E27FC236}">
              <a16:creationId xmlns:a16="http://schemas.microsoft.com/office/drawing/2014/main" id="{00000000-0008-0000-0B00-0000A1C00000}"/>
            </a:ext>
          </a:extLst>
        </xdr:cNvPr>
        <xdr:cNvSpPr txBox="1"/>
      </xdr:nvSpPr>
      <xdr:spPr>
        <a:xfrm>
          <a:off x="1676164" y="42333"/>
          <a:ext cx="899821"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48686</xdr:colOff>
      <xdr:row>0</xdr:row>
      <xdr:rowOff>60123</xdr:rowOff>
    </xdr:from>
    <xdr:to>
      <xdr:col>0</xdr:col>
      <xdr:colOff>584200</xdr:colOff>
      <xdr:row>1</xdr:row>
      <xdr:rowOff>114300</xdr:rowOff>
    </xdr:to>
    <xdr:sp macro="" textlink="">
      <xdr:nvSpPr>
        <xdr:cNvPr id="49314" name="CaixaDeTexto 14">
          <a:hlinkClick xmlns:r="http://schemas.openxmlformats.org/officeDocument/2006/relationships" r:id="rId8"/>
          <a:extLst>
            <a:ext uri="{FF2B5EF4-FFF2-40B4-BE49-F238E27FC236}">
              <a16:creationId xmlns:a16="http://schemas.microsoft.com/office/drawing/2014/main" id="{00000000-0008-0000-0B00-0000A2C00000}"/>
            </a:ext>
          </a:extLst>
        </xdr:cNvPr>
        <xdr:cNvSpPr txBox="1"/>
      </xdr:nvSpPr>
      <xdr:spPr>
        <a:xfrm>
          <a:off x="48686" y="60123"/>
          <a:ext cx="535514" cy="231977"/>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xdr:from>
      <xdr:col>0</xdr:col>
      <xdr:colOff>607482</xdr:colOff>
      <xdr:row>57</xdr:row>
      <xdr:rowOff>36285</xdr:rowOff>
    </xdr:from>
    <xdr:to>
      <xdr:col>6</xdr:col>
      <xdr:colOff>1623786</xdr:colOff>
      <xdr:row>75</xdr:row>
      <xdr:rowOff>-1</xdr:rowOff>
    </xdr:to>
    <xdr:graphicFrame macro="">
      <xdr:nvGraphicFramePr>
        <xdr:cNvPr id="29" name="Gráfico 17">
          <a:extLst>
            <a:ext uri="{FF2B5EF4-FFF2-40B4-BE49-F238E27FC236}">
              <a16:creationId xmlns:a16="http://schemas.microsoft.com/office/drawing/2014/main" id="{00000000-0008-0000-0B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3</xdr:col>
      <xdr:colOff>25609</xdr:colOff>
      <xdr:row>0</xdr:row>
      <xdr:rowOff>11509</xdr:rowOff>
    </xdr:from>
    <xdr:to>
      <xdr:col>3</xdr:col>
      <xdr:colOff>41153</xdr:colOff>
      <xdr:row>1</xdr:row>
      <xdr:rowOff>93730</xdr:rowOff>
    </xdr:to>
    <xdr:sp macro="" textlink="">
      <xdr:nvSpPr>
        <xdr:cNvPr id="9" name="CaixaDeTexto 8">
          <a:extLst>
            <a:ext uri="{FF2B5EF4-FFF2-40B4-BE49-F238E27FC236}">
              <a16:creationId xmlns:a16="http://schemas.microsoft.com/office/drawing/2014/main" id="{00000000-0008-0000-0B00-000009000000}"/>
            </a:ext>
          </a:extLst>
        </xdr:cNvPr>
        <xdr:cNvSpPr txBox="1"/>
      </xdr:nvSpPr>
      <xdr:spPr>
        <a:xfrm>
          <a:off x="3234173" y="5159"/>
          <a:ext cx="9194" cy="27000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l"/>
          <a:r>
            <a:rPr lang="pt-BR" sz="800" b="1">
              <a:solidFill>
                <a:srgbClr val="008080"/>
              </a:solidFill>
              <a:latin typeface="Arial" panose="020B0604020202020204" pitchFamily="34" charset="0"/>
              <a:ea typeface="+mn-ea"/>
              <a:cs typeface="Arial" panose="020B0604020202020204" pitchFamily="34" charset="0"/>
            </a:rPr>
            <a:t>Temas materiais</a:t>
          </a:r>
        </a:p>
      </xdr:txBody>
    </xdr:sp>
    <xdr:clientData/>
  </xdr:twoCellAnchor>
  <xdr:twoCellAnchor>
    <xdr:from>
      <xdr:col>1</xdr:col>
      <xdr:colOff>0</xdr:colOff>
      <xdr:row>22</xdr:row>
      <xdr:rowOff>11722</xdr:rowOff>
    </xdr:from>
    <xdr:to>
      <xdr:col>7</xdr:col>
      <xdr:colOff>868825</xdr:colOff>
      <xdr:row>44</xdr:row>
      <xdr:rowOff>3174</xdr:rowOff>
    </xdr:to>
    <xdr:graphicFrame macro="">
      <xdr:nvGraphicFramePr>
        <xdr:cNvPr id="49303" name="Gráfico 2">
          <a:extLst>
            <a:ext uri="{FF2B5EF4-FFF2-40B4-BE49-F238E27FC236}">
              <a16:creationId xmlns:a16="http://schemas.microsoft.com/office/drawing/2014/main" id="{00000000-0008-0000-0B00-000097C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384</xdr:row>
      <xdr:rowOff>19049</xdr:rowOff>
    </xdr:from>
    <xdr:to>
      <xdr:col>8</xdr:col>
      <xdr:colOff>0</xdr:colOff>
      <xdr:row>405</xdr:row>
      <xdr:rowOff>0</xdr:rowOff>
    </xdr:to>
    <xdr:graphicFrame macro="">
      <xdr:nvGraphicFramePr>
        <xdr:cNvPr id="8" name="Gráfico 29">
          <a:extLst>
            <a:ext uri="{FF2B5EF4-FFF2-40B4-BE49-F238E27FC236}">
              <a16:creationId xmlns:a16="http://schemas.microsoft.com/office/drawing/2014/main" id="{00000000-0008-0000-0B00-000008000000}"/>
            </a:ext>
            <a:ext uri="{147F2762-F138-4A5C-976F-8EAC2B608ADB}">
              <a16:predDERef xmlns:a16="http://schemas.microsoft.com/office/drawing/2014/main" pred="{817034AA-A92A-4372-B916-7D9A3FB7E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685800</xdr:colOff>
      <xdr:row>702</xdr:row>
      <xdr:rowOff>0</xdr:rowOff>
    </xdr:from>
    <xdr:to>
      <xdr:col>9</xdr:col>
      <xdr:colOff>1</xdr:colOff>
      <xdr:row>718</xdr:row>
      <xdr:rowOff>0</xdr:rowOff>
    </xdr:to>
    <xdr:graphicFrame macro="">
      <xdr:nvGraphicFramePr>
        <xdr:cNvPr id="35" name="Gráfico 34">
          <a:extLst>
            <a:ext uri="{FF2B5EF4-FFF2-40B4-BE49-F238E27FC236}">
              <a16:creationId xmlns:a16="http://schemas.microsoft.com/office/drawing/2014/main" id="{00000000-0008-0000-0B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719</xdr:row>
      <xdr:rowOff>1</xdr:rowOff>
    </xdr:from>
    <xdr:to>
      <xdr:col>5</xdr:col>
      <xdr:colOff>312850</xdr:colOff>
      <xdr:row>736</xdr:row>
      <xdr:rowOff>0</xdr:rowOff>
    </xdr:to>
    <xdr:graphicFrame macro="">
      <xdr:nvGraphicFramePr>
        <xdr:cNvPr id="10" name="Gráfico 9">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711200</xdr:colOff>
      <xdr:row>719</xdr:row>
      <xdr:rowOff>1</xdr:rowOff>
    </xdr:from>
    <xdr:to>
      <xdr:col>9</xdr:col>
      <xdr:colOff>0</xdr:colOff>
      <xdr:row>736</xdr:row>
      <xdr:rowOff>2</xdr:rowOff>
    </xdr:to>
    <xdr:graphicFrame macro="">
      <xdr:nvGraphicFramePr>
        <xdr:cNvPr id="14" name="Gráfico 13">
          <a:extLst>
            <a:ext uri="{FF2B5EF4-FFF2-40B4-BE49-F238E27FC236}">
              <a16:creationId xmlns:a16="http://schemas.microsoft.com/office/drawing/2014/main" id="{00000000-0008-0000-0B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607482</xdr:colOff>
      <xdr:row>53</xdr:row>
      <xdr:rowOff>0</xdr:rowOff>
    </xdr:from>
    <xdr:to>
      <xdr:col>7</xdr:col>
      <xdr:colOff>787400</xdr:colOff>
      <xdr:row>75</xdr:row>
      <xdr:rowOff>0</xdr:rowOff>
    </xdr:to>
    <xdr:graphicFrame macro="">
      <xdr:nvGraphicFramePr>
        <xdr:cNvPr id="18" name="Gráfico 17">
          <a:extLst>
            <a:ext uri="{FF2B5EF4-FFF2-40B4-BE49-F238E27FC236}">
              <a16:creationId xmlns:a16="http://schemas.microsoft.com/office/drawing/2014/main" id="{00000000-0008-0000-0B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702</xdr:row>
      <xdr:rowOff>0</xdr:rowOff>
    </xdr:from>
    <xdr:to>
      <xdr:col>5</xdr:col>
      <xdr:colOff>323561</xdr:colOff>
      <xdr:row>717</xdr:row>
      <xdr:rowOff>172316</xdr:rowOff>
    </xdr:to>
    <xdr:graphicFrame macro="">
      <xdr:nvGraphicFramePr>
        <xdr:cNvPr id="28" name="Gráfico 27">
          <a:extLst>
            <a:ext uri="{FF2B5EF4-FFF2-40B4-BE49-F238E27FC236}">
              <a16:creationId xmlns:a16="http://schemas.microsoft.com/office/drawing/2014/main" id="{00000000-0008-0000-0B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297</xdr:row>
      <xdr:rowOff>0</xdr:rowOff>
    </xdr:from>
    <xdr:to>
      <xdr:col>7</xdr:col>
      <xdr:colOff>1091534</xdr:colOff>
      <xdr:row>318</xdr:row>
      <xdr:rowOff>75609</xdr:rowOff>
    </xdr:to>
    <xdr:graphicFrame macro="">
      <xdr:nvGraphicFramePr>
        <xdr:cNvPr id="17" name="Gráfico 3">
          <a:extLst>
            <a:ext uri="{FF2B5EF4-FFF2-40B4-BE49-F238E27FC236}">
              <a16:creationId xmlns:a16="http://schemas.microsoft.com/office/drawing/2014/main"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0</xdr:colOff>
      <xdr:row>320</xdr:row>
      <xdr:rowOff>15364</xdr:rowOff>
    </xdr:from>
    <xdr:to>
      <xdr:col>7</xdr:col>
      <xdr:colOff>6102</xdr:colOff>
      <xdr:row>337</xdr:row>
      <xdr:rowOff>98241</xdr:rowOff>
    </xdr:to>
    <xdr:graphicFrame macro="">
      <xdr:nvGraphicFramePr>
        <xdr:cNvPr id="23" name="Gráfico 6">
          <a:extLst>
            <a:ext uri="{FF2B5EF4-FFF2-40B4-BE49-F238E27FC236}">
              <a16:creationId xmlns:a16="http://schemas.microsoft.com/office/drawing/2014/main" id="{00000000-0008-0000-0B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264</xdr:colOff>
      <xdr:row>426</xdr:row>
      <xdr:rowOff>35983</xdr:rowOff>
    </xdr:from>
    <xdr:to>
      <xdr:col>8</xdr:col>
      <xdr:colOff>848518</xdr:colOff>
      <xdr:row>452</xdr:row>
      <xdr:rowOff>0</xdr:rowOff>
    </xdr:to>
    <xdr:graphicFrame macro="">
      <xdr:nvGraphicFramePr>
        <xdr:cNvPr id="4" name="Gráfico 4">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0</xdr:colOff>
      <xdr:row>454</xdr:row>
      <xdr:rowOff>15875</xdr:rowOff>
    </xdr:from>
    <xdr:to>
      <xdr:col>8</xdr:col>
      <xdr:colOff>840625</xdr:colOff>
      <xdr:row>476</xdr:row>
      <xdr:rowOff>45508</xdr:rowOff>
    </xdr:to>
    <xdr:graphicFrame macro="">
      <xdr:nvGraphicFramePr>
        <xdr:cNvPr id="5" name="Gráfico 18">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0</xdr:colOff>
      <xdr:row>507</xdr:row>
      <xdr:rowOff>149225</xdr:rowOff>
    </xdr:from>
    <xdr:to>
      <xdr:col>4</xdr:col>
      <xdr:colOff>685800</xdr:colOff>
      <xdr:row>523</xdr:row>
      <xdr:rowOff>0</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5</xdr:col>
      <xdr:colOff>0</xdr:colOff>
      <xdr:row>508</xdr:row>
      <xdr:rowOff>0</xdr:rowOff>
    </xdr:from>
    <xdr:to>
      <xdr:col>8</xdr:col>
      <xdr:colOff>304800</xdr:colOff>
      <xdr:row>523</xdr:row>
      <xdr:rowOff>31750</xdr:rowOff>
    </xdr:to>
    <xdr:graphicFrame macro="">
      <xdr:nvGraphicFramePr>
        <xdr:cNvPr id="20" name="Gráfico 19">
          <a:extLst>
            <a:ext uri="{FF2B5EF4-FFF2-40B4-BE49-F238E27FC236}">
              <a16:creationId xmlns:a16="http://schemas.microsoft.com/office/drawing/2014/main" id="{00000000-0008-0000-0B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8</xdr:col>
      <xdr:colOff>1238250</xdr:colOff>
      <xdr:row>0</xdr:row>
      <xdr:rowOff>38101</xdr:rowOff>
    </xdr:from>
    <xdr:to>
      <xdr:col>9</xdr:col>
      <xdr:colOff>22221</xdr:colOff>
      <xdr:row>1</xdr:row>
      <xdr:rowOff>164957</xdr:rowOff>
    </xdr:to>
    <xdr:pic>
      <xdr:nvPicPr>
        <xdr:cNvPr id="22" name="Imagem 21">
          <a:hlinkClick xmlns:r="http://schemas.openxmlformats.org/officeDocument/2006/relationships" r:id="rId5"/>
          <a:extLst>
            <a:ext uri="{FF2B5EF4-FFF2-40B4-BE49-F238E27FC236}">
              <a16:creationId xmlns:a16="http://schemas.microsoft.com/office/drawing/2014/main" id="{00000000-0008-0000-0B00-000016000000}"/>
            </a:ext>
          </a:extLst>
        </xdr:cNvPr>
        <xdr:cNvPicPr preferRelativeResize="0">
          <a:picLocks/>
        </xdr:cNvPicPr>
      </xdr:nvPicPr>
      <xdr:blipFill>
        <a:blip xmlns:r="http://schemas.openxmlformats.org/officeDocument/2006/relationships" r:embed="rId24"/>
        <a:stretch>
          <a:fillRect/>
        </a:stretch>
      </xdr:blipFill>
      <xdr:spPr>
        <a:xfrm flipH="1">
          <a:off x="11296650" y="38101"/>
          <a:ext cx="565146" cy="304656"/>
        </a:xfrm>
        <a:prstGeom prst="rect">
          <a:avLst/>
        </a:prstGeom>
      </xdr:spPr>
    </xdr:pic>
    <xdr:clientData/>
  </xdr:twoCellAnchor>
  <xdr:twoCellAnchor editAs="absolute">
    <xdr:from>
      <xdr:col>9</xdr:col>
      <xdr:colOff>45093</xdr:colOff>
      <xdr:row>0</xdr:row>
      <xdr:rowOff>38100</xdr:rowOff>
    </xdr:from>
    <xdr:to>
      <xdr:col>9</xdr:col>
      <xdr:colOff>580288</xdr:colOff>
      <xdr:row>1</xdr:row>
      <xdr:rowOff>164956</xdr:rowOff>
    </xdr:to>
    <xdr:pic>
      <xdr:nvPicPr>
        <xdr:cNvPr id="24" name="Imagem 23">
          <a:hlinkClick xmlns:r="http://schemas.openxmlformats.org/officeDocument/2006/relationships" r:id="rId6"/>
          <a:extLst>
            <a:ext uri="{FF2B5EF4-FFF2-40B4-BE49-F238E27FC236}">
              <a16:creationId xmlns:a16="http://schemas.microsoft.com/office/drawing/2014/main" id="{00000000-0008-0000-0B00-000018000000}"/>
            </a:ext>
          </a:extLst>
        </xdr:cNvPr>
        <xdr:cNvPicPr preferRelativeResize="0">
          <a:picLocks/>
        </xdr:cNvPicPr>
      </xdr:nvPicPr>
      <xdr:blipFill>
        <a:blip xmlns:r="http://schemas.openxmlformats.org/officeDocument/2006/relationships" r:embed="rId24"/>
        <a:stretch>
          <a:fillRect/>
        </a:stretch>
      </xdr:blipFill>
      <xdr:spPr>
        <a:xfrm rot="10800000" flipH="1">
          <a:off x="11887843" y="38100"/>
          <a:ext cx="560595" cy="30465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1964036</xdr:colOff>
      <xdr:row>0</xdr:row>
      <xdr:rowOff>48316</xdr:rowOff>
    </xdr:from>
    <xdr:to>
      <xdr:col>1</xdr:col>
      <xdr:colOff>2886061</xdr:colOff>
      <xdr:row>1</xdr:row>
      <xdr:rowOff>142103</xdr:rowOff>
    </xdr:to>
    <xdr:sp macro="" textlink="">
      <xdr:nvSpPr>
        <xdr:cNvPr id="18" name="CaixaDeTexto 8">
          <a:hlinkClick xmlns:r="http://schemas.openxmlformats.org/officeDocument/2006/relationships" r:id="rId2"/>
          <a:extLst>
            <a:ext uri="{FF2B5EF4-FFF2-40B4-BE49-F238E27FC236}">
              <a16:creationId xmlns:a16="http://schemas.microsoft.com/office/drawing/2014/main" id="{00000000-0008-0000-0C00-000012000000}"/>
            </a:ext>
          </a:extLst>
        </xdr:cNvPr>
        <xdr:cNvSpPr txBox="1"/>
      </xdr:nvSpPr>
      <xdr:spPr>
        <a:xfrm>
          <a:off x="2543819" y="51491"/>
          <a:ext cx="925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1219808</xdr:colOff>
      <xdr:row>0</xdr:row>
      <xdr:rowOff>48316</xdr:rowOff>
    </xdr:from>
    <xdr:to>
      <xdr:col>1</xdr:col>
      <xdr:colOff>1788608</xdr:colOff>
      <xdr:row>1</xdr:row>
      <xdr:rowOff>142103</xdr:rowOff>
    </xdr:to>
    <xdr:sp macro="" textlink="">
      <xdr:nvSpPr>
        <xdr:cNvPr id="19" name="CaixaDeTexto 9">
          <a:hlinkClick xmlns:r="http://schemas.openxmlformats.org/officeDocument/2006/relationships" r:id="rId3"/>
          <a:extLst>
            <a:ext uri="{FF2B5EF4-FFF2-40B4-BE49-F238E27FC236}">
              <a16:creationId xmlns:a16="http://schemas.microsoft.com/office/drawing/2014/main" id="{00000000-0008-0000-0C00-000013000000}"/>
            </a:ext>
          </a:extLst>
        </xdr:cNvPr>
        <xdr:cNvSpPr txBox="1"/>
      </xdr:nvSpPr>
      <xdr:spPr>
        <a:xfrm>
          <a:off x="1799591" y="51491"/>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3064664</xdr:colOff>
      <xdr:row>0</xdr:row>
      <xdr:rowOff>48316</xdr:rowOff>
    </xdr:from>
    <xdr:to>
      <xdr:col>1</xdr:col>
      <xdr:colOff>3734264</xdr:colOff>
      <xdr:row>1</xdr:row>
      <xdr:rowOff>142103</xdr:rowOff>
    </xdr:to>
    <xdr:sp macro="" textlink="">
      <xdr:nvSpPr>
        <xdr:cNvPr id="27" name="CaixaDeTexto 10">
          <a:hlinkClick xmlns:r="http://schemas.openxmlformats.org/officeDocument/2006/relationships" r:id="rId4"/>
          <a:extLst>
            <a:ext uri="{FF2B5EF4-FFF2-40B4-BE49-F238E27FC236}">
              <a16:creationId xmlns:a16="http://schemas.microsoft.com/office/drawing/2014/main" id="{00000000-0008-0000-0C00-00001B000000}"/>
            </a:ext>
          </a:extLst>
        </xdr:cNvPr>
        <xdr:cNvSpPr txBox="1"/>
      </xdr:nvSpPr>
      <xdr:spPr>
        <a:xfrm>
          <a:off x="3644447" y="51491"/>
          <a:ext cx="6696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1</xdr:col>
      <xdr:colOff>3912867</xdr:colOff>
      <xdr:row>0</xdr:row>
      <xdr:rowOff>48316</xdr:rowOff>
    </xdr:from>
    <xdr:to>
      <xdr:col>2</xdr:col>
      <xdr:colOff>774375</xdr:colOff>
      <xdr:row>1</xdr:row>
      <xdr:rowOff>142103</xdr:rowOff>
    </xdr:to>
    <xdr:sp macro="" textlink="">
      <xdr:nvSpPr>
        <xdr:cNvPr id="28" name="CaixaDeTexto 11">
          <a:hlinkClick xmlns:r="http://schemas.openxmlformats.org/officeDocument/2006/relationships" r:id="rId5"/>
          <a:extLst>
            <a:ext uri="{FF2B5EF4-FFF2-40B4-BE49-F238E27FC236}">
              <a16:creationId xmlns:a16="http://schemas.microsoft.com/office/drawing/2014/main" id="{00000000-0008-0000-0C00-00001C000000}"/>
            </a:ext>
          </a:extLst>
        </xdr:cNvPr>
        <xdr:cNvSpPr txBox="1"/>
      </xdr:nvSpPr>
      <xdr:spPr>
        <a:xfrm>
          <a:off x="4489475" y="51491"/>
          <a:ext cx="909771"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952978</xdr:colOff>
      <xdr:row>0</xdr:row>
      <xdr:rowOff>48316</xdr:rowOff>
    </xdr:from>
    <xdr:to>
      <xdr:col>2</xdr:col>
      <xdr:colOff>1438553</xdr:colOff>
      <xdr:row>1</xdr:row>
      <xdr:rowOff>142103</xdr:rowOff>
    </xdr:to>
    <xdr:sp macro="" textlink="">
      <xdr:nvSpPr>
        <xdr:cNvPr id="29" name="CaixaDeTexto 12">
          <a:hlinkClick xmlns:r="http://schemas.openxmlformats.org/officeDocument/2006/relationships" r:id="rId6"/>
          <a:extLst>
            <a:ext uri="{FF2B5EF4-FFF2-40B4-BE49-F238E27FC236}">
              <a16:creationId xmlns:a16="http://schemas.microsoft.com/office/drawing/2014/main" id="{00000000-0008-0000-0C00-00001D000000}"/>
            </a:ext>
          </a:extLst>
        </xdr:cNvPr>
        <xdr:cNvSpPr txBox="1"/>
      </xdr:nvSpPr>
      <xdr:spPr>
        <a:xfrm>
          <a:off x="5574674" y="51491"/>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1</xdr:col>
      <xdr:colOff>316755</xdr:colOff>
      <xdr:row>0</xdr:row>
      <xdr:rowOff>48316</xdr:rowOff>
    </xdr:from>
    <xdr:to>
      <xdr:col>1</xdr:col>
      <xdr:colOff>1041205</xdr:colOff>
      <xdr:row>1</xdr:row>
      <xdr:rowOff>142103</xdr:rowOff>
    </xdr:to>
    <xdr:sp macro="" textlink="">
      <xdr:nvSpPr>
        <xdr:cNvPr id="31" name="CaixaDeTexto 15">
          <a:hlinkClick xmlns:r="http://schemas.openxmlformats.org/officeDocument/2006/relationships" r:id="rId7"/>
          <a:extLst>
            <a:ext uri="{FF2B5EF4-FFF2-40B4-BE49-F238E27FC236}">
              <a16:creationId xmlns:a16="http://schemas.microsoft.com/office/drawing/2014/main" id="{00000000-0008-0000-0C00-00001F000000}"/>
            </a:ext>
          </a:extLst>
        </xdr:cNvPr>
        <xdr:cNvSpPr txBox="1"/>
      </xdr:nvSpPr>
      <xdr:spPr>
        <a:xfrm>
          <a:off x="893363" y="51491"/>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11458</xdr:colOff>
      <xdr:row>0</xdr:row>
      <xdr:rowOff>74543</xdr:rowOff>
    </xdr:from>
    <xdr:to>
      <xdr:col>1</xdr:col>
      <xdr:colOff>11458</xdr:colOff>
      <xdr:row>1</xdr:row>
      <xdr:rowOff>104531</xdr:rowOff>
    </xdr:to>
    <xdr:sp macro="" textlink="">
      <xdr:nvSpPr>
        <xdr:cNvPr id="32" name="CaixaDeTexto 14">
          <a:hlinkClick xmlns:r="http://schemas.openxmlformats.org/officeDocument/2006/relationships" r:id="rId8"/>
          <a:extLst>
            <a:ext uri="{FF2B5EF4-FFF2-40B4-BE49-F238E27FC236}">
              <a16:creationId xmlns:a16="http://schemas.microsoft.com/office/drawing/2014/main" id="{00000000-0008-0000-0C00-000020000000}"/>
            </a:ext>
          </a:extLst>
        </xdr:cNvPr>
        <xdr:cNvSpPr txBox="1"/>
      </xdr:nvSpPr>
      <xdr:spPr>
        <a:xfrm>
          <a:off x="8283" y="74543"/>
          <a:ext cx="579783" cy="207098"/>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19050</xdr:colOff>
      <xdr:row>0</xdr:row>
      <xdr:rowOff>38100</xdr:rowOff>
    </xdr:from>
    <xdr:to>
      <xdr:col>3</xdr:col>
      <xdr:colOff>603246</xdr:colOff>
      <xdr:row>1</xdr:row>
      <xdr:rowOff>161781</xdr:rowOff>
    </xdr:to>
    <xdr:pic>
      <xdr:nvPicPr>
        <xdr:cNvPr id="9" name="Picture 6">
          <a:hlinkClick xmlns:r="http://schemas.openxmlformats.org/officeDocument/2006/relationships" r:id="rId9"/>
          <a:extLst>
            <a:ext uri="{FF2B5EF4-FFF2-40B4-BE49-F238E27FC236}">
              <a16:creationId xmlns:a16="http://schemas.microsoft.com/office/drawing/2014/main" id="{00000000-0008-0000-0C00-000009000000}"/>
            </a:ext>
            <a:ext uri="{147F2762-F138-4A5C-976F-8EAC2B608ADB}">
              <a16:predDERef xmlns:a16="http://schemas.microsoft.com/office/drawing/2014/main" pred="{41CAE21E-62B8-454B-BB2F-B2521E32F458}"/>
            </a:ext>
          </a:extLst>
        </xdr:cNvPr>
        <xdr:cNvPicPr preferRelativeResize="0">
          <a:picLocks/>
        </xdr:cNvPicPr>
      </xdr:nvPicPr>
      <xdr:blipFill>
        <a:blip xmlns:r="http://schemas.openxmlformats.org/officeDocument/2006/relationships" r:embed="rId10"/>
        <a:stretch>
          <a:fillRect/>
        </a:stretch>
      </xdr:blipFill>
      <xdr:spPr>
        <a:xfrm flipH="1">
          <a:off x="7677150" y="38100"/>
          <a:ext cx="581021" cy="307831"/>
        </a:xfrm>
        <a:prstGeom prst="rect">
          <a:avLst/>
        </a:prstGeom>
      </xdr:spPr>
    </xdr:pic>
    <xdr:clientData/>
  </xdr:twoCellAnchor>
  <xdr:twoCellAnchor editAs="oneCell">
    <xdr:from>
      <xdr:col>3</xdr:col>
      <xdr:colOff>628650</xdr:colOff>
      <xdr:row>0</xdr:row>
      <xdr:rowOff>38100</xdr:rowOff>
    </xdr:from>
    <xdr:to>
      <xdr:col>3</xdr:col>
      <xdr:colOff>1201945</xdr:colOff>
      <xdr:row>1</xdr:row>
      <xdr:rowOff>161781</xdr:rowOff>
    </xdr:to>
    <xdr:pic>
      <xdr:nvPicPr>
        <xdr:cNvPr id="12" name="Picture 7">
          <a:hlinkClick xmlns:r="http://schemas.openxmlformats.org/officeDocument/2006/relationships" r:id="rId11"/>
          <a:extLst>
            <a:ext uri="{FF2B5EF4-FFF2-40B4-BE49-F238E27FC236}">
              <a16:creationId xmlns:a16="http://schemas.microsoft.com/office/drawing/2014/main" id="{00000000-0008-0000-0C00-00000C000000}"/>
            </a:ext>
            <a:ext uri="{147F2762-F138-4A5C-976F-8EAC2B608ADB}">
              <a16:predDERef xmlns:a16="http://schemas.microsoft.com/office/drawing/2014/main" pred="{689FEF72-9968-40E6-8381-4DE3AB044B9B}"/>
            </a:ext>
          </a:extLst>
        </xdr:cNvPr>
        <xdr:cNvPicPr preferRelativeResize="0">
          <a:picLocks/>
        </xdr:cNvPicPr>
      </xdr:nvPicPr>
      <xdr:blipFill>
        <a:blip xmlns:r="http://schemas.openxmlformats.org/officeDocument/2006/relationships" r:embed="rId10"/>
        <a:stretch>
          <a:fillRect/>
        </a:stretch>
      </xdr:blipFill>
      <xdr:spPr>
        <a:xfrm rot="10800000" flipH="1">
          <a:off x="8286750" y="38100"/>
          <a:ext cx="573295" cy="307831"/>
        </a:xfrm>
        <a:prstGeom prst="rect">
          <a:avLst/>
        </a:prstGeom>
      </xdr:spPr>
    </xdr:pic>
    <xdr:clientData/>
  </xdr:twoCellAnchor>
  <xdr:twoCellAnchor>
    <xdr:from>
      <xdr:col>2</xdr:col>
      <xdr:colOff>1847850</xdr:colOff>
      <xdr:row>0</xdr:row>
      <xdr:rowOff>38100</xdr:rowOff>
    </xdr:from>
    <xdr:to>
      <xdr:col>2</xdr:col>
      <xdr:colOff>2686050</xdr:colOff>
      <xdr:row>1</xdr:row>
      <xdr:rowOff>142875</xdr:rowOff>
    </xdr:to>
    <xdr:sp macro="" textlink="">
      <xdr:nvSpPr>
        <xdr:cNvPr id="3" name="TextBox 2">
          <a:hlinkClick xmlns:r="http://schemas.openxmlformats.org/officeDocument/2006/relationships" r:id="rId12"/>
          <a:extLst>
            <a:ext uri="{FF2B5EF4-FFF2-40B4-BE49-F238E27FC236}">
              <a16:creationId xmlns:a16="http://schemas.microsoft.com/office/drawing/2014/main" id="{00000000-0008-0000-0C00-000003000000}"/>
            </a:ext>
            <a:ext uri="{147F2762-F138-4A5C-976F-8EAC2B608ADB}">
              <a16:predDERef xmlns:a16="http://schemas.microsoft.com/office/drawing/2014/main" pred="{D80F2C08-FE77-4D59-9FE9-D19EC334B689}"/>
            </a:ext>
          </a:extLst>
        </xdr:cNvPr>
        <xdr:cNvSpPr txBox="1"/>
      </xdr:nvSpPr>
      <xdr:spPr>
        <a:xfrm>
          <a:off x="6467475" y="38100"/>
          <a:ext cx="838200" cy="27622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673966</xdr:colOff>
      <xdr:row>5</xdr:row>
      <xdr:rowOff>25400</xdr:rowOff>
    </xdr:to>
    <xdr:pic>
      <xdr:nvPicPr>
        <xdr:cNvPr id="2" name="Picture 1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542925</xdr:colOff>
      <xdr:row>23</xdr:row>
      <xdr:rowOff>9525</xdr:rowOff>
    </xdr:from>
    <xdr:to>
      <xdr:col>1</xdr:col>
      <xdr:colOff>3956997</xdr:colOff>
      <xdr:row>24</xdr:row>
      <xdr:rowOff>56016</xdr:rowOff>
    </xdr:to>
    <xdr:sp macro="" textlink="">
      <xdr:nvSpPr>
        <xdr:cNvPr id="9" name="CaixaDeTexto 8">
          <a:hlinkClick xmlns:r="http://schemas.openxmlformats.org/officeDocument/2006/relationships" r:id="rId2"/>
          <a:extLst>
            <a:ext uri="{FF2B5EF4-FFF2-40B4-BE49-F238E27FC236}">
              <a16:creationId xmlns:a16="http://schemas.microsoft.com/office/drawing/2014/main" id="{00000000-0008-0000-0D00-000009000000}"/>
            </a:ext>
          </a:extLst>
        </xdr:cNvPr>
        <xdr:cNvSpPr txBox="1"/>
      </xdr:nvSpPr>
      <xdr:spPr>
        <a:xfrm>
          <a:off x="542925" y="5133975"/>
          <a:ext cx="3995097" cy="2369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50" b="0">
              <a:solidFill>
                <a:srgbClr val="555555"/>
              </a:solidFill>
              <a:latin typeface="Arial" panose="020B0604020202020204" pitchFamily="34" charset="0"/>
              <a:cs typeface="Arial" panose="020B0604020202020204" pitchFamily="34" charset="0"/>
            </a:rPr>
            <a:t>Access here more information about ICMM's Mining Principles</a:t>
          </a:r>
        </a:p>
      </xdr:txBody>
    </xdr:sp>
    <xdr:clientData/>
  </xdr:twoCellAnchor>
  <xdr:twoCellAnchor editAs="absolute">
    <xdr:from>
      <xdr:col>1</xdr:col>
      <xdr:colOff>1952578</xdr:colOff>
      <xdr:row>0</xdr:row>
      <xdr:rowOff>29957</xdr:rowOff>
    </xdr:from>
    <xdr:to>
      <xdr:col>1</xdr:col>
      <xdr:colOff>2884128</xdr:colOff>
      <xdr:row>1</xdr:row>
      <xdr:rowOff>123744</xdr:rowOff>
    </xdr:to>
    <xdr:sp macro="" textlink="">
      <xdr:nvSpPr>
        <xdr:cNvPr id="3" name="CaixaDeTexto 8">
          <a:hlinkClick xmlns:r="http://schemas.openxmlformats.org/officeDocument/2006/relationships" r:id="rId3"/>
          <a:extLst>
            <a:ext uri="{FF2B5EF4-FFF2-40B4-BE49-F238E27FC236}">
              <a16:creationId xmlns:a16="http://schemas.microsoft.com/office/drawing/2014/main" id="{00000000-0008-0000-0D00-000003000000}"/>
            </a:ext>
          </a:extLst>
        </xdr:cNvPr>
        <xdr:cNvSpPr txBox="1"/>
      </xdr:nvSpPr>
      <xdr:spPr>
        <a:xfrm>
          <a:off x="2535536" y="33132"/>
          <a:ext cx="925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1208350</xdr:colOff>
      <xdr:row>0</xdr:row>
      <xdr:rowOff>29957</xdr:rowOff>
    </xdr:from>
    <xdr:to>
      <xdr:col>1</xdr:col>
      <xdr:colOff>1783500</xdr:colOff>
      <xdr:row>1</xdr:row>
      <xdr:rowOff>123744</xdr:rowOff>
    </xdr:to>
    <xdr:sp macro="" textlink="">
      <xdr:nvSpPr>
        <xdr:cNvPr id="4" name="CaixaDeTexto 9">
          <a:hlinkClick xmlns:r="http://schemas.openxmlformats.org/officeDocument/2006/relationships" r:id="rId4"/>
          <a:extLst>
            <a:ext uri="{FF2B5EF4-FFF2-40B4-BE49-F238E27FC236}">
              <a16:creationId xmlns:a16="http://schemas.microsoft.com/office/drawing/2014/main" id="{00000000-0008-0000-0D00-000004000000}"/>
            </a:ext>
          </a:extLst>
        </xdr:cNvPr>
        <xdr:cNvSpPr txBox="1"/>
      </xdr:nvSpPr>
      <xdr:spPr>
        <a:xfrm>
          <a:off x="1791308" y="33132"/>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3059556</xdr:colOff>
      <xdr:row>0</xdr:row>
      <xdr:rowOff>29957</xdr:rowOff>
    </xdr:from>
    <xdr:to>
      <xdr:col>1</xdr:col>
      <xdr:colOff>3722806</xdr:colOff>
      <xdr:row>1</xdr:row>
      <xdr:rowOff>123744</xdr:rowOff>
    </xdr:to>
    <xdr:sp macro="" textlink="">
      <xdr:nvSpPr>
        <xdr:cNvPr id="5" name="CaixaDeTexto 10">
          <a:hlinkClick xmlns:r="http://schemas.openxmlformats.org/officeDocument/2006/relationships" r:id="rId5"/>
          <a:extLst>
            <a:ext uri="{FF2B5EF4-FFF2-40B4-BE49-F238E27FC236}">
              <a16:creationId xmlns:a16="http://schemas.microsoft.com/office/drawing/2014/main" id="{00000000-0008-0000-0D00-000005000000}"/>
            </a:ext>
          </a:extLst>
        </xdr:cNvPr>
        <xdr:cNvSpPr txBox="1"/>
      </xdr:nvSpPr>
      <xdr:spPr>
        <a:xfrm>
          <a:off x="3636164" y="33132"/>
          <a:ext cx="6696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1</xdr:col>
      <xdr:colOff>3898234</xdr:colOff>
      <xdr:row>0</xdr:row>
      <xdr:rowOff>29957</xdr:rowOff>
    </xdr:from>
    <xdr:to>
      <xdr:col>2</xdr:col>
      <xdr:colOff>772442</xdr:colOff>
      <xdr:row>1</xdr:row>
      <xdr:rowOff>123744</xdr:rowOff>
    </xdr:to>
    <xdr:sp macro="" textlink="">
      <xdr:nvSpPr>
        <xdr:cNvPr id="6" name="CaixaDeTexto 11">
          <a:hlinkClick xmlns:r="http://schemas.openxmlformats.org/officeDocument/2006/relationships" r:id="rId6"/>
          <a:extLst>
            <a:ext uri="{FF2B5EF4-FFF2-40B4-BE49-F238E27FC236}">
              <a16:creationId xmlns:a16="http://schemas.microsoft.com/office/drawing/2014/main" id="{00000000-0008-0000-0D00-000006000000}"/>
            </a:ext>
          </a:extLst>
        </xdr:cNvPr>
        <xdr:cNvSpPr txBox="1"/>
      </xdr:nvSpPr>
      <xdr:spPr>
        <a:xfrm>
          <a:off x="4481192" y="33132"/>
          <a:ext cx="909771"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941520</xdr:colOff>
      <xdr:row>0</xdr:row>
      <xdr:rowOff>29957</xdr:rowOff>
    </xdr:from>
    <xdr:to>
      <xdr:col>2</xdr:col>
      <xdr:colOff>1427095</xdr:colOff>
      <xdr:row>1</xdr:row>
      <xdr:rowOff>123744</xdr:rowOff>
    </xdr:to>
    <xdr:sp macro="" textlink="">
      <xdr:nvSpPr>
        <xdr:cNvPr id="7" name="CaixaDeTexto 12">
          <a:hlinkClick xmlns:r="http://schemas.openxmlformats.org/officeDocument/2006/relationships" r:id="rId7"/>
          <a:extLst>
            <a:ext uri="{FF2B5EF4-FFF2-40B4-BE49-F238E27FC236}">
              <a16:creationId xmlns:a16="http://schemas.microsoft.com/office/drawing/2014/main" id="{00000000-0008-0000-0D00-000007000000}"/>
            </a:ext>
          </a:extLst>
        </xdr:cNvPr>
        <xdr:cNvSpPr txBox="1"/>
      </xdr:nvSpPr>
      <xdr:spPr>
        <a:xfrm>
          <a:off x="5566391" y="33132"/>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1602524</xdr:colOff>
      <xdr:row>0</xdr:row>
      <xdr:rowOff>29957</xdr:rowOff>
    </xdr:from>
    <xdr:to>
      <xdr:col>2</xdr:col>
      <xdr:colOff>2390499</xdr:colOff>
      <xdr:row>1</xdr:row>
      <xdr:rowOff>123744</xdr:rowOff>
    </xdr:to>
    <xdr:sp macro="" textlink="">
      <xdr:nvSpPr>
        <xdr:cNvPr id="8" name="CaixaDeTexto 13">
          <a:hlinkClick xmlns:r="http://schemas.openxmlformats.org/officeDocument/2006/relationships" r:id="rId8"/>
          <a:extLst>
            <a:ext uri="{FF2B5EF4-FFF2-40B4-BE49-F238E27FC236}">
              <a16:creationId xmlns:a16="http://schemas.microsoft.com/office/drawing/2014/main" id="{00000000-0008-0000-0D00-000008000000}"/>
            </a:ext>
          </a:extLst>
        </xdr:cNvPr>
        <xdr:cNvSpPr txBox="1"/>
      </xdr:nvSpPr>
      <xdr:spPr>
        <a:xfrm>
          <a:off x="6224220" y="33132"/>
          <a:ext cx="784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305297</xdr:colOff>
      <xdr:row>0</xdr:row>
      <xdr:rowOff>29957</xdr:rowOff>
    </xdr:from>
    <xdr:to>
      <xdr:col>1</xdr:col>
      <xdr:colOff>1039272</xdr:colOff>
      <xdr:row>1</xdr:row>
      <xdr:rowOff>123744</xdr:rowOff>
    </xdr:to>
    <xdr:sp macro="" textlink="">
      <xdr:nvSpPr>
        <xdr:cNvPr id="10" name="CaixaDeTexto 15">
          <a:hlinkClick xmlns:r="http://schemas.openxmlformats.org/officeDocument/2006/relationships" r:id="rId9"/>
          <a:extLst>
            <a:ext uri="{FF2B5EF4-FFF2-40B4-BE49-F238E27FC236}">
              <a16:creationId xmlns:a16="http://schemas.microsoft.com/office/drawing/2014/main" id="{00000000-0008-0000-0D00-00000A000000}"/>
            </a:ext>
          </a:extLst>
        </xdr:cNvPr>
        <xdr:cNvSpPr txBox="1"/>
      </xdr:nvSpPr>
      <xdr:spPr>
        <a:xfrm>
          <a:off x="885080" y="33132"/>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56184</xdr:rowOff>
    </xdr:from>
    <xdr:to>
      <xdr:col>1</xdr:col>
      <xdr:colOff>0</xdr:colOff>
      <xdr:row>1</xdr:row>
      <xdr:rowOff>86172</xdr:rowOff>
    </xdr:to>
    <xdr:sp macro="" textlink="">
      <xdr:nvSpPr>
        <xdr:cNvPr id="11" name="CaixaDeTexto 14">
          <a:hlinkClick xmlns:r="http://schemas.openxmlformats.org/officeDocument/2006/relationships" r:id="rId10"/>
          <a:extLst>
            <a:ext uri="{FF2B5EF4-FFF2-40B4-BE49-F238E27FC236}">
              <a16:creationId xmlns:a16="http://schemas.microsoft.com/office/drawing/2014/main" id="{00000000-0008-0000-0D00-00000B000000}"/>
            </a:ext>
          </a:extLst>
        </xdr:cNvPr>
        <xdr:cNvSpPr txBox="1"/>
      </xdr:nvSpPr>
      <xdr:spPr>
        <a:xfrm>
          <a:off x="0" y="56184"/>
          <a:ext cx="579783" cy="207098"/>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3</xdr:col>
      <xdr:colOff>619125</xdr:colOff>
      <xdr:row>0</xdr:row>
      <xdr:rowOff>38100</xdr:rowOff>
    </xdr:from>
    <xdr:to>
      <xdr:col>3</xdr:col>
      <xdr:colOff>1179720</xdr:colOff>
      <xdr:row>1</xdr:row>
      <xdr:rowOff>164956</xdr:rowOff>
    </xdr:to>
    <xdr:pic>
      <xdr:nvPicPr>
        <xdr:cNvPr id="22" name="Picture 16">
          <a:hlinkClick xmlns:r="http://schemas.openxmlformats.org/officeDocument/2006/relationships" r:id="rId11"/>
          <a:extLst>
            <a:ext uri="{FF2B5EF4-FFF2-40B4-BE49-F238E27FC236}">
              <a16:creationId xmlns:a16="http://schemas.microsoft.com/office/drawing/2014/main" id="{00000000-0008-0000-0D00-000016000000}"/>
            </a:ext>
            <a:ext uri="{147F2762-F138-4A5C-976F-8EAC2B608ADB}">
              <a16:predDERef xmlns:a16="http://schemas.microsoft.com/office/drawing/2014/main" pred="{D89AF9FF-FEDD-4203-A21B-9C7DA15DE0FB}"/>
            </a:ext>
          </a:extLst>
        </xdr:cNvPr>
        <xdr:cNvPicPr preferRelativeResize="0">
          <a:picLocks/>
        </xdr:cNvPicPr>
      </xdr:nvPicPr>
      <xdr:blipFill>
        <a:blip xmlns:r="http://schemas.openxmlformats.org/officeDocument/2006/relationships" r:embed="rId12"/>
        <a:stretch>
          <a:fillRect/>
        </a:stretch>
      </xdr:blipFill>
      <xdr:spPr>
        <a:xfrm rot="10800000" flipH="1">
          <a:off x="8010525" y="38100"/>
          <a:ext cx="563770" cy="307831"/>
        </a:xfrm>
        <a:prstGeom prst="rect">
          <a:avLst/>
        </a:prstGeom>
      </xdr:spPr>
    </xdr:pic>
    <xdr:clientData/>
  </xdr:twoCellAnchor>
  <xdr:twoCellAnchor editAs="oneCell">
    <xdr:from>
      <xdr:col>3</xdr:col>
      <xdr:colOff>28575</xdr:colOff>
      <xdr:row>0</xdr:row>
      <xdr:rowOff>38100</xdr:rowOff>
    </xdr:from>
    <xdr:to>
      <xdr:col>3</xdr:col>
      <xdr:colOff>581021</xdr:colOff>
      <xdr:row>1</xdr:row>
      <xdr:rowOff>164956</xdr:rowOff>
    </xdr:to>
    <xdr:pic>
      <xdr:nvPicPr>
        <xdr:cNvPr id="26" name="Picture 17">
          <a:hlinkClick xmlns:r="http://schemas.openxmlformats.org/officeDocument/2006/relationships" r:id="rId8"/>
          <a:extLst>
            <a:ext uri="{FF2B5EF4-FFF2-40B4-BE49-F238E27FC236}">
              <a16:creationId xmlns:a16="http://schemas.microsoft.com/office/drawing/2014/main" id="{00000000-0008-0000-0D00-00001A000000}"/>
            </a:ext>
            <a:ext uri="{147F2762-F138-4A5C-976F-8EAC2B608ADB}">
              <a16:predDERef xmlns:a16="http://schemas.microsoft.com/office/drawing/2014/main" pred="{2FB95711-5A37-4B72-B5BD-DB2991A8CD8E}"/>
            </a:ext>
          </a:extLst>
        </xdr:cNvPr>
        <xdr:cNvPicPr preferRelativeResize="0">
          <a:picLocks/>
        </xdr:cNvPicPr>
      </xdr:nvPicPr>
      <xdr:blipFill>
        <a:blip xmlns:r="http://schemas.openxmlformats.org/officeDocument/2006/relationships" r:embed="rId12"/>
        <a:stretch>
          <a:fillRect/>
        </a:stretch>
      </xdr:blipFill>
      <xdr:spPr>
        <a:xfrm flipH="1">
          <a:off x="7419975" y="38100"/>
          <a:ext cx="561971" cy="30783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836617</xdr:colOff>
      <xdr:row>3</xdr:row>
      <xdr:rowOff>70557</xdr:rowOff>
    </xdr:from>
    <xdr:to>
      <xdr:col>15</xdr:col>
      <xdr:colOff>99491</xdr:colOff>
      <xdr:row>19</xdr:row>
      <xdr:rowOff>147454</xdr:rowOff>
    </xdr:to>
    <xdr:sp macro="" textlink="">
      <xdr:nvSpPr>
        <xdr:cNvPr id="20" name="CaixaDeTexto 20">
          <a:extLst>
            <a:ext uri="{FF2B5EF4-FFF2-40B4-BE49-F238E27FC236}">
              <a16:creationId xmlns:a16="http://schemas.microsoft.com/office/drawing/2014/main" id="{00000000-0008-0000-0E00-000014000000}"/>
            </a:ext>
          </a:extLst>
        </xdr:cNvPr>
        <xdr:cNvSpPr txBox="1"/>
      </xdr:nvSpPr>
      <xdr:spPr>
        <a:xfrm>
          <a:off x="12306934" y="937382"/>
          <a:ext cx="4756128" cy="2798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solidFill>
                <a:schemeClr val="bg1">
                  <a:lumMod val="50000"/>
                </a:schemeClr>
              </a:solidFill>
              <a:effectLst/>
              <a:latin typeface="+mn-lt"/>
              <a:ea typeface="+mn-ea"/>
              <a:cs typeface="+mn-cs"/>
            </a:rPr>
            <a:t>3. Prioritization and Validation Process:  </a:t>
          </a:r>
        </a:p>
        <a:p>
          <a:endParaRPr lang="pt-BR" sz="1100" b="1" u="sng">
            <a:solidFill>
              <a:schemeClr val="bg1">
                <a:lumMod val="50000"/>
              </a:schemeClr>
            </a:solidFill>
            <a:effectLst/>
            <a:latin typeface="+mn-lt"/>
            <a:ea typeface="+mn-ea"/>
            <a:cs typeface="+mn-cs"/>
          </a:endParaRPr>
        </a:p>
        <a:p>
          <a:r>
            <a:rPr lang="pt-BR" sz="1100" b="0" u="none">
              <a:solidFill>
                <a:schemeClr val="bg1">
                  <a:lumMod val="50000"/>
                </a:schemeClr>
              </a:solidFill>
              <a:effectLst/>
              <a:latin typeface="+mn-lt"/>
              <a:ea typeface="+mn-ea"/>
              <a:cs typeface="+mn-cs"/>
            </a:rPr>
            <a:t>The process of prioritizing the operating units was done based on three main criteria: (i) the representativeness of the production of these units in relation to Vale's total production; (ii) the business segment of these operating units; and (iii) units that were audited in the year 2021 in relation to ICMM Performance Expectations. It is an objective of Vale to annually change the units that participate in the external verification processes. </a:t>
          </a:r>
        </a:p>
        <a:p>
          <a:r>
            <a:rPr lang="pt-BR" sz="1100" b="0" u="none">
              <a:solidFill>
                <a:schemeClr val="bg1">
                  <a:lumMod val="50000"/>
                </a:schemeClr>
              </a:solidFill>
              <a:effectLst/>
              <a:latin typeface="+mn-lt"/>
              <a:ea typeface="+mn-ea"/>
              <a:cs typeface="+mn-cs"/>
            </a:rPr>
            <a:t>Third party validation for the seven prioritized units was performed by PwC.</a:t>
          </a:r>
        </a:p>
      </xdr:txBody>
    </xdr:sp>
    <xdr:clientData/>
  </xdr:twoCellAnchor>
  <xdr:twoCellAnchor>
    <xdr:from>
      <xdr:col>15</xdr:col>
      <xdr:colOff>188626</xdr:colOff>
      <xdr:row>3</xdr:row>
      <xdr:rowOff>60477</xdr:rowOff>
    </xdr:from>
    <xdr:to>
      <xdr:col>19</xdr:col>
      <xdr:colOff>802821</xdr:colOff>
      <xdr:row>19</xdr:row>
      <xdr:rowOff>144951</xdr:rowOff>
    </xdr:to>
    <xdr:sp macro="" textlink="">
      <xdr:nvSpPr>
        <xdr:cNvPr id="83" name="CaixaDeTexto 21">
          <a:extLst>
            <a:ext uri="{FF2B5EF4-FFF2-40B4-BE49-F238E27FC236}">
              <a16:creationId xmlns:a16="http://schemas.microsoft.com/office/drawing/2014/main" id="{00000000-0008-0000-0E00-000053000000}"/>
            </a:ext>
          </a:extLst>
        </xdr:cNvPr>
        <xdr:cNvSpPr txBox="1"/>
      </xdr:nvSpPr>
      <xdr:spPr>
        <a:xfrm>
          <a:off x="17152197" y="927302"/>
          <a:ext cx="5008799" cy="28059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solidFill>
                <a:schemeClr val="bg1">
                  <a:lumMod val="50000"/>
                </a:schemeClr>
              </a:solidFill>
              <a:effectLst/>
              <a:latin typeface="+mn-lt"/>
              <a:ea typeface="+mn-ea"/>
              <a:cs typeface="+mn-cs"/>
            </a:rPr>
            <a:t>Sites prioritized for the 2023 cycle: </a:t>
          </a:r>
        </a:p>
        <a:p>
          <a:endParaRPr lang="pt-BR" sz="1100" b="1" u="sng">
            <a:solidFill>
              <a:schemeClr val="bg1">
                <a:lumMod val="50000"/>
              </a:schemeClr>
            </a:solidFill>
            <a:effectLst/>
            <a:latin typeface="+mn-lt"/>
            <a:ea typeface="+mn-ea"/>
            <a:cs typeface="+mn-cs"/>
          </a:endParaRPr>
        </a:p>
        <a:p>
          <a:pPr rtl="0" fontAlgn="auto" latinLnBrk="0" hangingPunct="0"/>
          <a:r>
            <a:rPr lang="pt-BR" sz="1100" b="0" i="0" baseline="0">
              <a:solidFill>
                <a:schemeClr val="bg1">
                  <a:lumMod val="50000"/>
                </a:schemeClr>
              </a:solidFill>
              <a:effectLst/>
              <a:latin typeface="+mn-lt"/>
              <a:ea typeface="+mn-ea"/>
              <a:cs typeface="+mn-cs"/>
            </a:rPr>
            <a:t>Serra Sul - S11D</a:t>
          </a:r>
        </a:p>
        <a:p>
          <a:pPr rtl="0" fontAlgn="auto" latinLnBrk="0" hangingPunct="0"/>
          <a:endParaRPr lang="pt-BR" sz="1100" b="0" i="0" baseline="0">
            <a:solidFill>
              <a:schemeClr val="bg1">
                <a:lumMod val="50000"/>
              </a:schemeClr>
            </a:solidFill>
            <a:effectLst/>
            <a:latin typeface="+mn-lt"/>
            <a:ea typeface="+mn-ea"/>
            <a:cs typeface="+mn-cs"/>
          </a:endParaRPr>
        </a:p>
        <a:p>
          <a:pPr rtl="0" fontAlgn="auto" latinLnBrk="0" hangingPunct="0"/>
          <a:r>
            <a:rPr lang="pt-BR" sz="1100" b="0" i="0" baseline="0">
              <a:solidFill>
                <a:schemeClr val="bg1">
                  <a:lumMod val="50000"/>
                </a:schemeClr>
              </a:solidFill>
              <a:effectLst/>
              <a:latin typeface="+mn-lt"/>
              <a:ea typeface="+mn-ea"/>
              <a:cs typeface="+mn-cs"/>
            </a:rPr>
            <a:t>Serra Leste</a:t>
          </a:r>
        </a:p>
        <a:p>
          <a:pPr rtl="0" fontAlgn="auto" latinLnBrk="0" hangingPunct="0"/>
          <a:endParaRPr lang="pt-BR" sz="1100" b="0" i="0" baseline="0">
            <a:solidFill>
              <a:schemeClr val="bg1">
                <a:lumMod val="50000"/>
              </a:schemeClr>
            </a:solidFill>
            <a:effectLst/>
            <a:latin typeface="+mn-lt"/>
            <a:ea typeface="+mn-ea"/>
            <a:cs typeface="+mn-cs"/>
          </a:endParaRPr>
        </a:p>
        <a:p>
          <a:pPr rtl="0" fontAlgn="auto" latinLnBrk="0" hangingPunct="0"/>
          <a:r>
            <a:rPr lang="pt-BR" sz="1100" b="0" i="0" baseline="0">
              <a:solidFill>
                <a:schemeClr val="bg1">
                  <a:lumMod val="50000"/>
                </a:schemeClr>
              </a:solidFill>
              <a:effectLst/>
              <a:latin typeface="+mn-lt"/>
              <a:ea typeface="+mn-ea"/>
              <a:cs typeface="+mn-cs"/>
            </a:rPr>
            <a:t>Serra Norte</a:t>
          </a:r>
        </a:p>
        <a:p>
          <a:pPr rtl="0" fontAlgn="auto" latinLnBrk="0" hangingPunct="0"/>
          <a:endParaRPr lang="pt-BR" sz="1100" b="0" i="0" baseline="0">
            <a:solidFill>
              <a:schemeClr val="bg1">
                <a:lumMod val="50000"/>
              </a:schemeClr>
            </a:solidFill>
            <a:effectLst/>
            <a:latin typeface="+mn-lt"/>
            <a:ea typeface="+mn-ea"/>
            <a:cs typeface="+mn-cs"/>
          </a:endParaRPr>
        </a:p>
        <a:p>
          <a:pPr rtl="0" fontAlgn="auto" latinLnBrk="0" hangingPunct="0"/>
          <a:r>
            <a:rPr lang="pt-BR">
              <a:solidFill>
                <a:schemeClr val="bg1">
                  <a:lumMod val="50000"/>
                </a:schemeClr>
              </a:solidFill>
              <a:effectLst/>
            </a:rPr>
            <a:t>Carajás Railroad</a:t>
          </a:r>
        </a:p>
        <a:p>
          <a:pPr rtl="0" fontAlgn="auto" latinLnBrk="0" hangingPunct="0"/>
          <a:endParaRPr lang="pt-BR">
            <a:solidFill>
              <a:schemeClr val="bg1">
                <a:lumMod val="50000"/>
              </a:schemeClr>
            </a:solidFill>
            <a:effectLst/>
          </a:endParaRPr>
        </a:p>
        <a:p>
          <a:pPr rtl="0" fontAlgn="auto" latinLnBrk="0" hangingPunct="0"/>
          <a:r>
            <a:rPr lang="pt-BR">
              <a:solidFill>
                <a:schemeClr val="bg1">
                  <a:lumMod val="50000"/>
                </a:schemeClr>
              </a:solidFill>
              <a:effectLst/>
            </a:rPr>
            <a:t>Azul</a:t>
          </a:r>
          <a:r>
            <a:rPr lang="pt-BR" baseline="0">
              <a:solidFill>
                <a:schemeClr val="bg1">
                  <a:lumMod val="50000"/>
                </a:schemeClr>
              </a:solidFill>
              <a:effectLst/>
            </a:rPr>
            <a:t> Mine</a:t>
          </a:r>
        </a:p>
        <a:p>
          <a:pPr rtl="0" fontAlgn="auto" latinLnBrk="0" hangingPunct="0"/>
          <a:endParaRPr lang="pt-BR" baseline="0">
            <a:solidFill>
              <a:schemeClr val="bg1">
                <a:lumMod val="50000"/>
              </a:schemeClr>
            </a:solidFill>
            <a:effectLst/>
          </a:endParaRPr>
        </a:p>
        <a:p>
          <a:pPr rtl="0" fontAlgn="auto" latinLnBrk="0" hangingPunct="0"/>
          <a:r>
            <a:rPr lang="pt-BR" baseline="0">
              <a:solidFill>
                <a:schemeClr val="bg1">
                  <a:lumMod val="50000"/>
                </a:schemeClr>
              </a:solidFill>
              <a:effectLst/>
            </a:rPr>
            <a:t>Ponta da Madeira Maritime Terminal</a:t>
          </a:r>
        </a:p>
        <a:p>
          <a:pPr rtl="0" fontAlgn="auto" latinLnBrk="0" hangingPunct="0"/>
          <a:endParaRPr lang="pt-BR" baseline="0">
            <a:solidFill>
              <a:schemeClr val="bg1">
                <a:lumMod val="50000"/>
              </a:schemeClr>
            </a:solidFill>
            <a:effectLst/>
          </a:endParaRPr>
        </a:p>
        <a:p>
          <a:pPr rtl="0" fontAlgn="auto" latinLnBrk="0" hangingPunct="0"/>
          <a:r>
            <a:rPr lang="pt-BR" baseline="0">
              <a:solidFill>
                <a:schemeClr val="bg1">
                  <a:lumMod val="50000"/>
                </a:schemeClr>
              </a:solidFill>
              <a:effectLst/>
            </a:rPr>
            <a:t>São Luis Pelletizing Plant</a:t>
          </a:r>
          <a:endParaRPr lang="pt-BR">
            <a:solidFill>
              <a:schemeClr val="bg1">
                <a:lumMod val="50000"/>
              </a:schemeClr>
            </a:solidFill>
            <a:effectLst/>
          </a:endParaRPr>
        </a:p>
        <a:p>
          <a:endParaRPr lang="pt-BR">
            <a:solidFill>
              <a:srgbClr val="FF0000"/>
            </a:solidFill>
            <a:effectLst/>
          </a:endParaRPr>
        </a:p>
      </xdr:txBody>
    </xdr:sp>
    <xdr:clientData/>
  </xdr:twoCellAnchor>
  <xdr:twoCellAnchor>
    <xdr:from>
      <xdr:col>7</xdr:col>
      <xdr:colOff>545967</xdr:colOff>
      <xdr:row>14</xdr:row>
      <xdr:rowOff>139806</xdr:rowOff>
    </xdr:from>
    <xdr:to>
      <xdr:col>8</xdr:col>
      <xdr:colOff>805089</xdr:colOff>
      <xdr:row>16</xdr:row>
      <xdr:rowOff>10403</xdr:rowOff>
    </xdr:to>
    <xdr:grpSp>
      <xdr:nvGrpSpPr>
        <xdr:cNvPr id="160" name="Agrupar 22">
          <a:extLst>
            <a:ext uri="{FF2B5EF4-FFF2-40B4-BE49-F238E27FC236}">
              <a16:creationId xmlns:a16="http://schemas.microsoft.com/office/drawing/2014/main" id="{00000000-0008-0000-0E00-0000A0000000}"/>
            </a:ext>
          </a:extLst>
        </xdr:cNvPr>
        <xdr:cNvGrpSpPr>
          <a:grpSpLocks/>
        </xdr:cNvGrpSpPr>
      </xdr:nvGrpSpPr>
      <xdr:grpSpPr bwMode="auto">
        <a:xfrm>
          <a:off x="8578343" y="2784394"/>
          <a:ext cx="1343852" cy="229185"/>
          <a:chOff x="6522246" y="4245768"/>
          <a:chExt cx="1121096" cy="207485"/>
        </a:xfrm>
      </xdr:grpSpPr>
      <xdr:pic>
        <xdr:nvPicPr>
          <xdr:cNvPr id="161" name="Imagem 4">
            <a:extLst>
              <a:ext uri="{FF2B5EF4-FFF2-40B4-BE49-F238E27FC236}">
                <a16:creationId xmlns:a16="http://schemas.microsoft.com/office/drawing/2014/main" id="{00000000-0008-0000-0E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10056" r="70357" b="82323"/>
          <a:stretch>
            <a:fillRect/>
          </a:stretch>
        </xdr:blipFill>
        <xdr:spPr bwMode="auto">
          <a:xfrm>
            <a:off x="6522246" y="4245768"/>
            <a:ext cx="176270" cy="207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2" name="CaixaDeTexto 24">
            <a:extLst>
              <a:ext uri="{FF2B5EF4-FFF2-40B4-BE49-F238E27FC236}">
                <a16:creationId xmlns:a16="http://schemas.microsoft.com/office/drawing/2014/main" id="{00000000-0008-0000-0E00-0000A2000000}"/>
              </a:ext>
            </a:extLst>
          </xdr:cNvPr>
          <xdr:cNvSpPr txBox="1"/>
        </xdr:nvSpPr>
        <xdr:spPr>
          <a:xfrm>
            <a:off x="6731264" y="4276891"/>
            <a:ext cx="912078" cy="1659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a:solidFill>
                  <a:schemeClr val="bg1">
                    <a:lumMod val="50000"/>
                  </a:schemeClr>
                </a:solidFill>
                <a:latin typeface="Arial" panose="020B0604020202020204" pitchFamily="34" charset="0"/>
                <a:ea typeface="+mn-ea"/>
                <a:cs typeface="Arial" panose="020B0604020202020204" pitchFamily="34" charset="0"/>
              </a:rPr>
              <a:t>Non</a:t>
            </a:r>
            <a:r>
              <a:rPr lang="pt-BR" sz="1000" baseline="0">
                <a:solidFill>
                  <a:schemeClr val="bg1">
                    <a:lumMod val="50000"/>
                  </a:schemeClr>
                </a:solidFill>
                <a:latin typeface="Arial" panose="020B0604020202020204" pitchFamily="34" charset="0"/>
                <a:ea typeface="+mn-ea"/>
                <a:cs typeface="Arial" panose="020B0604020202020204" pitchFamily="34" charset="0"/>
              </a:rPr>
              <a:t> adherent</a:t>
            </a:r>
            <a:endParaRPr lang="pt-BR" sz="1000">
              <a:solidFill>
                <a:schemeClr val="bg1">
                  <a:lumMod val="50000"/>
                </a:schemeClr>
              </a:solidFill>
              <a:latin typeface="Arial" panose="020B0604020202020204" pitchFamily="34" charset="0"/>
              <a:ea typeface="+mn-ea"/>
              <a:cs typeface="Arial" panose="020B0604020202020204" pitchFamily="34" charset="0"/>
            </a:endParaRPr>
          </a:p>
        </xdr:txBody>
      </xdr:sp>
    </xdr:grpSp>
    <xdr:clientData/>
  </xdr:twoCellAnchor>
  <xdr:twoCellAnchor>
    <xdr:from>
      <xdr:col>9</xdr:col>
      <xdr:colOff>21717</xdr:colOff>
      <xdr:row>14</xdr:row>
      <xdr:rowOff>97917</xdr:rowOff>
    </xdr:from>
    <xdr:to>
      <xdr:col>10</xdr:col>
      <xdr:colOff>408215</xdr:colOff>
      <xdr:row>16</xdr:row>
      <xdr:rowOff>52292</xdr:rowOff>
    </xdr:to>
    <xdr:grpSp>
      <xdr:nvGrpSpPr>
        <xdr:cNvPr id="163" name="Agrupar 25">
          <a:extLst>
            <a:ext uri="{FF2B5EF4-FFF2-40B4-BE49-F238E27FC236}">
              <a16:creationId xmlns:a16="http://schemas.microsoft.com/office/drawing/2014/main" id="{00000000-0008-0000-0E00-0000A3000000}"/>
            </a:ext>
          </a:extLst>
        </xdr:cNvPr>
        <xdr:cNvGrpSpPr>
          <a:grpSpLocks/>
        </xdr:cNvGrpSpPr>
      </xdr:nvGrpSpPr>
      <xdr:grpSpPr bwMode="auto">
        <a:xfrm>
          <a:off x="10223552" y="2742505"/>
          <a:ext cx="1471228" cy="312963"/>
          <a:chOff x="104775" y="5151554"/>
          <a:chExt cx="1151525" cy="269376"/>
        </a:xfrm>
      </xdr:grpSpPr>
      <xdr:pic>
        <xdr:nvPicPr>
          <xdr:cNvPr id="164" name="Imagem 6">
            <a:extLst>
              <a:ext uri="{FF2B5EF4-FFF2-40B4-BE49-F238E27FC236}">
                <a16:creationId xmlns:a16="http://schemas.microsoft.com/office/drawing/2014/main" id="{00000000-0008-0000-0E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765" t="83202" r="69398" b="9407"/>
          <a:stretch>
            <a:fillRect/>
          </a:stretch>
        </xdr:blipFill>
        <xdr:spPr bwMode="auto">
          <a:xfrm>
            <a:off x="104775" y="5207794"/>
            <a:ext cx="204788" cy="18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5" name="CaixaDeTexto 27">
            <a:extLst>
              <a:ext uri="{FF2B5EF4-FFF2-40B4-BE49-F238E27FC236}">
                <a16:creationId xmlns:a16="http://schemas.microsoft.com/office/drawing/2014/main" id="{00000000-0008-0000-0E00-0000A5000000}"/>
              </a:ext>
            </a:extLst>
          </xdr:cNvPr>
          <xdr:cNvSpPr txBox="1"/>
        </xdr:nvSpPr>
        <xdr:spPr>
          <a:xfrm>
            <a:off x="286144" y="5151554"/>
            <a:ext cx="970156" cy="269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a:solidFill>
                  <a:schemeClr val="bg1">
                    <a:lumMod val="50000"/>
                  </a:schemeClr>
                </a:solidFill>
                <a:latin typeface="Arial" panose="020B0604020202020204" pitchFamily="34" charset="0"/>
                <a:cs typeface="Arial" panose="020B0604020202020204" pitchFamily="34" charset="0"/>
              </a:rPr>
              <a:t>Not Applicable</a:t>
            </a:r>
          </a:p>
        </xdr:txBody>
      </xdr:sp>
    </xdr:grpSp>
    <xdr:clientData/>
  </xdr:twoCellAnchor>
  <xdr:twoCellAnchor>
    <xdr:from>
      <xdr:col>4</xdr:col>
      <xdr:colOff>861785</xdr:colOff>
      <xdr:row>14</xdr:row>
      <xdr:rowOff>143139</xdr:rowOff>
    </xdr:from>
    <xdr:to>
      <xdr:col>5</xdr:col>
      <xdr:colOff>850446</xdr:colOff>
      <xdr:row>16</xdr:row>
      <xdr:rowOff>7071</xdr:rowOff>
    </xdr:to>
    <xdr:grpSp>
      <xdr:nvGrpSpPr>
        <xdr:cNvPr id="154" name="Agrupar 53">
          <a:extLst>
            <a:ext uri="{FF2B5EF4-FFF2-40B4-BE49-F238E27FC236}">
              <a16:creationId xmlns:a16="http://schemas.microsoft.com/office/drawing/2014/main" id="{00000000-0008-0000-0E00-00009A000000}"/>
            </a:ext>
          </a:extLst>
        </xdr:cNvPr>
        <xdr:cNvGrpSpPr>
          <a:grpSpLocks/>
        </xdr:cNvGrpSpPr>
      </xdr:nvGrpSpPr>
      <xdr:grpSpPr bwMode="auto">
        <a:xfrm>
          <a:off x="5218632" y="2787727"/>
          <a:ext cx="1494732" cy="222520"/>
          <a:chOff x="104775" y="4521994"/>
          <a:chExt cx="1062037" cy="170331"/>
        </a:xfrm>
      </xdr:grpSpPr>
      <xdr:pic>
        <xdr:nvPicPr>
          <xdr:cNvPr id="155" name="Imagem 7">
            <a:extLst>
              <a:ext uri="{FF2B5EF4-FFF2-40B4-BE49-F238E27FC236}">
                <a16:creationId xmlns:a16="http://schemas.microsoft.com/office/drawing/2014/main" id="{00000000-0008-0000-0E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7831" t="83241" r="24266" b="9698"/>
          <a:stretch>
            <a:fillRect/>
          </a:stretch>
        </xdr:blipFill>
        <xdr:spPr bwMode="auto">
          <a:xfrm>
            <a:off x="104775" y="4521994"/>
            <a:ext cx="191090" cy="168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56" name="CaixaDeTexto 55">
            <a:extLst>
              <a:ext uri="{FF2B5EF4-FFF2-40B4-BE49-F238E27FC236}">
                <a16:creationId xmlns:a16="http://schemas.microsoft.com/office/drawing/2014/main" id="{00000000-0008-0000-0E00-00009C000000}"/>
              </a:ext>
            </a:extLst>
          </xdr:cNvPr>
          <xdr:cNvSpPr txBox="1"/>
        </xdr:nvSpPr>
        <xdr:spPr>
          <a:xfrm>
            <a:off x="296133" y="4532641"/>
            <a:ext cx="870679" cy="1596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a:solidFill>
                  <a:schemeClr val="bg1">
                    <a:lumMod val="50000"/>
                  </a:schemeClr>
                </a:solidFill>
                <a:latin typeface="Arial" panose="020B0604020202020204" pitchFamily="34" charset="0"/>
                <a:ea typeface="+mn-ea"/>
                <a:cs typeface="Arial" panose="020B0604020202020204" pitchFamily="34" charset="0"/>
              </a:rPr>
              <a:t>Adherent</a:t>
            </a:r>
          </a:p>
        </xdr:txBody>
      </xdr:sp>
    </xdr:grpSp>
    <xdr:clientData/>
  </xdr:twoCellAnchor>
  <xdr:twoCellAnchor>
    <xdr:from>
      <xdr:col>5</xdr:col>
      <xdr:colOff>700979</xdr:colOff>
      <xdr:row>14</xdr:row>
      <xdr:rowOff>144870</xdr:rowOff>
    </xdr:from>
    <xdr:to>
      <xdr:col>7</xdr:col>
      <xdr:colOff>415018</xdr:colOff>
      <xdr:row>16</xdr:row>
      <xdr:rowOff>5339</xdr:rowOff>
    </xdr:to>
    <xdr:grpSp>
      <xdr:nvGrpSpPr>
        <xdr:cNvPr id="157" name="Agrupar 56">
          <a:extLst>
            <a:ext uri="{FF2B5EF4-FFF2-40B4-BE49-F238E27FC236}">
              <a16:creationId xmlns:a16="http://schemas.microsoft.com/office/drawing/2014/main" id="{00000000-0008-0000-0E00-00009D000000}"/>
            </a:ext>
          </a:extLst>
        </xdr:cNvPr>
        <xdr:cNvGrpSpPr>
          <a:grpSpLocks/>
        </xdr:cNvGrpSpPr>
      </xdr:nvGrpSpPr>
      <xdr:grpSpPr bwMode="auto">
        <a:xfrm>
          <a:off x="6563897" y="2789458"/>
          <a:ext cx="1883497" cy="219057"/>
          <a:chOff x="1826417" y="4976811"/>
          <a:chExt cx="1989699" cy="286668"/>
        </a:xfrm>
      </xdr:grpSpPr>
      <xdr:pic>
        <xdr:nvPicPr>
          <xdr:cNvPr id="158" name="Imagem 5">
            <a:extLst>
              <a:ext uri="{FF2B5EF4-FFF2-40B4-BE49-F238E27FC236}">
                <a16:creationId xmlns:a16="http://schemas.microsoft.com/office/drawing/2014/main" id="{00000000-0008-0000-0E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864" t="46657" r="24275" b="45712"/>
          <a:stretch>
            <a:fillRect/>
          </a:stretch>
        </xdr:blipFill>
        <xdr:spPr bwMode="auto">
          <a:xfrm>
            <a:off x="1826417" y="4976811"/>
            <a:ext cx="336838" cy="28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59" name="CaixaDeTexto 58">
            <a:extLst>
              <a:ext uri="{FF2B5EF4-FFF2-40B4-BE49-F238E27FC236}">
                <a16:creationId xmlns:a16="http://schemas.microsoft.com/office/drawing/2014/main" id="{00000000-0008-0000-0E00-00009F000000}"/>
              </a:ext>
            </a:extLst>
          </xdr:cNvPr>
          <xdr:cNvSpPr txBox="1"/>
        </xdr:nvSpPr>
        <xdr:spPr>
          <a:xfrm>
            <a:off x="2151505" y="5028805"/>
            <a:ext cx="1664611" cy="198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a:solidFill>
                  <a:schemeClr val="bg1">
                    <a:lumMod val="50000"/>
                  </a:schemeClr>
                </a:solidFill>
                <a:latin typeface="Arial" panose="020B0604020202020204" pitchFamily="34" charset="0"/>
                <a:ea typeface="+mn-ea"/>
                <a:cs typeface="Arial" panose="020B0604020202020204" pitchFamily="34" charset="0"/>
              </a:rPr>
              <a:t>Partially adherent</a:t>
            </a:r>
          </a:p>
        </xdr:txBody>
      </xdr:sp>
    </xdr:grpSp>
    <xdr:clientData/>
  </xdr:twoCellAnchor>
  <xdr:twoCellAnchor>
    <xdr:from>
      <xdr:col>38</xdr:col>
      <xdr:colOff>313768</xdr:colOff>
      <xdr:row>35</xdr:row>
      <xdr:rowOff>20934</xdr:rowOff>
    </xdr:from>
    <xdr:to>
      <xdr:col>38</xdr:col>
      <xdr:colOff>3495746</xdr:colOff>
      <xdr:row>35</xdr:row>
      <xdr:rowOff>272142</xdr:rowOff>
    </xdr:to>
    <xdr:sp macro="" textlink="">
      <xdr:nvSpPr>
        <xdr:cNvPr id="2" name="CaixaDeTexto 1">
          <a:hlinkClick xmlns:r="http://schemas.openxmlformats.org/officeDocument/2006/relationships" r:id="rId2"/>
          <a:extLst>
            <a:ext uri="{FF2B5EF4-FFF2-40B4-BE49-F238E27FC236}">
              <a16:creationId xmlns:a16="http://schemas.microsoft.com/office/drawing/2014/main" id="{00000000-0008-0000-0E00-000002000000}"/>
            </a:ext>
          </a:extLst>
        </xdr:cNvPr>
        <xdr:cNvSpPr txBox="1"/>
      </xdr:nvSpPr>
      <xdr:spPr>
        <a:xfrm>
          <a:off x="45899297" y="15798816"/>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a:t>
          </a:r>
          <a:r>
            <a:rPr lang="pt-BR" sz="1000" b="0" i="0">
              <a:solidFill>
                <a:srgbClr val="007E7A"/>
              </a:solidFill>
              <a:effectLst/>
              <a:latin typeface="Arial" panose="020B0604020202020204" pitchFamily="34" charset="0"/>
              <a:ea typeface="+mn-ea"/>
              <a:cs typeface="Arial" panose="020B0604020202020204" pitchFamily="34" charset="0"/>
            </a:rPr>
            <a:t>Impact to Communities</a:t>
          </a:r>
        </a:p>
      </xdr:txBody>
    </xdr:sp>
    <xdr:clientData/>
  </xdr:twoCellAnchor>
  <xdr:twoCellAnchor>
    <xdr:from>
      <xdr:col>38</xdr:col>
      <xdr:colOff>313768</xdr:colOff>
      <xdr:row>35</xdr:row>
      <xdr:rowOff>340806</xdr:rowOff>
    </xdr:from>
    <xdr:to>
      <xdr:col>38</xdr:col>
      <xdr:colOff>3495746</xdr:colOff>
      <xdr:row>35</xdr:row>
      <xdr:rowOff>592014</xdr:rowOff>
    </xdr:to>
    <xdr:sp macro="" textlink="">
      <xdr:nvSpPr>
        <xdr:cNvPr id="3" name="CaixaDeTexto 2">
          <a:hlinkClick xmlns:r="http://schemas.openxmlformats.org/officeDocument/2006/relationships" r:id="rId3"/>
          <a:extLst>
            <a:ext uri="{FF2B5EF4-FFF2-40B4-BE49-F238E27FC236}">
              <a16:creationId xmlns:a16="http://schemas.microsoft.com/office/drawing/2014/main" id="{00000000-0008-0000-0E00-000003000000}"/>
            </a:ext>
          </a:extLst>
        </xdr:cNvPr>
        <xdr:cNvSpPr txBox="1"/>
      </xdr:nvSpPr>
      <xdr:spPr>
        <a:xfrm>
          <a:off x="45899297" y="16118688"/>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a:t>
          </a:r>
          <a:r>
            <a:rPr lang="pt-BR" sz="1000" b="0" i="0">
              <a:solidFill>
                <a:srgbClr val="007E7A"/>
              </a:solidFill>
              <a:effectLst/>
              <a:latin typeface="Arial" panose="020B0604020202020204" pitchFamily="34" charset="0"/>
              <a:ea typeface="+mn-ea"/>
              <a:cs typeface="Arial" panose="020B0604020202020204" pitchFamily="34" charset="0"/>
            </a:rPr>
            <a:t>Human Rights</a:t>
          </a:r>
        </a:p>
      </xdr:txBody>
    </xdr:sp>
    <xdr:clientData/>
  </xdr:twoCellAnchor>
  <xdr:twoCellAnchor>
    <xdr:from>
      <xdr:col>38</xdr:col>
      <xdr:colOff>313768</xdr:colOff>
      <xdr:row>35</xdr:row>
      <xdr:rowOff>660678</xdr:rowOff>
    </xdr:from>
    <xdr:to>
      <xdr:col>38</xdr:col>
      <xdr:colOff>3495746</xdr:colOff>
      <xdr:row>35</xdr:row>
      <xdr:rowOff>911886</xdr:rowOff>
    </xdr:to>
    <xdr:sp macro="" textlink="">
      <xdr:nvSpPr>
        <xdr:cNvPr id="4" name="CaixaDeTexto 3">
          <a:hlinkClick xmlns:r="http://schemas.openxmlformats.org/officeDocument/2006/relationships" r:id="rId4"/>
          <a:extLst>
            <a:ext uri="{FF2B5EF4-FFF2-40B4-BE49-F238E27FC236}">
              <a16:creationId xmlns:a16="http://schemas.microsoft.com/office/drawing/2014/main" id="{00000000-0008-0000-0E00-000004000000}"/>
            </a:ext>
          </a:extLst>
        </xdr:cNvPr>
        <xdr:cNvSpPr txBox="1"/>
      </xdr:nvSpPr>
      <xdr:spPr>
        <a:xfrm>
          <a:off x="45899297" y="16438560"/>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Human Rights Policy</a:t>
          </a:r>
        </a:p>
      </xdr:txBody>
    </xdr:sp>
    <xdr:clientData/>
  </xdr:twoCellAnchor>
  <xdr:twoCellAnchor>
    <xdr:from>
      <xdr:col>38</xdr:col>
      <xdr:colOff>313768</xdr:colOff>
      <xdr:row>35</xdr:row>
      <xdr:rowOff>980550</xdr:rowOff>
    </xdr:from>
    <xdr:to>
      <xdr:col>38</xdr:col>
      <xdr:colOff>3495746</xdr:colOff>
      <xdr:row>35</xdr:row>
      <xdr:rowOff>1203183</xdr:rowOff>
    </xdr:to>
    <xdr:sp macro="" textlink="">
      <xdr:nvSpPr>
        <xdr:cNvPr id="5" name="CaixaDeTexto 4">
          <a:hlinkClick xmlns:r="http://schemas.openxmlformats.org/officeDocument/2006/relationships" r:id="rId5"/>
          <a:extLst>
            <a:ext uri="{FF2B5EF4-FFF2-40B4-BE49-F238E27FC236}">
              <a16:creationId xmlns:a16="http://schemas.microsoft.com/office/drawing/2014/main" id="{00000000-0008-0000-0E00-000005000000}"/>
            </a:ext>
          </a:extLst>
        </xdr:cNvPr>
        <xdr:cNvSpPr txBox="1"/>
      </xdr:nvSpPr>
      <xdr:spPr>
        <a:xfrm>
          <a:off x="45899297" y="16758432"/>
          <a:ext cx="3181978" cy="222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Human Rights Guide</a:t>
          </a:r>
        </a:p>
      </xdr:txBody>
    </xdr:sp>
    <xdr:clientData/>
  </xdr:twoCellAnchor>
  <xdr:twoCellAnchor>
    <xdr:from>
      <xdr:col>38</xdr:col>
      <xdr:colOff>313768</xdr:colOff>
      <xdr:row>27</xdr:row>
      <xdr:rowOff>367086</xdr:rowOff>
    </xdr:from>
    <xdr:to>
      <xdr:col>38</xdr:col>
      <xdr:colOff>3543773</xdr:colOff>
      <xdr:row>27</xdr:row>
      <xdr:rowOff>616324</xdr:rowOff>
    </xdr:to>
    <xdr:sp macro="" textlink="">
      <xdr:nvSpPr>
        <xdr:cNvPr id="6" name="CaixaDeTexto 5">
          <a:hlinkClick xmlns:r="http://schemas.openxmlformats.org/officeDocument/2006/relationships" r:id="rId6"/>
          <a:extLst>
            <a:ext uri="{FF2B5EF4-FFF2-40B4-BE49-F238E27FC236}">
              <a16:creationId xmlns:a16="http://schemas.microsoft.com/office/drawing/2014/main" id="{00000000-0008-0000-0E00-000006000000}"/>
            </a:ext>
          </a:extLst>
        </xdr:cNvPr>
        <xdr:cNvSpPr txBox="1"/>
      </xdr:nvSpPr>
      <xdr:spPr>
        <a:xfrm>
          <a:off x="45899297" y="7964674"/>
          <a:ext cx="3230005" cy="249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baseline="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ea typeface="+mn-ea"/>
              <a:cs typeface="Arial" panose="020B0604020202020204" pitchFamily="34" charset="0"/>
            </a:rPr>
            <a:t>Portal</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  - </a:t>
          </a:r>
          <a:r>
            <a:rPr lang="pt-BR" sz="1000" b="0" i="0">
              <a:solidFill>
                <a:srgbClr val="007E7A"/>
              </a:solidFill>
              <a:effectLst/>
              <a:latin typeface="Arial" panose="020B0604020202020204" pitchFamily="34" charset="0"/>
              <a:ea typeface="+mn-ea"/>
              <a:cs typeface="Arial" panose="020B0604020202020204" pitchFamily="34" charset="0"/>
            </a:rPr>
            <a:t>Ethics, Compliance and Tax Transparency</a:t>
          </a:r>
        </a:p>
        <a:p>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29</xdr:row>
      <xdr:rowOff>240740</xdr:rowOff>
    </xdr:from>
    <xdr:to>
      <xdr:col>39</xdr:col>
      <xdr:colOff>123265</xdr:colOff>
      <xdr:row>29</xdr:row>
      <xdr:rowOff>705970</xdr:rowOff>
    </xdr:to>
    <xdr:sp macro="" textlink="">
      <xdr:nvSpPr>
        <xdr:cNvPr id="7" name="CaixaDeTexto 6">
          <a:hlinkClick xmlns:r="http://schemas.openxmlformats.org/officeDocument/2006/relationships" r:id="rId7"/>
          <a:extLst>
            <a:ext uri="{FF2B5EF4-FFF2-40B4-BE49-F238E27FC236}">
              <a16:creationId xmlns:a16="http://schemas.microsoft.com/office/drawing/2014/main" id="{00000000-0008-0000-0E00-000007000000}"/>
            </a:ext>
          </a:extLst>
        </xdr:cNvPr>
        <xdr:cNvSpPr txBox="1"/>
      </xdr:nvSpPr>
      <xdr:spPr>
        <a:xfrm>
          <a:off x="45899297" y="10438093"/>
          <a:ext cx="4527174" cy="465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baseline="0">
              <a:solidFill>
                <a:srgbClr val="007E7A"/>
              </a:solidFill>
              <a:latin typeface="Arial" panose="020B0604020202020204" pitchFamily="34" charset="0"/>
              <a:cs typeface="Arial" panose="020B0604020202020204" pitchFamily="34" charset="0"/>
            </a:rPr>
            <a:t>Proxy Statement Annual General Meeting of Shareholders 2023- (page 50) </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316942</xdr:colOff>
      <xdr:row>29</xdr:row>
      <xdr:rowOff>656390</xdr:rowOff>
    </xdr:from>
    <xdr:to>
      <xdr:col>38</xdr:col>
      <xdr:colOff>4796118</xdr:colOff>
      <xdr:row>29</xdr:row>
      <xdr:rowOff>1230333</xdr:rowOff>
    </xdr:to>
    <xdr:sp macro="" textlink="">
      <xdr:nvSpPr>
        <xdr:cNvPr id="8" name="CaixaDeTexto 7">
          <a:hlinkClick xmlns:r="http://schemas.openxmlformats.org/officeDocument/2006/relationships" r:id="rId8"/>
          <a:extLst>
            <a:ext uri="{FF2B5EF4-FFF2-40B4-BE49-F238E27FC236}">
              <a16:creationId xmlns:a16="http://schemas.microsoft.com/office/drawing/2014/main" id="{00000000-0008-0000-0E00-000008000000}"/>
            </a:ext>
          </a:extLst>
        </xdr:cNvPr>
        <xdr:cNvSpPr txBox="1"/>
      </xdr:nvSpPr>
      <xdr:spPr>
        <a:xfrm>
          <a:off x="46810148" y="10965802"/>
          <a:ext cx="4479176" cy="5739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ea typeface="+mn-ea"/>
              <a:cs typeface="Arial" panose="020B0604020202020204" pitchFamily="34" charset="0"/>
            </a:rPr>
            <a:t>Internal Regulations of the Sustainability Comittee</a:t>
          </a:r>
          <a:r>
            <a:rPr lang="pt-BR" sz="1000" baseline="0">
              <a:solidFill>
                <a:srgbClr val="007E7A"/>
              </a:solidFill>
              <a:latin typeface="Arial" panose="020B0604020202020204" pitchFamily="34" charset="0"/>
              <a:ea typeface="+mn-ea"/>
              <a:cs typeface="Arial" panose="020B0604020202020204" pitchFamily="34" charset="0"/>
            </a:rPr>
            <a:t> - Chapter V - Meetings</a:t>
          </a:r>
          <a:endParaRPr lang="pt-BR" sz="1000">
            <a:solidFill>
              <a:srgbClr val="007E7A"/>
            </a:solidFill>
            <a:latin typeface="Arial" panose="020B0604020202020204" pitchFamily="34" charset="0"/>
            <a:ea typeface="+mn-ea"/>
            <a:cs typeface="Arial" panose="020B0604020202020204" pitchFamily="34" charset="0"/>
          </a:endParaRPr>
        </a:p>
      </xdr:txBody>
    </xdr:sp>
    <xdr:clientData/>
  </xdr:twoCellAnchor>
  <xdr:twoCellAnchor>
    <xdr:from>
      <xdr:col>38</xdr:col>
      <xdr:colOff>313768</xdr:colOff>
      <xdr:row>32</xdr:row>
      <xdr:rowOff>491951</xdr:rowOff>
    </xdr:from>
    <xdr:to>
      <xdr:col>38</xdr:col>
      <xdr:colOff>3495746</xdr:colOff>
      <xdr:row>32</xdr:row>
      <xdr:rowOff>743159</xdr:rowOff>
    </xdr:to>
    <xdr:sp macro="" textlink="">
      <xdr:nvSpPr>
        <xdr:cNvPr id="9" name="CaixaDeTexto 8">
          <a:hlinkClick xmlns:r="http://schemas.openxmlformats.org/officeDocument/2006/relationships" r:id="rId9"/>
          <a:extLst>
            <a:ext uri="{FF2B5EF4-FFF2-40B4-BE49-F238E27FC236}">
              <a16:creationId xmlns:a16="http://schemas.microsoft.com/office/drawing/2014/main" id="{00000000-0008-0000-0E00-000009000000}"/>
            </a:ext>
          </a:extLst>
        </xdr:cNvPr>
        <xdr:cNvSpPr txBox="1"/>
      </xdr:nvSpPr>
      <xdr:spPr>
        <a:xfrm>
          <a:off x="45899297" y="13479569"/>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baseline="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a:t>
          </a:r>
          <a:r>
            <a:rPr lang="pt-BR" sz="1000">
              <a:solidFill>
                <a:srgbClr val="007E7A"/>
              </a:solidFill>
              <a:latin typeface="Arial" panose="020B0604020202020204" pitchFamily="34" charset="0"/>
              <a:ea typeface="+mn-ea"/>
              <a:cs typeface="Arial" panose="020B0604020202020204" pitchFamily="34" charset="0"/>
            </a:rPr>
            <a:t>Portal</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 - </a:t>
          </a:r>
          <a:r>
            <a:rPr lang="pt-BR" sz="1000" b="0" i="0">
              <a:solidFill>
                <a:srgbClr val="007E7A"/>
              </a:solidFill>
              <a:effectLst/>
              <a:latin typeface="Arial" panose="020B0604020202020204" pitchFamily="34" charset="0"/>
              <a:ea typeface="+mn-ea"/>
              <a:cs typeface="Arial" panose="020B0604020202020204" pitchFamily="34" charset="0"/>
            </a:rPr>
            <a:t>Our Strategy and Commitments</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33</xdr:row>
      <xdr:rowOff>440797</xdr:rowOff>
    </xdr:from>
    <xdr:to>
      <xdr:col>38</xdr:col>
      <xdr:colOff>3495746</xdr:colOff>
      <xdr:row>33</xdr:row>
      <xdr:rowOff>692005</xdr:rowOff>
    </xdr:to>
    <xdr:sp macro="" textlink="">
      <xdr:nvSpPr>
        <xdr:cNvPr id="10" name="CaixaDeTexto 9">
          <a:hlinkClick xmlns:r="http://schemas.openxmlformats.org/officeDocument/2006/relationships" r:id="rId10"/>
          <a:extLst>
            <a:ext uri="{FF2B5EF4-FFF2-40B4-BE49-F238E27FC236}">
              <a16:creationId xmlns:a16="http://schemas.microsoft.com/office/drawing/2014/main" id="{00000000-0008-0000-0E00-00000A000000}"/>
            </a:ext>
          </a:extLst>
        </xdr:cNvPr>
        <xdr:cNvSpPr txBox="1"/>
      </xdr:nvSpPr>
      <xdr:spPr>
        <a:xfrm>
          <a:off x="45899297" y="14728297"/>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a:t>
          </a:r>
          <a:r>
            <a:rPr lang="pt-BR" sz="1000">
              <a:solidFill>
                <a:srgbClr val="007E7A"/>
              </a:solidFill>
              <a:latin typeface="Arial" panose="020B0604020202020204" pitchFamily="34" charset="0"/>
              <a:ea typeface="+mn-ea"/>
              <a:cs typeface="Arial" panose="020B0604020202020204" pitchFamily="34" charset="0"/>
            </a:rPr>
            <a:t>Portal</a:t>
          </a:r>
          <a:r>
            <a:rPr lang="pt-BR" sz="1000">
              <a:solidFill>
                <a:srgbClr val="007E7A"/>
              </a:solidFill>
              <a:latin typeface="Arial" panose="020B0604020202020204" pitchFamily="34" charset="0"/>
              <a:cs typeface="Arial" panose="020B0604020202020204" pitchFamily="34" charset="0"/>
            </a:rPr>
            <a:t> - </a:t>
          </a:r>
          <a:r>
            <a:rPr lang="pt-BR" sz="1000" b="0" i="0">
              <a:solidFill>
                <a:srgbClr val="007E7A"/>
              </a:solidFill>
              <a:effectLst/>
              <a:latin typeface="Arial" panose="020B0604020202020204" pitchFamily="34" charset="0"/>
              <a:ea typeface="+mn-ea"/>
              <a:cs typeface="Arial" panose="020B0604020202020204" pitchFamily="34" charset="0"/>
            </a:rPr>
            <a:t>Suppliers and customers</a:t>
          </a:r>
        </a:p>
        <a:p>
          <a:endParaRPr lang="pt-BR" sz="1000">
            <a:solidFill>
              <a:srgbClr val="007E7A"/>
            </a:solidFill>
            <a:latin typeface="Arial" panose="020B0604020202020204" pitchFamily="34" charset="0"/>
            <a:cs typeface="Arial" panose="020B0604020202020204" pitchFamily="34" charset="0"/>
          </a:endParaRPr>
        </a:p>
      </xdr:txBody>
    </xdr:sp>
    <xdr:clientData/>
  </xdr:twoCellAnchor>
  <xdr:oneCellAnchor>
    <xdr:from>
      <xdr:col>3</xdr:col>
      <xdr:colOff>190500</xdr:colOff>
      <xdr:row>22</xdr:row>
      <xdr:rowOff>0</xdr:rowOff>
    </xdr:from>
    <xdr:ext cx="809625" cy="355334"/>
    <xdr:pic>
      <xdr:nvPicPr>
        <xdr:cNvPr id="11" name="Imagem 10" descr="Logo da Vale">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t="44212"/>
        <a:stretch>
          <a:fillRect/>
        </a:stretch>
      </xdr:blipFill>
      <xdr:spPr bwMode="auto">
        <a:xfrm>
          <a:off x="2019300" y="4191000"/>
          <a:ext cx="809625" cy="3553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38</xdr:col>
      <xdr:colOff>313768</xdr:colOff>
      <xdr:row>39</xdr:row>
      <xdr:rowOff>257070</xdr:rowOff>
    </xdr:from>
    <xdr:to>
      <xdr:col>38</xdr:col>
      <xdr:colOff>3495746</xdr:colOff>
      <xdr:row>39</xdr:row>
      <xdr:rowOff>508278</xdr:rowOff>
    </xdr:to>
    <xdr:sp macro="" textlink="">
      <xdr:nvSpPr>
        <xdr:cNvPr id="12" name="CaixaDeTexto 11">
          <a:hlinkClick xmlns:r="http://schemas.openxmlformats.org/officeDocument/2006/relationships" r:id="rId12"/>
          <a:extLst>
            <a:ext uri="{FF2B5EF4-FFF2-40B4-BE49-F238E27FC236}">
              <a16:creationId xmlns:a16="http://schemas.microsoft.com/office/drawing/2014/main" id="{00000000-0008-0000-0E00-00000C000000}"/>
            </a:ext>
          </a:extLst>
        </xdr:cNvPr>
        <xdr:cNvSpPr txBox="1"/>
      </xdr:nvSpPr>
      <xdr:spPr>
        <a:xfrm>
          <a:off x="45899297" y="23038629"/>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mn-lt"/>
              <a:ea typeface="+mn-ea"/>
              <a:cs typeface="+mn-cs"/>
            </a:rPr>
            <a:t>• </a:t>
          </a:r>
          <a:r>
            <a:rPr lang="pt-BR" sz="1000">
              <a:solidFill>
                <a:srgbClr val="007E7A"/>
              </a:solidFill>
              <a:latin typeface="Arial" panose="020B0604020202020204" pitchFamily="34" charset="0"/>
              <a:cs typeface="Arial" panose="020B0604020202020204" pitchFamily="34" charset="0"/>
            </a:rPr>
            <a:t>ESG Portal - Compensation</a:t>
          </a:r>
        </a:p>
      </xdr:txBody>
    </xdr:sp>
    <xdr:clientData/>
  </xdr:twoCellAnchor>
  <xdr:twoCellAnchor>
    <xdr:from>
      <xdr:col>38</xdr:col>
      <xdr:colOff>313768</xdr:colOff>
      <xdr:row>39</xdr:row>
      <xdr:rowOff>571081</xdr:rowOff>
    </xdr:from>
    <xdr:to>
      <xdr:col>38</xdr:col>
      <xdr:colOff>3495746</xdr:colOff>
      <xdr:row>39</xdr:row>
      <xdr:rowOff>822289</xdr:rowOff>
    </xdr:to>
    <xdr:sp macro="" textlink="">
      <xdr:nvSpPr>
        <xdr:cNvPr id="13" name="CaixaDeTexto 12">
          <a:hlinkClick xmlns:r="http://schemas.openxmlformats.org/officeDocument/2006/relationships" r:id="rId13"/>
          <a:extLst>
            <a:ext uri="{FF2B5EF4-FFF2-40B4-BE49-F238E27FC236}">
              <a16:creationId xmlns:a16="http://schemas.microsoft.com/office/drawing/2014/main" id="{00000000-0008-0000-0E00-00000D000000}"/>
            </a:ext>
          </a:extLst>
        </xdr:cNvPr>
        <xdr:cNvSpPr txBox="1"/>
      </xdr:nvSpPr>
      <xdr:spPr>
        <a:xfrm>
          <a:off x="45899297" y="23352640"/>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Our</a:t>
          </a:r>
          <a:r>
            <a:rPr lang="pt-BR" sz="1000" baseline="0">
              <a:solidFill>
                <a:srgbClr val="007E7A"/>
              </a:solidFill>
              <a:latin typeface="Arial" panose="020B0604020202020204" pitchFamily="34" charset="0"/>
              <a:cs typeface="Arial" panose="020B0604020202020204" pitchFamily="34" charset="0"/>
            </a:rPr>
            <a:t> People</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47</xdr:row>
      <xdr:rowOff>675752</xdr:rowOff>
    </xdr:from>
    <xdr:to>
      <xdr:col>38</xdr:col>
      <xdr:colOff>3495746</xdr:colOff>
      <xdr:row>47</xdr:row>
      <xdr:rowOff>926960</xdr:rowOff>
    </xdr:to>
    <xdr:sp macro="" textlink="">
      <xdr:nvSpPr>
        <xdr:cNvPr id="14" name="CaixaDeTexto 13">
          <a:hlinkClick xmlns:r="http://schemas.openxmlformats.org/officeDocument/2006/relationships" r:id="rId14"/>
          <a:extLst>
            <a:ext uri="{FF2B5EF4-FFF2-40B4-BE49-F238E27FC236}">
              <a16:creationId xmlns:a16="http://schemas.microsoft.com/office/drawing/2014/main" id="{00000000-0008-0000-0E00-00000E000000}"/>
            </a:ext>
          </a:extLst>
        </xdr:cNvPr>
        <xdr:cNvSpPr txBox="1"/>
      </xdr:nvSpPr>
      <xdr:spPr>
        <a:xfrm>
          <a:off x="45899297" y="36299252"/>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Risk Management</a:t>
          </a:r>
        </a:p>
      </xdr:txBody>
    </xdr:sp>
    <xdr:clientData/>
  </xdr:twoCellAnchor>
  <xdr:twoCellAnchor>
    <xdr:from>
      <xdr:col>38</xdr:col>
      <xdr:colOff>313768</xdr:colOff>
      <xdr:row>47</xdr:row>
      <xdr:rowOff>294334</xdr:rowOff>
    </xdr:from>
    <xdr:to>
      <xdr:col>38</xdr:col>
      <xdr:colOff>3495746</xdr:colOff>
      <xdr:row>47</xdr:row>
      <xdr:rowOff>545542</xdr:rowOff>
    </xdr:to>
    <xdr:sp macro="" textlink="">
      <xdr:nvSpPr>
        <xdr:cNvPr id="15" name="CaixaDeTexto 14">
          <a:hlinkClick xmlns:r="http://schemas.openxmlformats.org/officeDocument/2006/relationships" r:id="rId15"/>
          <a:extLst>
            <a:ext uri="{FF2B5EF4-FFF2-40B4-BE49-F238E27FC236}">
              <a16:creationId xmlns:a16="http://schemas.microsoft.com/office/drawing/2014/main" id="{00000000-0008-0000-0E00-00000F000000}"/>
            </a:ext>
          </a:extLst>
        </xdr:cNvPr>
        <xdr:cNvSpPr txBox="1"/>
      </xdr:nvSpPr>
      <xdr:spPr>
        <a:xfrm>
          <a:off x="45899297" y="35917834"/>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Risk Management Policy</a:t>
          </a:r>
        </a:p>
      </xdr:txBody>
    </xdr:sp>
    <xdr:clientData/>
  </xdr:twoCellAnchor>
  <xdr:twoCellAnchor>
    <xdr:from>
      <xdr:col>38</xdr:col>
      <xdr:colOff>302562</xdr:colOff>
      <xdr:row>50</xdr:row>
      <xdr:rowOff>602481</xdr:rowOff>
    </xdr:from>
    <xdr:to>
      <xdr:col>38</xdr:col>
      <xdr:colOff>3484540</xdr:colOff>
      <xdr:row>50</xdr:row>
      <xdr:rowOff>853689</xdr:rowOff>
    </xdr:to>
    <xdr:sp macro="" textlink="">
      <xdr:nvSpPr>
        <xdr:cNvPr id="16" name="CaixaDeTexto 15">
          <a:hlinkClick xmlns:r="http://schemas.openxmlformats.org/officeDocument/2006/relationships" r:id="rId16"/>
          <a:extLst>
            <a:ext uri="{FF2B5EF4-FFF2-40B4-BE49-F238E27FC236}">
              <a16:creationId xmlns:a16="http://schemas.microsoft.com/office/drawing/2014/main" id="{00000000-0008-0000-0E00-000010000000}"/>
            </a:ext>
          </a:extLst>
        </xdr:cNvPr>
        <xdr:cNvSpPr txBox="1"/>
      </xdr:nvSpPr>
      <xdr:spPr>
        <a:xfrm>
          <a:off x="45888091" y="36584569"/>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Occupational Health and Safety</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37</xdr:row>
      <xdr:rowOff>142874</xdr:rowOff>
    </xdr:from>
    <xdr:to>
      <xdr:col>38</xdr:col>
      <xdr:colOff>3635611</xdr:colOff>
      <xdr:row>37</xdr:row>
      <xdr:rowOff>547687</xdr:rowOff>
    </xdr:to>
    <xdr:sp macro="" textlink="">
      <xdr:nvSpPr>
        <xdr:cNvPr id="17" name="CaixaDeTexto 16">
          <a:hlinkClick xmlns:r="http://schemas.openxmlformats.org/officeDocument/2006/relationships" r:id="rId3"/>
          <a:extLst>
            <a:ext uri="{FF2B5EF4-FFF2-40B4-BE49-F238E27FC236}">
              <a16:creationId xmlns:a16="http://schemas.microsoft.com/office/drawing/2014/main" id="{00000000-0008-0000-0E00-000011000000}"/>
            </a:ext>
          </a:extLst>
        </xdr:cNvPr>
        <xdr:cNvSpPr txBox="1"/>
      </xdr:nvSpPr>
      <xdr:spPr>
        <a:xfrm>
          <a:off x="45899297" y="19159256"/>
          <a:ext cx="3321843" cy="4048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50">
              <a:solidFill>
                <a:srgbClr val="007E7A"/>
              </a:solidFill>
              <a:effectLst/>
              <a:latin typeface="Arial" panose="020B0604020202020204" pitchFamily="34" charset="0"/>
              <a:ea typeface="+mn-ea"/>
              <a:cs typeface="Arial" panose="020B0604020202020204" pitchFamily="34" charset="0"/>
            </a:rPr>
            <a:t>ESG</a:t>
          </a:r>
          <a:r>
            <a:rPr lang="pt-BR" sz="1200">
              <a:solidFill>
                <a:srgbClr val="007E7A"/>
              </a:solidFill>
              <a:effectLst/>
              <a:latin typeface="Arial" panose="020B0604020202020204" pitchFamily="34" charset="0"/>
              <a:ea typeface="+mn-ea"/>
              <a:cs typeface="Arial" panose="020B0604020202020204" pitchFamily="34" charset="0"/>
            </a:rPr>
            <a:t> </a:t>
          </a:r>
          <a:r>
            <a:rPr lang="pt-BR" sz="1000" baseline="0">
              <a:solidFill>
                <a:srgbClr val="007E7A"/>
              </a:solidFill>
              <a:latin typeface="Arial" panose="020B0604020202020204" pitchFamily="34" charset="0"/>
              <a:ea typeface="+mn-ea"/>
              <a:cs typeface="Arial" panose="020B0604020202020204" pitchFamily="34" charset="0"/>
            </a:rPr>
            <a:t>Portal -</a:t>
          </a:r>
          <a:r>
            <a:rPr lang="pt-BR" sz="1200">
              <a:solidFill>
                <a:srgbClr val="007E7A"/>
              </a:solidFill>
              <a:effectLst/>
              <a:latin typeface="Arial" panose="020B0604020202020204" pitchFamily="34" charset="0"/>
              <a:ea typeface="+mn-ea"/>
              <a:cs typeface="Arial" panose="020B0604020202020204" pitchFamily="34" charset="0"/>
            </a:rPr>
            <a:t> </a:t>
          </a:r>
          <a:r>
            <a:rPr lang="pt-BR" sz="1000" baseline="0">
              <a:solidFill>
                <a:srgbClr val="007E7A"/>
              </a:solidFill>
              <a:latin typeface="Arial" panose="020B0604020202020204" pitchFamily="34" charset="0"/>
              <a:ea typeface="+mn-ea"/>
              <a:cs typeface="Arial" panose="020B0604020202020204" pitchFamily="34" charset="0"/>
            </a:rPr>
            <a:t>Human</a:t>
          </a: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effectLst/>
              <a:latin typeface="Arial" panose="020B0604020202020204" pitchFamily="34" charset="0"/>
              <a:ea typeface="+mn-ea"/>
              <a:cs typeface="Arial" panose="020B0604020202020204" pitchFamily="34" charset="0"/>
            </a:rPr>
            <a:t>Rights</a:t>
          </a:r>
          <a:endParaRPr lang="pt-BR" sz="1000" baseline="0">
            <a:solidFill>
              <a:srgbClr val="007E7A"/>
            </a:solidFill>
            <a:latin typeface="Arial" panose="020B0604020202020204" pitchFamily="34" charset="0"/>
            <a:ea typeface="+mn-ea"/>
            <a:cs typeface="Arial" panose="020B0604020202020204" pitchFamily="34" charset="0"/>
          </a:endParaRPr>
        </a:p>
        <a:p>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0</xdr:col>
      <xdr:colOff>95247</xdr:colOff>
      <xdr:row>3</xdr:row>
      <xdr:rowOff>80636</xdr:rowOff>
    </xdr:from>
    <xdr:to>
      <xdr:col>4</xdr:col>
      <xdr:colOff>661147</xdr:colOff>
      <xdr:row>19</xdr:row>
      <xdr:rowOff>148777</xdr:rowOff>
    </xdr:to>
    <xdr:sp macro="" textlink="">
      <xdr:nvSpPr>
        <xdr:cNvPr id="30" name="CaixaDeTexto 18">
          <a:extLst>
            <a:ext uri="{FF2B5EF4-FFF2-40B4-BE49-F238E27FC236}">
              <a16:creationId xmlns:a16="http://schemas.microsoft.com/office/drawing/2014/main" id="{00000000-0008-0000-0E00-00001E000000}"/>
            </a:ext>
          </a:extLst>
        </xdr:cNvPr>
        <xdr:cNvSpPr txBox="1"/>
      </xdr:nvSpPr>
      <xdr:spPr>
        <a:xfrm>
          <a:off x="95247" y="947461"/>
          <a:ext cx="5010900" cy="2789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sz="1100" b="1" u="sng">
              <a:solidFill>
                <a:schemeClr val="bg1">
                  <a:lumMod val="50000"/>
                </a:schemeClr>
              </a:solidFill>
              <a:effectLst/>
              <a:latin typeface="Arial" panose="020B0604020202020204" pitchFamily="34" charset="0"/>
              <a:ea typeface="+mn-ea"/>
              <a:cs typeface="Arial" panose="020B0604020202020204" pitchFamily="34" charset="0"/>
            </a:rPr>
            <a:t>1. Overview:</a:t>
          </a:r>
        </a:p>
        <a:p>
          <a:pPr marL="0" marR="0" lvl="0" indent="0" defTabSz="914400" eaLnBrk="1" fontAlgn="auto" latinLnBrk="0" hangingPunct="1">
            <a:lnSpc>
              <a:spcPct val="100000"/>
            </a:lnSpc>
            <a:spcBef>
              <a:spcPts val="0"/>
            </a:spcBef>
            <a:spcAft>
              <a:spcPts val="0"/>
            </a:spcAft>
            <a:buClrTx/>
            <a:buSzTx/>
            <a:buFontTx/>
            <a:buNone/>
            <a:tabLst/>
            <a:defRPr/>
          </a:pPr>
          <a:r>
            <a:rPr lang="pt-BR" sz="1100" b="0" u="none">
              <a:solidFill>
                <a:schemeClr val="bg1">
                  <a:lumMod val="50000"/>
                </a:schemeClr>
              </a:solidFill>
              <a:effectLst/>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pt-BR" sz="1000" b="0" u="none">
              <a:solidFill>
                <a:schemeClr val="bg1">
                  <a:lumMod val="50000"/>
                </a:schemeClr>
              </a:solidFill>
              <a:effectLst/>
              <a:latin typeface="Arial" panose="020B0604020202020204" pitchFamily="34" charset="0"/>
              <a:ea typeface="+mn-ea"/>
              <a:cs typeface="Arial" panose="020B0604020202020204" pitchFamily="34" charset="0"/>
            </a:rPr>
            <a:t>The International Council on Mining and Metals (ICMM) is an international support organization for the mining sector and aims to strengthen the sector's environmental and social performance, seeking to serve as a catalyst for change, and to enhance mining's contribution to society. ICMM has a set of requirements that comprise the Mining Principles and serve as the basis for evaluating members' performance in terms of sustainability and responsible mining. Each member must conduct an annual self-assessment to identify adherence to the Mining Principles, and Vale, as an ICMM member company, and engaged in the commitment to contribute to making the mining industry more transparent, ethical, safe and sustainable, conducted a self-assessment in</a:t>
          </a:r>
          <a:r>
            <a:rPr lang="pt-BR" sz="1000" b="0" u="none" baseline="0">
              <a:solidFill>
                <a:schemeClr val="bg1">
                  <a:lumMod val="50000"/>
                </a:schemeClr>
              </a:solidFill>
              <a:effectLst/>
              <a:latin typeface="Arial" panose="020B0604020202020204" pitchFamily="34" charset="0"/>
              <a:ea typeface="+mn-ea"/>
              <a:cs typeface="Arial" panose="020B0604020202020204" pitchFamily="34" charset="0"/>
            </a:rPr>
            <a:t> the years </a:t>
          </a:r>
          <a:r>
            <a:rPr lang="pt-BR" sz="1000" b="0" u="none">
              <a:solidFill>
                <a:schemeClr val="bg1">
                  <a:lumMod val="50000"/>
                </a:schemeClr>
              </a:solidFill>
              <a:effectLst/>
              <a:latin typeface="Arial" panose="020B0604020202020204" pitchFamily="34" charset="0"/>
              <a:ea typeface="+mn-ea"/>
              <a:cs typeface="Arial" panose="020B0604020202020204" pitchFamily="34" charset="0"/>
            </a:rPr>
            <a:t>2019</a:t>
          </a:r>
          <a:r>
            <a:rPr lang="pt-BR" sz="1000" b="0" u="none" baseline="0">
              <a:solidFill>
                <a:schemeClr val="bg1">
                  <a:lumMod val="50000"/>
                </a:schemeClr>
              </a:solidFill>
              <a:effectLst/>
              <a:latin typeface="Arial" panose="020B0604020202020204" pitchFamily="34" charset="0"/>
              <a:ea typeface="+mn-ea"/>
              <a:cs typeface="Arial" panose="020B0604020202020204" pitchFamily="34" charset="0"/>
            </a:rPr>
            <a:t> to 2023</a:t>
          </a:r>
          <a:r>
            <a:rPr lang="pt-BR" sz="1000" b="0" u="none">
              <a:solidFill>
                <a:schemeClr val="bg1">
                  <a:lumMod val="50000"/>
                </a:schemeClr>
              </a:solidFill>
              <a:effectLst/>
              <a:latin typeface="Arial" panose="020B0604020202020204" pitchFamily="34" charset="0"/>
              <a:ea typeface="+mn-ea"/>
              <a:cs typeface="Arial" panose="020B0604020202020204" pitchFamily="34" charset="0"/>
            </a:rPr>
            <a:t> on the company's assets and corporate areas globally. </a:t>
          </a:r>
          <a:endParaRPr lang="pt-BR" sz="1000" b="0" u="none">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4</xdr:col>
      <xdr:colOff>750283</xdr:colOff>
      <xdr:row>3</xdr:row>
      <xdr:rowOff>80636</xdr:rowOff>
    </xdr:from>
    <xdr:to>
      <xdr:col>10</xdr:col>
      <xdr:colOff>747481</xdr:colOff>
      <xdr:row>19</xdr:row>
      <xdr:rowOff>143253</xdr:rowOff>
    </xdr:to>
    <xdr:sp macro="" textlink="">
      <xdr:nvSpPr>
        <xdr:cNvPr id="22" name="CaixaDeTexto 19">
          <a:extLst>
            <a:ext uri="{FF2B5EF4-FFF2-40B4-BE49-F238E27FC236}">
              <a16:creationId xmlns:a16="http://schemas.microsoft.com/office/drawing/2014/main" id="{00000000-0008-0000-0E00-000016000000}"/>
            </a:ext>
          </a:extLst>
        </xdr:cNvPr>
        <xdr:cNvSpPr txBox="1"/>
      </xdr:nvSpPr>
      <xdr:spPr>
        <a:xfrm>
          <a:off x="5195283" y="947461"/>
          <a:ext cx="7022515" cy="2784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u="sng">
              <a:solidFill>
                <a:schemeClr val="bg1">
                  <a:lumMod val="50000"/>
                </a:schemeClr>
              </a:solidFill>
              <a:effectLst/>
              <a:latin typeface="Arial" panose="020B0604020202020204" pitchFamily="34" charset="0"/>
              <a:ea typeface="+mn-ea"/>
              <a:cs typeface="Arial" panose="020B0604020202020204" pitchFamily="34" charset="0"/>
            </a:rPr>
            <a:t>2. Self-assessment process: </a:t>
          </a:r>
        </a:p>
        <a:p>
          <a:endParaRPr lang="pt-BR" sz="1100" b="1" u="sng">
            <a:solidFill>
              <a:schemeClr val="bg1">
                <a:lumMod val="50000"/>
              </a:schemeClr>
            </a:solidFill>
            <a:effectLst/>
            <a:latin typeface="+mn-lt"/>
            <a:ea typeface="+mn-ea"/>
            <a:cs typeface="+mn-cs"/>
          </a:endParaRPr>
        </a:p>
        <a:p>
          <a:r>
            <a:rPr lang="pt-BR" sz="1000" b="0" u="none">
              <a:solidFill>
                <a:schemeClr val="bg1">
                  <a:lumMod val="50000"/>
                </a:schemeClr>
              </a:solidFill>
              <a:effectLst/>
              <a:latin typeface="Arial" panose="020B0604020202020204" pitchFamily="34" charset="0"/>
              <a:ea typeface="+mn-ea"/>
              <a:cs typeface="Arial" panose="020B0604020202020204" pitchFamily="34" charset="0"/>
            </a:rPr>
            <a:t>To carry out the process, self-assessment forms were developed based on the ICMM Validation Guidance. These forms were inserted into an internal collection system, in which each site/corporate area responded questions related to which Performance Expectation (PE), justifying their answers, attaching evidence and describing action plans to improve results. Based on the answers and explanations presented, the unit's level of adherence to the PE is determined, which may vary between Adherent, Partially Adherent, Non-Adherent or Not Applicable, as per the legend below.</a:t>
          </a:r>
        </a:p>
        <a:p>
          <a:r>
            <a:rPr lang="pt-BR" sz="1000" b="0" u="none">
              <a:solidFill>
                <a:schemeClr val="bg1">
                  <a:lumMod val="50000"/>
                </a:schemeClr>
              </a:solidFill>
              <a:effectLst/>
              <a:latin typeface="Arial" panose="020B0604020202020204" pitchFamily="34" charset="0"/>
              <a:ea typeface="+mn-ea"/>
              <a:cs typeface="Arial" panose="020B0604020202020204" pitchFamily="34" charset="0"/>
            </a:rPr>
            <a:t>The self-assessment was carried out in 31 sites</a:t>
          </a:r>
          <a:r>
            <a:rPr lang="pt-BR" sz="1000" b="0" u="none" baseline="0">
              <a:solidFill>
                <a:schemeClr val="bg1">
                  <a:lumMod val="50000"/>
                </a:schemeClr>
              </a:solidFill>
              <a:effectLst/>
              <a:latin typeface="Arial" panose="020B0604020202020204" pitchFamily="34" charset="0"/>
              <a:ea typeface="+mn-ea"/>
              <a:cs typeface="Arial" panose="020B0604020202020204" pitchFamily="34" charset="0"/>
            </a:rPr>
            <a:t> </a:t>
          </a:r>
          <a:r>
            <a:rPr lang="pt-BR" sz="1000" b="0" u="none">
              <a:solidFill>
                <a:schemeClr val="bg1">
                  <a:lumMod val="50000"/>
                </a:schemeClr>
              </a:solidFill>
              <a:effectLst/>
              <a:latin typeface="Arial" panose="020B0604020202020204" pitchFamily="34" charset="0"/>
              <a:ea typeface="+mn-ea"/>
              <a:cs typeface="Arial" panose="020B0604020202020204" pitchFamily="34" charset="0"/>
            </a:rPr>
            <a:t>and corporate areas.</a:t>
          </a:r>
          <a:endParaRPr lang="pt-BR" sz="1000" b="0" u="none">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7</xdr:col>
      <xdr:colOff>591324</xdr:colOff>
      <xdr:row>14</xdr:row>
      <xdr:rowOff>14677</xdr:rowOff>
    </xdr:from>
    <xdr:to>
      <xdr:col>8</xdr:col>
      <xdr:colOff>850446</xdr:colOff>
      <xdr:row>15</xdr:row>
      <xdr:rowOff>66703</xdr:rowOff>
    </xdr:to>
    <xdr:grpSp>
      <xdr:nvGrpSpPr>
        <xdr:cNvPr id="23" name="Agrupar 22">
          <a:extLst>
            <a:ext uri="{FF2B5EF4-FFF2-40B4-BE49-F238E27FC236}">
              <a16:creationId xmlns:a16="http://schemas.microsoft.com/office/drawing/2014/main" id="{00000000-0008-0000-0E00-000017000000}"/>
            </a:ext>
          </a:extLst>
        </xdr:cNvPr>
        <xdr:cNvGrpSpPr>
          <a:grpSpLocks/>
        </xdr:cNvGrpSpPr>
      </xdr:nvGrpSpPr>
      <xdr:grpSpPr bwMode="auto">
        <a:xfrm>
          <a:off x="8623700" y="2659265"/>
          <a:ext cx="1343852" cy="231320"/>
          <a:chOff x="6522246" y="4245768"/>
          <a:chExt cx="1121096" cy="207485"/>
        </a:xfrm>
      </xdr:grpSpPr>
      <xdr:pic>
        <xdr:nvPicPr>
          <xdr:cNvPr id="24" name="Imagem 4">
            <a:extLst>
              <a:ext uri="{FF2B5EF4-FFF2-40B4-BE49-F238E27FC236}">
                <a16:creationId xmlns:a16="http://schemas.microsoft.com/office/drawing/2014/main" id="{00000000-0008-0000-0E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10056" r="70357" b="82323"/>
          <a:stretch>
            <a:fillRect/>
          </a:stretch>
        </xdr:blipFill>
        <xdr:spPr bwMode="auto">
          <a:xfrm>
            <a:off x="6522246" y="4245768"/>
            <a:ext cx="176270" cy="207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5" name="CaixaDeTexto 24">
            <a:extLst>
              <a:ext uri="{FF2B5EF4-FFF2-40B4-BE49-F238E27FC236}">
                <a16:creationId xmlns:a16="http://schemas.microsoft.com/office/drawing/2014/main" id="{00000000-0008-0000-0E00-000019000000}"/>
              </a:ext>
            </a:extLst>
          </xdr:cNvPr>
          <xdr:cNvSpPr txBox="1"/>
        </xdr:nvSpPr>
        <xdr:spPr>
          <a:xfrm>
            <a:off x="6731264" y="4276891"/>
            <a:ext cx="912078" cy="1659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a:solidFill>
                  <a:schemeClr val="bg1">
                    <a:lumMod val="50000"/>
                  </a:schemeClr>
                </a:solidFill>
                <a:latin typeface="+mn-lt"/>
                <a:ea typeface="+mn-ea"/>
                <a:cs typeface="+mn-cs"/>
              </a:rPr>
              <a:t>Non</a:t>
            </a:r>
            <a:r>
              <a:rPr lang="pt-BR" sz="1000" baseline="0">
                <a:solidFill>
                  <a:schemeClr val="bg1">
                    <a:lumMod val="50000"/>
                  </a:schemeClr>
                </a:solidFill>
                <a:latin typeface="+mn-lt"/>
                <a:ea typeface="+mn-ea"/>
                <a:cs typeface="+mn-cs"/>
              </a:rPr>
              <a:t> adherent</a:t>
            </a:r>
            <a:endParaRPr lang="pt-BR" sz="1000">
              <a:solidFill>
                <a:schemeClr val="bg1">
                  <a:lumMod val="50000"/>
                </a:schemeClr>
              </a:solidFill>
              <a:latin typeface="+mn-lt"/>
              <a:ea typeface="+mn-ea"/>
              <a:cs typeface="+mn-cs"/>
            </a:endParaRPr>
          </a:p>
        </xdr:txBody>
      </xdr:sp>
    </xdr:grpSp>
    <xdr:clientData/>
  </xdr:twoCellAnchor>
  <xdr:twoCellAnchor>
    <xdr:from>
      <xdr:col>9</xdr:col>
      <xdr:colOff>67074</xdr:colOff>
      <xdr:row>13</xdr:row>
      <xdr:rowOff>154216</xdr:rowOff>
    </xdr:from>
    <xdr:to>
      <xdr:col>10</xdr:col>
      <xdr:colOff>453572</xdr:colOff>
      <xdr:row>15</xdr:row>
      <xdr:rowOff>108591</xdr:rowOff>
    </xdr:to>
    <xdr:grpSp>
      <xdr:nvGrpSpPr>
        <xdr:cNvPr id="26" name="Agrupar 25">
          <a:extLst>
            <a:ext uri="{FF2B5EF4-FFF2-40B4-BE49-F238E27FC236}">
              <a16:creationId xmlns:a16="http://schemas.microsoft.com/office/drawing/2014/main" id="{00000000-0008-0000-0E00-00001A000000}"/>
            </a:ext>
          </a:extLst>
        </xdr:cNvPr>
        <xdr:cNvGrpSpPr>
          <a:grpSpLocks/>
        </xdr:cNvGrpSpPr>
      </xdr:nvGrpSpPr>
      <xdr:grpSpPr bwMode="auto">
        <a:xfrm>
          <a:off x="10268909" y="2619510"/>
          <a:ext cx="1471228" cy="312963"/>
          <a:chOff x="104775" y="5128445"/>
          <a:chExt cx="1151525" cy="269376"/>
        </a:xfrm>
      </xdr:grpSpPr>
      <xdr:pic>
        <xdr:nvPicPr>
          <xdr:cNvPr id="27" name="Imagem 6">
            <a:extLst>
              <a:ext uri="{FF2B5EF4-FFF2-40B4-BE49-F238E27FC236}">
                <a16:creationId xmlns:a16="http://schemas.microsoft.com/office/drawing/2014/main" id="{00000000-0008-0000-0E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765" t="83202" r="69398" b="9407"/>
          <a:stretch>
            <a:fillRect/>
          </a:stretch>
        </xdr:blipFill>
        <xdr:spPr bwMode="auto">
          <a:xfrm>
            <a:off x="104775" y="5176984"/>
            <a:ext cx="204788" cy="18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8" name="CaixaDeTexto 27">
            <a:extLst>
              <a:ext uri="{FF2B5EF4-FFF2-40B4-BE49-F238E27FC236}">
                <a16:creationId xmlns:a16="http://schemas.microsoft.com/office/drawing/2014/main" id="{00000000-0008-0000-0E00-00001C000000}"/>
              </a:ext>
            </a:extLst>
          </xdr:cNvPr>
          <xdr:cNvSpPr txBox="1"/>
        </xdr:nvSpPr>
        <xdr:spPr>
          <a:xfrm>
            <a:off x="286144" y="5128445"/>
            <a:ext cx="970156" cy="269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a:solidFill>
                  <a:schemeClr val="bg1">
                    <a:lumMod val="50000"/>
                  </a:schemeClr>
                </a:solidFill>
              </a:rPr>
              <a:t>Not Applicable</a:t>
            </a:r>
          </a:p>
        </xdr:txBody>
      </xdr:sp>
    </xdr:grpSp>
    <xdr:clientData/>
  </xdr:twoCellAnchor>
  <xdr:twoCellAnchor>
    <xdr:from>
      <xdr:col>38</xdr:col>
      <xdr:colOff>417796</xdr:colOff>
      <xdr:row>38</xdr:row>
      <xdr:rowOff>470646</xdr:rowOff>
    </xdr:from>
    <xdr:to>
      <xdr:col>38</xdr:col>
      <xdr:colOff>3593424</xdr:colOff>
      <xdr:row>38</xdr:row>
      <xdr:rowOff>721854</xdr:rowOff>
    </xdr:to>
    <xdr:sp macro="" textlink="">
      <xdr:nvSpPr>
        <xdr:cNvPr id="29" name="CaixaDeTexto 28">
          <a:hlinkClick xmlns:r="http://schemas.openxmlformats.org/officeDocument/2006/relationships" r:id="rId3"/>
          <a:extLst>
            <a:ext uri="{FF2B5EF4-FFF2-40B4-BE49-F238E27FC236}">
              <a16:creationId xmlns:a16="http://schemas.microsoft.com/office/drawing/2014/main" id="{00000000-0008-0000-0E00-00001D000000}"/>
            </a:ext>
          </a:extLst>
        </xdr:cNvPr>
        <xdr:cNvSpPr txBox="1"/>
      </xdr:nvSpPr>
      <xdr:spPr>
        <a:xfrm>
          <a:off x="46911002" y="20921381"/>
          <a:ext cx="317562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a:t>
          </a:r>
          <a:r>
            <a:rPr lang="pt-BR" sz="1000" b="0" i="0">
              <a:solidFill>
                <a:srgbClr val="007E7A"/>
              </a:solidFill>
              <a:effectLst/>
              <a:latin typeface="Arial" panose="020B0604020202020204" pitchFamily="34" charset="0"/>
              <a:ea typeface="+mn-ea"/>
              <a:cs typeface="Arial" panose="020B0604020202020204" pitchFamily="34" charset="0"/>
            </a:rPr>
            <a:t>Human Rights</a:t>
          </a:r>
        </a:p>
      </xdr:txBody>
    </xdr:sp>
    <xdr:clientData/>
  </xdr:twoCellAnchor>
  <xdr:twoCellAnchor>
    <xdr:from>
      <xdr:col>38</xdr:col>
      <xdr:colOff>313768</xdr:colOff>
      <xdr:row>40</xdr:row>
      <xdr:rowOff>683557</xdr:rowOff>
    </xdr:from>
    <xdr:to>
      <xdr:col>38</xdr:col>
      <xdr:colOff>4303059</xdr:colOff>
      <xdr:row>40</xdr:row>
      <xdr:rowOff>997322</xdr:rowOff>
    </xdr:to>
    <xdr:sp macro="" textlink="">
      <xdr:nvSpPr>
        <xdr:cNvPr id="32" name="CaixaDeTexto 31">
          <a:hlinkClick xmlns:r="http://schemas.openxmlformats.org/officeDocument/2006/relationships" r:id="rId17"/>
          <a:extLst>
            <a:ext uri="{FF2B5EF4-FFF2-40B4-BE49-F238E27FC236}">
              <a16:creationId xmlns:a16="http://schemas.microsoft.com/office/drawing/2014/main" id="{00000000-0008-0000-0E00-000020000000}"/>
            </a:ext>
          </a:extLst>
        </xdr:cNvPr>
        <xdr:cNvSpPr txBox="1"/>
      </xdr:nvSpPr>
      <xdr:spPr>
        <a:xfrm>
          <a:off x="45899297" y="24764998"/>
          <a:ext cx="3989291"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Indigenous Peoples and Traditional Community</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41</xdr:row>
      <xdr:rowOff>767664</xdr:rowOff>
    </xdr:from>
    <xdr:to>
      <xdr:col>38</xdr:col>
      <xdr:colOff>4213412</xdr:colOff>
      <xdr:row>41</xdr:row>
      <xdr:rowOff>1081429</xdr:rowOff>
    </xdr:to>
    <xdr:sp macro="" textlink="">
      <xdr:nvSpPr>
        <xdr:cNvPr id="33" name="CaixaDeTexto 32">
          <a:hlinkClick xmlns:r="http://schemas.openxmlformats.org/officeDocument/2006/relationships" r:id="rId17"/>
          <a:extLst>
            <a:ext uri="{FF2B5EF4-FFF2-40B4-BE49-F238E27FC236}">
              <a16:creationId xmlns:a16="http://schemas.microsoft.com/office/drawing/2014/main" id="{00000000-0008-0000-0E00-000021000000}"/>
            </a:ext>
          </a:extLst>
        </xdr:cNvPr>
        <xdr:cNvSpPr txBox="1"/>
      </xdr:nvSpPr>
      <xdr:spPr>
        <a:xfrm>
          <a:off x="45899297" y="26686870"/>
          <a:ext cx="3899644"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Indigenous Peoples and Traditional Community</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47</xdr:row>
      <xdr:rowOff>1086970</xdr:rowOff>
    </xdr:from>
    <xdr:to>
      <xdr:col>38</xdr:col>
      <xdr:colOff>3495746</xdr:colOff>
      <xdr:row>47</xdr:row>
      <xdr:rowOff>1338178</xdr:rowOff>
    </xdr:to>
    <xdr:sp macro="" textlink="">
      <xdr:nvSpPr>
        <xdr:cNvPr id="35" name="CaixaDeTexto 34">
          <a:hlinkClick xmlns:r="http://schemas.openxmlformats.org/officeDocument/2006/relationships" r:id="rId2"/>
          <a:extLst>
            <a:ext uri="{FF2B5EF4-FFF2-40B4-BE49-F238E27FC236}">
              <a16:creationId xmlns:a16="http://schemas.microsoft.com/office/drawing/2014/main" id="{00000000-0008-0000-0E00-000023000000}"/>
            </a:ext>
          </a:extLst>
        </xdr:cNvPr>
        <xdr:cNvSpPr txBox="1"/>
      </xdr:nvSpPr>
      <xdr:spPr>
        <a:xfrm>
          <a:off x="45899297" y="36710470"/>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a:t>
          </a:r>
          <a:r>
            <a:rPr lang="pt-BR" sz="1000" b="0" i="0">
              <a:solidFill>
                <a:srgbClr val="007E7A"/>
              </a:solidFill>
              <a:effectLst/>
              <a:latin typeface="Arial" panose="020B0604020202020204" pitchFamily="34" charset="0"/>
              <a:ea typeface="+mn-ea"/>
              <a:cs typeface="Arial" panose="020B0604020202020204" pitchFamily="34" charset="0"/>
            </a:rPr>
            <a:t>Impact to Communities</a:t>
          </a:r>
        </a:p>
      </xdr:txBody>
    </xdr:sp>
    <xdr:clientData/>
  </xdr:twoCellAnchor>
  <xdr:twoCellAnchor>
    <xdr:from>
      <xdr:col>38</xdr:col>
      <xdr:colOff>313768</xdr:colOff>
      <xdr:row>63</xdr:row>
      <xdr:rowOff>448235</xdr:rowOff>
    </xdr:from>
    <xdr:to>
      <xdr:col>38</xdr:col>
      <xdr:colOff>3495746</xdr:colOff>
      <xdr:row>63</xdr:row>
      <xdr:rowOff>699443</xdr:rowOff>
    </xdr:to>
    <xdr:sp macro="" textlink="">
      <xdr:nvSpPr>
        <xdr:cNvPr id="37" name="CaixaDeTexto 36">
          <a:hlinkClick xmlns:r="http://schemas.openxmlformats.org/officeDocument/2006/relationships" r:id="rId16"/>
          <a:extLst>
            <a:ext uri="{FF2B5EF4-FFF2-40B4-BE49-F238E27FC236}">
              <a16:creationId xmlns:a16="http://schemas.microsoft.com/office/drawing/2014/main" id="{00000000-0008-0000-0E00-000025000000}"/>
            </a:ext>
          </a:extLst>
        </xdr:cNvPr>
        <xdr:cNvSpPr txBox="1"/>
      </xdr:nvSpPr>
      <xdr:spPr>
        <a:xfrm>
          <a:off x="45899297" y="58528323"/>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Occupational Health and Safety</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59</xdr:row>
      <xdr:rowOff>560290</xdr:rowOff>
    </xdr:from>
    <xdr:to>
      <xdr:col>38</xdr:col>
      <xdr:colOff>3485895</xdr:colOff>
      <xdr:row>59</xdr:row>
      <xdr:rowOff>811498</xdr:rowOff>
    </xdr:to>
    <xdr:sp macro="" textlink="">
      <xdr:nvSpPr>
        <xdr:cNvPr id="38" name="CaixaDeTexto 37">
          <a:hlinkClick xmlns:r="http://schemas.openxmlformats.org/officeDocument/2006/relationships" r:id="rId18"/>
          <a:extLst>
            <a:ext uri="{FF2B5EF4-FFF2-40B4-BE49-F238E27FC236}">
              <a16:creationId xmlns:a16="http://schemas.microsoft.com/office/drawing/2014/main" id="{00000000-0008-0000-0E00-000026000000}"/>
            </a:ext>
          </a:extLst>
        </xdr:cNvPr>
        <xdr:cNvSpPr txBox="1"/>
      </xdr:nvSpPr>
      <xdr:spPr>
        <a:xfrm>
          <a:off x="45899297" y="46594055"/>
          <a:ext cx="3172127"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Biodiversity</a:t>
          </a:r>
        </a:p>
      </xdr:txBody>
    </xdr:sp>
    <xdr:clientData/>
  </xdr:twoCellAnchor>
  <xdr:twoCellAnchor>
    <xdr:from>
      <xdr:col>38</xdr:col>
      <xdr:colOff>313768</xdr:colOff>
      <xdr:row>54</xdr:row>
      <xdr:rowOff>537883</xdr:rowOff>
    </xdr:from>
    <xdr:to>
      <xdr:col>38</xdr:col>
      <xdr:colOff>3495746</xdr:colOff>
      <xdr:row>54</xdr:row>
      <xdr:rowOff>789091</xdr:rowOff>
    </xdr:to>
    <xdr:sp macro="" textlink="">
      <xdr:nvSpPr>
        <xdr:cNvPr id="40" name="CaixaDeTexto 39">
          <a:hlinkClick xmlns:r="http://schemas.openxmlformats.org/officeDocument/2006/relationships" r:id="rId19"/>
          <a:extLst>
            <a:ext uri="{FF2B5EF4-FFF2-40B4-BE49-F238E27FC236}">
              <a16:creationId xmlns:a16="http://schemas.microsoft.com/office/drawing/2014/main" id="{00000000-0008-0000-0E00-000028000000}"/>
            </a:ext>
          </a:extLst>
        </xdr:cNvPr>
        <xdr:cNvSpPr txBox="1"/>
      </xdr:nvSpPr>
      <xdr:spPr>
        <a:xfrm>
          <a:off x="45899297" y="44027912"/>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Water and effluents</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57</xdr:row>
      <xdr:rowOff>246529</xdr:rowOff>
    </xdr:from>
    <xdr:to>
      <xdr:col>38</xdr:col>
      <xdr:colOff>3495746</xdr:colOff>
      <xdr:row>57</xdr:row>
      <xdr:rowOff>497737</xdr:rowOff>
    </xdr:to>
    <xdr:sp macro="" textlink="">
      <xdr:nvSpPr>
        <xdr:cNvPr id="41" name="CaixaDeTexto 40">
          <a:hlinkClick xmlns:r="http://schemas.openxmlformats.org/officeDocument/2006/relationships" r:id="rId20"/>
          <a:extLst>
            <a:ext uri="{FF2B5EF4-FFF2-40B4-BE49-F238E27FC236}">
              <a16:creationId xmlns:a16="http://schemas.microsoft.com/office/drawing/2014/main" id="{00000000-0008-0000-0E00-000029000000}"/>
            </a:ext>
          </a:extLst>
        </xdr:cNvPr>
        <xdr:cNvSpPr txBox="1"/>
      </xdr:nvSpPr>
      <xdr:spPr>
        <a:xfrm>
          <a:off x="45899297" y="47703441"/>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Climate Change</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56</xdr:row>
      <xdr:rowOff>190501</xdr:rowOff>
    </xdr:from>
    <xdr:to>
      <xdr:col>38</xdr:col>
      <xdr:colOff>3495746</xdr:colOff>
      <xdr:row>56</xdr:row>
      <xdr:rowOff>441709</xdr:rowOff>
    </xdr:to>
    <xdr:sp macro="" textlink="">
      <xdr:nvSpPr>
        <xdr:cNvPr id="42" name="CaixaDeTexto 41">
          <a:hlinkClick xmlns:r="http://schemas.openxmlformats.org/officeDocument/2006/relationships" r:id="rId21"/>
          <a:extLst>
            <a:ext uri="{FF2B5EF4-FFF2-40B4-BE49-F238E27FC236}">
              <a16:creationId xmlns:a16="http://schemas.microsoft.com/office/drawing/2014/main" id="{00000000-0008-0000-0E00-00002A000000}"/>
            </a:ext>
          </a:extLst>
        </xdr:cNvPr>
        <xdr:cNvSpPr txBox="1"/>
      </xdr:nvSpPr>
      <xdr:spPr>
        <a:xfrm>
          <a:off x="45899297" y="46347530"/>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Environment</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56</xdr:row>
      <xdr:rowOff>504264</xdr:rowOff>
    </xdr:from>
    <xdr:to>
      <xdr:col>38</xdr:col>
      <xdr:colOff>3977230</xdr:colOff>
      <xdr:row>56</xdr:row>
      <xdr:rowOff>765940</xdr:rowOff>
    </xdr:to>
    <xdr:sp macro="" textlink="">
      <xdr:nvSpPr>
        <xdr:cNvPr id="43" name="CaixaDeTexto 42">
          <a:hlinkClick xmlns:r="http://schemas.openxmlformats.org/officeDocument/2006/relationships" r:id="rId22"/>
          <a:extLst>
            <a:ext uri="{FF2B5EF4-FFF2-40B4-BE49-F238E27FC236}">
              <a16:creationId xmlns:a16="http://schemas.microsoft.com/office/drawing/2014/main" id="{00000000-0008-0000-0E00-00002B000000}"/>
            </a:ext>
          </a:extLst>
        </xdr:cNvPr>
        <xdr:cNvSpPr txBox="1"/>
      </xdr:nvSpPr>
      <xdr:spPr>
        <a:xfrm>
          <a:off x="45899297" y="46661293"/>
          <a:ext cx="3663462" cy="261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a:t>
          </a:r>
          <a:r>
            <a:rPr lang="pt-BR" sz="10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Vale 2022 Integrated Report </a:t>
          </a:r>
        </a:p>
      </xdr:txBody>
    </xdr:sp>
    <xdr:clientData/>
  </xdr:twoCellAnchor>
  <xdr:twoCellAnchor>
    <xdr:from>
      <xdr:col>38</xdr:col>
      <xdr:colOff>313768</xdr:colOff>
      <xdr:row>57</xdr:row>
      <xdr:rowOff>578224</xdr:rowOff>
    </xdr:from>
    <xdr:to>
      <xdr:col>38</xdr:col>
      <xdr:colOff>3495746</xdr:colOff>
      <xdr:row>57</xdr:row>
      <xdr:rowOff>829432</xdr:rowOff>
    </xdr:to>
    <xdr:sp macro="" textlink="">
      <xdr:nvSpPr>
        <xdr:cNvPr id="44" name="CaixaDeTexto 43">
          <a:hlinkClick xmlns:r="http://schemas.openxmlformats.org/officeDocument/2006/relationships" r:id="rId23"/>
          <a:extLst>
            <a:ext uri="{FF2B5EF4-FFF2-40B4-BE49-F238E27FC236}">
              <a16:creationId xmlns:a16="http://schemas.microsoft.com/office/drawing/2014/main" id="{00000000-0008-0000-0E00-00002C000000}"/>
            </a:ext>
          </a:extLst>
        </xdr:cNvPr>
        <xdr:cNvSpPr txBox="1"/>
      </xdr:nvSpPr>
      <xdr:spPr>
        <a:xfrm>
          <a:off x="45899297" y="48035136"/>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Climate Change Report</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302562</xdr:colOff>
      <xdr:row>55</xdr:row>
      <xdr:rowOff>439269</xdr:rowOff>
    </xdr:from>
    <xdr:to>
      <xdr:col>38</xdr:col>
      <xdr:colOff>4087910</xdr:colOff>
      <xdr:row>55</xdr:row>
      <xdr:rowOff>818027</xdr:rowOff>
    </xdr:to>
    <xdr:sp macro="" textlink="">
      <xdr:nvSpPr>
        <xdr:cNvPr id="46" name="CaixaDeTexto 45">
          <a:hlinkClick xmlns:r="http://schemas.openxmlformats.org/officeDocument/2006/relationships" r:id="rId24"/>
          <a:extLst>
            <a:ext uri="{FF2B5EF4-FFF2-40B4-BE49-F238E27FC236}">
              <a16:creationId xmlns:a16="http://schemas.microsoft.com/office/drawing/2014/main" id="{00000000-0008-0000-0E00-00002E000000}"/>
            </a:ext>
          </a:extLst>
        </xdr:cNvPr>
        <xdr:cNvSpPr txBox="1"/>
      </xdr:nvSpPr>
      <xdr:spPr>
        <a:xfrm>
          <a:off x="45888091" y="42382887"/>
          <a:ext cx="3785348" cy="3787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GISTM 2021 Self-Assessment - Executive Summary</a:t>
          </a:r>
        </a:p>
      </xdr:txBody>
    </xdr:sp>
    <xdr:clientData/>
  </xdr:twoCellAnchor>
  <xdr:twoCellAnchor>
    <xdr:from>
      <xdr:col>38</xdr:col>
      <xdr:colOff>313768</xdr:colOff>
      <xdr:row>30</xdr:row>
      <xdr:rowOff>160811</xdr:rowOff>
    </xdr:from>
    <xdr:to>
      <xdr:col>38</xdr:col>
      <xdr:colOff>2876005</xdr:colOff>
      <xdr:row>30</xdr:row>
      <xdr:rowOff>446517</xdr:rowOff>
    </xdr:to>
    <xdr:sp macro="" textlink="">
      <xdr:nvSpPr>
        <xdr:cNvPr id="47" name="CaixaDeTexto 46">
          <a:hlinkClick xmlns:r="http://schemas.openxmlformats.org/officeDocument/2006/relationships" r:id="rId25"/>
          <a:extLst>
            <a:ext uri="{FF2B5EF4-FFF2-40B4-BE49-F238E27FC236}">
              <a16:creationId xmlns:a16="http://schemas.microsoft.com/office/drawing/2014/main" id="{00000000-0008-0000-0E00-00002F000000}"/>
            </a:ext>
          </a:extLst>
        </xdr:cNvPr>
        <xdr:cNvSpPr txBox="1"/>
      </xdr:nvSpPr>
      <xdr:spPr>
        <a:xfrm>
          <a:off x="45899297" y="11658046"/>
          <a:ext cx="2562237" cy="28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b="0" i="0">
              <a:solidFill>
                <a:srgbClr val="007E7A"/>
              </a:solidFill>
              <a:effectLst/>
              <a:latin typeface="Arial" panose="020B0604020202020204" pitchFamily="34" charset="0"/>
              <a:ea typeface="+mn-ea"/>
              <a:cs typeface="Arial" panose="020B0604020202020204" pitchFamily="34" charset="0"/>
            </a:rPr>
            <a:t>Code of Conduct Vale</a:t>
          </a:r>
        </a:p>
      </xdr:txBody>
    </xdr:sp>
    <xdr:clientData/>
  </xdr:twoCellAnchor>
  <xdr:twoCellAnchor>
    <xdr:from>
      <xdr:col>38</xdr:col>
      <xdr:colOff>313768</xdr:colOff>
      <xdr:row>30</xdr:row>
      <xdr:rowOff>536841</xdr:rowOff>
    </xdr:from>
    <xdr:to>
      <xdr:col>38</xdr:col>
      <xdr:colOff>2876005</xdr:colOff>
      <xdr:row>30</xdr:row>
      <xdr:rowOff>822547</xdr:rowOff>
    </xdr:to>
    <xdr:sp macro="" textlink="">
      <xdr:nvSpPr>
        <xdr:cNvPr id="48" name="CaixaDeTexto 47">
          <a:hlinkClick xmlns:r="http://schemas.openxmlformats.org/officeDocument/2006/relationships" r:id="rId26"/>
          <a:extLst>
            <a:ext uri="{FF2B5EF4-FFF2-40B4-BE49-F238E27FC236}">
              <a16:creationId xmlns:a16="http://schemas.microsoft.com/office/drawing/2014/main" id="{00000000-0008-0000-0E00-000030000000}"/>
            </a:ext>
          </a:extLst>
        </xdr:cNvPr>
        <xdr:cNvSpPr txBox="1"/>
      </xdr:nvSpPr>
      <xdr:spPr>
        <a:xfrm>
          <a:off x="45899297" y="12034076"/>
          <a:ext cx="2562237" cy="28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b="0" i="0">
              <a:solidFill>
                <a:srgbClr val="007E7A"/>
              </a:solidFill>
              <a:effectLst/>
              <a:latin typeface="Arial" panose="020B0604020202020204" pitchFamily="34" charset="0"/>
              <a:ea typeface="+mn-ea"/>
              <a:cs typeface="Arial" panose="020B0604020202020204" pitchFamily="34" charset="0"/>
            </a:rPr>
            <a:t>BY-LAWS</a:t>
          </a:r>
        </a:p>
      </xdr:txBody>
    </xdr:sp>
    <xdr:clientData/>
  </xdr:twoCellAnchor>
  <xdr:twoCellAnchor>
    <xdr:from>
      <xdr:col>4</xdr:col>
      <xdr:colOff>907142</xdr:colOff>
      <xdr:row>14</xdr:row>
      <xdr:rowOff>18009</xdr:rowOff>
    </xdr:from>
    <xdr:to>
      <xdr:col>5</xdr:col>
      <xdr:colOff>895803</xdr:colOff>
      <xdr:row>15</xdr:row>
      <xdr:rowOff>63370</xdr:rowOff>
    </xdr:to>
    <xdr:grpSp>
      <xdr:nvGrpSpPr>
        <xdr:cNvPr id="54" name="Agrupar 53">
          <a:extLst>
            <a:ext uri="{FF2B5EF4-FFF2-40B4-BE49-F238E27FC236}">
              <a16:creationId xmlns:a16="http://schemas.microsoft.com/office/drawing/2014/main" id="{00000000-0008-0000-0E00-000036000000}"/>
            </a:ext>
          </a:extLst>
        </xdr:cNvPr>
        <xdr:cNvGrpSpPr>
          <a:grpSpLocks/>
        </xdr:cNvGrpSpPr>
      </xdr:nvGrpSpPr>
      <xdr:grpSpPr bwMode="auto">
        <a:xfrm>
          <a:off x="5263989" y="2662597"/>
          <a:ext cx="1494732" cy="224655"/>
          <a:chOff x="104775" y="4521994"/>
          <a:chExt cx="1062037" cy="170331"/>
        </a:xfrm>
      </xdr:grpSpPr>
      <xdr:pic>
        <xdr:nvPicPr>
          <xdr:cNvPr id="55" name="Imagem 7">
            <a:extLst>
              <a:ext uri="{FF2B5EF4-FFF2-40B4-BE49-F238E27FC236}">
                <a16:creationId xmlns:a16="http://schemas.microsoft.com/office/drawing/2014/main" id="{00000000-0008-0000-0E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7831" t="83241" r="24266" b="9698"/>
          <a:stretch>
            <a:fillRect/>
          </a:stretch>
        </xdr:blipFill>
        <xdr:spPr bwMode="auto">
          <a:xfrm>
            <a:off x="104775" y="4521994"/>
            <a:ext cx="191090" cy="168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6" name="CaixaDeTexto 55">
            <a:extLst>
              <a:ext uri="{FF2B5EF4-FFF2-40B4-BE49-F238E27FC236}">
                <a16:creationId xmlns:a16="http://schemas.microsoft.com/office/drawing/2014/main" id="{00000000-0008-0000-0E00-000038000000}"/>
              </a:ext>
            </a:extLst>
          </xdr:cNvPr>
          <xdr:cNvSpPr txBox="1"/>
        </xdr:nvSpPr>
        <xdr:spPr>
          <a:xfrm>
            <a:off x="296133" y="4532641"/>
            <a:ext cx="870679" cy="1596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00">
                <a:solidFill>
                  <a:schemeClr val="bg1">
                    <a:lumMod val="50000"/>
                  </a:schemeClr>
                </a:solidFill>
                <a:latin typeface="+mn-lt"/>
                <a:ea typeface="+mn-ea"/>
                <a:cs typeface="+mn-cs"/>
              </a:rPr>
              <a:t>Adherent</a:t>
            </a:r>
          </a:p>
        </xdr:txBody>
      </xdr:sp>
    </xdr:grpSp>
    <xdr:clientData/>
  </xdr:twoCellAnchor>
  <xdr:twoCellAnchor>
    <xdr:from>
      <xdr:col>5</xdr:col>
      <xdr:colOff>719122</xdr:colOff>
      <xdr:row>14</xdr:row>
      <xdr:rowOff>19741</xdr:rowOff>
    </xdr:from>
    <xdr:to>
      <xdr:col>7</xdr:col>
      <xdr:colOff>442232</xdr:colOff>
      <xdr:row>15</xdr:row>
      <xdr:rowOff>61639</xdr:rowOff>
    </xdr:to>
    <xdr:grpSp>
      <xdr:nvGrpSpPr>
        <xdr:cNvPr id="57" name="Agrupar 56">
          <a:extLst>
            <a:ext uri="{FF2B5EF4-FFF2-40B4-BE49-F238E27FC236}">
              <a16:creationId xmlns:a16="http://schemas.microsoft.com/office/drawing/2014/main" id="{00000000-0008-0000-0E00-000039000000}"/>
            </a:ext>
          </a:extLst>
        </xdr:cNvPr>
        <xdr:cNvGrpSpPr>
          <a:grpSpLocks/>
        </xdr:cNvGrpSpPr>
      </xdr:nvGrpSpPr>
      <xdr:grpSpPr bwMode="auto">
        <a:xfrm>
          <a:off x="6582040" y="2664329"/>
          <a:ext cx="1892568" cy="221192"/>
          <a:chOff x="1826417" y="4918591"/>
          <a:chExt cx="1999152" cy="286668"/>
        </a:xfrm>
      </xdr:grpSpPr>
      <xdr:pic>
        <xdr:nvPicPr>
          <xdr:cNvPr id="58" name="Imagem 5">
            <a:extLst>
              <a:ext uri="{FF2B5EF4-FFF2-40B4-BE49-F238E27FC236}">
                <a16:creationId xmlns:a16="http://schemas.microsoft.com/office/drawing/2014/main" id="{00000000-0008-0000-0E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864" t="46657" r="24275" b="45712"/>
          <a:stretch>
            <a:fillRect/>
          </a:stretch>
        </xdr:blipFill>
        <xdr:spPr bwMode="auto">
          <a:xfrm>
            <a:off x="1826417" y="4918591"/>
            <a:ext cx="336838" cy="286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9" name="CaixaDeTexto 58">
            <a:extLst>
              <a:ext uri="{FF2B5EF4-FFF2-40B4-BE49-F238E27FC236}">
                <a16:creationId xmlns:a16="http://schemas.microsoft.com/office/drawing/2014/main" id="{00000000-0008-0000-0E00-00003B000000}"/>
              </a:ext>
            </a:extLst>
          </xdr:cNvPr>
          <xdr:cNvSpPr txBox="1"/>
        </xdr:nvSpPr>
        <xdr:spPr>
          <a:xfrm>
            <a:off x="2160958" y="4958940"/>
            <a:ext cx="1664611" cy="1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pt-BR" sz="1000">
                <a:solidFill>
                  <a:schemeClr val="bg1">
                    <a:lumMod val="50000"/>
                  </a:schemeClr>
                </a:solidFill>
                <a:latin typeface="+mn-lt"/>
                <a:ea typeface="+mn-ea"/>
                <a:cs typeface="+mn-cs"/>
              </a:rPr>
              <a:t>Partially adherent</a:t>
            </a:r>
          </a:p>
        </xdr:txBody>
      </xdr:sp>
    </xdr:grpSp>
    <xdr:clientData/>
  </xdr:twoCellAnchor>
  <xdr:twoCellAnchor editAs="absolute">
    <xdr:from>
      <xdr:col>4</xdr:col>
      <xdr:colOff>8688</xdr:colOff>
      <xdr:row>0</xdr:row>
      <xdr:rowOff>49708</xdr:rowOff>
    </xdr:from>
    <xdr:to>
      <xdr:col>4</xdr:col>
      <xdr:colOff>1086997</xdr:colOff>
      <xdr:row>0</xdr:row>
      <xdr:rowOff>314945</xdr:rowOff>
    </xdr:to>
    <xdr:sp macro="" textlink="">
      <xdr:nvSpPr>
        <xdr:cNvPr id="88" name="CaixaDeTexto 8">
          <a:hlinkClick xmlns:r="http://schemas.openxmlformats.org/officeDocument/2006/relationships" r:id="rId27"/>
          <a:extLst>
            <a:ext uri="{FF2B5EF4-FFF2-40B4-BE49-F238E27FC236}">
              <a16:creationId xmlns:a16="http://schemas.microsoft.com/office/drawing/2014/main" id="{00000000-0008-0000-0E00-000058000000}"/>
            </a:ext>
          </a:extLst>
        </xdr:cNvPr>
        <xdr:cNvSpPr txBox="1"/>
      </xdr:nvSpPr>
      <xdr:spPr>
        <a:xfrm>
          <a:off x="4234613" y="46533"/>
          <a:ext cx="1091009"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2295213</xdr:colOff>
      <xdr:row>0</xdr:row>
      <xdr:rowOff>49708</xdr:rowOff>
    </xdr:from>
    <xdr:to>
      <xdr:col>2</xdr:col>
      <xdr:colOff>3104625</xdr:colOff>
      <xdr:row>0</xdr:row>
      <xdr:rowOff>314945</xdr:rowOff>
    </xdr:to>
    <xdr:sp macro="" textlink="">
      <xdr:nvSpPr>
        <xdr:cNvPr id="89" name="CaixaDeTexto 9">
          <a:hlinkClick xmlns:r="http://schemas.openxmlformats.org/officeDocument/2006/relationships" r:id="rId28"/>
          <a:extLst>
            <a:ext uri="{FF2B5EF4-FFF2-40B4-BE49-F238E27FC236}">
              <a16:creationId xmlns:a16="http://schemas.microsoft.com/office/drawing/2014/main" id="{00000000-0008-0000-0E00-000059000000}"/>
            </a:ext>
          </a:extLst>
        </xdr:cNvPr>
        <xdr:cNvSpPr txBox="1"/>
      </xdr:nvSpPr>
      <xdr:spPr>
        <a:xfrm>
          <a:off x="2911163" y="46533"/>
          <a:ext cx="812587"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5</xdr:col>
      <xdr:colOff>131010</xdr:colOff>
      <xdr:row>0</xdr:row>
      <xdr:rowOff>49708</xdr:rowOff>
    </xdr:from>
    <xdr:to>
      <xdr:col>5</xdr:col>
      <xdr:colOff>978939</xdr:colOff>
      <xdr:row>0</xdr:row>
      <xdr:rowOff>314945</xdr:rowOff>
    </xdr:to>
    <xdr:sp macro="" textlink="">
      <xdr:nvSpPr>
        <xdr:cNvPr id="90" name="CaixaDeTexto 10">
          <a:hlinkClick xmlns:r="http://schemas.openxmlformats.org/officeDocument/2006/relationships" r:id="rId29"/>
          <a:extLst>
            <a:ext uri="{FF2B5EF4-FFF2-40B4-BE49-F238E27FC236}">
              <a16:creationId xmlns:a16="http://schemas.microsoft.com/office/drawing/2014/main" id="{00000000-0008-0000-0E00-00005A000000}"/>
            </a:ext>
          </a:extLst>
        </xdr:cNvPr>
        <xdr:cNvSpPr txBox="1"/>
      </xdr:nvSpPr>
      <xdr:spPr>
        <a:xfrm>
          <a:off x="5836485" y="46533"/>
          <a:ext cx="851104"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6</xdr:col>
      <xdr:colOff>445227</xdr:colOff>
      <xdr:row>0</xdr:row>
      <xdr:rowOff>46533</xdr:rowOff>
    </xdr:from>
    <xdr:to>
      <xdr:col>7</xdr:col>
      <xdr:colOff>387350</xdr:colOff>
      <xdr:row>0</xdr:row>
      <xdr:rowOff>311770</xdr:rowOff>
    </xdr:to>
    <xdr:sp macro="" textlink="">
      <xdr:nvSpPr>
        <xdr:cNvPr id="91" name="CaixaDeTexto 11">
          <a:hlinkClick xmlns:r="http://schemas.openxmlformats.org/officeDocument/2006/relationships" r:id="rId30"/>
          <a:extLst>
            <a:ext uri="{FF2B5EF4-FFF2-40B4-BE49-F238E27FC236}">
              <a16:creationId xmlns:a16="http://schemas.microsoft.com/office/drawing/2014/main" id="{00000000-0008-0000-0E00-00005B000000}"/>
            </a:ext>
          </a:extLst>
        </xdr:cNvPr>
        <xdr:cNvSpPr txBox="1"/>
      </xdr:nvSpPr>
      <xdr:spPr>
        <a:xfrm>
          <a:off x="7515952" y="49708"/>
          <a:ext cx="1037498" cy="26523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7</xdr:col>
      <xdr:colOff>797540</xdr:colOff>
      <xdr:row>0</xdr:row>
      <xdr:rowOff>49708</xdr:rowOff>
    </xdr:from>
    <xdr:to>
      <xdr:col>8</xdr:col>
      <xdr:colOff>353269</xdr:colOff>
      <xdr:row>0</xdr:row>
      <xdr:rowOff>314945</xdr:rowOff>
    </xdr:to>
    <xdr:sp macro="" textlink="">
      <xdr:nvSpPr>
        <xdr:cNvPr id="92" name="CaixaDeTexto 12">
          <a:hlinkClick xmlns:r="http://schemas.openxmlformats.org/officeDocument/2006/relationships" r:id="rId31"/>
          <a:extLst>
            <a:ext uri="{FF2B5EF4-FFF2-40B4-BE49-F238E27FC236}">
              <a16:creationId xmlns:a16="http://schemas.microsoft.com/office/drawing/2014/main" id="{00000000-0008-0000-0E00-00005C000000}"/>
            </a:ext>
          </a:extLst>
        </xdr:cNvPr>
        <xdr:cNvSpPr txBox="1"/>
      </xdr:nvSpPr>
      <xdr:spPr>
        <a:xfrm>
          <a:off x="8598515" y="46533"/>
          <a:ext cx="606654"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8</xdr:col>
      <xdr:colOff>864131</xdr:colOff>
      <xdr:row>0</xdr:row>
      <xdr:rowOff>49708</xdr:rowOff>
    </xdr:from>
    <xdr:to>
      <xdr:col>9</xdr:col>
      <xdr:colOff>685800</xdr:colOff>
      <xdr:row>0</xdr:row>
      <xdr:rowOff>314945</xdr:rowOff>
    </xdr:to>
    <xdr:sp macro="" textlink="">
      <xdr:nvSpPr>
        <xdr:cNvPr id="93" name="CaixaDeTexto 13">
          <a:hlinkClick xmlns:r="http://schemas.openxmlformats.org/officeDocument/2006/relationships" r:id="rId32"/>
          <a:extLst>
            <a:ext uri="{FF2B5EF4-FFF2-40B4-BE49-F238E27FC236}">
              <a16:creationId xmlns:a16="http://schemas.microsoft.com/office/drawing/2014/main" id="{00000000-0008-0000-0E00-00005D000000}"/>
            </a:ext>
          </a:extLst>
        </xdr:cNvPr>
        <xdr:cNvSpPr txBox="1"/>
      </xdr:nvSpPr>
      <xdr:spPr>
        <a:xfrm>
          <a:off x="9716031" y="46533"/>
          <a:ext cx="866244"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2</xdr:col>
      <xdr:colOff>869108</xdr:colOff>
      <xdr:row>0</xdr:row>
      <xdr:rowOff>49708</xdr:rowOff>
    </xdr:from>
    <xdr:to>
      <xdr:col>2</xdr:col>
      <xdr:colOff>1778000</xdr:colOff>
      <xdr:row>0</xdr:row>
      <xdr:rowOff>314945</xdr:rowOff>
    </xdr:to>
    <xdr:sp macro="" textlink="">
      <xdr:nvSpPr>
        <xdr:cNvPr id="94" name="CaixaDeTexto 15">
          <a:hlinkClick xmlns:r="http://schemas.openxmlformats.org/officeDocument/2006/relationships" r:id="rId33"/>
          <a:extLst>
            <a:ext uri="{FF2B5EF4-FFF2-40B4-BE49-F238E27FC236}">
              <a16:creationId xmlns:a16="http://schemas.microsoft.com/office/drawing/2014/main" id="{00000000-0008-0000-0E00-00005E000000}"/>
            </a:ext>
          </a:extLst>
        </xdr:cNvPr>
        <xdr:cNvSpPr txBox="1"/>
      </xdr:nvSpPr>
      <xdr:spPr>
        <a:xfrm>
          <a:off x="1485058" y="46533"/>
          <a:ext cx="915242"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19050</xdr:colOff>
      <xdr:row>0</xdr:row>
      <xdr:rowOff>38099</xdr:rowOff>
    </xdr:from>
    <xdr:to>
      <xdr:col>2</xdr:col>
      <xdr:colOff>9525</xdr:colOff>
      <xdr:row>0</xdr:row>
      <xdr:rowOff>333355</xdr:rowOff>
    </xdr:to>
    <xdr:sp macro="" textlink="">
      <xdr:nvSpPr>
        <xdr:cNvPr id="95" name="CaixaDeTexto 14">
          <a:hlinkClick xmlns:r="http://schemas.openxmlformats.org/officeDocument/2006/relationships" r:id="rId34"/>
          <a:extLst>
            <a:ext uri="{FF2B5EF4-FFF2-40B4-BE49-F238E27FC236}">
              <a16:creationId xmlns:a16="http://schemas.microsoft.com/office/drawing/2014/main" id="{00000000-0008-0000-0E00-00005F000000}"/>
            </a:ext>
          </a:extLst>
        </xdr:cNvPr>
        <xdr:cNvSpPr txBox="1"/>
      </xdr:nvSpPr>
      <xdr:spPr>
        <a:xfrm>
          <a:off x="19050" y="38099"/>
          <a:ext cx="606425" cy="298431"/>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xdr:from>
      <xdr:col>38</xdr:col>
      <xdr:colOff>313768</xdr:colOff>
      <xdr:row>51</xdr:row>
      <xdr:rowOff>714539</xdr:rowOff>
    </xdr:from>
    <xdr:to>
      <xdr:col>38</xdr:col>
      <xdr:colOff>3495746</xdr:colOff>
      <xdr:row>51</xdr:row>
      <xdr:rowOff>965747</xdr:rowOff>
    </xdr:to>
    <xdr:sp macro="" textlink="">
      <xdr:nvSpPr>
        <xdr:cNvPr id="51" name="CaixaDeTexto 50">
          <a:hlinkClick xmlns:r="http://schemas.openxmlformats.org/officeDocument/2006/relationships" r:id="rId16"/>
          <a:extLst>
            <a:ext uri="{FF2B5EF4-FFF2-40B4-BE49-F238E27FC236}">
              <a16:creationId xmlns:a16="http://schemas.microsoft.com/office/drawing/2014/main" id="{00000000-0008-0000-0E00-000033000000}"/>
            </a:ext>
          </a:extLst>
        </xdr:cNvPr>
        <xdr:cNvSpPr txBox="1"/>
      </xdr:nvSpPr>
      <xdr:spPr>
        <a:xfrm>
          <a:off x="45899297" y="38187010"/>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Occupational Health and Safety</a:t>
          </a:r>
        </a:p>
        <a:p>
          <a:pPr marL="0" marR="0" lvl="0" indent="0" defTabSz="914400" eaLnBrk="1" fontAlgn="auto" latinLnBrk="0" hangingPunct="1">
            <a:lnSpc>
              <a:spcPct val="100000"/>
            </a:lnSpc>
            <a:spcBef>
              <a:spcPts val="0"/>
            </a:spcBef>
            <a:spcAft>
              <a:spcPts val="0"/>
            </a:spcAft>
            <a:buClrTx/>
            <a:buSzTx/>
            <a:buFontTx/>
            <a:buNone/>
            <a:tabLst/>
            <a:defRPr/>
          </a:pP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313768</xdr:colOff>
      <xdr:row>60</xdr:row>
      <xdr:rowOff>421337</xdr:rowOff>
    </xdr:from>
    <xdr:to>
      <xdr:col>38</xdr:col>
      <xdr:colOff>3485895</xdr:colOff>
      <xdr:row>60</xdr:row>
      <xdr:rowOff>672545</xdr:rowOff>
    </xdr:to>
    <xdr:sp macro="" textlink="">
      <xdr:nvSpPr>
        <xdr:cNvPr id="52" name="CaixaDeTexto 51">
          <a:hlinkClick xmlns:r="http://schemas.openxmlformats.org/officeDocument/2006/relationships" r:id="rId18"/>
          <a:extLst>
            <a:ext uri="{FF2B5EF4-FFF2-40B4-BE49-F238E27FC236}">
              <a16:creationId xmlns:a16="http://schemas.microsoft.com/office/drawing/2014/main" id="{00000000-0008-0000-0E00-000034000000}"/>
            </a:ext>
          </a:extLst>
        </xdr:cNvPr>
        <xdr:cNvSpPr txBox="1"/>
      </xdr:nvSpPr>
      <xdr:spPr>
        <a:xfrm>
          <a:off x="45899297" y="47889455"/>
          <a:ext cx="3172127"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Biodiversity</a:t>
          </a:r>
        </a:p>
      </xdr:txBody>
    </xdr:sp>
    <xdr:clientData/>
  </xdr:twoCellAnchor>
  <xdr:twoCellAnchor>
    <xdr:from>
      <xdr:col>38</xdr:col>
      <xdr:colOff>432177</xdr:colOff>
      <xdr:row>38</xdr:row>
      <xdr:rowOff>776287</xdr:rowOff>
    </xdr:from>
    <xdr:to>
      <xdr:col>38</xdr:col>
      <xdr:colOff>3604630</xdr:colOff>
      <xdr:row>38</xdr:row>
      <xdr:rowOff>1027495</xdr:rowOff>
    </xdr:to>
    <xdr:sp macro="" textlink="">
      <xdr:nvSpPr>
        <xdr:cNvPr id="60" name="CaixaDeTexto 59">
          <a:hlinkClick xmlns:r="http://schemas.openxmlformats.org/officeDocument/2006/relationships" r:id="rId4"/>
          <a:extLst>
            <a:ext uri="{FF2B5EF4-FFF2-40B4-BE49-F238E27FC236}">
              <a16:creationId xmlns:a16="http://schemas.microsoft.com/office/drawing/2014/main" id="{00000000-0008-0000-0E00-00003C000000}"/>
            </a:ext>
          </a:extLst>
        </xdr:cNvPr>
        <xdr:cNvSpPr txBox="1"/>
      </xdr:nvSpPr>
      <xdr:spPr>
        <a:xfrm>
          <a:off x="46925383" y="21227022"/>
          <a:ext cx="3172453"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Human Rights Policy</a:t>
          </a:r>
        </a:p>
      </xdr:txBody>
    </xdr:sp>
    <xdr:clientData/>
  </xdr:twoCellAnchor>
  <xdr:twoCellAnchor>
    <xdr:from>
      <xdr:col>38</xdr:col>
      <xdr:colOff>432177</xdr:colOff>
      <xdr:row>38</xdr:row>
      <xdr:rowOff>1102509</xdr:rowOff>
    </xdr:from>
    <xdr:to>
      <xdr:col>38</xdr:col>
      <xdr:colOff>3604630</xdr:colOff>
      <xdr:row>38</xdr:row>
      <xdr:rowOff>1318792</xdr:rowOff>
    </xdr:to>
    <xdr:sp macro="" textlink="">
      <xdr:nvSpPr>
        <xdr:cNvPr id="61" name="CaixaDeTexto 60">
          <a:hlinkClick xmlns:r="http://schemas.openxmlformats.org/officeDocument/2006/relationships" r:id="rId5"/>
          <a:extLst>
            <a:ext uri="{FF2B5EF4-FFF2-40B4-BE49-F238E27FC236}">
              <a16:creationId xmlns:a16="http://schemas.microsoft.com/office/drawing/2014/main" id="{00000000-0008-0000-0E00-00003D000000}"/>
            </a:ext>
          </a:extLst>
        </xdr:cNvPr>
        <xdr:cNvSpPr txBox="1"/>
      </xdr:nvSpPr>
      <xdr:spPr>
        <a:xfrm>
          <a:off x="46925383" y="21553244"/>
          <a:ext cx="3172453" cy="216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200">
              <a:solidFill>
                <a:srgbClr val="007E7A"/>
              </a:solidFill>
              <a:effectLst/>
              <a:latin typeface="Arial" panose="020B0604020202020204" pitchFamily="34" charset="0"/>
              <a:ea typeface="+mn-ea"/>
              <a:cs typeface="Arial" panose="020B0604020202020204" pitchFamily="34" charset="0"/>
            </a:rPr>
            <a:t>•</a:t>
          </a:r>
          <a:r>
            <a:rPr lang="pt-BR" sz="12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Human Rights Guide</a:t>
          </a:r>
        </a:p>
      </xdr:txBody>
    </xdr:sp>
    <xdr:clientData/>
  </xdr:twoCellAnchor>
  <xdr:twoCellAnchor>
    <xdr:from>
      <xdr:col>38</xdr:col>
      <xdr:colOff>313768</xdr:colOff>
      <xdr:row>42</xdr:row>
      <xdr:rowOff>593912</xdr:rowOff>
    </xdr:from>
    <xdr:to>
      <xdr:col>38</xdr:col>
      <xdr:colOff>3495746</xdr:colOff>
      <xdr:row>42</xdr:row>
      <xdr:rowOff>845120</xdr:rowOff>
    </xdr:to>
    <xdr:sp macro="" textlink="">
      <xdr:nvSpPr>
        <xdr:cNvPr id="62" name="CaixaDeTexto 61">
          <a:hlinkClick xmlns:r="http://schemas.openxmlformats.org/officeDocument/2006/relationships" r:id="rId13"/>
          <a:extLst>
            <a:ext uri="{FF2B5EF4-FFF2-40B4-BE49-F238E27FC236}">
              <a16:creationId xmlns:a16="http://schemas.microsoft.com/office/drawing/2014/main" id="{00000000-0008-0000-0E00-00003E000000}"/>
            </a:ext>
          </a:extLst>
        </xdr:cNvPr>
        <xdr:cNvSpPr txBox="1"/>
      </xdr:nvSpPr>
      <xdr:spPr>
        <a:xfrm>
          <a:off x="45899297" y="28799118"/>
          <a:ext cx="3181978" cy="2512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Our</a:t>
          </a:r>
          <a:r>
            <a:rPr lang="pt-BR" sz="1000" baseline="0">
              <a:solidFill>
                <a:srgbClr val="007E7A"/>
              </a:solidFill>
              <a:latin typeface="Arial" panose="020B0604020202020204" pitchFamily="34" charset="0"/>
              <a:cs typeface="Arial" panose="020B0604020202020204" pitchFamily="34" charset="0"/>
            </a:rPr>
            <a:t> People</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302559</xdr:colOff>
      <xdr:row>36</xdr:row>
      <xdr:rowOff>134469</xdr:rowOff>
    </xdr:from>
    <xdr:to>
      <xdr:col>38</xdr:col>
      <xdr:colOff>4403912</xdr:colOff>
      <xdr:row>36</xdr:row>
      <xdr:rowOff>481852</xdr:rowOff>
    </xdr:to>
    <xdr:sp macro="" textlink="">
      <xdr:nvSpPr>
        <xdr:cNvPr id="18" name="CaixaDeTexto 17">
          <a:hlinkClick xmlns:r="http://schemas.openxmlformats.org/officeDocument/2006/relationships" r:id="rId35"/>
          <a:extLst>
            <a:ext uri="{FF2B5EF4-FFF2-40B4-BE49-F238E27FC236}">
              <a16:creationId xmlns:a16="http://schemas.microsoft.com/office/drawing/2014/main" id="{00000000-0008-0000-0E00-000012000000}"/>
            </a:ext>
          </a:extLst>
        </xdr:cNvPr>
        <xdr:cNvSpPr txBox="1"/>
      </xdr:nvSpPr>
      <xdr:spPr>
        <a:xfrm>
          <a:off x="46795765" y="17346704"/>
          <a:ext cx="4101353" cy="347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mn-lt"/>
              <a:ea typeface="+mn-ea"/>
              <a:cs typeface="+mn-cs"/>
            </a:rPr>
            <a:t>•</a:t>
          </a:r>
          <a:r>
            <a:rPr lang="pt-BR" sz="1000">
              <a:solidFill>
                <a:srgbClr val="007E7A"/>
              </a:solidFill>
              <a:latin typeface="Arial" panose="020B0604020202020204" pitchFamily="34" charset="0"/>
              <a:cs typeface="Arial" panose="020B0604020202020204" pitchFamily="34" charset="0"/>
            </a:rPr>
            <a:t> Vale Integrated Report 2022 - </a:t>
          </a:r>
          <a:r>
            <a:rPr lang="pt-BR" sz="1000" baseline="0">
              <a:solidFill>
                <a:srgbClr val="007E7A"/>
              </a:solidFill>
              <a:latin typeface="Arial" panose="020B0604020202020204" pitchFamily="34" charset="0"/>
              <a:cs typeface="Arial" panose="020B0604020202020204" pitchFamily="34" charset="0"/>
            </a:rPr>
            <a:t> Involuntary Resettlement </a:t>
          </a:r>
          <a:r>
            <a:rPr lang="pt-BR" sz="1000">
              <a:solidFill>
                <a:srgbClr val="007E7A"/>
              </a:solidFill>
              <a:latin typeface="Arial" panose="020B0604020202020204" pitchFamily="34" charset="0"/>
              <a:cs typeface="Arial" panose="020B0604020202020204" pitchFamily="34" charset="0"/>
            </a:rPr>
            <a:t>(pag.</a:t>
          </a:r>
          <a:r>
            <a:rPr lang="pt-BR" sz="1000" baseline="0">
              <a:solidFill>
                <a:srgbClr val="007E7A"/>
              </a:solidFill>
              <a:latin typeface="Arial" panose="020B0604020202020204" pitchFamily="34" charset="0"/>
              <a:cs typeface="Arial" panose="020B0604020202020204" pitchFamily="34" charset="0"/>
            </a:rPr>
            <a:t> 42</a:t>
          </a:r>
          <a:r>
            <a:rPr lang="pt-BR" sz="1000">
              <a:solidFill>
                <a:srgbClr val="007E7A"/>
              </a:solidFill>
              <a:latin typeface="Arial" panose="020B0604020202020204" pitchFamily="34" charset="0"/>
              <a:cs typeface="Arial" panose="020B0604020202020204" pitchFamily="34" charset="0"/>
            </a:rPr>
            <a:t>)</a:t>
          </a:r>
        </a:p>
      </xdr:txBody>
    </xdr:sp>
    <xdr:clientData/>
  </xdr:twoCellAnchor>
  <xdr:twoCellAnchor>
    <xdr:from>
      <xdr:col>38</xdr:col>
      <xdr:colOff>347382</xdr:colOff>
      <xdr:row>40</xdr:row>
      <xdr:rowOff>179295</xdr:rowOff>
    </xdr:from>
    <xdr:to>
      <xdr:col>38</xdr:col>
      <xdr:colOff>4128230</xdr:colOff>
      <xdr:row>40</xdr:row>
      <xdr:rowOff>672187</xdr:rowOff>
    </xdr:to>
    <xdr:sp macro="" textlink="">
      <xdr:nvSpPr>
        <xdr:cNvPr id="19" name="CaixaDeTexto 18">
          <a:hlinkClick xmlns:r="http://schemas.openxmlformats.org/officeDocument/2006/relationships" r:id="rId35"/>
          <a:extLst>
            <a:ext uri="{FF2B5EF4-FFF2-40B4-BE49-F238E27FC236}">
              <a16:creationId xmlns:a16="http://schemas.microsoft.com/office/drawing/2014/main" id="{00000000-0008-0000-0E00-000013000000}"/>
            </a:ext>
          </a:extLst>
        </xdr:cNvPr>
        <xdr:cNvSpPr txBox="1"/>
      </xdr:nvSpPr>
      <xdr:spPr>
        <a:xfrm>
          <a:off x="46840588" y="24395207"/>
          <a:ext cx="3780848" cy="49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a:t>
          </a:r>
          <a:r>
            <a:rPr lang="pt-BR" sz="10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Vale Integrated</a:t>
          </a:r>
          <a:r>
            <a:rPr lang="pt-BR" sz="1000" baseline="0">
              <a:solidFill>
                <a:srgbClr val="007E7A"/>
              </a:solidFill>
              <a:latin typeface="Arial" panose="020B0604020202020204" pitchFamily="34" charset="0"/>
              <a:cs typeface="Arial" panose="020B0604020202020204" pitchFamily="34" charset="0"/>
            </a:rPr>
            <a:t> Report </a:t>
          </a:r>
          <a:r>
            <a:rPr lang="pt-BR" sz="1000">
              <a:solidFill>
                <a:srgbClr val="007E7A"/>
              </a:solidFill>
              <a:latin typeface="Arial" panose="020B0604020202020204" pitchFamily="34" charset="0"/>
              <a:cs typeface="Arial" panose="020B0604020202020204" pitchFamily="34" charset="0"/>
            </a:rPr>
            <a:t>2022 - </a:t>
          </a:r>
          <a:r>
            <a:rPr kumimoji="0" lang="pt-BR" sz="1000" b="0" i="0" u="none" strike="noStrike" kern="0" cap="none" spc="0" normalizeH="0" baseline="0" noProof="0">
              <a:ln>
                <a:noFill/>
              </a:ln>
              <a:solidFill>
                <a:srgbClr val="007E7A"/>
              </a:solidFill>
              <a:effectLst/>
              <a:uLnTx/>
              <a:uFillTx/>
              <a:latin typeface="Arial" panose="020B0604020202020204" pitchFamily="34" charset="0"/>
              <a:ea typeface="+mn-ea"/>
              <a:cs typeface="Arial" panose="020B0604020202020204" pitchFamily="34" charset="0"/>
            </a:rPr>
            <a:t>Indigenous Peoples and Traditional Community </a:t>
          </a:r>
          <a:r>
            <a:rPr lang="pt-BR" sz="1000">
              <a:solidFill>
                <a:srgbClr val="007E7A"/>
              </a:solidFill>
              <a:latin typeface="Arial" panose="020B0604020202020204" pitchFamily="34" charset="0"/>
              <a:cs typeface="Arial" panose="020B0604020202020204" pitchFamily="34" charset="0"/>
            </a:rPr>
            <a:t>(pag.</a:t>
          </a:r>
          <a:r>
            <a:rPr lang="pt-BR" sz="1000" baseline="0">
              <a:solidFill>
                <a:srgbClr val="007E7A"/>
              </a:solidFill>
              <a:latin typeface="Arial" panose="020B0604020202020204" pitchFamily="34" charset="0"/>
              <a:cs typeface="Arial" panose="020B0604020202020204" pitchFamily="34" charset="0"/>
            </a:rPr>
            <a:t> 41)</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347383</xdr:colOff>
      <xdr:row>41</xdr:row>
      <xdr:rowOff>190500</xdr:rowOff>
    </xdr:from>
    <xdr:to>
      <xdr:col>38</xdr:col>
      <xdr:colOff>4121881</xdr:colOff>
      <xdr:row>41</xdr:row>
      <xdr:rowOff>683392</xdr:rowOff>
    </xdr:to>
    <xdr:sp macro="" textlink="">
      <xdr:nvSpPr>
        <xdr:cNvPr id="34" name="CaixaDeTexto 33">
          <a:hlinkClick xmlns:r="http://schemas.openxmlformats.org/officeDocument/2006/relationships" r:id="rId35"/>
          <a:extLst>
            <a:ext uri="{FF2B5EF4-FFF2-40B4-BE49-F238E27FC236}">
              <a16:creationId xmlns:a16="http://schemas.microsoft.com/office/drawing/2014/main" id="{00000000-0008-0000-0E00-000022000000}"/>
            </a:ext>
          </a:extLst>
        </xdr:cNvPr>
        <xdr:cNvSpPr txBox="1"/>
      </xdr:nvSpPr>
      <xdr:spPr>
        <a:xfrm>
          <a:off x="46840589" y="26244176"/>
          <a:ext cx="3774498" cy="49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a:t>
          </a:r>
          <a:r>
            <a:rPr lang="pt-BR" sz="10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Vale Integrated</a:t>
          </a:r>
          <a:r>
            <a:rPr lang="pt-BR" sz="1000" baseline="0">
              <a:solidFill>
                <a:srgbClr val="007E7A"/>
              </a:solidFill>
              <a:latin typeface="Arial" panose="020B0604020202020204" pitchFamily="34" charset="0"/>
              <a:cs typeface="Arial" panose="020B0604020202020204" pitchFamily="34" charset="0"/>
            </a:rPr>
            <a:t> Report </a:t>
          </a:r>
          <a:r>
            <a:rPr lang="pt-BR" sz="1000">
              <a:solidFill>
                <a:srgbClr val="007E7A"/>
              </a:solidFill>
              <a:latin typeface="Arial" panose="020B0604020202020204" pitchFamily="34" charset="0"/>
              <a:cs typeface="Arial" panose="020B0604020202020204" pitchFamily="34" charset="0"/>
            </a:rPr>
            <a:t>2022 - </a:t>
          </a:r>
          <a:r>
            <a:rPr kumimoji="0" lang="pt-BR" sz="1000" b="0" i="0" u="none" strike="noStrike" kern="0" cap="none" spc="0" normalizeH="0" baseline="0" noProof="0">
              <a:ln>
                <a:noFill/>
              </a:ln>
              <a:solidFill>
                <a:srgbClr val="007E7A"/>
              </a:solidFill>
              <a:effectLst/>
              <a:uLnTx/>
              <a:uFillTx/>
              <a:latin typeface="Arial" panose="020B0604020202020204" pitchFamily="34" charset="0"/>
              <a:ea typeface="+mn-ea"/>
              <a:cs typeface="Arial" panose="020B0604020202020204" pitchFamily="34" charset="0"/>
            </a:rPr>
            <a:t>Indigenous Peoples and Traditional Community </a:t>
          </a:r>
          <a:r>
            <a:rPr lang="pt-BR" sz="1000">
              <a:solidFill>
                <a:srgbClr val="007E7A"/>
              </a:solidFill>
              <a:latin typeface="Arial" panose="020B0604020202020204" pitchFamily="34" charset="0"/>
              <a:cs typeface="Arial" panose="020B0604020202020204" pitchFamily="34" charset="0"/>
            </a:rPr>
            <a:t>(pag.</a:t>
          </a:r>
          <a:r>
            <a:rPr lang="pt-BR" sz="1000" baseline="0">
              <a:solidFill>
                <a:srgbClr val="007E7A"/>
              </a:solidFill>
              <a:latin typeface="Arial" panose="020B0604020202020204" pitchFamily="34" charset="0"/>
              <a:cs typeface="Arial" panose="020B0604020202020204" pitchFamily="34" charset="0"/>
            </a:rPr>
            <a:t> 41)</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313765</xdr:colOff>
      <xdr:row>42</xdr:row>
      <xdr:rowOff>941294</xdr:rowOff>
    </xdr:from>
    <xdr:to>
      <xdr:col>38</xdr:col>
      <xdr:colOff>4229742</xdr:colOff>
      <xdr:row>42</xdr:row>
      <xdr:rowOff>1162866</xdr:rowOff>
    </xdr:to>
    <xdr:sp macro="" textlink="">
      <xdr:nvSpPr>
        <xdr:cNvPr id="36" name="CaixaDeTexto 35">
          <a:hlinkClick xmlns:r="http://schemas.openxmlformats.org/officeDocument/2006/relationships" r:id="rId35"/>
          <a:extLst>
            <a:ext uri="{FF2B5EF4-FFF2-40B4-BE49-F238E27FC236}">
              <a16:creationId xmlns:a16="http://schemas.microsoft.com/office/drawing/2014/main" id="{00000000-0008-0000-0E00-000024000000}"/>
            </a:ext>
          </a:extLst>
        </xdr:cNvPr>
        <xdr:cNvSpPr txBox="1"/>
      </xdr:nvSpPr>
      <xdr:spPr>
        <a:xfrm>
          <a:off x="46806971" y="29348206"/>
          <a:ext cx="3915977" cy="221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a:t>
          </a:r>
          <a:r>
            <a:rPr lang="pt-BR" sz="10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Vale Integrated Report 2022 - People (page</a:t>
          </a:r>
          <a:r>
            <a:rPr lang="pt-BR" sz="1000" baseline="0">
              <a:solidFill>
                <a:srgbClr val="007E7A"/>
              </a:solidFill>
              <a:latin typeface="Arial" panose="020B0604020202020204" pitchFamily="34" charset="0"/>
              <a:cs typeface="Arial" panose="020B0604020202020204" pitchFamily="34" charset="0"/>
            </a:rPr>
            <a:t> 23</a:t>
          </a:r>
          <a:r>
            <a:rPr lang="pt-BR" sz="1000">
              <a:solidFill>
                <a:srgbClr val="007E7A"/>
              </a:solidFill>
              <a:latin typeface="Arial" panose="020B0604020202020204" pitchFamily="34" charset="0"/>
              <a:cs typeface="Arial" panose="020B0604020202020204" pitchFamily="34" charset="0"/>
            </a:rPr>
            <a:t>)</a:t>
          </a:r>
        </a:p>
      </xdr:txBody>
    </xdr:sp>
    <xdr:clientData/>
  </xdr:twoCellAnchor>
  <xdr:twoCellAnchor>
    <xdr:from>
      <xdr:col>38</xdr:col>
      <xdr:colOff>350557</xdr:colOff>
      <xdr:row>43</xdr:row>
      <xdr:rowOff>164913</xdr:rowOff>
    </xdr:from>
    <xdr:to>
      <xdr:col>38</xdr:col>
      <xdr:colOff>3922058</xdr:colOff>
      <xdr:row>43</xdr:row>
      <xdr:rowOff>392206</xdr:rowOff>
    </xdr:to>
    <xdr:sp macro="" textlink="">
      <xdr:nvSpPr>
        <xdr:cNvPr id="39" name="CaixaDeTexto 38">
          <a:hlinkClick xmlns:r="http://schemas.openxmlformats.org/officeDocument/2006/relationships" r:id="rId36"/>
          <a:extLst>
            <a:ext uri="{FF2B5EF4-FFF2-40B4-BE49-F238E27FC236}">
              <a16:creationId xmlns:a16="http://schemas.microsoft.com/office/drawing/2014/main" id="{00000000-0008-0000-0E00-000027000000}"/>
            </a:ext>
          </a:extLst>
        </xdr:cNvPr>
        <xdr:cNvSpPr txBox="1"/>
      </xdr:nvSpPr>
      <xdr:spPr>
        <a:xfrm>
          <a:off x="46843763" y="30286325"/>
          <a:ext cx="3571501" cy="2272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ESG Portal - Our</a:t>
          </a:r>
          <a:r>
            <a:rPr lang="pt-BR" sz="1000" baseline="0">
              <a:solidFill>
                <a:srgbClr val="007E7A"/>
              </a:solidFill>
              <a:latin typeface="Arial" panose="020B0604020202020204" pitchFamily="34" charset="0"/>
              <a:cs typeface="Arial" panose="020B0604020202020204" pitchFamily="34" charset="0"/>
            </a:rPr>
            <a:t> People - Diversity, Equity and Inclusion</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358589</xdr:colOff>
      <xdr:row>43</xdr:row>
      <xdr:rowOff>526677</xdr:rowOff>
    </xdr:from>
    <xdr:to>
      <xdr:col>38</xdr:col>
      <xdr:colOff>3531042</xdr:colOff>
      <xdr:row>43</xdr:row>
      <xdr:rowOff>781060</xdr:rowOff>
    </xdr:to>
    <xdr:sp macro="" textlink="">
      <xdr:nvSpPr>
        <xdr:cNvPr id="45" name="CaixaDeTexto 44">
          <a:hlinkClick xmlns:r="http://schemas.openxmlformats.org/officeDocument/2006/relationships" r:id="rId37"/>
          <a:extLst>
            <a:ext uri="{FF2B5EF4-FFF2-40B4-BE49-F238E27FC236}">
              <a16:creationId xmlns:a16="http://schemas.microsoft.com/office/drawing/2014/main" id="{00000000-0008-0000-0E00-00002D000000}"/>
            </a:ext>
          </a:extLst>
        </xdr:cNvPr>
        <xdr:cNvSpPr txBox="1"/>
      </xdr:nvSpPr>
      <xdr:spPr>
        <a:xfrm>
          <a:off x="46851795" y="30648089"/>
          <a:ext cx="3172453" cy="254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200">
              <a:solidFill>
                <a:srgbClr val="007E7A"/>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Diversity</a:t>
          </a:r>
          <a:r>
            <a:rPr lang="pt-BR" sz="1000" baseline="0">
              <a:solidFill>
                <a:srgbClr val="007E7A"/>
              </a:solidFill>
              <a:latin typeface="Arial" panose="020B0604020202020204" pitchFamily="34" charset="0"/>
              <a:cs typeface="Arial" panose="020B0604020202020204" pitchFamily="34" charset="0"/>
            </a:rPr>
            <a:t> and Inclusion Policy</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336176</xdr:colOff>
      <xdr:row>66</xdr:row>
      <xdr:rowOff>381000</xdr:rowOff>
    </xdr:from>
    <xdr:to>
      <xdr:col>38</xdr:col>
      <xdr:colOff>3748118</xdr:colOff>
      <xdr:row>66</xdr:row>
      <xdr:rowOff>625858</xdr:rowOff>
    </xdr:to>
    <xdr:sp macro="" textlink="">
      <xdr:nvSpPr>
        <xdr:cNvPr id="50" name="CaixaDeTexto 49">
          <a:hlinkClick xmlns:r="http://schemas.openxmlformats.org/officeDocument/2006/relationships" r:id="rId38"/>
          <a:extLst>
            <a:ext uri="{FF2B5EF4-FFF2-40B4-BE49-F238E27FC236}">
              <a16:creationId xmlns:a16="http://schemas.microsoft.com/office/drawing/2014/main" id="{00000000-0008-0000-0E00-000032000000}"/>
            </a:ext>
          </a:extLst>
        </xdr:cNvPr>
        <xdr:cNvSpPr txBox="1"/>
      </xdr:nvSpPr>
      <xdr:spPr>
        <a:xfrm>
          <a:off x="46829382" y="56712971"/>
          <a:ext cx="3411942" cy="2448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100">
              <a:solidFill>
                <a:srgbClr val="007E7A"/>
              </a:solidFill>
              <a:effectLst/>
              <a:latin typeface="+mn-lt"/>
              <a:ea typeface="+mn-ea"/>
              <a:cs typeface="+mn-cs"/>
            </a:rPr>
            <a:t>• </a:t>
          </a:r>
          <a:r>
            <a:rPr lang="pt-BR" sz="1100" baseline="0">
              <a:solidFill>
                <a:srgbClr val="007E7A"/>
              </a:solidFill>
              <a:effectLst/>
              <a:latin typeface="+mn-lt"/>
              <a:ea typeface="+mn-ea"/>
              <a:cs typeface="+mn-cs"/>
            </a:rPr>
            <a:t>Partilhar Program</a:t>
          </a:r>
          <a:endParaRPr lang="pt-BR" sz="900">
            <a:solidFill>
              <a:srgbClr val="007E7A"/>
            </a:solidFill>
            <a:latin typeface="Arial" panose="020B0604020202020204" pitchFamily="34" charset="0"/>
            <a:cs typeface="Arial" panose="020B0604020202020204" pitchFamily="34" charset="0"/>
          </a:endParaRPr>
        </a:p>
      </xdr:txBody>
    </xdr:sp>
    <xdr:clientData/>
  </xdr:twoCellAnchor>
  <xdr:twoCellAnchor>
    <xdr:from>
      <xdr:col>38</xdr:col>
      <xdr:colOff>313765</xdr:colOff>
      <xdr:row>60</xdr:row>
      <xdr:rowOff>728382</xdr:rowOff>
    </xdr:from>
    <xdr:to>
      <xdr:col>38</xdr:col>
      <xdr:colOff>4208395</xdr:colOff>
      <xdr:row>60</xdr:row>
      <xdr:rowOff>987473</xdr:rowOff>
    </xdr:to>
    <xdr:sp macro="" textlink="">
      <xdr:nvSpPr>
        <xdr:cNvPr id="53" name="CaixaDeTexto 52">
          <a:hlinkClick xmlns:r="http://schemas.openxmlformats.org/officeDocument/2006/relationships" r:id="rId35"/>
          <a:extLst>
            <a:ext uri="{FF2B5EF4-FFF2-40B4-BE49-F238E27FC236}">
              <a16:creationId xmlns:a16="http://schemas.microsoft.com/office/drawing/2014/main" id="{00000000-0008-0000-0E00-000035000000}"/>
            </a:ext>
          </a:extLst>
        </xdr:cNvPr>
        <xdr:cNvSpPr txBox="1"/>
      </xdr:nvSpPr>
      <xdr:spPr>
        <a:xfrm>
          <a:off x="46806971" y="50415264"/>
          <a:ext cx="3894630" cy="2590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a:t>
          </a:r>
          <a:r>
            <a:rPr lang="pt-BR" sz="10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Vale Integrated</a:t>
          </a:r>
          <a:r>
            <a:rPr lang="pt-BR" sz="1000" baseline="0">
              <a:solidFill>
                <a:srgbClr val="007E7A"/>
              </a:solidFill>
              <a:latin typeface="Arial" panose="020B0604020202020204" pitchFamily="34" charset="0"/>
              <a:cs typeface="Arial" panose="020B0604020202020204" pitchFamily="34" charset="0"/>
            </a:rPr>
            <a:t> Report</a:t>
          </a:r>
          <a:r>
            <a:rPr lang="pt-BR" sz="1000">
              <a:solidFill>
                <a:srgbClr val="007E7A"/>
              </a:solidFill>
              <a:latin typeface="Arial" panose="020B0604020202020204" pitchFamily="34" charset="0"/>
              <a:cs typeface="Arial" panose="020B0604020202020204" pitchFamily="34" charset="0"/>
            </a:rPr>
            <a:t> 2022 - Biodiversity</a:t>
          </a:r>
          <a:r>
            <a:rPr lang="pt-BR" sz="1000" baseline="0">
              <a:solidFill>
                <a:srgbClr val="007E7A"/>
              </a:solidFill>
              <a:latin typeface="Arial" panose="020B0604020202020204" pitchFamily="34" charset="0"/>
              <a:cs typeface="Arial" panose="020B0604020202020204" pitchFamily="34" charset="0"/>
            </a:rPr>
            <a:t> (pag. 49</a:t>
          </a:r>
          <a:r>
            <a:rPr lang="pt-BR" sz="1000">
              <a:solidFill>
                <a:srgbClr val="007E7A"/>
              </a:solidFill>
              <a:latin typeface="Arial" panose="020B0604020202020204" pitchFamily="34" charset="0"/>
              <a:cs typeface="Arial" panose="020B0604020202020204" pitchFamily="34" charset="0"/>
            </a:rPr>
            <a:t>)</a:t>
          </a:r>
        </a:p>
      </xdr:txBody>
    </xdr:sp>
    <xdr:clientData/>
  </xdr:twoCellAnchor>
  <xdr:twoCellAnchor>
    <xdr:from>
      <xdr:col>38</xdr:col>
      <xdr:colOff>268941</xdr:colOff>
      <xdr:row>65</xdr:row>
      <xdr:rowOff>190500</xdr:rowOff>
    </xdr:from>
    <xdr:to>
      <xdr:col>38</xdr:col>
      <xdr:colOff>4260625</xdr:colOff>
      <xdr:row>65</xdr:row>
      <xdr:rowOff>597694</xdr:rowOff>
    </xdr:to>
    <xdr:sp macro="" textlink="">
      <xdr:nvSpPr>
        <xdr:cNvPr id="63" name="CaixaDeTexto 62">
          <a:hlinkClick xmlns:r="http://schemas.openxmlformats.org/officeDocument/2006/relationships" r:id="rId35"/>
          <a:extLst>
            <a:ext uri="{FF2B5EF4-FFF2-40B4-BE49-F238E27FC236}">
              <a16:creationId xmlns:a16="http://schemas.microsoft.com/office/drawing/2014/main" id="{00000000-0008-0000-0E00-00003F000000}"/>
            </a:ext>
          </a:extLst>
        </xdr:cNvPr>
        <xdr:cNvSpPr txBox="1"/>
      </xdr:nvSpPr>
      <xdr:spPr>
        <a:xfrm>
          <a:off x="46762147" y="55323441"/>
          <a:ext cx="3991684" cy="407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pt-BR" sz="1000">
              <a:solidFill>
                <a:srgbClr val="007E7A"/>
              </a:solidFill>
              <a:effectLst/>
              <a:latin typeface="Arial" panose="020B0604020202020204" pitchFamily="34" charset="0"/>
              <a:ea typeface="+mn-ea"/>
              <a:cs typeface="Arial" panose="020B0604020202020204" pitchFamily="34" charset="0"/>
            </a:rPr>
            <a:t>•</a:t>
          </a:r>
          <a:r>
            <a:rPr lang="pt-BR" sz="1000">
              <a:solidFill>
                <a:schemeClr val="dk1"/>
              </a:solidFill>
              <a:effectLst/>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Vale Integrated Report 2022 - </a:t>
          </a:r>
          <a:r>
            <a:rPr lang="pt-BR" sz="1000">
              <a:solidFill>
                <a:srgbClr val="007E7A"/>
              </a:solidFill>
              <a:latin typeface="Arial" panose="020B0604020202020204" pitchFamily="34" charset="0"/>
              <a:ea typeface="+mn-ea"/>
              <a:cs typeface="Arial" panose="020B0604020202020204" pitchFamily="34" charset="0"/>
            </a:rPr>
            <a:t>Local</a:t>
          </a:r>
          <a:r>
            <a:rPr lang="pt-BR" sz="1000" baseline="0">
              <a:solidFill>
                <a:srgbClr val="007E7A"/>
              </a:solidFill>
              <a:latin typeface="Arial" panose="020B0604020202020204" pitchFamily="34" charset="0"/>
              <a:ea typeface="+mn-ea"/>
              <a:cs typeface="Arial" panose="020B0604020202020204" pitchFamily="34" charset="0"/>
            </a:rPr>
            <a:t> Communities</a:t>
          </a:r>
          <a:r>
            <a:rPr lang="pt-BR" sz="1000">
              <a:solidFill>
                <a:srgbClr val="007E7A"/>
              </a:solidFill>
              <a:latin typeface="Arial" panose="020B0604020202020204" pitchFamily="34" charset="0"/>
              <a:ea typeface="+mn-ea"/>
              <a:cs typeface="Arial" panose="020B0604020202020204" pitchFamily="34" charset="0"/>
            </a:rPr>
            <a:t> </a:t>
          </a:r>
          <a:r>
            <a:rPr lang="pt-BR" sz="1000">
              <a:solidFill>
                <a:srgbClr val="007E7A"/>
              </a:solidFill>
              <a:latin typeface="Arial" panose="020B0604020202020204" pitchFamily="34" charset="0"/>
              <a:cs typeface="Arial" panose="020B0604020202020204" pitchFamily="34" charset="0"/>
            </a:rPr>
            <a:t>(pag.</a:t>
          </a:r>
          <a:r>
            <a:rPr lang="pt-BR" sz="1000" baseline="0">
              <a:solidFill>
                <a:srgbClr val="007E7A"/>
              </a:solidFill>
              <a:latin typeface="Arial" panose="020B0604020202020204" pitchFamily="34" charset="0"/>
              <a:cs typeface="Arial" panose="020B0604020202020204" pitchFamily="34" charset="0"/>
            </a:rPr>
            <a:t> 40)</a:t>
          </a:r>
          <a:endParaRPr lang="pt-BR" sz="1000">
            <a:solidFill>
              <a:srgbClr val="007E7A"/>
            </a:solidFill>
            <a:latin typeface="Arial" panose="020B0604020202020204" pitchFamily="34" charset="0"/>
            <a:cs typeface="Arial" panose="020B0604020202020204" pitchFamily="34" charset="0"/>
          </a:endParaRPr>
        </a:p>
      </xdr:txBody>
    </xdr:sp>
    <xdr:clientData/>
  </xdr:twoCellAnchor>
  <xdr:twoCellAnchor editAs="oneCell">
    <xdr:from>
      <xdr:col>10</xdr:col>
      <xdr:colOff>619125</xdr:colOff>
      <xdr:row>0</xdr:row>
      <xdr:rowOff>36756</xdr:rowOff>
    </xdr:from>
    <xdr:to>
      <xdr:col>10</xdr:col>
      <xdr:colOff>1172996</xdr:colOff>
      <xdr:row>0</xdr:row>
      <xdr:rowOff>342756</xdr:rowOff>
    </xdr:to>
    <xdr:pic>
      <xdr:nvPicPr>
        <xdr:cNvPr id="72" name="Picture 63">
          <a:hlinkClick xmlns:r="http://schemas.openxmlformats.org/officeDocument/2006/relationships" r:id="rId39"/>
          <a:extLst>
            <a:ext uri="{FF2B5EF4-FFF2-40B4-BE49-F238E27FC236}">
              <a16:creationId xmlns:a16="http://schemas.microsoft.com/office/drawing/2014/main" id="{00000000-0008-0000-0E00-000048000000}"/>
            </a:ext>
            <a:ext uri="{147F2762-F138-4A5C-976F-8EAC2B608ADB}">
              <a16:predDERef xmlns:a16="http://schemas.microsoft.com/office/drawing/2014/main" pred="{00000000-0008-0000-0E00-00003F000000}"/>
            </a:ext>
          </a:extLst>
        </xdr:cNvPr>
        <xdr:cNvPicPr preferRelativeResize="0">
          <a:picLocks/>
        </xdr:cNvPicPr>
      </xdr:nvPicPr>
      <xdr:blipFill>
        <a:blip xmlns:r="http://schemas.openxmlformats.org/officeDocument/2006/relationships" r:embed="rId40"/>
        <a:stretch>
          <a:fillRect/>
        </a:stretch>
      </xdr:blipFill>
      <xdr:spPr>
        <a:xfrm rot="10800000" flipH="1">
          <a:off x="11563350" y="36756"/>
          <a:ext cx="557046" cy="306000"/>
        </a:xfrm>
        <a:prstGeom prst="rect">
          <a:avLst/>
        </a:prstGeom>
      </xdr:spPr>
    </xdr:pic>
    <xdr:clientData/>
  </xdr:twoCellAnchor>
  <xdr:twoCellAnchor editAs="oneCell">
    <xdr:from>
      <xdr:col>10</xdr:col>
      <xdr:colOff>19050</xdr:colOff>
      <xdr:row>0</xdr:row>
      <xdr:rowOff>38100</xdr:rowOff>
    </xdr:from>
    <xdr:to>
      <xdr:col>10</xdr:col>
      <xdr:colOff>581021</xdr:colOff>
      <xdr:row>0</xdr:row>
      <xdr:rowOff>344100</xdr:rowOff>
    </xdr:to>
    <xdr:pic>
      <xdr:nvPicPr>
        <xdr:cNvPr id="73" name="Picture 69">
          <a:hlinkClick xmlns:r="http://schemas.openxmlformats.org/officeDocument/2006/relationships" r:id="rId41"/>
          <a:extLst>
            <a:ext uri="{FF2B5EF4-FFF2-40B4-BE49-F238E27FC236}">
              <a16:creationId xmlns:a16="http://schemas.microsoft.com/office/drawing/2014/main" id="{00000000-0008-0000-0E00-000049000000}"/>
            </a:ext>
            <a:ext uri="{147F2762-F138-4A5C-976F-8EAC2B608ADB}">
              <a16:predDERef xmlns:a16="http://schemas.microsoft.com/office/drawing/2014/main" pred="{63CB7708-FC1B-4489-B963-404D7FD32C32}"/>
            </a:ext>
          </a:extLst>
        </xdr:cNvPr>
        <xdr:cNvPicPr preferRelativeResize="0">
          <a:picLocks/>
        </xdr:cNvPicPr>
      </xdr:nvPicPr>
      <xdr:blipFill>
        <a:blip xmlns:r="http://schemas.openxmlformats.org/officeDocument/2006/relationships" r:embed="rId40"/>
        <a:stretch>
          <a:fillRect/>
        </a:stretch>
      </xdr:blipFill>
      <xdr:spPr>
        <a:xfrm flipH="1">
          <a:off x="10963275" y="38100"/>
          <a:ext cx="561971" cy="306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3</xdr:col>
      <xdr:colOff>1190072</xdr:colOff>
      <xdr:row>4</xdr:row>
      <xdr:rowOff>79237</xdr:rowOff>
    </xdr:from>
    <xdr:to>
      <xdr:col>3</xdr:col>
      <xdr:colOff>1999952</xdr:colOff>
      <xdr:row>8</xdr:row>
      <xdr:rowOff>67595</xdr:rowOff>
    </xdr:to>
    <xdr:pic>
      <xdr:nvPicPr>
        <xdr:cNvPr id="824" name="Picture 18">
          <a:extLst>
            <a:ext uri="{FF2B5EF4-FFF2-40B4-BE49-F238E27FC236}">
              <a16:creationId xmlns:a16="http://schemas.microsoft.com/office/drawing/2014/main" id="{00000000-0008-0000-0F00-00003803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23118" y="791541"/>
          <a:ext cx="803530" cy="801987"/>
        </a:xfrm>
        <a:prstGeom prst="rect">
          <a:avLst/>
        </a:prstGeom>
      </xdr:spPr>
    </xdr:pic>
    <xdr:clientData/>
  </xdr:twoCellAnchor>
  <xdr:twoCellAnchor editAs="absolute">
    <xdr:from>
      <xdr:col>2</xdr:col>
      <xdr:colOff>713362</xdr:colOff>
      <xdr:row>0</xdr:row>
      <xdr:rowOff>57981</xdr:rowOff>
    </xdr:from>
    <xdr:to>
      <xdr:col>2</xdr:col>
      <xdr:colOff>1638562</xdr:colOff>
      <xdr:row>1</xdr:row>
      <xdr:rowOff>151768</xdr:rowOff>
    </xdr:to>
    <xdr:sp macro="" textlink="">
      <xdr:nvSpPr>
        <xdr:cNvPr id="3" name="CaixaDeTexto 8">
          <a:hlinkClick xmlns:r="http://schemas.openxmlformats.org/officeDocument/2006/relationships" r:id="rId3"/>
          <a:extLst>
            <a:ext uri="{FF2B5EF4-FFF2-40B4-BE49-F238E27FC236}">
              <a16:creationId xmlns:a16="http://schemas.microsoft.com/office/drawing/2014/main" id="{00000000-0008-0000-0F00-000003000000}"/>
            </a:ext>
          </a:extLst>
        </xdr:cNvPr>
        <xdr:cNvSpPr txBox="1"/>
      </xdr:nvSpPr>
      <xdr:spPr>
        <a:xfrm>
          <a:off x="2535536" y="57981"/>
          <a:ext cx="925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1211525</xdr:colOff>
      <xdr:row>0</xdr:row>
      <xdr:rowOff>57981</xdr:rowOff>
    </xdr:from>
    <xdr:to>
      <xdr:col>2</xdr:col>
      <xdr:colOff>544284</xdr:colOff>
      <xdr:row>1</xdr:row>
      <xdr:rowOff>151768</xdr:rowOff>
    </xdr:to>
    <xdr:sp macro="" textlink="">
      <xdr:nvSpPr>
        <xdr:cNvPr id="4" name="CaixaDeTexto 9">
          <a:hlinkClick xmlns:r="http://schemas.openxmlformats.org/officeDocument/2006/relationships" r:id="rId4"/>
          <a:extLst>
            <a:ext uri="{FF2B5EF4-FFF2-40B4-BE49-F238E27FC236}">
              <a16:creationId xmlns:a16="http://schemas.microsoft.com/office/drawing/2014/main" id="{00000000-0008-0000-0F00-000004000000}"/>
            </a:ext>
          </a:extLst>
        </xdr:cNvPr>
        <xdr:cNvSpPr txBox="1"/>
      </xdr:nvSpPr>
      <xdr:spPr>
        <a:xfrm>
          <a:off x="1791308" y="57981"/>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1820340</xdr:colOff>
      <xdr:row>0</xdr:row>
      <xdr:rowOff>57981</xdr:rowOff>
    </xdr:from>
    <xdr:to>
      <xdr:col>2</xdr:col>
      <xdr:colOff>2483590</xdr:colOff>
      <xdr:row>1</xdr:row>
      <xdr:rowOff>151768</xdr:rowOff>
    </xdr:to>
    <xdr:sp macro="" textlink="">
      <xdr:nvSpPr>
        <xdr:cNvPr id="5" name="CaixaDeTexto 10">
          <a:hlinkClick xmlns:r="http://schemas.openxmlformats.org/officeDocument/2006/relationships" r:id="rId5"/>
          <a:extLst>
            <a:ext uri="{FF2B5EF4-FFF2-40B4-BE49-F238E27FC236}">
              <a16:creationId xmlns:a16="http://schemas.microsoft.com/office/drawing/2014/main" id="{00000000-0008-0000-0F00-000005000000}"/>
            </a:ext>
          </a:extLst>
        </xdr:cNvPr>
        <xdr:cNvSpPr txBox="1"/>
      </xdr:nvSpPr>
      <xdr:spPr>
        <a:xfrm>
          <a:off x="3636164" y="57981"/>
          <a:ext cx="6696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2659018</xdr:colOff>
      <xdr:row>0</xdr:row>
      <xdr:rowOff>57981</xdr:rowOff>
    </xdr:from>
    <xdr:to>
      <xdr:col>2</xdr:col>
      <xdr:colOff>3568789</xdr:colOff>
      <xdr:row>1</xdr:row>
      <xdr:rowOff>151768</xdr:rowOff>
    </xdr:to>
    <xdr:sp macro="" textlink="">
      <xdr:nvSpPr>
        <xdr:cNvPr id="6" name="CaixaDeTexto 11">
          <a:hlinkClick xmlns:r="http://schemas.openxmlformats.org/officeDocument/2006/relationships" r:id="rId6"/>
          <a:extLst>
            <a:ext uri="{FF2B5EF4-FFF2-40B4-BE49-F238E27FC236}">
              <a16:creationId xmlns:a16="http://schemas.microsoft.com/office/drawing/2014/main" id="{00000000-0008-0000-0F00-000006000000}"/>
            </a:ext>
          </a:extLst>
        </xdr:cNvPr>
        <xdr:cNvSpPr txBox="1"/>
      </xdr:nvSpPr>
      <xdr:spPr>
        <a:xfrm>
          <a:off x="4481192" y="57981"/>
          <a:ext cx="909771"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3744217</xdr:colOff>
      <xdr:row>0</xdr:row>
      <xdr:rowOff>57981</xdr:rowOff>
    </xdr:from>
    <xdr:to>
      <xdr:col>2</xdr:col>
      <xdr:colOff>4226617</xdr:colOff>
      <xdr:row>1</xdr:row>
      <xdr:rowOff>151768</xdr:rowOff>
    </xdr:to>
    <xdr:sp macro="" textlink="">
      <xdr:nvSpPr>
        <xdr:cNvPr id="7" name="CaixaDeTexto 12">
          <a:hlinkClick xmlns:r="http://schemas.openxmlformats.org/officeDocument/2006/relationships" r:id="rId7"/>
          <a:extLst>
            <a:ext uri="{FF2B5EF4-FFF2-40B4-BE49-F238E27FC236}">
              <a16:creationId xmlns:a16="http://schemas.microsoft.com/office/drawing/2014/main" id="{00000000-0008-0000-0F00-000007000000}"/>
            </a:ext>
          </a:extLst>
        </xdr:cNvPr>
        <xdr:cNvSpPr txBox="1"/>
      </xdr:nvSpPr>
      <xdr:spPr>
        <a:xfrm>
          <a:off x="5566391" y="57981"/>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4402046</xdr:colOff>
      <xdr:row>0</xdr:row>
      <xdr:rowOff>57981</xdr:rowOff>
    </xdr:from>
    <xdr:to>
      <xdr:col>3</xdr:col>
      <xdr:colOff>488674</xdr:colOff>
      <xdr:row>1</xdr:row>
      <xdr:rowOff>151768</xdr:rowOff>
    </xdr:to>
    <xdr:sp macro="" textlink="">
      <xdr:nvSpPr>
        <xdr:cNvPr id="8" name="CaixaDeTexto 13">
          <a:hlinkClick xmlns:r="http://schemas.openxmlformats.org/officeDocument/2006/relationships" r:id="rId8"/>
          <a:extLst>
            <a:ext uri="{FF2B5EF4-FFF2-40B4-BE49-F238E27FC236}">
              <a16:creationId xmlns:a16="http://schemas.microsoft.com/office/drawing/2014/main" id="{00000000-0008-0000-0F00-000008000000}"/>
            </a:ext>
          </a:extLst>
        </xdr:cNvPr>
        <xdr:cNvSpPr txBox="1"/>
      </xdr:nvSpPr>
      <xdr:spPr>
        <a:xfrm>
          <a:off x="6224220" y="57981"/>
          <a:ext cx="784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305297</xdr:colOff>
      <xdr:row>0</xdr:row>
      <xdr:rowOff>57981</xdr:rowOff>
    </xdr:from>
    <xdr:to>
      <xdr:col>1</xdr:col>
      <xdr:colOff>1036097</xdr:colOff>
      <xdr:row>1</xdr:row>
      <xdr:rowOff>151768</xdr:rowOff>
    </xdr:to>
    <xdr:sp macro="" textlink="">
      <xdr:nvSpPr>
        <xdr:cNvPr id="9" name="CaixaDeTexto 15">
          <a:hlinkClick xmlns:r="http://schemas.openxmlformats.org/officeDocument/2006/relationships" r:id="rId9"/>
          <a:extLst>
            <a:ext uri="{FF2B5EF4-FFF2-40B4-BE49-F238E27FC236}">
              <a16:creationId xmlns:a16="http://schemas.microsoft.com/office/drawing/2014/main" id="{00000000-0008-0000-0F00-000009000000}"/>
            </a:ext>
          </a:extLst>
        </xdr:cNvPr>
        <xdr:cNvSpPr txBox="1"/>
      </xdr:nvSpPr>
      <xdr:spPr>
        <a:xfrm>
          <a:off x="885080" y="57981"/>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88293</xdr:rowOff>
    </xdr:from>
    <xdr:to>
      <xdr:col>1</xdr:col>
      <xdr:colOff>0</xdr:colOff>
      <xdr:row>1</xdr:row>
      <xdr:rowOff>121456</xdr:rowOff>
    </xdr:to>
    <xdr:sp macro="" textlink="">
      <xdr:nvSpPr>
        <xdr:cNvPr id="10" name="CaixaDeTexto 14">
          <a:hlinkClick xmlns:r="http://schemas.openxmlformats.org/officeDocument/2006/relationships" r:id="rId10"/>
          <a:extLst>
            <a:ext uri="{FF2B5EF4-FFF2-40B4-BE49-F238E27FC236}">
              <a16:creationId xmlns:a16="http://schemas.microsoft.com/office/drawing/2014/main" id="{00000000-0008-0000-0F00-00000A000000}"/>
            </a:ext>
          </a:extLst>
        </xdr:cNvPr>
        <xdr:cNvSpPr txBox="1"/>
      </xdr:nvSpPr>
      <xdr:spPr>
        <a:xfrm>
          <a:off x="0" y="88293"/>
          <a:ext cx="579783" cy="207098"/>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3</xdr:col>
      <xdr:colOff>821764</xdr:colOff>
      <xdr:row>0</xdr:row>
      <xdr:rowOff>28015</xdr:rowOff>
    </xdr:from>
    <xdr:to>
      <xdr:col>3</xdr:col>
      <xdr:colOff>1380560</xdr:colOff>
      <xdr:row>1</xdr:row>
      <xdr:rowOff>164770</xdr:rowOff>
    </xdr:to>
    <xdr:pic>
      <xdr:nvPicPr>
        <xdr:cNvPr id="13" name="Imagem 12">
          <a:hlinkClick xmlns:r="http://schemas.openxmlformats.org/officeDocument/2006/relationships" r:id="rId11"/>
          <a:extLst>
            <a:ext uri="{FF2B5EF4-FFF2-40B4-BE49-F238E27FC236}">
              <a16:creationId xmlns:a16="http://schemas.microsoft.com/office/drawing/2014/main" id="{00000000-0008-0000-0F00-00000D000000}"/>
            </a:ext>
          </a:extLst>
        </xdr:cNvPr>
        <xdr:cNvPicPr preferRelativeResize="0">
          <a:picLocks/>
        </xdr:cNvPicPr>
      </xdr:nvPicPr>
      <xdr:blipFill>
        <a:blip xmlns:r="http://schemas.openxmlformats.org/officeDocument/2006/relationships" r:embed="rId12"/>
        <a:stretch>
          <a:fillRect/>
        </a:stretch>
      </xdr:blipFill>
      <xdr:spPr>
        <a:xfrm flipH="1">
          <a:off x="7648014" y="28015"/>
          <a:ext cx="565146" cy="307831"/>
        </a:xfrm>
        <a:prstGeom prst="rect">
          <a:avLst/>
        </a:prstGeom>
      </xdr:spPr>
    </xdr:pic>
    <xdr:clientData/>
  </xdr:twoCellAnchor>
  <xdr:twoCellAnchor editAs="absolute">
    <xdr:from>
      <xdr:col>3</xdr:col>
      <xdr:colOff>1419307</xdr:colOff>
      <xdr:row>0</xdr:row>
      <xdr:rowOff>28014</xdr:rowOff>
    </xdr:from>
    <xdr:to>
      <xdr:col>3</xdr:col>
      <xdr:colOff>1973552</xdr:colOff>
      <xdr:row>1</xdr:row>
      <xdr:rowOff>164769</xdr:rowOff>
    </xdr:to>
    <xdr:pic>
      <xdr:nvPicPr>
        <xdr:cNvPr id="14" name="Imagem 13">
          <a:hlinkClick xmlns:r="http://schemas.openxmlformats.org/officeDocument/2006/relationships" r:id="rId13"/>
          <a:extLst>
            <a:ext uri="{FF2B5EF4-FFF2-40B4-BE49-F238E27FC236}">
              <a16:creationId xmlns:a16="http://schemas.microsoft.com/office/drawing/2014/main" id="{00000000-0008-0000-0F00-00000E000000}"/>
            </a:ext>
          </a:extLst>
        </xdr:cNvPr>
        <xdr:cNvPicPr preferRelativeResize="0">
          <a:picLocks/>
        </xdr:cNvPicPr>
      </xdr:nvPicPr>
      <xdr:blipFill>
        <a:blip xmlns:r="http://schemas.openxmlformats.org/officeDocument/2006/relationships" r:embed="rId12"/>
        <a:stretch>
          <a:fillRect/>
        </a:stretch>
      </xdr:blipFill>
      <xdr:spPr>
        <a:xfrm rot="10800000" flipH="1">
          <a:off x="8239207" y="28014"/>
          <a:ext cx="560595" cy="30783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79655" cy="449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3</xdr:col>
      <xdr:colOff>1136099</xdr:colOff>
      <xdr:row>4</xdr:row>
      <xdr:rowOff>64742</xdr:rowOff>
    </xdr:from>
    <xdr:to>
      <xdr:col>3</xdr:col>
      <xdr:colOff>1951521</xdr:colOff>
      <xdr:row>8</xdr:row>
      <xdr:rowOff>567</xdr:rowOff>
    </xdr:to>
    <xdr:pic>
      <xdr:nvPicPr>
        <xdr:cNvPr id="473" name="Picture 10">
          <a:extLst>
            <a:ext uri="{FF2B5EF4-FFF2-40B4-BE49-F238E27FC236}">
              <a16:creationId xmlns:a16="http://schemas.microsoft.com/office/drawing/2014/main" id="{00000000-0008-0000-1000-0000D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65970" y="773871"/>
          <a:ext cx="815422" cy="758979"/>
        </a:xfrm>
        <a:prstGeom prst="rect">
          <a:avLst/>
        </a:prstGeom>
      </xdr:spPr>
    </xdr:pic>
    <xdr:clientData/>
  </xdr:twoCellAnchor>
  <xdr:twoCellAnchor editAs="absolute">
    <xdr:from>
      <xdr:col>2</xdr:col>
      <xdr:colOff>716537</xdr:colOff>
      <xdr:row>0</xdr:row>
      <xdr:rowOff>29957</xdr:rowOff>
    </xdr:from>
    <xdr:to>
      <xdr:col>2</xdr:col>
      <xdr:colOff>1638562</xdr:colOff>
      <xdr:row>1</xdr:row>
      <xdr:rowOff>123744</xdr:rowOff>
    </xdr:to>
    <xdr:sp macro="" textlink="">
      <xdr:nvSpPr>
        <xdr:cNvPr id="3" name="CaixaDeTexto 8">
          <a:hlinkClick xmlns:r="http://schemas.openxmlformats.org/officeDocument/2006/relationships" r:id="rId3"/>
          <a:extLst>
            <a:ext uri="{FF2B5EF4-FFF2-40B4-BE49-F238E27FC236}">
              <a16:creationId xmlns:a16="http://schemas.microsoft.com/office/drawing/2014/main" id="{00000000-0008-0000-1000-000003000000}"/>
            </a:ext>
          </a:extLst>
        </xdr:cNvPr>
        <xdr:cNvSpPr txBox="1"/>
      </xdr:nvSpPr>
      <xdr:spPr>
        <a:xfrm>
          <a:off x="2535536" y="33132"/>
          <a:ext cx="9252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1208350</xdr:colOff>
      <xdr:row>0</xdr:row>
      <xdr:rowOff>29957</xdr:rowOff>
    </xdr:from>
    <xdr:to>
      <xdr:col>2</xdr:col>
      <xdr:colOff>541109</xdr:colOff>
      <xdr:row>1</xdr:row>
      <xdr:rowOff>123744</xdr:rowOff>
    </xdr:to>
    <xdr:sp macro="" textlink="">
      <xdr:nvSpPr>
        <xdr:cNvPr id="4" name="CaixaDeTexto 9">
          <a:hlinkClick xmlns:r="http://schemas.openxmlformats.org/officeDocument/2006/relationships" r:id="rId4"/>
          <a:extLst>
            <a:ext uri="{FF2B5EF4-FFF2-40B4-BE49-F238E27FC236}">
              <a16:creationId xmlns:a16="http://schemas.microsoft.com/office/drawing/2014/main" id="{00000000-0008-0000-1000-000004000000}"/>
            </a:ext>
          </a:extLst>
        </xdr:cNvPr>
        <xdr:cNvSpPr txBox="1"/>
      </xdr:nvSpPr>
      <xdr:spPr>
        <a:xfrm>
          <a:off x="1791308" y="33132"/>
          <a:ext cx="568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2</xdr:col>
      <xdr:colOff>1817165</xdr:colOff>
      <xdr:row>0</xdr:row>
      <xdr:rowOff>29957</xdr:rowOff>
    </xdr:from>
    <xdr:to>
      <xdr:col>2</xdr:col>
      <xdr:colOff>2486765</xdr:colOff>
      <xdr:row>1</xdr:row>
      <xdr:rowOff>123744</xdr:rowOff>
    </xdr:to>
    <xdr:sp macro="" textlink="">
      <xdr:nvSpPr>
        <xdr:cNvPr id="5" name="CaixaDeTexto 10">
          <a:hlinkClick xmlns:r="http://schemas.openxmlformats.org/officeDocument/2006/relationships" r:id="rId5"/>
          <a:extLst>
            <a:ext uri="{FF2B5EF4-FFF2-40B4-BE49-F238E27FC236}">
              <a16:creationId xmlns:a16="http://schemas.microsoft.com/office/drawing/2014/main" id="{00000000-0008-0000-1000-000005000000}"/>
            </a:ext>
          </a:extLst>
        </xdr:cNvPr>
        <xdr:cNvSpPr txBox="1"/>
      </xdr:nvSpPr>
      <xdr:spPr>
        <a:xfrm>
          <a:off x="3636164" y="33132"/>
          <a:ext cx="6696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2655843</xdr:colOff>
      <xdr:row>0</xdr:row>
      <xdr:rowOff>29957</xdr:rowOff>
    </xdr:from>
    <xdr:to>
      <xdr:col>2</xdr:col>
      <xdr:colOff>3571964</xdr:colOff>
      <xdr:row>1</xdr:row>
      <xdr:rowOff>123744</xdr:rowOff>
    </xdr:to>
    <xdr:sp macro="" textlink="">
      <xdr:nvSpPr>
        <xdr:cNvPr id="6" name="CaixaDeTexto 11">
          <a:hlinkClick xmlns:r="http://schemas.openxmlformats.org/officeDocument/2006/relationships" r:id="rId6"/>
          <a:extLst>
            <a:ext uri="{FF2B5EF4-FFF2-40B4-BE49-F238E27FC236}">
              <a16:creationId xmlns:a16="http://schemas.microsoft.com/office/drawing/2014/main" id="{00000000-0008-0000-1000-000006000000}"/>
            </a:ext>
          </a:extLst>
        </xdr:cNvPr>
        <xdr:cNvSpPr txBox="1"/>
      </xdr:nvSpPr>
      <xdr:spPr>
        <a:xfrm>
          <a:off x="4481192" y="33132"/>
          <a:ext cx="909771"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3741042</xdr:colOff>
      <xdr:row>0</xdr:row>
      <xdr:rowOff>29957</xdr:rowOff>
    </xdr:from>
    <xdr:to>
      <xdr:col>2</xdr:col>
      <xdr:colOff>4226617</xdr:colOff>
      <xdr:row>1</xdr:row>
      <xdr:rowOff>123744</xdr:rowOff>
    </xdr:to>
    <xdr:sp macro="" textlink="">
      <xdr:nvSpPr>
        <xdr:cNvPr id="7" name="CaixaDeTexto 12">
          <a:hlinkClick xmlns:r="http://schemas.openxmlformats.org/officeDocument/2006/relationships" r:id="rId7"/>
          <a:extLst>
            <a:ext uri="{FF2B5EF4-FFF2-40B4-BE49-F238E27FC236}">
              <a16:creationId xmlns:a16="http://schemas.microsoft.com/office/drawing/2014/main" id="{00000000-0008-0000-1000-000007000000}"/>
            </a:ext>
          </a:extLst>
        </xdr:cNvPr>
        <xdr:cNvSpPr txBox="1"/>
      </xdr:nvSpPr>
      <xdr:spPr>
        <a:xfrm>
          <a:off x="5566391" y="33132"/>
          <a:ext cx="4824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4402046</xdr:colOff>
      <xdr:row>0</xdr:row>
      <xdr:rowOff>29957</xdr:rowOff>
    </xdr:from>
    <xdr:to>
      <xdr:col>3</xdr:col>
      <xdr:colOff>485499</xdr:colOff>
      <xdr:row>1</xdr:row>
      <xdr:rowOff>123744</xdr:rowOff>
    </xdr:to>
    <xdr:sp macro="" textlink="">
      <xdr:nvSpPr>
        <xdr:cNvPr id="8" name="CaixaDeTexto 13">
          <a:hlinkClick xmlns:r="http://schemas.openxmlformats.org/officeDocument/2006/relationships" r:id="rId8"/>
          <a:extLst>
            <a:ext uri="{FF2B5EF4-FFF2-40B4-BE49-F238E27FC236}">
              <a16:creationId xmlns:a16="http://schemas.microsoft.com/office/drawing/2014/main" id="{00000000-0008-0000-1000-000008000000}"/>
            </a:ext>
          </a:extLst>
        </xdr:cNvPr>
        <xdr:cNvSpPr txBox="1"/>
      </xdr:nvSpPr>
      <xdr:spPr>
        <a:xfrm>
          <a:off x="6224220" y="33132"/>
          <a:ext cx="784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305297</xdr:colOff>
      <xdr:row>0</xdr:row>
      <xdr:rowOff>29957</xdr:rowOff>
    </xdr:from>
    <xdr:to>
      <xdr:col>1</xdr:col>
      <xdr:colOff>1039272</xdr:colOff>
      <xdr:row>1</xdr:row>
      <xdr:rowOff>123744</xdr:rowOff>
    </xdr:to>
    <xdr:sp macro="" textlink="">
      <xdr:nvSpPr>
        <xdr:cNvPr id="9" name="CaixaDeTexto 15">
          <a:hlinkClick xmlns:r="http://schemas.openxmlformats.org/officeDocument/2006/relationships" r:id="rId9"/>
          <a:extLst>
            <a:ext uri="{FF2B5EF4-FFF2-40B4-BE49-F238E27FC236}">
              <a16:creationId xmlns:a16="http://schemas.microsoft.com/office/drawing/2014/main" id="{00000000-0008-0000-1000-000009000000}"/>
            </a:ext>
          </a:extLst>
        </xdr:cNvPr>
        <xdr:cNvSpPr txBox="1"/>
      </xdr:nvSpPr>
      <xdr:spPr>
        <a:xfrm>
          <a:off x="885080" y="33132"/>
          <a:ext cx="730800" cy="26772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0</xdr:colOff>
      <xdr:row>0</xdr:row>
      <xdr:rowOff>66619</xdr:rowOff>
    </xdr:from>
    <xdr:to>
      <xdr:col>1</xdr:col>
      <xdr:colOff>0</xdr:colOff>
      <xdr:row>1</xdr:row>
      <xdr:rowOff>96607</xdr:rowOff>
    </xdr:to>
    <xdr:sp macro="" textlink="">
      <xdr:nvSpPr>
        <xdr:cNvPr id="10" name="CaixaDeTexto 14">
          <a:hlinkClick xmlns:r="http://schemas.openxmlformats.org/officeDocument/2006/relationships" r:id="rId10"/>
          <a:extLst>
            <a:ext uri="{FF2B5EF4-FFF2-40B4-BE49-F238E27FC236}">
              <a16:creationId xmlns:a16="http://schemas.microsoft.com/office/drawing/2014/main" id="{00000000-0008-0000-1000-00000A000000}"/>
            </a:ext>
          </a:extLst>
        </xdr:cNvPr>
        <xdr:cNvSpPr txBox="1"/>
      </xdr:nvSpPr>
      <xdr:spPr>
        <a:xfrm>
          <a:off x="0" y="63444"/>
          <a:ext cx="579783" cy="207098"/>
        </a:xfrm>
        <a:prstGeom prst="rect">
          <a:avLst/>
        </a:prstGeom>
        <a:solidFill>
          <a:srgbClr val="007A7E"/>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3</xdr:col>
      <xdr:colOff>825500</xdr:colOff>
      <xdr:row>0</xdr:row>
      <xdr:rowOff>38101</xdr:rowOff>
    </xdr:from>
    <xdr:to>
      <xdr:col>3</xdr:col>
      <xdr:colOff>1390646</xdr:colOff>
      <xdr:row>1</xdr:row>
      <xdr:rowOff>161782</xdr:rowOff>
    </xdr:to>
    <xdr:pic>
      <xdr:nvPicPr>
        <xdr:cNvPr id="13" name="Imagem 12">
          <a:hlinkClick xmlns:r="http://schemas.openxmlformats.org/officeDocument/2006/relationships" r:id="rId11"/>
          <a:extLst>
            <a:ext uri="{FF2B5EF4-FFF2-40B4-BE49-F238E27FC236}">
              <a16:creationId xmlns:a16="http://schemas.microsoft.com/office/drawing/2014/main" id="{00000000-0008-0000-1000-00000D000000}"/>
            </a:ext>
          </a:extLst>
        </xdr:cNvPr>
        <xdr:cNvPicPr preferRelativeResize="0">
          <a:picLocks/>
        </xdr:cNvPicPr>
      </xdr:nvPicPr>
      <xdr:blipFill>
        <a:blip xmlns:r="http://schemas.openxmlformats.org/officeDocument/2006/relationships" r:embed="rId12"/>
        <a:stretch>
          <a:fillRect/>
        </a:stretch>
      </xdr:blipFill>
      <xdr:spPr>
        <a:xfrm flipH="1">
          <a:off x="7658100" y="38101"/>
          <a:ext cx="561971" cy="307831"/>
        </a:xfrm>
        <a:prstGeom prst="rect">
          <a:avLst/>
        </a:prstGeom>
      </xdr:spPr>
    </xdr:pic>
    <xdr:clientData/>
  </xdr:twoCellAnchor>
  <xdr:twoCellAnchor editAs="absolute">
    <xdr:from>
      <xdr:col>3</xdr:col>
      <xdr:colOff>1416693</xdr:colOff>
      <xdr:row>0</xdr:row>
      <xdr:rowOff>38100</xdr:rowOff>
    </xdr:from>
    <xdr:to>
      <xdr:col>3</xdr:col>
      <xdr:colOff>1983638</xdr:colOff>
      <xdr:row>1</xdr:row>
      <xdr:rowOff>161781</xdr:rowOff>
    </xdr:to>
    <xdr:pic>
      <xdr:nvPicPr>
        <xdr:cNvPr id="14" name="Imagem 13">
          <a:hlinkClick xmlns:r="http://schemas.openxmlformats.org/officeDocument/2006/relationships" r:id="rId13"/>
          <a:extLst>
            <a:ext uri="{FF2B5EF4-FFF2-40B4-BE49-F238E27FC236}">
              <a16:creationId xmlns:a16="http://schemas.microsoft.com/office/drawing/2014/main" id="{00000000-0008-0000-1000-00000E000000}"/>
            </a:ext>
          </a:extLst>
        </xdr:cNvPr>
        <xdr:cNvPicPr preferRelativeResize="0">
          <a:picLocks/>
        </xdr:cNvPicPr>
      </xdr:nvPicPr>
      <xdr:blipFill>
        <a:blip xmlns:r="http://schemas.openxmlformats.org/officeDocument/2006/relationships" r:embed="rId12"/>
        <a:stretch>
          <a:fillRect/>
        </a:stretch>
      </xdr:blipFill>
      <xdr:spPr>
        <a:xfrm rot="10800000" flipH="1">
          <a:off x="8249293" y="38100"/>
          <a:ext cx="563770" cy="3078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639281</xdr:colOff>
      <xdr:row>0</xdr:row>
      <xdr:rowOff>48680</xdr:rowOff>
    </xdr:from>
    <xdr:to>
      <xdr:col>4</xdr:col>
      <xdr:colOff>511190</xdr:colOff>
      <xdr:row>1</xdr:row>
      <xdr:rowOff>136117</xdr:rowOff>
    </xdr:to>
    <xdr:sp macro="" textlink="">
      <xdr:nvSpPr>
        <xdr:cNvPr id="288" name="CaixaDeTexto 8">
          <a:hlinkClick xmlns:r="http://schemas.openxmlformats.org/officeDocument/2006/relationships" r:id="rId1"/>
          <a:extLst>
            <a:ext uri="{FF2B5EF4-FFF2-40B4-BE49-F238E27FC236}">
              <a16:creationId xmlns:a16="http://schemas.microsoft.com/office/drawing/2014/main" id="{00000000-0008-0000-1100-000020010000}"/>
            </a:ext>
          </a:extLst>
        </xdr:cNvPr>
        <xdr:cNvSpPr txBox="1"/>
      </xdr:nvSpPr>
      <xdr:spPr>
        <a:xfrm>
          <a:off x="3836506" y="45505"/>
          <a:ext cx="1170484"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732800</xdr:colOff>
      <xdr:row>0</xdr:row>
      <xdr:rowOff>48680</xdr:rowOff>
    </xdr:from>
    <xdr:to>
      <xdr:col>3</xdr:col>
      <xdr:colOff>231391</xdr:colOff>
      <xdr:row>1</xdr:row>
      <xdr:rowOff>136117</xdr:rowOff>
    </xdr:to>
    <xdr:sp macro="" textlink="">
      <xdr:nvSpPr>
        <xdr:cNvPr id="287" name="CaixaDeTexto 9">
          <a:hlinkClick xmlns:r="http://schemas.openxmlformats.org/officeDocument/2006/relationships" r:id="rId2"/>
          <a:extLst>
            <a:ext uri="{FF2B5EF4-FFF2-40B4-BE49-F238E27FC236}">
              <a16:creationId xmlns:a16="http://schemas.microsoft.com/office/drawing/2014/main" id="{00000000-0008-0000-1100-00001F010000}"/>
            </a:ext>
          </a:extLst>
        </xdr:cNvPr>
        <xdr:cNvSpPr txBox="1"/>
      </xdr:nvSpPr>
      <xdr:spPr>
        <a:xfrm>
          <a:off x="2640975" y="45505"/>
          <a:ext cx="790816"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4</xdr:col>
      <xdr:colOff>982580</xdr:colOff>
      <xdr:row>0</xdr:row>
      <xdr:rowOff>48680</xdr:rowOff>
    </xdr:from>
    <xdr:to>
      <xdr:col>5</xdr:col>
      <xdr:colOff>579308</xdr:colOff>
      <xdr:row>1</xdr:row>
      <xdr:rowOff>136117</xdr:rowOff>
    </xdr:to>
    <xdr:sp macro="" textlink="">
      <xdr:nvSpPr>
        <xdr:cNvPr id="289" name="CaixaDeTexto 10">
          <a:hlinkClick xmlns:r="http://schemas.openxmlformats.org/officeDocument/2006/relationships" r:id="rId3"/>
          <a:extLst>
            <a:ext uri="{FF2B5EF4-FFF2-40B4-BE49-F238E27FC236}">
              <a16:creationId xmlns:a16="http://schemas.microsoft.com/office/drawing/2014/main" id="{00000000-0008-0000-1100-000021010000}"/>
            </a:ext>
          </a:extLst>
        </xdr:cNvPr>
        <xdr:cNvSpPr txBox="1"/>
      </xdr:nvSpPr>
      <xdr:spPr>
        <a:xfrm>
          <a:off x="5475205" y="45505"/>
          <a:ext cx="898478"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5</xdr:col>
      <xdr:colOff>1050698</xdr:colOff>
      <xdr:row>0</xdr:row>
      <xdr:rowOff>48680</xdr:rowOff>
    </xdr:from>
    <xdr:to>
      <xdr:col>6</xdr:col>
      <xdr:colOff>837393</xdr:colOff>
      <xdr:row>1</xdr:row>
      <xdr:rowOff>136117</xdr:rowOff>
    </xdr:to>
    <xdr:sp macro="" textlink="">
      <xdr:nvSpPr>
        <xdr:cNvPr id="290" name="CaixaDeTexto 11">
          <a:hlinkClick xmlns:r="http://schemas.openxmlformats.org/officeDocument/2006/relationships" r:id="rId4"/>
          <a:extLst>
            <a:ext uri="{FF2B5EF4-FFF2-40B4-BE49-F238E27FC236}">
              <a16:creationId xmlns:a16="http://schemas.microsoft.com/office/drawing/2014/main" id="{00000000-0008-0000-1100-000022010000}"/>
            </a:ext>
          </a:extLst>
        </xdr:cNvPr>
        <xdr:cNvSpPr txBox="1"/>
      </xdr:nvSpPr>
      <xdr:spPr>
        <a:xfrm>
          <a:off x="6841898" y="45505"/>
          <a:ext cx="1082095"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7</xdr:col>
      <xdr:colOff>658111</xdr:colOff>
      <xdr:row>0</xdr:row>
      <xdr:rowOff>48680</xdr:rowOff>
    </xdr:from>
    <xdr:to>
      <xdr:col>8</xdr:col>
      <xdr:colOff>351369</xdr:colOff>
      <xdr:row>1</xdr:row>
      <xdr:rowOff>136117</xdr:rowOff>
    </xdr:to>
    <xdr:sp macro="" textlink="">
      <xdr:nvSpPr>
        <xdr:cNvPr id="292" name="CaixaDeTexto 13">
          <a:hlinkClick xmlns:r="http://schemas.openxmlformats.org/officeDocument/2006/relationships" r:id="rId5"/>
          <a:extLst>
            <a:ext uri="{FF2B5EF4-FFF2-40B4-BE49-F238E27FC236}">
              <a16:creationId xmlns:a16="http://schemas.microsoft.com/office/drawing/2014/main" id="{00000000-0008-0000-1100-000024010000}"/>
            </a:ext>
          </a:extLst>
        </xdr:cNvPr>
        <xdr:cNvSpPr txBox="1"/>
      </xdr:nvSpPr>
      <xdr:spPr>
        <a:xfrm>
          <a:off x="9417936" y="45505"/>
          <a:ext cx="995008"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669689</xdr:colOff>
      <xdr:row>0</xdr:row>
      <xdr:rowOff>48680</xdr:rowOff>
    </xdr:from>
    <xdr:to>
      <xdr:col>2</xdr:col>
      <xdr:colOff>324910</xdr:colOff>
      <xdr:row>1</xdr:row>
      <xdr:rowOff>136117</xdr:rowOff>
    </xdr:to>
    <xdr:sp macro="" textlink="">
      <xdr:nvSpPr>
        <xdr:cNvPr id="286" name="CaixaDeTexto 15">
          <a:hlinkClick xmlns:r="http://schemas.openxmlformats.org/officeDocument/2006/relationships" r:id="rId6"/>
          <a:extLst>
            <a:ext uri="{FF2B5EF4-FFF2-40B4-BE49-F238E27FC236}">
              <a16:creationId xmlns:a16="http://schemas.microsoft.com/office/drawing/2014/main" id="{00000000-0008-0000-1100-00001E010000}"/>
            </a:ext>
          </a:extLst>
        </xdr:cNvPr>
        <xdr:cNvSpPr txBox="1"/>
      </xdr:nvSpPr>
      <xdr:spPr>
        <a:xfrm>
          <a:off x="1279289" y="45505"/>
          <a:ext cx="950621"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48686</xdr:colOff>
      <xdr:row>0</xdr:row>
      <xdr:rowOff>60120</xdr:rowOff>
    </xdr:from>
    <xdr:to>
      <xdr:col>0</xdr:col>
      <xdr:colOff>571500</xdr:colOff>
      <xdr:row>1</xdr:row>
      <xdr:rowOff>152400</xdr:rowOff>
    </xdr:to>
    <xdr:sp macro="" textlink="">
      <xdr:nvSpPr>
        <xdr:cNvPr id="285" name="CaixaDeTexto 14">
          <a:hlinkClick xmlns:r="http://schemas.openxmlformats.org/officeDocument/2006/relationships" r:id="rId7"/>
          <a:extLst>
            <a:ext uri="{FF2B5EF4-FFF2-40B4-BE49-F238E27FC236}">
              <a16:creationId xmlns:a16="http://schemas.microsoft.com/office/drawing/2014/main" id="{00000000-0008-0000-1100-00001D010000}"/>
            </a:ext>
          </a:extLst>
        </xdr:cNvPr>
        <xdr:cNvSpPr txBox="1"/>
      </xdr:nvSpPr>
      <xdr:spPr>
        <a:xfrm>
          <a:off x="48686" y="60120"/>
          <a:ext cx="522814" cy="270080"/>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a:ext>
          </a:extLst>
        </a:blip>
        <a:srcRect/>
        <a:stretch>
          <a:fillRect/>
        </a:stretch>
      </xdr:blipFill>
      <xdr:spPr bwMode="auto">
        <a:xfrm>
          <a:off x="103911" y="502805"/>
          <a:ext cx="1179655" cy="443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851077</xdr:colOff>
      <xdr:row>4</xdr:row>
      <xdr:rowOff>38806</xdr:rowOff>
    </xdr:from>
    <xdr:to>
      <xdr:col>8</xdr:col>
      <xdr:colOff>1801637</xdr:colOff>
      <xdr:row>8</xdr:row>
      <xdr:rowOff>49973</xdr:rowOff>
    </xdr:to>
    <xdr:pic>
      <xdr:nvPicPr>
        <xdr:cNvPr id="17" name="Picture 12">
          <a:extLst>
            <a:ext uri="{FF2B5EF4-FFF2-40B4-BE49-F238E27FC236}">
              <a16:creationId xmlns:a16="http://schemas.microsoft.com/office/drawing/2014/main" id="{00000000-0008-0000-1100-000011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2999" t="7831" r="25251" b="9036"/>
        <a:stretch/>
      </xdr:blipFill>
      <xdr:spPr>
        <a:xfrm>
          <a:off x="10926410" y="758473"/>
          <a:ext cx="871185" cy="823967"/>
        </a:xfrm>
        <a:prstGeom prst="rect">
          <a:avLst/>
        </a:prstGeom>
      </xdr:spPr>
    </xdr:pic>
    <xdr:clientData/>
  </xdr:twoCellAnchor>
  <xdr:twoCellAnchor editAs="oneCell">
    <xdr:from>
      <xdr:col>8</xdr:col>
      <xdr:colOff>1263650</xdr:colOff>
      <xdr:row>0</xdr:row>
      <xdr:rowOff>33155</xdr:rowOff>
    </xdr:from>
    <xdr:to>
      <xdr:col>8</xdr:col>
      <xdr:colOff>1830595</xdr:colOff>
      <xdr:row>1</xdr:row>
      <xdr:rowOff>155430</xdr:rowOff>
    </xdr:to>
    <xdr:pic>
      <xdr:nvPicPr>
        <xdr:cNvPr id="20" name="Picture 6">
          <a:hlinkClick xmlns:r="http://schemas.openxmlformats.org/officeDocument/2006/relationships" r:id="rId10"/>
          <a:extLst>
            <a:ext uri="{FF2B5EF4-FFF2-40B4-BE49-F238E27FC236}">
              <a16:creationId xmlns:a16="http://schemas.microsoft.com/office/drawing/2014/main" id="{00000000-0008-0000-1100-000014000000}"/>
            </a:ext>
            <a:ext uri="{147F2762-F138-4A5C-976F-8EAC2B608ADB}">
              <a16:predDERef xmlns:a16="http://schemas.microsoft.com/office/drawing/2014/main" pred="{00000000-0008-0000-1100-000011000000}"/>
            </a:ext>
          </a:extLst>
        </xdr:cNvPr>
        <xdr:cNvPicPr preferRelativeResize="0">
          <a:picLocks/>
        </xdr:cNvPicPr>
      </xdr:nvPicPr>
      <xdr:blipFill>
        <a:blip xmlns:r="http://schemas.openxmlformats.org/officeDocument/2006/relationships" r:embed="rId11"/>
        <a:stretch>
          <a:fillRect/>
        </a:stretch>
      </xdr:blipFill>
      <xdr:spPr>
        <a:xfrm rot="10800000" flipH="1">
          <a:off x="10874375" y="33155"/>
          <a:ext cx="563770" cy="306425"/>
        </a:xfrm>
        <a:prstGeom prst="rect">
          <a:avLst/>
        </a:prstGeom>
      </xdr:spPr>
    </xdr:pic>
    <xdr:clientData/>
  </xdr:twoCellAnchor>
  <xdr:twoCellAnchor editAs="oneCell">
    <xdr:from>
      <xdr:col>8</xdr:col>
      <xdr:colOff>676275</xdr:colOff>
      <xdr:row>0</xdr:row>
      <xdr:rowOff>28575</xdr:rowOff>
    </xdr:from>
    <xdr:to>
      <xdr:col>8</xdr:col>
      <xdr:colOff>1238246</xdr:colOff>
      <xdr:row>1</xdr:row>
      <xdr:rowOff>150850</xdr:rowOff>
    </xdr:to>
    <xdr:pic>
      <xdr:nvPicPr>
        <xdr:cNvPr id="21" name="Picture 5">
          <a:hlinkClick xmlns:r="http://schemas.openxmlformats.org/officeDocument/2006/relationships" r:id="rId12"/>
          <a:extLst>
            <a:ext uri="{FF2B5EF4-FFF2-40B4-BE49-F238E27FC236}">
              <a16:creationId xmlns:a16="http://schemas.microsoft.com/office/drawing/2014/main" id="{00000000-0008-0000-1100-000015000000}"/>
            </a:ext>
            <a:ext uri="{147F2762-F138-4A5C-976F-8EAC2B608ADB}">
              <a16:predDERef xmlns:a16="http://schemas.microsoft.com/office/drawing/2014/main" pred="{00000000-0008-0000-1100-000007000000}"/>
            </a:ext>
          </a:extLst>
        </xdr:cNvPr>
        <xdr:cNvPicPr preferRelativeResize="0">
          <a:picLocks/>
        </xdr:cNvPicPr>
      </xdr:nvPicPr>
      <xdr:blipFill>
        <a:blip xmlns:r="http://schemas.openxmlformats.org/officeDocument/2006/relationships" r:embed="rId11"/>
        <a:stretch>
          <a:fillRect/>
        </a:stretch>
      </xdr:blipFill>
      <xdr:spPr>
        <a:xfrm flipH="1">
          <a:off x="10287000" y="28575"/>
          <a:ext cx="565146" cy="306425"/>
        </a:xfrm>
        <a:prstGeom prst="rect">
          <a:avLst/>
        </a:prstGeom>
      </xdr:spPr>
    </xdr:pic>
    <xdr:clientData/>
  </xdr:twoCellAnchor>
  <xdr:twoCellAnchor>
    <xdr:from>
      <xdr:col>6</xdr:col>
      <xdr:colOff>1257300</xdr:colOff>
      <xdr:row>0</xdr:row>
      <xdr:rowOff>57150</xdr:rowOff>
    </xdr:from>
    <xdr:to>
      <xdr:col>7</xdr:col>
      <xdr:colOff>266700</xdr:colOff>
      <xdr:row>1</xdr:row>
      <xdr:rowOff>142875</xdr:rowOff>
    </xdr:to>
    <xdr:sp macro="" textlink="">
      <xdr:nvSpPr>
        <xdr:cNvPr id="13" name="TextBox 7">
          <a:hlinkClick xmlns:r="http://schemas.openxmlformats.org/officeDocument/2006/relationships" r:id="rId13"/>
          <a:extLst>
            <a:ext uri="{FF2B5EF4-FFF2-40B4-BE49-F238E27FC236}">
              <a16:creationId xmlns:a16="http://schemas.microsoft.com/office/drawing/2014/main" id="{00000000-0008-0000-1100-00000D000000}"/>
            </a:ext>
            <a:ext uri="{147F2762-F138-4A5C-976F-8EAC2B608ADB}">
              <a16:predDERef xmlns:a16="http://schemas.microsoft.com/office/drawing/2014/main" pred="{F3FE31C9-8348-4B30-97D7-F332BF17CEED}"/>
            </a:ext>
          </a:extLst>
        </xdr:cNvPr>
        <xdr:cNvSpPr txBox="1"/>
      </xdr:nvSpPr>
      <xdr:spPr>
        <a:xfrm>
          <a:off x="8029575" y="57150"/>
          <a:ext cx="609600" cy="25717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103911</xdr:colOff>
      <xdr:row>2</xdr:row>
      <xdr:rowOff>134505</xdr:rowOff>
    </xdr:from>
    <xdr:to>
      <xdr:col>1</xdr:col>
      <xdr:colOff>677141</xdr:colOff>
      <xdr:row>5</xdr:row>
      <xdr:rowOff>28575</xdr:rowOff>
    </xdr:to>
    <xdr:pic>
      <xdr:nvPicPr>
        <xdr:cNvPr id="2" name="Picture 1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3911" y="502805"/>
          <a:ext cx="1182830" cy="446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8</xdr:col>
      <xdr:colOff>477308</xdr:colOff>
      <xdr:row>3</xdr:row>
      <xdr:rowOff>159809</xdr:rowOff>
    </xdr:from>
    <xdr:to>
      <xdr:col>9</xdr:col>
      <xdr:colOff>132014</xdr:colOff>
      <xdr:row>8</xdr:row>
      <xdr:rowOff>25605</xdr:rowOff>
    </xdr:to>
    <xdr:pic>
      <xdr:nvPicPr>
        <xdr:cNvPr id="3" name="Imagem 17" descr="World Economic Forum">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88033" y="683684"/>
          <a:ext cx="1600981" cy="872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590598</xdr:colOff>
      <xdr:row>0</xdr:row>
      <xdr:rowOff>48685</xdr:rowOff>
    </xdr:from>
    <xdr:to>
      <xdr:col>4</xdr:col>
      <xdr:colOff>468857</xdr:colOff>
      <xdr:row>1</xdr:row>
      <xdr:rowOff>136122</xdr:rowOff>
    </xdr:to>
    <xdr:sp macro="" textlink="">
      <xdr:nvSpPr>
        <xdr:cNvPr id="359" name="CaixaDeTexto 8">
          <a:hlinkClick xmlns:r="http://schemas.openxmlformats.org/officeDocument/2006/relationships" r:id="rId3"/>
          <a:extLst>
            <a:ext uri="{FF2B5EF4-FFF2-40B4-BE49-F238E27FC236}">
              <a16:creationId xmlns:a16="http://schemas.microsoft.com/office/drawing/2014/main" id="{00000000-0008-0000-1200-000067010000}"/>
            </a:ext>
          </a:extLst>
        </xdr:cNvPr>
        <xdr:cNvSpPr txBox="1"/>
      </xdr:nvSpPr>
      <xdr:spPr>
        <a:xfrm>
          <a:off x="3790998" y="48685"/>
          <a:ext cx="1173659" cy="26841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696817</xdr:colOff>
      <xdr:row>0</xdr:row>
      <xdr:rowOff>48685</xdr:rowOff>
    </xdr:from>
    <xdr:to>
      <xdr:col>3</xdr:col>
      <xdr:colOff>182708</xdr:colOff>
      <xdr:row>1</xdr:row>
      <xdr:rowOff>136122</xdr:rowOff>
    </xdr:to>
    <xdr:sp macro="" textlink="">
      <xdr:nvSpPr>
        <xdr:cNvPr id="360" name="CaixaDeTexto 9">
          <a:hlinkClick xmlns:r="http://schemas.openxmlformats.org/officeDocument/2006/relationships" r:id="rId4"/>
          <a:extLst>
            <a:ext uri="{FF2B5EF4-FFF2-40B4-BE49-F238E27FC236}">
              <a16:creationId xmlns:a16="http://schemas.microsoft.com/office/drawing/2014/main" id="{00000000-0008-0000-1200-000068010000}"/>
            </a:ext>
          </a:extLst>
        </xdr:cNvPr>
        <xdr:cNvSpPr txBox="1"/>
      </xdr:nvSpPr>
      <xdr:spPr>
        <a:xfrm>
          <a:off x="2601817" y="48685"/>
          <a:ext cx="781291" cy="26841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4</xdr:col>
      <xdr:colOff>933897</xdr:colOff>
      <xdr:row>0</xdr:row>
      <xdr:rowOff>48685</xdr:rowOff>
    </xdr:from>
    <xdr:to>
      <xdr:col>5</xdr:col>
      <xdr:colOff>543325</xdr:colOff>
      <xdr:row>1</xdr:row>
      <xdr:rowOff>136122</xdr:rowOff>
    </xdr:to>
    <xdr:sp macro="" textlink="">
      <xdr:nvSpPr>
        <xdr:cNvPr id="361" name="CaixaDeTexto 10">
          <a:hlinkClick xmlns:r="http://schemas.openxmlformats.org/officeDocument/2006/relationships" r:id="rId5"/>
          <a:extLst>
            <a:ext uri="{FF2B5EF4-FFF2-40B4-BE49-F238E27FC236}">
              <a16:creationId xmlns:a16="http://schemas.microsoft.com/office/drawing/2014/main" id="{00000000-0008-0000-1200-000069010000}"/>
            </a:ext>
          </a:extLst>
        </xdr:cNvPr>
        <xdr:cNvSpPr txBox="1"/>
      </xdr:nvSpPr>
      <xdr:spPr>
        <a:xfrm>
          <a:off x="5429697" y="48685"/>
          <a:ext cx="904828" cy="26841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5</xdr:col>
      <xdr:colOff>1002015</xdr:colOff>
      <xdr:row>0</xdr:row>
      <xdr:rowOff>48685</xdr:rowOff>
    </xdr:from>
    <xdr:to>
      <xdr:col>6</xdr:col>
      <xdr:colOff>788710</xdr:colOff>
      <xdr:row>1</xdr:row>
      <xdr:rowOff>136122</xdr:rowOff>
    </xdr:to>
    <xdr:sp macro="" textlink="">
      <xdr:nvSpPr>
        <xdr:cNvPr id="362" name="CaixaDeTexto 11">
          <a:hlinkClick xmlns:r="http://schemas.openxmlformats.org/officeDocument/2006/relationships" r:id="rId6"/>
          <a:extLst>
            <a:ext uri="{FF2B5EF4-FFF2-40B4-BE49-F238E27FC236}">
              <a16:creationId xmlns:a16="http://schemas.microsoft.com/office/drawing/2014/main" id="{00000000-0008-0000-1200-00006A010000}"/>
            </a:ext>
          </a:extLst>
        </xdr:cNvPr>
        <xdr:cNvSpPr txBox="1"/>
      </xdr:nvSpPr>
      <xdr:spPr>
        <a:xfrm>
          <a:off x="6793215" y="48685"/>
          <a:ext cx="1082095" cy="26841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7</xdr:col>
      <xdr:colOff>609428</xdr:colOff>
      <xdr:row>0</xdr:row>
      <xdr:rowOff>48685</xdr:rowOff>
    </xdr:from>
    <xdr:to>
      <xdr:col>8</xdr:col>
      <xdr:colOff>315386</xdr:colOff>
      <xdr:row>1</xdr:row>
      <xdr:rowOff>136122</xdr:rowOff>
    </xdr:to>
    <xdr:sp macro="" textlink="">
      <xdr:nvSpPr>
        <xdr:cNvPr id="364" name="CaixaDeTexto 13">
          <a:hlinkClick xmlns:r="http://schemas.openxmlformats.org/officeDocument/2006/relationships" r:id="rId7"/>
          <a:extLst>
            <a:ext uri="{FF2B5EF4-FFF2-40B4-BE49-F238E27FC236}">
              <a16:creationId xmlns:a16="http://schemas.microsoft.com/office/drawing/2014/main" id="{00000000-0008-0000-1200-00006C010000}"/>
            </a:ext>
          </a:extLst>
        </xdr:cNvPr>
        <xdr:cNvSpPr txBox="1"/>
      </xdr:nvSpPr>
      <xdr:spPr>
        <a:xfrm>
          <a:off x="9372428" y="48685"/>
          <a:ext cx="1001358" cy="26841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621006</xdr:colOff>
      <xdr:row>0</xdr:row>
      <xdr:rowOff>48685</xdr:rowOff>
    </xdr:from>
    <xdr:to>
      <xdr:col>2</xdr:col>
      <xdr:colOff>282577</xdr:colOff>
      <xdr:row>1</xdr:row>
      <xdr:rowOff>136122</xdr:rowOff>
    </xdr:to>
    <xdr:sp macro="" textlink="">
      <xdr:nvSpPr>
        <xdr:cNvPr id="365" name="CaixaDeTexto 15">
          <a:hlinkClick xmlns:r="http://schemas.openxmlformats.org/officeDocument/2006/relationships" r:id="rId8"/>
          <a:extLst>
            <a:ext uri="{FF2B5EF4-FFF2-40B4-BE49-F238E27FC236}">
              <a16:creationId xmlns:a16="http://schemas.microsoft.com/office/drawing/2014/main" id="{00000000-0008-0000-1200-00006D010000}"/>
            </a:ext>
          </a:extLst>
        </xdr:cNvPr>
        <xdr:cNvSpPr txBox="1"/>
      </xdr:nvSpPr>
      <xdr:spPr>
        <a:xfrm>
          <a:off x="1230606" y="48685"/>
          <a:ext cx="956971" cy="268412"/>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0</xdr:col>
      <xdr:colOff>63503</xdr:colOff>
      <xdr:row>0</xdr:row>
      <xdr:rowOff>60125</xdr:rowOff>
    </xdr:from>
    <xdr:to>
      <xdr:col>0</xdr:col>
      <xdr:colOff>568328</xdr:colOff>
      <xdr:row>1</xdr:row>
      <xdr:rowOff>124683</xdr:rowOff>
    </xdr:to>
    <xdr:sp macro="" textlink="">
      <xdr:nvSpPr>
        <xdr:cNvPr id="366" name="CaixaDeTexto 14">
          <a:hlinkClick xmlns:r="http://schemas.openxmlformats.org/officeDocument/2006/relationships" r:id="rId9"/>
          <a:extLst>
            <a:ext uri="{FF2B5EF4-FFF2-40B4-BE49-F238E27FC236}">
              <a16:creationId xmlns:a16="http://schemas.microsoft.com/office/drawing/2014/main" id="{00000000-0008-0000-1200-00006E010000}"/>
            </a:ext>
          </a:extLst>
        </xdr:cNvPr>
        <xdr:cNvSpPr txBox="1"/>
      </xdr:nvSpPr>
      <xdr:spPr>
        <a:xfrm>
          <a:off x="63503" y="60125"/>
          <a:ext cx="504825" cy="229658"/>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8</xdr:col>
      <xdr:colOff>628650</xdr:colOff>
      <xdr:row>0</xdr:row>
      <xdr:rowOff>38101</xdr:rowOff>
    </xdr:from>
    <xdr:to>
      <xdr:col>8</xdr:col>
      <xdr:colOff>1193796</xdr:colOff>
      <xdr:row>1</xdr:row>
      <xdr:rowOff>161782</xdr:rowOff>
    </xdr:to>
    <xdr:pic>
      <xdr:nvPicPr>
        <xdr:cNvPr id="6" name="Imagem 5">
          <a:hlinkClick xmlns:r="http://schemas.openxmlformats.org/officeDocument/2006/relationships" r:id="rId10"/>
          <a:extLst>
            <a:ext uri="{FF2B5EF4-FFF2-40B4-BE49-F238E27FC236}">
              <a16:creationId xmlns:a16="http://schemas.microsoft.com/office/drawing/2014/main" id="{00000000-0008-0000-1200-000006000000}"/>
            </a:ext>
          </a:extLst>
        </xdr:cNvPr>
        <xdr:cNvPicPr preferRelativeResize="0">
          <a:picLocks/>
        </xdr:cNvPicPr>
      </xdr:nvPicPr>
      <xdr:blipFill>
        <a:blip xmlns:r="http://schemas.openxmlformats.org/officeDocument/2006/relationships" r:embed="rId11"/>
        <a:stretch>
          <a:fillRect/>
        </a:stretch>
      </xdr:blipFill>
      <xdr:spPr>
        <a:xfrm flipH="1">
          <a:off x="10687050" y="38101"/>
          <a:ext cx="565146" cy="304656"/>
        </a:xfrm>
        <a:prstGeom prst="rect">
          <a:avLst/>
        </a:prstGeom>
      </xdr:spPr>
    </xdr:pic>
    <xdr:clientData/>
  </xdr:twoCellAnchor>
  <xdr:twoCellAnchor editAs="oneCell">
    <xdr:from>
      <xdr:col>8</xdr:col>
      <xdr:colOff>1219200</xdr:colOff>
      <xdr:row>0</xdr:row>
      <xdr:rowOff>36330</xdr:rowOff>
    </xdr:from>
    <xdr:to>
      <xdr:col>8</xdr:col>
      <xdr:colOff>1782970</xdr:colOff>
      <xdr:row>1</xdr:row>
      <xdr:rowOff>164955</xdr:rowOff>
    </xdr:to>
    <xdr:pic>
      <xdr:nvPicPr>
        <xdr:cNvPr id="4" name="Picture 32">
          <a:hlinkClick xmlns:r="http://schemas.openxmlformats.org/officeDocument/2006/relationships" r:id="rId12"/>
          <a:extLst>
            <a:ext uri="{FF2B5EF4-FFF2-40B4-BE49-F238E27FC236}">
              <a16:creationId xmlns:a16="http://schemas.microsoft.com/office/drawing/2014/main" id="{00000000-0008-0000-1200-000004000000}"/>
            </a:ext>
            <a:ext uri="{147F2762-F138-4A5C-976F-8EAC2B608ADB}">
              <a16:predDERef xmlns:a16="http://schemas.microsoft.com/office/drawing/2014/main" pred="{00000000-0008-0000-1200-000006000000}"/>
            </a:ext>
          </a:extLst>
        </xdr:cNvPr>
        <xdr:cNvPicPr preferRelativeResize="0">
          <a:picLocks/>
        </xdr:cNvPicPr>
      </xdr:nvPicPr>
      <xdr:blipFill>
        <a:blip xmlns:r="http://schemas.openxmlformats.org/officeDocument/2006/relationships" r:embed="rId11"/>
        <a:stretch>
          <a:fillRect/>
        </a:stretch>
      </xdr:blipFill>
      <xdr:spPr>
        <a:xfrm rot="10800000" flipH="1">
          <a:off x="10829925" y="36330"/>
          <a:ext cx="563770" cy="309600"/>
        </a:xfrm>
        <a:prstGeom prst="rect">
          <a:avLst/>
        </a:prstGeom>
      </xdr:spPr>
    </xdr:pic>
    <xdr:clientData/>
  </xdr:twoCellAnchor>
  <xdr:twoCellAnchor>
    <xdr:from>
      <xdr:col>6</xdr:col>
      <xdr:colOff>1238250</xdr:colOff>
      <xdr:row>0</xdr:row>
      <xdr:rowOff>57150</xdr:rowOff>
    </xdr:from>
    <xdr:to>
      <xdr:col>7</xdr:col>
      <xdr:colOff>209550</xdr:colOff>
      <xdr:row>1</xdr:row>
      <xdr:rowOff>142875</xdr:rowOff>
    </xdr:to>
    <xdr:sp macro="" textlink="">
      <xdr:nvSpPr>
        <xdr:cNvPr id="34" name="TextBox 33">
          <a:hlinkClick xmlns:r="http://schemas.openxmlformats.org/officeDocument/2006/relationships" r:id="rId13"/>
          <a:extLst>
            <a:ext uri="{FF2B5EF4-FFF2-40B4-BE49-F238E27FC236}">
              <a16:creationId xmlns:a16="http://schemas.microsoft.com/office/drawing/2014/main" id="{00000000-0008-0000-1200-000022000000}"/>
            </a:ext>
            <a:ext uri="{147F2762-F138-4A5C-976F-8EAC2B608ADB}">
              <a16:predDERef xmlns:a16="http://schemas.microsoft.com/office/drawing/2014/main" pred="{FD9D79B0-E469-48FA-90FD-FD622610DA60}"/>
            </a:ext>
          </a:extLst>
        </xdr:cNvPr>
        <xdr:cNvSpPr txBox="1"/>
      </xdr:nvSpPr>
      <xdr:spPr>
        <a:xfrm>
          <a:off x="8010525" y="57150"/>
          <a:ext cx="571500" cy="25717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16565</xdr:colOff>
      <xdr:row>0</xdr:row>
      <xdr:rowOff>68082</xdr:rowOff>
    </xdr:from>
    <xdr:to>
      <xdr:col>0</xdr:col>
      <xdr:colOff>563217</xdr:colOff>
      <xdr:row>1</xdr:row>
      <xdr:rowOff>132496</xdr:rowOff>
    </xdr:to>
    <xdr:sp macro="" textlink="">
      <xdr:nvSpPr>
        <xdr:cNvPr id="2" name="CaixaDeTexto 14">
          <a:hlinkClick xmlns:r="http://schemas.openxmlformats.org/officeDocument/2006/relationships" r:id="rId1"/>
          <a:extLst>
            <a:ext uri="{FF2B5EF4-FFF2-40B4-BE49-F238E27FC236}">
              <a16:creationId xmlns:a16="http://schemas.microsoft.com/office/drawing/2014/main" id="{00000000-0008-0000-1300-000002000000}"/>
            </a:ext>
          </a:extLst>
        </xdr:cNvPr>
        <xdr:cNvSpPr txBox="1"/>
      </xdr:nvSpPr>
      <xdr:spPr>
        <a:xfrm>
          <a:off x="16565" y="68082"/>
          <a:ext cx="546652" cy="242214"/>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0</xdr:col>
      <xdr:colOff>103911</xdr:colOff>
      <xdr:row>2</xdr:row>
      <xdr:rowOff>134505</xdr:rowOff>
    </xdr:from>
    <xdr:to>
      <xdr:col>1</xdr:col>
      <xdr:colOff>693016</xdr:colOff>
      <xdr:row>5</xdr:row>
      <xdr:rowOff>25400</xdr:rowOff>
    </xdr:to>
    <xdr:pic>
      <xdr:nvPicPr>
        <xdr:cNvPr id="3" name="Picture 11">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03911" y="490105"/>
          <a:ext cx="1205055" cy="443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514349</xdr:colOff>
      <xdr:row>22</xdr:row>
      <xdr:rowOff>6351</xdr:rowOff>
    </xdr:from>
    <xdr:to>
      <xdr:col>2</xdr:col>
      <xdr:colOff>2006329</xdr:colOff>
      <xdr:row>23</xdr:row>
      <xdr:rowOff>10134</xdr:rowOff>
    </xdr:to>
    <xdr:sp macro="" textlink="">
      <xdr:nvSpPr>
        <xdr:cNvPr id="4" name="CaixaDeTexto 3">
          <a:hlinkClick xmlns:r="http://schemas.openxmlformats.org/officeDocument/2006/relationships" r:id="rId3"/>
          <a:extLst>
            <a:ext uri="{FF2B5EF4-FFF2-40B4-BE49-F238E27FC236}">
              <a16:creationId xmlns:a16="http://schemas.microsoft.com/office/drawing/2014/main" id="{00000000-0008-0000-1300-000004000000}"/>
            </a:ext>
          </a:extLst>
        </xdr:cNvPr>
        <xdr:cNvSpPr txBox="1"/>
      </xdr:nvSpPr>
      <xdr:spPr>
        <a:xfrm>
          <a:off x="514349" y="10575048"/>
          <a:ext cx="6325411" cy="1861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50" b="0" baseline="0">
              <a:solidFill>
                <a:srgbClr val="555555"/>
              </a:solidFill>
              <a:latin typeface="Arial" panose="020B0604020202020204" pitchFamily="34" charset="0"/>
              <a:cs typeface="Arial" panose="020B0604020202020204" pitchFamily="34" charset="0"/>
            </a:rPr>
            <a:t>More informations about the </a:t>
          </a:r>
          <a:r>
            <a:rPr lang="pt-BR" sz="1050" b="0" i="0">
              <a:solidFill>
                <a:srgbClr val="555555"/>
              </a:solidFill>
              <a:effectLst/>
              <a:latin typeface="Arial" panose="020B0604020202020204" pitchFamily="34" charset="0"/>
              <a:ea typeface="+mn-ea"/>
              <a:cs typeface="Arial" panose="020B0604020202020204" pitchFamily="34" charset="0"/>
            </a:rPr>
            <a:t>ICMM - Social and Economic Reporting can be found clicking</a:t>
          </a:r>
          <a:r>
            <a:rPr lang="pt-BR" sz="1050" b="0" i="0" baseline="0">
              <a:solidFill>
                <a:srgbClr val="555555"/>
              </a:solidFill>
              <a:effectLst/>
              <a:latin typeface="Arial" panose="020B0604020202020204" pitchFamily="34" charset="0"/>
              <a:ea typeface="+mn-ea"/>
              <a:cs typeface="Arial" panose="020B0604020202020204" pitchFamily="34" charset="0"/>
            </a:rPr>
            <a:t> here</a:t>
          </a:r>
          <a:endParaRPr lang="pt-BR" sz="1050" b="0" i="0">
            <a:solidFill>
              <a:srgbClr val="555555"/>
            </a:solidFill>
            <a:effectLst/>
            <a:latin typeface="Arial" panose="020B0604020202020204" pitchFamily="34" charset="0"/>
            <a:ea typeface="+mn-ea"/>
            <a:cs typeface="Arial" panose="020B0604020202020204" pitchFamily="34" charset="0"/>
          </a:endParaRPr>
        </a:p>
      </xdr:txBody>
    </xdr:sp>
    <xdr:clientData/>
  </xdr:twoCellAnchor>
  <xdr:twoCellAnchor editAs="absolute">
    <xdr:from>
      <xdr:col>1</xdr:col>
      <xdr:colOff>2237945</xdr:colOff>
      <xdr:row>0</xdr:row>
      <xdr:rowOff>48185</xdr:rowOff>
    </xdr:from>
    <xdr:to>
      <xdr:col>1</xdr:col>
      <xdr:colOff>3231804</xdr:colOff>
      <xdr:row>1</xdr:row>
      <xdr:rowOff>152394</xdr:rowOff>
    </xdr:to>
    <xdr:sp macro="" textlink="">
      <xdr:nvSpPr>
        <xdr:cNvPr id="11" name="CaixaDeTexto 8">
          <a:hlinkClick xmlns:r="http://schemas.openxmlformats.org/officeDocument/2006/relationships" r:id="rId4"/>
          <a:extLst>
            <a:ext uri="{FF2B5EF4-FFF2-40B4-BE49-F238E27FC236}">
              <a16:creationId xmlns:a16="http://schemas.microsoft.com/office/drawing/2014/main" id="{00000000-0008-0000-1300-00000B000000}"/>
            </a:ext>
          </a:extLst>
        </xdr:cNvPr>
        <xdr:cNvSpPr txBox="1"/>
      </xdr:nvSpPr>
      <xdr:spPr>
        <a:xfrm>
          <a:off x="2847545" y="48185"/>
          <a:ext cx="993859" cy="28200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1</xdr:col>
      <xdr:colOff>1361789</xdr:colOff>
      <xdr:row>0</xdr:row>
      <xdr:rowOff>48185</xdr:rowOff>
    </xdr:from>
    <xdr:to>
      <xdr:col>1</xdr:col>
      <xdr:colOff>2046492</xdr:colOff>
      <xdr:row>1</xdr:row>
      <xdr:rowOff>152394</xdr:rowOff>
    </xdr:to>
    <xdr:sp macro="" textlink="">
      <xdr:nvSpPr>
        <xdr:cNvPr id="12" name="CaixaDeTexto 9">
          <a:hlinkClick xmlns:r="http://schemas.openxmlformats.org/officeDocument/2006/relationships" r:id="rId5"/>
          <a:extLst>
            <a:ext uri="{FF2B5EF4-FFF2-40B4-BE49-F238E27FC236}">
              <a16:creationId xmlns:a16="http://schemas.microsoft.com/office/drawing/2014/main" id="{00000000-0008-0000-1300-00000C000000}"/>
            </a:ext>
          </a:extLst>
        </xdr:cNvPr>
        <xdr:cNvSpPr txBox="1"/>
      </xdr:nvSpPr>
      <xdr:spPr>
        <a:xfrm>
          <a:off x="1971389" y="48185"/>
          <a:ext cx="684703" cy="28200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3286732</xdr:colOff>
      <xdr:row>0</xdr:row>
      <xdr:rowOff>48185</xdr:rowOff>
    </xdr:from>
    <xdr:to>
      <xdr:col>2</xdr:col>
      <xdr:colOff>172593</xdr:colOff>
      <xdr:row>1</xdr:row>
      <xdr:rowOff>152394</xdr:rowOff>
    </xdr:to>
    <xdr:sp macro="" textlink="">
      <xdr:nvSpPr>
        <xdr:cNvPr id="13" name="CaixaDeTexto 10">
          <a:hlinkClick xmlns:r="http://schemas.openxmlformats.org/officeDocument/2006/relationships" r:id="rId6"/>
          <a:extLst>
            <a:ext uri="{FF2B5EF4-FFF2-40B4-BE49-F238E27FC236}">
              <a16:creationId xmlns:a16="http://schemas.microsoft.com/office/drawing/2014/main" id="{00000000-0008-0000-1300-00000D000000}"/>
            </a:ext>
          </a:extLst>
        </xdr:cNvPr>
        <xdr:cNvSpPr txBox="1"/>
      </xdr:nvSpPr>
      <xdr:spPr>
        <a:xfrm>
          <a:off x="3893157" y="45010"/>
          <a:ext cx="1118136" cy="2883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2</xdr:col>
      <xdr:colOff>140848</xdr:colOff>
      <xdr:row>0</xdr:row>
      <xdr:rowOff>45010</xdr:rowOff>
    </xdr:from>
    <xdr:to>
      <xdr:col>2</xdr:col>
      <xdr:colOff>1040995</xdr:colOff>
      <xdr:row>1</xdr:row>
      <xdr:rowOff>152394</xdr:rowOff>
    </xdr:to>
    <xdr:sp macro="" textlink="">
      <xdr:nvSpPr>
        <xdr:cNvPr id="14" name="CaixaDeTexto 11">
          <a:hlinkClick xmlns:r="http://schemas.openxmlformats.org/officeDocument/2006/relationships" r:id="rId7"/>
          <a:extLst>
            <a:ext uri="{FF2B5EF4-FFF2-40B4-BE49-F238E27FC236}">
              <a16:creationId xmlns:a16="http://schemas.microsoft.com/office/drawing/2014/main" id="{00000000-0008-0000-1300-00000E000000}"/>
            </a:ext>
          </a:extLst>
        </xdr:cNvPr>
        <xdr:cNvSpPr txBox="1"/>
      </xdr:nvSpPr>
      <xdr:spPr>
        <a:xfrm>
          <a:off x="4982723" y="48185"/>
          <a:ext cx="893797" cy="285184"/>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Environmnetal</a:t>
          </a:r>
        </a:p>
      </xdr:txBody>
    </xdr:sp>
    <xdr:clientData/>
  </xdr:twoCellAnchor>
  <xdr:twoCellAnchor editAs="absolute">
    <xdr:from>
      <xdr:col>2</xdr:col>
      <xdr:colOff>1226098</xdr:colOff>
      <xdr:row>0</xdr:row>
      <xdr:rowOff>48185</xdr:rowOff>
    </xdr:from>
    <xdr:to>
      <xdr:col>2</xdr:col>
      <xdr:colOff>1762307</xdr:colOff>
      <xdr:row>1</xdr:row>
      <xdr:rowOff>152394</xdr:rowOff>
    </xdr:to>
    <xdr:sp macro="" textlink="">
      <xdr:nvSpPr>
        <xdr:cNvPr id="15" name="CaixaDeTexto 12">
          <a:hlinkClick xmlns:r="http://schemas.openxmlformats.org/officeDocument/2006/relationships" r:id="rId8"/>
          <a:extLst>
            <a:ext uri="{FF2B5EF4-FFF2-40B4-BE49-F238E27FC236}">
              <a16:creationId xmlns:a16="http://schemas.microsoft.com/office/drawing/2014/main" id="{00000000-0008-0000-1300-00000F000000}"/>
            </a:ext>
          </a:extLst>
        </xdr:cNvPr>
        <xdr:cNvSpPr txBox="1"/>
      </xdr:nvSpPr>
      <xdr:spPr>
        <a:xfrm>
          <a:off x="6067973" y="45010"/>
          <a:ext cx="529859" cy="2883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1873588</xdr:colOff>
      <xdr:row>0</xdr:row>
      <xdr:rowOff>45010</xdr:rowOff>
    </xdr:from>
    <xdr:to>
      <xdr:col>2</xdr:col>
      <xdr:colOff>2730642</xdr:colOff>
      <xdr:row>1</xdr:row>
      <xdr:rowOff>152394</xdr:rowOff>
    </xdr:to>
    <xdr:sp macro="" textlink="">
      <xdr:nvSpPr>
        <xdr:cNvPr id="16" name="CaixaDeTexto 13">
          <a:hlinkClick xmlns:r="http://schemas.openxmlformats.org/officeDocument/2006/relationships" r:id="rId9"/>
          <a:extLst>
            <a:ext uri="{FF2B5EF4-FFF2-40B4-BE49-F238E27FC236}">
              <a16:creationId xmlns:a16="http://schemas.microsoft.com/office/drawing/2014/main" id="{00000000-0008-0000-1300-000010000000}"/>
            </a:ext>
          </a:extLst>
        </xdr:cNvPr>
        <xdr:cNvSpPr txBox="1"/>
      </xdr:nvSpPr>
      <xdr:spPr>
        <a:xfrm>
          <a:off x="6715463" y="48185"/>
          <a:ext cx="857054" cy="285184"/>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378799</xdr:colOff>
      <xdr:row>0</xdr:row>
      <xdr:rowOff>48185</xdr:rowOff>
    </xdr:from>
    <xdr:to>
      <xdr:col>1</xdr:col>
      <xdr:colOff>1170336</xdr:colOff>
      <xdr:row>1</xdr:row>
      <xdr:rowOff>152394</xdr:rowOff>
    </xdr:to>
    <xdr:sp macro="" textlink="">
      <xdr:nvSpPr>
        <xdr:cNvPr id="17" name="CaixaDeTexto 15">
          <a:hlinkClick xmlns:r="http://schemas.openxmlformats.org/officeDocument/2006/relationships" r:id="rId10"/>
          <a:extLst>
            <a:ext uri="{FF2B5EF4-FFF2-40B4-BE49-F238E27FC236}">
              <a16:creationId xmlns:a16="http://schemas.microsoft.com/office/drawing/2014/main" id="{00000000-0008-0000-1300-000011000000}"/>
            </a:ext>
          </a:extLst>
        </xdr:cNvPr>
        <xdr:cNvSpPr txBox="1"/>
      </xdr:nvSpPr>
      <xdr:spPr>
        <a:xfrm>
          <a:off x="988399" y="48185"/>
          <a:ext cx="791537" cy="28200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oneCell">
    <xdr:from>
      <xdr:col>3</xdr:col>
      <xdr:colOff>38100</xdr:colOff>
      <xdr:row>0</xdr:row>
      <xdr:rowOff>28575</xdr:rowOff>
    </xdr:from>
    <xdr:to>
      <xdr:col>3</xdr:col>
      <xdr:colOff>603246</xdr:colOff>
      <xdr:row>1</xdr:row>
      <xdr:rowOff>152256</xdr:rowOff>
    </xdr:to>
    <xdr:pic>
      <xdr:nvPicPr>
        <xdr:cNvPr id="5" name="Picture 6">
          <a:hlinkClick xmlns:r="http://schemas.openxmlformats.org/officeDocument/2006/relationships" r:id="rId11"/>
          <a:extLst>
            <a:ext uri="{FF2B5EF4-FFF2-40B4-BE49-F238E27FC236}">
              <a16:creationId xmlns:a16="http://schemas.microsoft.com/office/drawing/2014/main" id="{00000000-0008-0000-1300-000005000000}"/>
            </a:ext>
            <a:ext uri="{147F2762-F138-4A5C-976F-8EAC2B608ADB}">
              <a16:predDERef xmlns:a16="http://schemas.microsoft.com/office/drawing/2014/main" pred="{00000000-0008-0000-1300-000011000000}"/>
            </a:ext>
          </a:extLst>
        </xdr:cNvPr>
        <xdr:cNvPicPr preferRelativeResize="0">
          <a:picLocks/>
        </xdr:cNvPicPr>
      </xdr:nvPicPr>
      <xdr:blipFill>
        <a:blip xmlns:r="http://schemas.openxmlformats.org/officeDocument/2006/relationships" r:embed="rId12"/>
        <a:stretch>
          <a:fillRect/>
        </a:stretch>
      </xdr:blipFill>
      <xdr:spPr>
        <a:xfrm flipH="1">
          <a:off x="7696200" y="28575"/>
          <a:ext cx="561971" cy="307831"/>
        </a:xfrm>
        <a:prstGeom prst="rect">
          <a:avLst/>
        </a:prstGeom>
      </xdr:spPr>
    </xdr:pic>
    <xdr:clientData/>
  </xdr:twoCellAnchor>
  <xdr:twoCellAnchor editAs="oneCell">
    <xdr:from>
      <xdr:col>3</xdr:col>
      <xdr:colOff>628650</xdr:colOff>
      <xdr:row>0</xdr:row>
      <xdr:rowOff>28575</xdr:rowOff>
    </xdr:from>
    <xdr:to>
      <xdr:col>3</xdr:col>
      <xdr:colOff>1189245</xdr:colOff>
      <xdr:row>1</xdr:row>
      <xdr:rowOff>152256</xdr:rowOff>
    </xdr:to>
    <xdr:pic>
      <xdr:nvPicPr>
        <xdr:cNvPr id="6" name="Picture 7">
          <a:hlinkClick xmlns:r="http://schemas.openxmlformats.org/officeDocument/2006/relationships" r:id="rId13"/>
          <a:extLst>
            <a:ext uri="{FF2B5EF4-FFF2-40B4-BE49-F238E27FC236}">
              <a16:creationId xmlns:a16="http://schemas.microsoft.com/office/drawing/2014/main" id="{00000000-0008-0000-1300-000006000000}"/>
            </a:ext>
            <a:ext uri="{147F2762-F138-4A5C-976F-8EAC2B608ADB}">
              <a16:predDERef xmlns:a16="http://schemas.microsoft.com/office/drawing/2014/main" pred="{00000000-0008-0000-1300-000007000000}"/>
            </a:ext>
          </a:extLst>
        </xdr:cNvPr>
        <xdr:cNvPicPr preferRelativeResize="0">
          <a:picLocks/>
        </xdr:cNvPicPr>
      </xdr:nvPicPr>
      <xdr:blipFill>
        <a:blip xmlns:r="http://schemas.openxmlformats.org/officeDocument/2006/relationships" r:embed="rId12"/>
        <a:stretch>
          <a:fillRect/>
        </a:stretch>
      </xdr:blipFill>
      <xdr:spPr>
        <a:xfrm rot="10800000" flipH="1">
          <a:off x="8286750" y="28575"/>
          <a:ext cx="563770" cy="30783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16565</xdr:colOff>
      <xdr:row>0</xdr:row>
      <xdr:rowOff>68082</xdr:rowOff>
    </xdr:from>
    <xdr:to>
      <xdr:col>0</xdr:col>
      <xdr:colOff>563217</xdr:colOff>
      <xdr:row>1</xdr:row>
      <xdr:rowOff>122971</xdr:rowOff>
    </xdr:to>
    <xdr:sp macro="" textlink="">
      <xdr:nvSpPr>
        <xdr:cNvPr id="2" name="CaixaDeTexto 14">
          <a:hlinkClick xmlns:r="http://schemas.openxmlformats.org/officeDocument/2006/relationships" r:id="rId1"/>
          <a:extLst>
            <a:ext uri="{FF2B5EF4-FFF2-40B4-BE49-F238E27FC236}">
              <a16:creationId xmlns:a16="http://schemas.microsoft.com/office/drawing/2014/main" id="{00000000-0008-0000-1400-000002000000}"/>
            </a:ext>
          </a:extLst>
        </xdr:cNvPr>
        <xdr:cNvSpPr txBox="1"/>
      </xdr:nvSpPr>
      <xdr:spPr>
        <a:xfrm>
          <a:off x="16565" y="64907"/>
          <a:ext cx="543477" cy="239039"/>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9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oneCell">
    <xdr:from>
      <xdr:col>0</xdr:col>
      <xdr:colOff>103911</xdr:colOff>
      <xdr:row>2</xdr:row>
      <xdr:rowOff>134505</xdr:rowOff>
    </xdr:from>
    <xdr:to>
      <xdr:col>1</xdr:col>
      <xdr:colOff>677141</xdr:colOff>
      <xdr:row>5</xdr:row>
      <xdr:rowOff>28575</xdr:rowOff>
    </xdr:to>
    <xdr:pic>
      <xdr:nvPicPr>
        <xdr:cNvPr id="3" name="Picture 11">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03911" y="490105"/>
          <a:ext cx="1179655" cy="443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514350</xdr:colOff>
      <xdr:row>27</xdr:row>
      <xdr:rowOff>6350</xdr:rowOff>
    </xdr:from>
    <xdr:to>
      <xdr:col>2</xdr:col>
      <xdr:colOff>2472447</xdr:colOff>
      <xdr:row>28</xdr:row>
      <xdr:rowOff>40532</xdr:rowOff>
    </xdr:to>
    <xdr:sp macro="" textlink="">
      <xdr:nvSpPr>
        <xdr:cNvPr id="4" name="CaixaDeTexto 3">
          <a:hlinkClick xmlns:r="http://schemas.openxmlformats.org/officeDocument/2006/relationships" r:id="rId3"/>
          <a:extLst>
            <a:ext uri="{FF2B5EF4-FFF2-40B4-BE49-F238E27FC236}">
              <a16:creationId xmlns:a16="http://schemas.microsoft.com/office/drawing/2014/main" id="{00000000-0008-0000-1400-000004000000}"/>
            </a:ext>
          </a:extLst>
        </xdr:cNvPr>
        <xdr:cNvSpPr txBox="1"/>
      </xdr:nvSpPr>
      <xdr:spPr>
        <a:xfrm>
          <a:off x="514350" y="4150738"/>
          <a:ext cx="6791528" cy="21657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pt-BR" sz="1050" b="0">
              <a:solidFill>
                <a:srgbClr val="555555"/>
              </a:solidFill>
              <a:latin typeface="Arial" panose="020B0604020202020204" pitchFamily="34" charset="0"/>
              <a:cs typeface="Arial" panose="020B0604020202020204" pitchFamily="34" charset="0"/>
            </a:rPr>
            <a:t>More informations about the</a:t>
          </a:r>
          <a:r>
            <a:rPr lang="pt-BR" sz="1050" b="0" i="0">
              <a:solidFill>
                <a:srgbClr val="555555"/>
              </a:solidFill>
              <a:effectLst/>
              <a:latin typeface="Arial" panose="020B0604020202020204" pitchFamily="34" charset="0"/>
              <a:ea typeface="+mn-ea"/>
              <a:cs typeface="Arial" panose="020B0604020202020204" pitchFamily="34" charset="0"/>
            </a:rPr>
            <a:t>Task Force on Nature-related Financial Disclosures can be found clicking</a:t>
          </a:r>
          <a:r>
            <a:rPr lang="pt-BR" sz="1050" b="0" i="0" baseline="0">
              <a:solidFill>
                <a:srgbClr val="555555"/>
              </a:solidFill>
              <a:effectLst/>
              <a:latin typeface="Arial" panose="020B0604020202020204" pitchFamily="34" charset="0"/>
              <a:ea typeface="+mn-ea"/>
              <a:cs typeface="Arial" panose="020B0604020202020204" pitchFamily="34" charset="0"/>
            </a:rPr>
            <a:t> here</a:t>
          </a:r>
          <a:endParaRPr lang="pt-BR" sz="1050" b="0" i="0">
            <a:solidFill>
              <a:srgbClr val="555555"/>
            </a:solidFill>
            <a:effectLst/>
            <a:latin typeface="Arial" panose="020B0604020202020204" pitchFamily="34" charset="0"/>
            <a:ea typeface="+mn-ea"/>
            <a:cs typeface="Arial" panose="020B0604020202020204" pitchFamily="34" charset="0"/>
          </a:endParaRPr>
        </a:p>
      </xdr:txBody>
    </xdr:sp>
    <xdr:clientData/>
  </xdr:twoCellAnchor>
  <xdr:twoCellAnchor editAs="absolute">
    <xdr:from>
      <xdr:col>1</xdr:col>
      <xdr:colOff>1993470</xdr:colOff>
      <xdr:row>0</xdr:row>
      <xdr:rowOff>48185</xdr:rowOff>
    </xdr:from>
    <xdr:to>
      <xdr:col>1</xdr:col>
      <xdr:colOff>2980979</xdr:colOff>
      <xdr:row>1</xdr:row>
      <xdr:rowOff>142869</xdr:rowOff>
    </xdr:to>
    <xdr:sp macro="" textlink="">
      <xdr:nvSpPr>
        <xdr:cNvPr id="11" name="CaixaDeTexto 8">
          <a:hlinkClick xmlns:r="http://schemas.openxmlformats.org/officeDocument/2006/relationships" r:id="rId4"/>
          <a:extLst>
            <a:ext uri="{FF2B5EF4-FFF2-40B4-BE49-F238E27FC236}">
              <a16:creationId xmlns:a16="http://schemas.microsoft.com/office/drawing/2014/main" id="{00000000-0008-0000-1400-00000B000000}"/>
            </a:ext>
          </a:extLst>
        </xdr:cNvPr>
        <xdr:cNvSpPr txBox="1"/>
      </xdr:nvSpPr>
      <xdr:spPr>
        <a:xfrm>
          <a:off x="2603070" y="48185"/>
          <a:ext cx="987509" cy="2756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Material</a:t>
          </a:r>
          <a:r>
            <a:rPr lang="pt-BR" sz="800" b="1" baseline="0">
              <a:solidFill>
                <a:srgbClr val="008080"/>
              </a:solidFill>
              <a:latin typeface="Arial" panose="020B0604020202020204" pitchFamily="34" charset="0"/>
              <a:ea typeface="+mn-ea"/>
              <a:cs typeface="Arial" panose="020B0604020202020204" pitchFamily="34" charset="0"/>
            </a:rPr>
            <a:t> Topics</a:t>
          </a:r>
          <a:endParaRPr lang="pt-BR" sz="800" b="1">
            <a:solidFill>
              <a:srgbClr val="008080"/>
            </a:solidFill>
            <a:latin typeface="Arial" panose="020B0604020202020204" pitchFamily="34" charset="0"/>
            <a:ea typeface="+mn-ea"/>
            <a:cs typeface="Arial" panose="020B0604020202020204" pitchFamily="34" charset="0"/>
          </a:endParaRPr>
        </a:p>
      </xdr:txBody>
    </xdr:sp>
    <xdr:clientData/>
  </xdr:twoCellAnchor>
  <xdr:twoCellAnchor editAs="absolute">
    <xdr:from>
      <xdr:col>1</xdr:col>
      <xdr:colOff>1155414</xdr:colOff>
      <xdr:row>0</xdr:row>
      <xdr:rowOff>48185</xdr:rowOff>
    </xdr:from>
    <xdr:to>
      <xdr:col>1</xdr:col>
      <xdr:colOff>1840117</xdr:colOff>
      <xdr:row>1</xdr:row>
      <xdr:rowOff>142869</xdr:rowOff>
    </xdr:to>
    <xdr:sp macro="" textlink="">
      <xdr:nvSpPr>
        <xdr:cNvPr id="12" name="CaixaDeTexto 9">
          <a:hlinkClick xmlns:r="http://schemas.openxmlformats.org/officeDocument/2006/relationships" r:id="rId5"/>
          <a:extLst>
            <a:ext uri="{FF2B5EF4-FFF2-40B4-BE49-F238E27FC236}">
              <a16:creationId xmlns:a16="http://schemas.microsoft.com/office/drawing/2014/main" id="{00000000-0008-0000-1400-00000C000000}"/>
            </a:ext>
          </a:extLst>
        </xdr:cNvPr>
        <xdr:cNvSpPr txBox="1"/>
      </xdr:nvSpPr>
      <xdr:spPr>
        <a:xfrm>
          <a:off x="1765014" y="48185"/>
          <a:ext cx="684703" cy="2756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1</xdr:col>
      <xdr:colOff>3064482</xdr:colOff>
      <xdr:row>0</xdr:row>
      <xdr:rowOff>48185</xdr:rowOff>
    </xdr:from>
    <xdr:to>
      <xdr:col>1</xdr:col>
      <xdr:colOff>3988943</xdr:colOff>
      <xdr:row>1</xdr:row>
      <xdr:rowOff>142869</xdr:rowOff>
    </xdr:to>
    <xdr:sp macro="" textlink="">
      <xdr:nvSpPr>
        <xdr:cNvPr id="13" name="CaixaDeTexto 10">
          <a:hlinkClick xmlns:r="http://schemas.openxmlformats.org/officeDocument/2006/relationships" r:id="rId6"/>
          <a:extLst>
            <a:ext uri="{FF2B5EF4-FFF2-40B4-BE49-F238E27FC236}">
              <a16:creationId xmlns:a16="http://schemas.microsoft.com/office/drawing/2014/main" id="{00000000-0008-0000-1400-00000D000000}"/>
            </a:ext>
          </a:extLst>
        </xdr:cNvPr>
        <xdr:cNvSpPr txBox="1"/>
      </xdr:nvSpPr>
      <xdr:spPr>
        <a:xfrm>
          <a:off x="3674082" y="48185"/>
          <a:ext cx="924461" cy="2756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1</xdr:col>
      <xdr:colOff>3990975</xdr:colOff>
      <xdr:row>0</xdr:row>
      <xdr:rowOff>47625</xdr:rowOff>
    </xdr:from>
    <xdr:to>
      <xdr:col>2</xdr:col>
      <xdr:colOff>676275</xdr:colOff>
      <xdr:row>1</xdr:row>
      <xdr:rowOff>152400</xdr:rowOff>
    </xdr:to>
    <xdr:sp macro="" textlink="">
      <xdr:nvSpPr>
        <xdr:cNvPr id="9" name="CaixaDeTexto 11">
          <a:hlinkClick xmlns:r="http://schemas.openxmlformats.org/officeDocument/2006/relationships" r:id="rId7"/>
          <a:extLst>
            <a:ext uri="{FF2B5EF4-FFF2-40B4-BE49-F238E27FC236}">
              <a16:creationId xmlns:a16="http://schemas.microsoft.com/office/drawing/2014/main" id="{00000000-0008-0000-1400-000009000000}"/>
            </a:ext>
            <a:ext uri="{147F2762-F138-4A5C-976F-8EAC2B608ADB}">
              <a16:predDERef xmlns:a16="http://schemas.microsoft.com/office/drawing/2014/main" pred="{00000000-0008-0000-1400-00000D000000}"/>
            </a:ext>
          </a:extLst>
        </xdr:cNvPr>
        <xdr:cNvSpPr txBox="1"/>
      </xdr:nvSpPr>
      <xdr:spPr>
        <a:xfrm>
          <a:off x="4600575" y="47625"/>
          <a:ext cx="914400" cy="2857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2</xdr:col>
      <xdr:colOff>953048</xdr:colOff>
      <xdr:row>0</xdr:row>
      <xdr:rowOff>45010</xdr:rowOff>
    </xdr:from>
    <xdr:to>
      <xdr:col>2</xdr:col>
      <xdr:colOff>1482907</xdr:colOff>
      <xdr:row>1</xdr:row>
      <xdr:rowOff>146044</xdr:rowOff>
    </xdr:to>
    <xdr:sp macro="" textlink="">
      <xdr:nvSpPr>
        <xdr:cNvPr id="10" name="CaixaDeTexto 12">
          <a:hlinkClick xmlns:r="http://schemas.openxmlformats.org/officeDocument/2006/relationships" r:id="rId8"/>
          <a:extLst>
            <a:ext uri="{FF2B5EF4-FFF2-40B4-BE49-F238E27FC236}">
              <a16:creationId xmlns:a16="http://schemas.microsoft.com/office/drawing/2014/main" id="{00000000-0008-0000-1400-00000A000000}"/>
            </a:ext>
            <a:ext uri="{147F2762-F138-4A5C-976F-8EAC2B608ADB}">
              <a16:predDERef xmlns:a16="http://schemas.microsoft.com/office/drawing/2014/main" pred="{00000000-0008-0000-1400-00000E000000}"/>
            </a:ext>
          </a:extLst>
        </xdr:cNvPr>
        <xdr:cNvSpPr txBox="1"/>
      </xdr:nvSpPr>
      <xdr:spPr>
        <a:xfrm>
          <a:off x="5791748" y="45010"/>
          <a:ext cx="529859" cy="28200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2</xdr:col>
      <xdr:colOff>1761652</xdr:colOff>
      <xdr:row>0</xdr:row>
      <xdr:rowOff>48185</xdr:rowOff>
    </xdr:from>
    <xdr:to>
      <xdr:col>2</xdr:col>
      <xdr:colOff>2578242</xdr:colOff>
      <xdr:row>1</xdr:row>
      <xdr:rowOff>142869</xdr:rowOff>
    </xdr:to>
    <xdr:sp macro="" textlink="">
      <xdr:nvSpPr>
        <xdr:cNvPr id="101" name="CaixaDeTexto 13">
          <a:hlinkClick xmlns:r="http://schemas.openxmlformats.org/officeDocument/2006/relationships" r:id="rId9"/>
          <a:extLst>
            <a:ext uri="{FF2B5EF4-FFF2-40B4-BE49-F238E27FC236}">
              <a16:creationId xmlns:a16="http://schemas.microsoft.com/office/drawing/2014/main" id="{00000000-0008-0000-1400-000065000000}"/>
            </a:ext>
            <a:ext uri="{147F2762-F138-4A5C-976F-8EAC2B608ADB}">
              <a16:predDERef xmlns:a16="http://schemas.microsoft.com/office/drawing/2014/main" pred="{00000000-0008-0000-1400-00000F000000}"/>
            </a:ext>
          </a:extLst>
        </xdr:cNvPr>
        <xdr:cNvSpPr txBox="1"/>
      </xdr:nvSpPr>
      <xdr:spPr>
        <a:xfrm>
          <a:off x="6600352" y="48185"/>
          <a:ext cx="816590" cy="2756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226399</xdr:colOff>
      <xdr:row>0</xdr:row>
      <xdr:rowOff>48185</xdr:rowOff>
    </xdr:from>
    <xdr:to>
      <xdr:col>1</xdr:col>
      <xdr:colOff>1017936</xdr:colOff>
      <xdr:row>1</xdr:row>
      <xdr:rowOff>142869</xdr:rowOff>
    </xdr:to>
    <xdr:sp macro="" textlink="">
      <xdr:nvSpPr>
        <xdr:cNvPr id="17" name="CaixaDeTexto 15">
          <a:hlinkClick xmlns:r="http://schemas.openxmlformats.org/officeDocument/2006/relationships" r:id="rId10"/>
          <a:extLst>
            <a:ext uri="{FF2B5EF4-FFF2-40B4-BE49-F238E27FC236}">
              <a16:creationId xmlns:a16="http://schemas.microsoft.com/office/drawing/2014/main" id="{00000000-0008-0000-1400-000011000000}"/>
            </a:ext>
          </a:extLst>
        </xdr:cNvPr>
        <xdr:cNvSpPr txBox="1"/>
      </xdr:nvSpPr>
      <xdr:spPr>
        <a:xfrm>
          <a:off x="835999" y="48185"/>
          <a:ext cx="791537" cy="275659"/>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8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oneCell">
    <xdr:from>
      <xdr:col>3</xdr:col>
      <xdr:colOff>28575</xdr:colOff>
      <xdr:row>0</xdr:row>
      <xdr:rowOff>28575</xdr:rowOff>
    </xdr:from>
    <xdr:to>
      <xdr:col>3</xdr:col>
      <xdr:colOff>587371</xdr:colOff>
      <xdr:row>1</xdr:row>
      <xdr:rowOff>152256</xdr:rowOff>
    </xdr:to>
    <xdr:pic>
      <xdr:nvPicPr>
        <xdr:cNvPr id="5" name="Picture 6">
          <a:hlinkClick xmlns:r="http://schemas.openxmlformats.org/officeDocument/2006/relationships" r:id="rId11"/>
          <a:extLst>
            <a:ext uri="{FF2B5EF4-FFF2-40B4-BE49-F238E27FC236}">
              <a16:creationId xmlns:a16="http://schemas.microsoft.com/office/drawing/2014/main" id="{00000000-0008-0000-1400-000005000000}"/>
            </a:ext>
            <a:ext uri="{147F2762-F138-4A5C-976F-8EAC2B608ADB}">
              <a16:predDERef xmlns:a16="http://schemas.microsoft.com/office/drawing/2014/main" pred="{00000000-0008-0000-1400-000011000000}"/>
            </a:ext>
          </a:extLst>
        </xdr:cNvPr>
        <xdr:cNvPicPr preferRelativeResize="0">
          <a:picLocks/>
        </xdr:cNvPicPr>
      </xdr:nvPicPr>
      <xdr:blipFill>
        <a:blip xmlns:r="http://schemas.openxmlformats.org/officeDocument/2006/relationships" r:embed="rId12"/>
        <a:stretch>
          <a:fillRect/>
        </a:stretch>
      </xdr:blipFill>
      <xdr:spPr>
        <a:xfrm flipH="1">
          <a:off x="7686675" y="28575"/>
          <a:ext cx="561971" cy="307831"/>
        </a:xfrm>
        <a:prstGeom prst="rect">
          <a:avLst/>
        </a:prstGeom>
      </xdr:spPr>
    </xdr:pic>
    <xdr:clientData/>
  </xdr:twoCellAnchor>
  <xdr:twoCellAnchor editAs="oneCell">
    <xdr:from>
      <xdr:col>3</xdr:col>
      <xdr:colOff>619125</xdr:colOff>
      <xdr:row>0</xdr:row>
      <xdr:rowOff>28575</xdr:rowOff>
    </xdr:from>
    <xdr:to>
      <xdr:col>3</xdr:col>
      <xdr:colOff>1179720</xdr:colOff>
      <xdr:row>1</xdr:row>
      <xdr:rowOff>152256</xdr:rowOff>
    </xdr:to>
    <xdr:pic>
      <xdr:nvPicPr>
        <xdr:cNvPr id="6" name="Picture 7">
          <a:hlinkClick xmlns:r="http://schemas.openxmlformats.org/officeDocument/2006/relationships" r:id="rId13"/>
          <a:extLst>
            <a:ext uri="{FF2B5EF4-FFF2-40B4-BE49-F238E27FC236}">
              <a16:creationId xmlns:a16="http://schemas.microsoft.com/office/drawing/2014/main" id="{00000000-0008-0000-1400-000006000000}"/>
            </a:ext>
            <a:ext uri="{147F2762-F138-4A5C-976F-8EAC2B608ADB}">
              <a16:predDERef xmlns:a16="http://schemas.microsoft.com/office/drawing/2014/main" pred="{00000000-0008-0000-1400-000007000000}"/>
            </a:ext>
          </a:extLst>
        </xdr:cNvPr>
        <xdr:cNvPicPr preferRelativeResize="0">
          <a:picLocks/>
        </xdr:cNvPicPr>
      </xdr:nvPicPr>
      <xdr:blipFill>
        <a:blip xmlns:r="http://schemas.openxmlformats.org/officeDocument/2006/relationships" r:embed="rId12"/>
        <a:stretch>
          <a:fillRect/>
        </a:stretch>
      </xdr:blipFill>
      <xdr:spPr>
        <a:xfrm rot="10800000" flipH="1">
          <a:off x="8277225" y="28575"/>
          <a:ext cx="563770" cy="30783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230188</xdr:colOff>
      <xdr:row>2</xdr:row>
      <xdr:rowOff>6351</xdr:rowOff>
    </xdr:to>
    <xdr:sp macro="" textlink="">
      <xdr:nvSpPr>
        <xdr:cNvPr id="3" name="CaixaDeTexto 14">
          <a:hlinkClick xmlns:r="http://schemas.openxmlformats.org/officeDocument/2006/relationships" r:id="rId1"/>
          <a:extLst>
            <a:ext uri="{FF2B5EF4-FFF2-40B4-BE49-F238E27FC236}">
              <a16:creationId xmlns:a16="http://schemas.microsoft.com/office/drawing/2014/main" id="{00000000-0008-0000-1500-000003000000}"/>
            </a:ext>
          </a:extLst>
        </xdr:cNvPr>
        <xdr:cNvSpPr txBox="1"/>
      </xdr:nvSpPr>
      <xdr:spPr>
        <a:xfrm>
          <a:off x="0" y="0"/>
          <a:ext cx="620713" cy="368301"/>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2</xdr:col>
      <xdr:colOff>2907885</xdr:colOff>
      <xdr:row>0</xdr:row>
      <xdr:rowOff>39689</xdr:rowOff>
    </xdr:from>
    <xdr:to>
      <xdr:col>3</xdr:col>
      <xdr:colOff>465779</xdr:colOff>
      <xdr:row>1</xdr:row>
      <xdr:rowOff>133476</xdr:rowOff>
    </xdr:to>
    <xdr:sp macro="" textlink="">
      <xdr:nvSpPr>
        <xdr:cNvPr id="10" name="CaixaDeTexto 8">
          <a:hlinkClick xmlns:r="http://schemas.openxmlformats.org/officeDocument/2006/relationships" r:id="rId2"/>
          <a:extLst>
            <a:ext uri="{FF2B5EF4-FFF2-40B4-BE49-F238E27FC236}">
              <a16:creationId xmlns:a16="http://schemas.microsoft.com/office/drawing/2014/main" id="{00000000-0008-0000-1500-00000A000000}"/>
            </a:ext>
          </a:extLst>
        </xdr:cNvPr>
        <xdr:cNvSpPr txBox="1"/>
      </xdr:nvSpPr>
      <xdr:spPr>
        <a:xfrm>
          <a:off x="4952585" y="39689"/>
          <a:ext cx="1285344"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 Topics</a:t>
          </a:r>
        </a:p>
      </xdr:txBody>
    </xdr:sp>
    <xdr:clientData/>
  </xdr:twoCellAnchor>
  <xdr:twoCellAnchor editAs="absolute">
    <xdr:from>
      <xdr:col>2</xdr:col>
      <xdr:colOff>1516995</xdr:colOff>
      <xdr:row>0</xdr:row>
      <xdr:rowOff>39689</xdr:rowOff>
    </xdr:from>
    <xdr:to>
      <xdr:col>2</xdr:col>
      <xdr:colOff>2241136</xdr:colOff>
      <xdr:row>1</xdr:row>
      <xdr:rowOff>133476</xdr:rowOff>
    </xdr:to>
    <xdr:sp macro="" textlink="">
      <xdr:nvSpPr>
        <xdr:cNvPr id="11" name="CaixaDeTexto 9">
          <a:hlinkClick xmlns:r="http://schemas.openxmlformats.org/officeDocument/2006/relationships" r:id="rId3"/>
          <a:extLst>
            <a:ext uri="{FF2B5EF4-FFF2-40B4-BE49-F238E27FC236}">
              <a16:creationId xmlns:a16="http://schemas.microsoft.com/office/drawing/2014/main" id="{00000000-0008-0000-1500-00000B000000}"/>
            </a:ext>
          </a:extLst>
        </xdr:cNvPr>
        <xdr:cNvSpPr txBox="1"/>
      </xdr:nvSpPr>
      <xdr:spPr>
        <a:xfrm>
          <a:off x="3561695" y="39689"/>
          <a:ext cx="730491"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3</xdr:col>
      <xdr:colOff>1126178</xdr:colOff>
      <xdr:row>0</xdr:row>
      <xdr:rowOff>39689</xdr:rowOff>
    </xdr:from>
    <xdr:to>
      <xdr:col>3</xdr:col>
      <xdr:colOff>2031006</xdr:colOff>
      <xdr:row>1</xdr:row>
      <xdr:rowOff>133476</xdr:rowOff>
    </xdr:to>
    <xdr:sp macro="" textlink="">
      <xdr:nvSpPr>
        <xdr:cNvPr id="12" name="CaixaDeTexto 10">
          <a:hlinkClick xmlns:r="http://schemas.openxmlformats.org/officeDocument/2006/relationships" r:id="rId4"/>
          <a:extLst>
            <a:ext uri="{FF2B5EF4-FFF2-40B4-BE49-F238E27FC236}">
              <a16:creationId xmlns:a16="http://schemas.microsoft.com/office/drawing/2014/main" id="{00000000-0008-0000-1500-00000C000000}"/>
            </a:ext>
          </a:extLst>
        </xdr:cNvPr>
        <xdr:cNvSpPr txBox="1"/>
      </xdr:nvSpPr>
      <xdr:spPr>
        <a:xfrm>
          <a:off x="6898328" y="39689"/>
          <a:ext cx="898478"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3</xdr:col>
      <xdr:colOff>2685055</xdr:colOff>
      <xdr:row>0</xdr:row>
      <xdr:rowOff>39689</xdr:rowOff>
    </xdr:from>
    <xdr:to>
      <xdr:col>4</xdr:col>
      <xdr:colOff>635853</xdr:colOff>
      <xdr:row>1</xdr:row>
      <xdr:rowOff>133476</xdr:rowOff>
    </xdr:to>
    <xdr:sp macro="" textlink="">
      <xdr:nvSpPr>
        <xdr:cNvPr id="13" name="CaixaDeTexto 11">
          <a:hlinkClick xmlns:r="http://schemas.openxmlformats.org/officeDocument/2006/relationships" r:id="rId5"/>
          <a:extLst>
            <a:ext uri="{FF2B5EF4-FFF2-40B4-BE49-F238E27FC236}">
              <a16:creationId xmlns:a16="http://schemas.microsoft.com/office/drawing/2014/main" id="{00000000-0008-0000-1500-00000D000000}"/>
            </a:ext>
          </a:extLst>
        </xdr:cNvPr>
        <xdr:cNvSpPr txBox="1"/>
      </xdr:nvSpPr>
      <xdr:spPr>
        <a:xfrm>
          <a:off x="8457205" y="39689"/>
          <a:ext cx="1233748"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4</xdr:col>
      <xdr:colOff>1296252</xdr:colOff>
      <xdr:row>0</xdr:row>
      <xdr:rowOff>39689</xdr:rowOff>
    </xdr:from>
    <xdr:to>
      <xdr:col>4</xdr:col>
      <xdr:colOff>1896143</xdr:colOff>
      <xdr:row>1</xdr:row>
      <xdr:rowOff>133476</xdr:rowOff>
    </xdr:to>
    <xdr:sp macro="" textlink="">
      <xdr:nvSpPr>
        <xdr:cNvPr id="14" name="CaixaDeTexto 12">
          <a:hlinkClick xmlns:r="http://schemas.openxmlformats.org/officeDocument/2006/relationships" r:id="rId6"/>
          <a:extLst>
            <a:ext uri="{FF2B5EF4-FFF2-40B4-BE49-F238E27FC236}">
              <a16:creationId xmlns:a16="http://schemas.microsoft.com/office/drawing/2014/main" id="{00000000-0008-0000-1500-00000E000000}"/>
            </a:ext>
          </a:extLst>
        </xdr:cNvPr>
        <xdr:cNvSpPr txBox="1"/>
      </xdr:nvSpPr>
      <xdr:spPr>
        <a:xfrm>
          <a:off x="10351352" y="39689"/>
          <a:ext cx="599891"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4</xdr:col>
      <xdr:colOff>2562891</xdr:colOff>
      <xdr:row>0</xdr:row>
      <xdr:rowOff>28483</xdr:rowOff>
    </xdr:from>
    <xdr:to>
      <xdr:col>4</xdr:col>
      <xdr:colOff>3494399</xdr:colOff>
      <xdr:row>1</xdr:row>
      <xdr:rowOff>122270</xdr:rowOff>
    </xdr:to>
    <xdr:sp macro="" textlink="">
      <xdr:nvSpPr>
        <xdr:cNvPr id="15" name="CaixaDeTexto 13">
          <a:hlinkClick xmlns:r="http://schemas.openxmlformats.org/officeDocument/2006/relationships" r:id="rId7"/>
          <a:extLst>
            <a:ext uri="{FF2B5EF4-FFF2-40B4-BE49-F238E27FC236}">
              <a16:creationId xmlns:a16="http://schemas.microsoft.com/office/drawing/2014/main" id="{00000000-0008-0000-1500-00000F000000}"/>
            </a:ext>
          </a:extLst>
        </xdr:cNvPr>
        <xdr:cNvSpPr txBox="1"/>
      </xdr:nvSpPr>
      <xdr:spPr>
        <a:xfrm>
          <a:off x="11611641" y="28483"/>
          <a:ext cx="937858"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1541100</xdr:colOff>
      <xdr:row>0</xdr:row>
      <xdr:rowOff>39689</xdr:rowOff>
    </xdr:from>
    <xdr:to>
      <xdr:col>2</xdr:col>
      <xdr:colOff>850246</xdr:colOff>
      <xdr:row>1</xdr:row>
      <xdr:rowOff>133476</xdr:rowOff>
    </xdr:to>
    <xdr:sp macro="" textlink="">
      <xdr:nvSpPr>
        <xdr:cNvPr id="16" name="CaixaDeTexto 15">
          <a:hlinkClick xmlns:r="http://schemas.openxmlformats.org/officeDocument/2006/relationships" r:id="rId8"/>
          <a:extLst>
            <a:ext uri="{FF2B5EF4-FFF2-40B4-BE49-F238E27FC236}">
              <a16:creationId xmlns:a16="http://schemas.microsoft.com/office/drawing/2014/main" id="{00000000-0008-0000-1500-000010000000}"/>
            </a:ext>
          </a:extLst>
        </xdr:cNvPr>
        <xdr:cNvSpPr txBox="1"/>
      </xdr:nvSpPr>
      <xdr:spPr>
        <a:xfrm>
          <a:off x="1928450" y="39689"/>
          <a:ext cx="972846" cy="271587"/>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oneCell">
    <xdr:from>
      <xdr:col>4</xdr:col>
      <xdr:colOff>3771900</xdr:colOff>
      <xdr:row>0</xdr:row>
      <xdr:rowOff>38100</xdr:rowOff>
    </xdr:from>
    <xdr:to>
      <xdr:col>4</xdr:col>
      <xdr:colOff>4337046</xdr:colOff>
      <xdr:row>1</xdr:row>
      <xdr:rowOff>161781</xdr:rowOff>
    </xdr:to>
    <xdr:pic>
      <xdr:nvPicPr>
        <xdr:cNvPr id="4" name="Picture 17">
          <a:hlinkClick xmlns:r="http://schemas.openxmlformats.org/officeDocument/2006/relationships" r:id="rId9"/>
          <a:extLst>
            <a:ext uri="{FF2B5EF4-FFF2-40B4-BE49-F238E27FC236}">
              <a16:creationId xmlns:a16="http://schemas.microsoft.com/office/drawing/2014/main" id="{00000000-0008-0000-1500-000004000000}"/>
            </a:ext>
            <a:ext uri="{147F2762-F138-4A5C-976F-8EAC2B608ADB}">
              <a16:predDERef xmlns:a16="http://schemas.microsoft.com/office/drawing/2014/main" pred="{00000000-0008-0000-1500-000010000000}"/>
            </a:ext>
          </a:extLst>
        </xdr:cNvPr>
        <xdr:cNvPicPr preferRelativeResize="0">
          <a:picLocks/>
        </xdr:cNvPicPr>
      </xdr:nvPicPr>
      <xdr:blipFill>
        <a:blip xmlns:r="http://schemas.openxmlformats.org/officeDocument/2006/relationships" r:embed="rId10"/>
        <a:stretch>
          <a:fillRect/>
        </a:stretch>
      </xdr:blipFill>
      <xdr:spPr>
        <a:xfrm flipH="1">
          <a:off x="12420600" y="38100"/>
          <a:ext cx="565146" cy="304656"/>
        </a:xfrm>
        <a:prstGeom prst="rect">
          <a:avLst/>
        </a:prstGeom>
      </xdr:spPr>
    </xdr:pic>
    <xdr:clientData/>
  </xdr:twoCellAnchor>
  <xdr:twoCellAnchor editAs="oneCell">
    <xdr:from>
      <xdr:col>4</xdr:col>
      <xdr:colOff>4362450</xdr:colOff>
      <xdr:row>0</xdr:row>
      <xdr:rowOff>38100</xdr:rowOff>
    </xdr:from>
    <xdr:to>
      <xdr:col>4</xdr:col>
      <xdr:colOff>4926220</xdr:colOff>
      <xdr:row>1</xdr:row>
      <xdr:rowOff>161781</xdr:rowOff>
    </xdr:to>
    <xdr:pic>
      <xdr:nvPicPr>
        <xdr:cNvPr id="5" name="Picture 20">
          <a:hlinkClick xmlns:r="http://schemas.openxmlformats.org/officeDocument/2006/relationships" r:id="rId11"/>
          <a:extLst>
            <a:ext uri="{FF2B5EF4-FFF2-40B4-BE49-F238E27FC236}">
              <a16:creationId xmlns:a16="http://schemas.microsoft.com/office/drawing/2014/main" id="{00000000-0008-0000-1500-000005000000}"/>
            </a:ext>
            <a:ext uri="{147F2762-F138-4A5C-976F-8EAC2B608ADB}">
              <a16:predDERef xmlns:a16="http://schemas.microsoft.com/office/drawing/2014/main" pred="{00000000-0008-0000-1500-000012000000}"/>
            </a:ext>
          </a:extLst>
        </xdr:cNvPr>
        <xdr:cNvPicPr preferRelativeResize="0">
          <a:picLocks/>
        </xdr:cNvPicPr>
      </xdr:nvPicPr>
      <xdr:blipFill>
        <a:blip xmlns:r="http://schemas.openxmlformats.org/officeDocument/2006/relationships" r:embed="rId10"/>
        <a:stretch>
          <a:fillRect/>
        </a:stretch>
      </xdr:blipFill>
      <xdr:spPr>
        <a:xfrm rot="10800000" flipH="1">
          <a:off x="13011150" y="38100"/>
          <a:ext cx="563770" cy="304656"/>
        </a:xfrm>
        <a:prstGeom prst="rect">
          <a:avLst/>
        </a:prstGeom>
      </xdr:spPr>
    </xdr:pic>
    <xdr:clientData/>
  </xdr:twoCellAnchor>
  <xdr:twoCellAnchor editAs="oneCell">
    <xdr:from>
      <xdr:col>0</xdr:col>
      <xdr:colOff>142875</xdr:colOff>
      <xdr:row>2</xdr:row>
      <xdr:rowOff>119063</xdr:rowOff>
    </xdr:from>
    <xdr:to>
      <xdr:col>1</xdr:col>
      <xdr:colOff>927170</xdr:colOff>
      <xdr:row>3</xdr:row>
      <xdr:rowOff>368155</xdr:rowOff>
    </xdr:to>
    <xdr:pic>
      <xdr:nvPicPr>
        <xdr:cNvPr id="7" name="Picture 11">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a:ext>
          </a:extLst>
        </a:blip>
        <a:srcRect/>
        <a:stretch>
          <a:fillRect/>
        </a:stretch>
      </xdr:blipFill>
      <xdr:spPr bwMode="auto">
        <a:xfrm>
          <a:off x="142875" y="452438"/>
          <a:ext cx="1153389" cy="439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115361</xdr:colOff>
      <xdr:row>1</xdr:row>
      <xdr:rowOff>160867</xdr:rowOff>
    </xdr:from>
    <xdr:to>
      <xdr:col>1</xdr:col>
      <xdr:colOff>931334</xdr:colOff>
      <xdr:row>4</xdr:row>
      <xdr:rowOff>20012</xdr:rowOff>
    </xdr:to>
    <xdr:pic>
      <xdr:nvPicPr>
        <xdr:cNvPr id="2" name="Picture 1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15361" y="510117"/>
          <a:ext cx="1218140" cy="430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0</xdr:col>
      <xdr:colOff>0</xdr:colOff>
      <xdr:row>0</xdr:row>
      <xdr:rowOff>7056</xdr:rowOff>
    </xdr:from>
    <xdr:to>
      <xdr:col>1</xdr:col>
      <xdr:colOff>225778</xdr:colOff>
      <xdr:row>1</xdr:row>
      <xdr:rowOff>11206</xdr:rowOff>
    </xdr:to>
    <xdr:sp macro="" textlink="">
      <xdr:nvSpPr>
        <xdr:cNvPr id="9" name="CaixaDeTexto 14">
          <a:hlinkClick xmlns:r="http://schemas.openxmlformats.org/officeDocument/2006/relationships" r:id="rId2"/>
          <a:extLst>
            <a:ext uri="{FF2B5EF4-FFF2-40B4-BE49-F238E27FC236}">
              <a16:creationId xmlns:a16="http://schemas.microsoft.com/office/drawing/2014/main" id="{00000000-0008-0000-1600-000009000000}"/>
            </a:ext>
          </a:extLst>
        </xdr:cNvPr>
        <xdr:cNvSpPr txBox="1"/>
      </xdr:nvSpPr>
      <xdr:spPr>
        <a:xfrm>
          <a:off x="0" y="10231"/>
          <a:ext cx="644878" cy="353400"/>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2</xdr:col>
      <xdr:colOff>2121299</xdr:colOff>
      <xdr:row>0</xdr:row>
      <xdr:rowOff>47272</xdr:rowOff>
    </xdr:from>
    <xdr:to>
      <xdr:col>3</xdr:col>
      <xdr:colOff>688653</xdr:colOff>
      <xdr:row>0</xdr:row>
      <xdr:rowOff>315170</xdr:rowOff>
    </xdr:to>
    <xdr:sp macro="" textlink="">
      <xdr:nvSpPr>
        <xdr:cNvPr id="6" name="CaixaDeTexto 8">
          <a:hlinkClick xmlns:r="http://schemas.openxmlformats.org/officeDocument/2006/relationships" r:id="rId3"/>
          <a:extLst>
            <a:ext uri="{FF2B5EF4-FFF2-40B4-BE49-F238E27FC236}">
              <a16:creationId xmlns:a16="http://schemas.microsoft.com/office/drawing/2014/main" id="{00000000-0008-0000-1600-000006000000}"/>
            </a:ext>
            <a:ext uri="{147F2762-F138-4A5C-976F-8EAC2B608ADB}">
              <a16:predDERef xmlns:a16="http://schemas.microsoft.com/office/drawing/2014/main" pred="{00000000-0008-0000-1600-000009000000}"/>
            </a:ext>
          </a:extLst>
        </xdr:cNvPr>
        <xdr:cNvSpPr txBox="1"/>
      </xdr:nvSpPr>
      <xdr:spPr>
        <a:xfrm>
          <a:off x="4086624" y="50447"/>
          <a:ext cx="1240704"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Material</a:t>
          </a:r>
          <a:r>
            <a:rPr lang="pt-BR" sz="1000" b="1" baseline="0">
              <a:solidFill>
                <a:srgbClr val="008080"/>
              </a:solidFill>
              <a:latin typeface="Arial" panose="020B0604020202020204" pitchFamily="34" charset="0"/>
              <a:ea typeface="+mn-ea"/>
              <a:cs typeface="Arial" panose="020B0604020202020204" pitchFamily="34" charset="0"/>
            </a:rPr>
            <a:t> Topics</a:t>
          </a:r>
          <a:endParaRPr lang="pt-BR" sz="1000" b="1">
            <a:solidFill>
              <a:srgbClr val="008080"/>
            </a:solidFill>
            <a:latin typeface="Arial" panose="020B0604020202020204" pitchFamily="34" charset="0"/>
            <a:ea typeface="+mn-ea"/>
            <a:cs typeface="Arial" panose="020B0604020202020204" pitchFamily="34" charset="0"/>
          </a:endParaRPr>
        </a:p>
      </xdr:txBody>
    </xdr:sp>
    <xdr:clientData/>
  </xdr:twoCellAnchor>
  <xdr:twoCellAnchor editAs="absolute">
    <xdr:from>
      <xdr:col>2</xdr:col>
      <xdr:colOff>936288</xdr:colOff>
      <xdr:row>0</xdr:row>
      <xdr:rowOff>50447</xdr:rowOff>
    </xdr:from>
    <xdr:to>
      <xdr:col>2</xdr:col>
      <xdr:colOff>1774213</xdr:colOff>
      <xdr:row>0</xdr:row>
      <xdr:rowOff>311995</xdr:rowOff>
    </xdr:to>
    <xdr:sp macro="" textlink="">
      <xdr:nvSpPr>
        <xdr:cNvPr id="11" name="CaixaDeTexto 9">
          <a:hlinkClick xmlns:r="http://schemas.openxmlformats.org/officeDocument/2006/relationships" r:id="rId4"/>
          <a:extLst>
            <a:ext uri="{FF2B5EF4-FFF2-40B4-BE49-F238E27FC236}">
              <a16:creationId xmlns:a16="http://schemas.microsoft.com/office/drawing/2014/main" id="{00000000-0008-0000-1600-00000B000000}"/>
            </a:ext>
            <a:ext uri="{147F2762-F138-4A5C-976F-8EAC2B608ADB}">
              <a16:predDERef xmlns:a16="http://schemas.microsoft.com/office/drawing/2014/main" pred="{00000000-0008-0000-1600-00000A000000}"/>
            </a:ext>
          </a:extLst>
        </xdr:cNvPr>
        <xdr:cNvSpPr txBox="1"/>
      </xdr:nvSpPr>
      <xdr:spPr>
        <a:xfrm>
          <a:off x="2898438" y="50447"/>
          <a:ext cx="837925"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3</xdr:col>
      <xdr:colOff>1126241</xdr:colOff>
      <xdr:row>0</xdr:row>
      <xdr:rowOff>50447</xdr:rowOff>
    </xdr:from>
    <xdr:to>
      <xdr:col>3</xdr:col>
      <xdr:colOff>2010039</xdr:colOff>
      <xdr:row>0</xdr:row>
      <xdr:rowOff>311995</xdr:rowOff>
    </xdr:to>
    <xdr:sp macro="" textlink="">
      <xdr:nvSpPr>
        <xdr:cNvPr id="12" name="CaixaDeTexto 10">
          <a:hlinkClick xmlns:r="http://schemas.openxmlformats.org/officeDocument/2006/relationships" r:id="rId5"/>
          <a:extLst>
            <a:ext uri="{FF2B5EF4-FFF2-40B4-BE49-F238E27FC236}">
              <a16:creationId xmlns:a16="http://schemas.microsoft.com/office/drawing/2014/main" id="{00000000-0008-0000-1600-00000C000000}"/>
            </a:ext>
            <a:ext uri="{147F2762-F138-4A5C-976F-8EAC2B608ADB}">
              <a16:predDERef xmlns:a16="http://schemas.microsoft.com/office/drawing/2014/main" pred="{00000000-0008-0000-1600-00000B000000}"/>
            </a:ext>
          </a:extLst>
        </xdr:cNvPr>
        <xdr:cNvSpPr txBox="1"/>
      </xdr:nvSpPr>
      <xdr:spPr>
        <a:xfrm>
          <a:off x="5764916" y="50447"/>
          <a:ext cx="883798"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3</xdr:col>
      <xdr:colOff>2463800</xdr:colOff>
      <xdr:row>0</xdr:row>
      <xdr:rowOff>50447</xdr:rowOff>
    </xdr:from>
    <xdr:to>
      <xdr:col>4</xdr:col>
      <xdr:colOff>570840</xdr:colOff>
      <xdr:row>0</xdr:row>
      <xdr:rowOff>311995</xdr:rowOff>
    </xdr:to>
    <xdr:sp macro="" textlink="">
      <xdr:nvSpPr>
        <xdr:cNvPr id="13" name="CaixaDeTexto 11">
          <a:hlinkClick xmlns:r="http://schemas.openxmlformats.org/officeDocument/2006/relationships" r:id="rId6"/>
          <a:extLst>
            <a:ext uri="{FF2B5EF4-FFF2-40B4-BE49-F238E27FC236}">
              <a16:creationId xmlns:a16="http://schemas.microsoft.com/office/drawing/2014/main" id="{00000000-0008-0000-1600-00000D000000}"/>
            </a:ext>
            <a:ext uri="{147F2762-F138-4A5C-976F-8EAC2B608ADB}">
              <a16:predDERef xmlns:a16="http://schemas.microsoft.com/office/drawing/2014/main" pred="{00000000-0008-0000-1600-00000C000000}"/>
            </a:ext>
          </a:extLst>
        </xdr:cNvPr>
        <xdr:cNvSpPr txBox="1"/>
      </xdr:nvSpPr>
      <xdr:spPr>
        <a:xfrm>
          <a:off x="7102475" y="50447"/>
          <a:ext cx="1088365"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4</xdr:col>
      <xdr:colOff>972243</xdr:colOff>
      <xdr:row>0</xdr:row>
      <xdr:rowOff>50447</xdr:rowOff>
    </xdr:from>
    <xdr:to>
      <xdr:col>4</xdr:col>
      <xdr:colOff>1533670</xdr:colOff>
      <xdr:row>0</xdr:row>
      <xdr:rowOff>311995</xdr:rowOff>
    </xdr:to>
    <xdr:sp macro="" textlink="">
      <xdr:nvSpPr>
        <xdr:cNvPr id="14" name="CaixaDeTexto 12">
          <a:hlinkClick xmlns:r="http://schemas.openxmlformats.org/officeDocument/2006/relationships" r:id="rId7"/>
          <a:extLst>
            <a:ext uri="{FF2B5EF4-FFF2-40B4-BE49-F238E27FC236}">
              <a16:creationId xmlns:a16="http://schemas.microsoft.com/office/drawing/2014/main" id="{00000000-0008-0000-1600-00000E000000}"/>
            </a:ext>
            <a:ext uri="{147F2762-F138-4A5C-976F-8EAC2B608ADB}">
              <a16:predDERef xmlns:a16="http://schemas.microsoft.com/office/drawing/2014/main" pred="{00000000-0008-0000-1600-00000D000000}"/>
            </a:ext>
          </a:extLst>
        </xdr:cNvPr>
        <xdr:cNvSpPr txBox="1"/>
      </xdr:nvSpPr>
      <xdr:spPr>
        <a:xfrm>
          <a:off x="8592243" y="50447"/>
          <a:ext cx="561427"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Social</a:t>
          </a:r>
        </a:p>
      </xdr:txBody>
    </xdr:sp>
    <xdr:clientData/>
  </xdr:twoCellAnchor>
  <xdr:twoCellAnchor editAs="absolute">
    <xdr:from>
      <xdr:col>4</xdr:col>
      <xdr:colOff>1951794</xdr:colOff>
      <xdr:row>0</xdr:row>
      <xdr:rowOff>50447</xdr:rowOff>
    </xdr:from>
    <xdr:to>
      <xdr:col>4</xdr:col>
      <xdr:colOff>2972656</xdr:colOff>
      <xdr:row>0</xdr:row>
      <xdr:rowOff>311995</xdr:rowOff>
    </xdr:to>
    <xdr:sp macro="" textlink="">
      <xdr:nvSpPr>
        <xdr:cNvPr id="15" name="CaixaDeTexto 13">
          <a:hlinkClick xmlns:r="http://schemas.openxmlformats.org/officeDocument/2006/relationships" r:id="rId8"/>
          <a:extLst>
            <a:ext uri="{FF2B5EF4-FFF2-40B4-BE49-F238E27FC236}">
              <a16:creationId xmlns:a16="http://schemas.microsoft.com/office/drawing/2014/main" id="{00000000-0008-0000-1600-00000F000000}"/>
            </a:ext>
            <a:ext uri="{147F2762-F138-4A5C-976F-8EAC2B608ADB}">
              <a16:predDERef xmlns:a16="http://schemas.microsoft.com/office/drawing/2014/main" pred="{00000000-0008-0000-1600-00000E000000}"/>
            </a:ext>
          </a:extLst>
        </xdr:cNvPr>
        <xdr:cNvSpPr txBox="1"/>
      </xdr:nvSpPr>
      <xdr:spPr>
        <a:xfrm>
          <a:off x="9571794" y="50447"/>
          <a:ext cx="1020862"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editAs="absolute">
    <xdr:from>
      <xdr:col>1</xdr:col>
      <xdr:colOff>1123378</xdr:colOff>
      <xdr:row>0</xdr:row>
      <xdr:rowOff>50447</xdr:rowOff>
    </xdr:from>
    <xdr:to>
      <xdr:col>2</xdr:col>
      <xdr:colOff>564574</xdr:colOff>
      <xdr:row>0</xdr:row>
      <xdr:rowOff>311995</xdr:rowOff>
    </xdr:to>
    <xdr:sp macro="" textlink="">
      <xdr:nvSpPr>
        <xdr:cNvPr id="16" name="CaixaDeTexto 15">
          <a:hlinkClick xmlns:r="http://schemas.openxmlformats.org/officeDocument/2006/relationships" r:id="rId9"/>
          <a:extLst>
            <a:ext uri="{FF2B5EF4-FFF2-40B4-BE49-F238E27FC236}">
              <a16:creationId xmlns:a16="http://schemas.microsoft.com/office/drawing/2014/main" id="{00000000-0008-0000-1600-000010000000}"/>
            </a:ext>
            <a:ext uri="{147F2762-F138-4A5C-976F-8EAC2B608ADB}">
              <a16:predDERef xmlns:a16="http://schemas.microsoft.com/office/drawing/2014/main" pred="{00000000-0008-0000-1600-00000F000000}"/>
            </a:ext>
          </a:extLst>
        </xdr:cNvPr>
        <xdr:cNvSpPr txBox="1"/>
      </xdr:nvSpPr>
      <xdr:spPr>
        <a:xfrm>
          <a:off x="1523428" y="50447"/>
          <a:ext cx="1003296" cy="261548"/>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0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4</xdr:col>
      <xdr:colOff>3400425</xdr:colOff>
      <xdr:row>0</xdr:row>
      <xdr:rowOff>38101</xdr:rowOff>
    </xdr:from>
    <xdr:to>
      <xdr:col>5</xdr:col>
      <xdr:colOff>110062</xdr:colOff>
      <xdr:row>0</xdr:row>
      <xdr:rowOff>345932</xdr:rowOff>
    </xdr:to>
    <xdr:pic>
      <xdr:nvPicPr>
        <xdr:cNvPr id="4" name="Imagem 3">
          <a:hlinkClick xmlns:r="http://schemas.openxmlformats.org/officeDocument/2006/relationships" r:id="rId10"/>
          <a:extLst>
            <a:ext uri="{FF2B5EF4-FFF2-40B4-BE49-F238E27FC236}">
              <a16:creationId xmlns:a16="http://schemas.microsoft.com/office/drawing/2014/main" id="{00000000-0008-0000-1600-000004000000}"/>
            </a:ext>
            <a:ext uri="{147F2762-F138-4A5C-976F-8EAC2B608ADB}">
              <a16:predDERef xmlns:a16="http://schemas.microsoft.com/office/drawing/2014/main" pred="{00000000-0008-0000-1600-000010000000}"/>
            </a:ext>
          </a:extLst>
        </xdr:cNvPr>
        <xdr:cNvPicPr preferRelativeResize="0">
          <a:picLocks/>
        </xdr:cNvPicPr>
      </xdr:nvPicPr>
      <xdr:blipFill>
        <a:blip xmlns:r="http://schemas.openxmlformats.org/officeDocument/2006/relationships" r:embed="rId11"/>
        <a:stretch>
          <a:fillRect/>
        </a:stretch>
      </xdr:blipFill>
      <xdr:spPr>
        <a:xfrm flipH="1">
          <a:off x="11020425" y="38101"/>
          <a:ext cx="561971" cy="307831"/>
        </a:xfrm>
        <a:prstGeom prst="rect">
          <a:avLst/>
        </a:prstGeom>
      </xdr:spPr>
    </xdr:pic>
    <xdr:clientData/>
  </xdr:twoCellAnchor>
  <xdr:twoCellAnchor editAs="absolute">
    <xdr:from>
      <xdr:col>5</xdr:col>
      <xdr:colOff>139284</xdr:colOff>
      <xdr:row>0</xdr:row>
      <xdr:rowOff>38100</xdr:rowOff>
    </xdr:from>
    <xdr:to>
      <xdr:col>5</xdr:col>
      <xdr:colOff>703054</xdr:colOff>
      <xdr:row>0</xdr:row>
      <xdr:rowOff>345931</xdr:rowOff>
    </xdr:to>
    <xdr:pic>
      <xdr:nvPicPr>
        <xdr:cNvPr id="5" name="Imagem 4">
          <a:hlinkClick xmlns:r="http://schemas.openxmlformats.org/officeDocument/2006/relationships" r:id="rId12"/>
          <a:extLst>
            <a:ext uri="{FF2B5EF4-FFF2-40B4-BE49-F238E27FC236}">
              <a16:creationId xmlns:a16="http://schemas.microsoft.com/office/drawing/2014/main" id="{00000000-0008-0000-1600-000005000000}"/>
            </a:ext>
            <a:ext uri="{147F2762-F138-4A5C-976F-8EAC2B608ADB}">
              <a16:predDERef xmlns:a16="http://schemas.microsoft.com/office/drawing/2014/main" pred="{D3F2D5BF-794F-4ECD-9392-6B42F61F29EC}"/>
            </a:ext>
          </a:extLst>
        </xdr:cNvPr>
        <xdr:cNvPicPr preferRelativeResize="0">
          <a:picLocks/>
        </xdr:cNvPicPr>
      </xdr:nvPicPr>
      <xdr:blipFill>
        <a:blip xmlns:r="http://schemas.openxmlformats.org/officeDocument/2006/relationships" r:embed="rId11"/>
        <a:stretch>
          <a:fillRect/>
        </a:stretch>
      </xdr:blipFill>
      <xdr:spPr>
        <a:xfrm rot="10800000" flipH="1">
          <a:off x="11611618" y="38100"/>
          <a:ext cx="563770" cy="30783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85768</xdr:colOff>
      <xdr:row>2</xdr:row>
      <xdr:rowOff>89149</xdr:rowOff>
    </xdr:from>
    <xdr:to>
      <xdr:col>1</xdr:col>
      <xdr:colOff>679409</xdr:colOff>
      <xdr:row>4</xdr:row>
      <xdr:rowOff>159205</xdr:rowOff>
    </xdr:to>
    <xdr:pic>
      <xdr:nvPicPr>
        <xdr:cNvPr id="2" name="Picture 11">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85768" y="451099"/>
          <a:ext cx="1203241" cy="438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29114</xdr:colOff>
      <xdr:row>8</xdr:row>
      <xdr:rowOff>101641</xdr:rowOff>
    </xdr:from>
    <xdr:to>
      <xdr:col>7</xdr:col>
      <xdr:colOff>2146139</xdr:colOff>
      <xdr:row>14</xdr:row>
      <xdr:rowOff>10205</xdr:rowOff>
    </xdr:to>
    <xdr:sp macro="" textlink="">
      <xdr:nvSpPr>
        <xdr:cNvPr id="16" name="Retângulo 17">
          <a:extLst>
            <a:ext uri="{FF2B5EF4-FFF2-40B4-BE49-F238E27FC236}">
              <a16:creationId xmlns:a16="http://schemas.microsoft.com/office/drawing/2014/main" id="{00000000-0008-0000-1700-000010000000}"/>
            </a:ext>
          </a:extLst>
        </xdr:cNvPr>
        <xdr:cNvSpPr/>
      </xdr:nvSpPr>
      <xdr:spPr>
        <a:xfrm>
          <a:off x="644019" y="1693160"/>
          <a:ext cx="17043544" cy="1427741"/>
        </a:xfrm>
        <a:prstGeom prst="rect">
          <a:avLst/>
        </a:prstGeom>
        <a:solidFill>
          <a:srgbClr val="F2F2F2">
            <a:alpha val="70000"/>
          </a:srgbClr>
        </a:solidFill>
        <a:ln w="6350">
          <a:solidFill>
            <a:schemeClr val="bg2">
              <a:lumMod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eaLnBrk="1" fontAlgn="auto" latinLnBrk="0" hangingPunct="1"/>
          <a:r>
            <a:rPr lang="pt-BR" sz="1100">
              <a:solidFill>
                <a:srgbClr val="555555"/>
              </a:solidFill>
              <a:effectLst/>
              <a:latin typeface="Arial" panose="020B0604020202020204" pitchFamily="34" charset="0"/>
              <a:ea typeface="+mn-ea"/>
              <a:cs typeface="Arial" panose="020B0604020202020204" pitchFamily="34" charset="0"/>
            </a:rPr>
            <a:t>We present the Integrated Report (IR) 2023 Preparation Base,</a:t>
          </a:r>
          <a:r>
            <a:rPr lang="pt-BR" sz="1100" baseline="0">
              <a:solidFill>
                <a:srgbClr val="555555"/>
              </a:solidFill>
              <a:effectLst/>
              <a:latin typeface="Arial" panose="020B0604020202020204" pitchFamily="34" charset="0"/>
              <a:ea typeface="+mn-ea"/>
              <a:cs typeface="Arial" panose="020B0604020202020204" pitchFamily="34" charset="0"/>
            </a:rPr>
            <a:t> whose </a:t>
          </a:r>
          <a:r>
            <a:rPr lang="pt-BR" sz="1100">
              <a:solidFill>
                <a:srgbClr val="555555"/>
              </a:solidFill>
              <a:effectLst/>
              <a:latin typeface="Arial" panose="020B0604020202020204" pitchFamily="34" charset="0"/>
              <a:ea typeface="+mn-ea"/>
              <a:cs typeface="Arial" panose="020B0604020202020204" pitchFamily="34" charset="0"/>
            </a:rPr>
            <a:t>function is to share with readers definitions and details of concepts adopted for reporting part of Vale's non-financial content, referring to the GRI Standards and to identify the assured contents for the 2023 Integrated Report, as well as exceptions or changes in the limits and reporting period. The report of these contents is published in the documents Integrated Report (IR) 2023 and ESG Databook 2023.</a:t>
          </a:r>
        </a:p>
        <a:p>
          <a:pPr eaLnBrk="1" fontAlgn="auto" latinLnBrk="0" hangingPunct="1"/>
          <a:endParaRPr lang="pt-BR" sz="1100">
            <a:solidFill>
              <a:srgbClr val="555555"/>
            </a:solidFill>
            <a:effectLst/>
            <a:latin typeface="Arial" panose="020B0604020202020204" pitchFamily="34" charset="0"/>
            <a:cs typeface="Arial" panose="020B0604020202020204" pitchFamily="34" charset="0"/>
          </a:endParaRPr>
        </a:p>
        <a:p>
          <a:pPr eaLnBrk="1" fontAlgn="auto" latinLnBrk="0" hangingPunct="1"/>
          <a:r>
            <a:rPr lang="pt-BR" sz="1100">
              <a:solidFill>
                <a:srgbClr val="555555"/>
              </a:solidFill>
              <a:effectLst/>
              <a:latin typeface="Arial" panose="020B0604020202020204" pitchFamily="34" charset="0"/>
              <a:ea typeface="+mn-ea"/>
              <a:cs typeface="Arial" panose="020B0604020202020204" pitchFamily="34" charset="0"/>
            </a:rPr>
            <a:t>In the GRI Content Index of Vale's Integrated Report (IR) 2023, on pages 102 to 109, the location of each of the material contents for reporting can be found. In addition to the mandatory indicators, Vale presents in the ESG Databook the GRI G4 Mining and Metals sector indicators and others such as ICMM, SASB and TCFD, and the reporting of the other GRI Standards content applicable to the sector, even if not considered material.</a:t>
          </a:r>
        </a:p>
        <a:p>
          <a:pPr eaLnBrk="1" fontAlgn="auto" latinLnBrk="0" hangingPunct="1"/>
          <a:endParaRPr lang="pt-BR" sz="1100">
            <a:solidFill>
              <a:srgbClr val="555555"/>
            </a:solidFill>
            <a:effectLst/>
            <a:latin typeface="Arial" panose="020B0604020202020204" pitchFamily="34" charset="0"/>
            <a:cs typeface="Arial" panose="020B0604020202020204" pitchFamily="34" charset="0"/>
          </a:endParaRPr>
        </a:p>
        <a:p>
          <a:pPr eaLnBrk="1" fontAlgn="auto" latinLnBrk="0" hangingPunct="1"/>
          <a:r>
            <a:rPr lang="pt-BR" sz="1100">
              <a:solidFill>
                <a:srgbClr val="555555"/>
              </a:solidFill>
              <a:effectLst/>
              <a:latin typeface="Arial" panose="020B0604020202020204" pitchFamily="34" charset="0"/>
              <a:ea typeface="+mn-ea"/>
              <a:cs typeface="Arial" panose="020B0604020202020204" pitchFamily="34" charset="0"/>
            </a:rPr>
            <a:t>The GRI Standards published up to December 2021 were considered.</a:t>
          </a:r>
        </a:p>
      </xdr:txBody>
    </xdr:sp>
    <xdr:clientData/>
  </xdr:twoCellAnchor>
  <xdr:twoCellAnchor editAs="absolute">
    <xdr:from>
      <xdr:col>3</xdr:col>
      <xdr:colOff>2360987</xdr:colOff>
      <xdr:row>0</xdr:row>
      <xdr:rowOff>49665</xdr:rowOff>
    </xdr:from>
    <xdr:to>
      <xdr:col>3</xdr:col>
      <xdr:colOff>3686753</xdr:colOff>
      <xdr:row>1</xdr:row>
      <xdr:rowOff>150340</xdr:rowOff>
    </xdr:to>
    <xdr:sp macro="" textlink="">
      <xdr:nvSpPr>
        <xdr:cNvPr id="7" name="CaixaDeTexto 8">
          <a:hlinkClick xmlns:r="http://schemas.openxmlformats.org/officeDocument/2006/relationships" r:id="rId2"/>
          <a:extLst>
            <a:ext uri="{FF2B5EF4-FFF2-40B4-BE49-F238E27FC236}">
              <a16:creationId xmlns:a16="http://schemas.microsoft.com/office/drawing/2014/main" id="{00000000-0008-0000-1700-000007000000}"/>
            </a:ext>
          </a:extLst>
        </xdr:cNvPr>
        <xdr:cNvSpPr txBox="1"/>
      </xdr:nvSpPr>
      <xdr:spPr>
        <a:xfrm>
          <a:off x="6361487" y="49665"/>
          <a:ext cx="1325766" cy="2816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100" b="1">
              <a:solidFill>
                <a:srgbClr val="008080"/>
              </a:solidFill>
              <a:latin typeface="Arial" panose="020B0604020202020204" pitchFamily="34" charset="0"/>
              <a:ea typeface="+mn-ea"/>
              <a:cs typeface="Arial" panose="020B0604020202020204" pitchFamily="34" charset="0"/>
            </a:rPr>
            <a:t>Material</a:t>
          </a:r>
          <a:r>
            <a:rPr lang="pt-BR" sz="1100" b="1" baseline="0">
              <a:solidFill>
                <a:srgbClr val="008080"/>
              </a:solidFill>
              <a:latin typeface="Arial" panose="020B0604020202020204" pitchFamily="34" charset="0"/>
              <a:ea typeface="+mn-ea"/>
              <a:cs typeface="Arial" panose="020B0604020202020204" pitchFamily="34" charset="0"/>
            </a:rPr>
            <a:t> Topics</a:t>
          </a:r>
          <a:endParaRPr lang="pt-BR" sz="1100" b="1">
            <a:solidFill>
              <a:srgbClr val="008080"/>
            </a:solidFill>
            <a:latin typeface="Arial" panose="020B0604020202020204" pitchFamily="34" charset="0"/>
            <a:ea typeface="+mn-ea"/>
            <a:cs typeface="Arial" panose="020B0604020202020204" pitchFamily="34" charset="0"/>
          </a:endParaRPr>
        </a:p>
      </xdr:txBody>
    </xdr:sp>
    <xdr:clientData/>
  </xdr:twoCellAnchor>
  <xdr:twoCellAnchor editAs="absolute">
    <xdr:from>
      <xdr:col>3</xdr:col>
      <xdr:colOff>581183</xdr:colOff>
      <xdr:row>0</xdr:row>
      <xdr:rowOff>35377</xdr:rowOff>
    </xdr:from>
    <xdr:to>
      <xdr:col>3</xdr:col>
      <xdr:colOff>1459583</xdr:colOff>
      <xdr:row>1</xdr:row>
      <xdr:rowOff>151927</xdr:rowOff>
    </xdr:to>
    <xdr:sp macro="" textlink="">
      <xdr:nvSpPr>
        <xdr:cNvPr id="8" name="CaixaDeTexto 9">
          <a:hlinkClick xmlns:r="http://schemas.openxmlformats.org/officeDocument/2006/relationships" r:id="rId3"/>
          <a:extLst>
            <a:ext uri="{FF2B5EF4-FFF2-40B4-BE49-F238E27FC236}">
              <a16:creationId xmlns:a16="http://schemas.microsoft.com/office/drawing/2014/main" id="{00000000-0008-0000-1700-000008000000}"/>
            </a:ext>
          </a:extLst>
        </xdr:cNvPr>
        <xdr:cNvSpPr txBox="1"/>
      </xdr:nvSpPr>
      <xdr:spPr>
        <a:xfrm>
          <a:off x="4581683" y="35377"/>
          <a:ext cx="878400" cy="29752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100" b="1">
              <a:solidFill>
                <a:srgbClr val="008080"/>
              </a:solidFill>
              <a:latin typeface="Arial" panose="020B0604020202020204" pitchFamily="34" charset="0"/>
              <a:ea typeface="+mn-ea"/>
              <a:cs typeface="Arial" panose="020B0604020202020204" pitchFamily="34" charset="0"/>
            </a:rPr>
            <a:t>Content</a:t>
          </a:r>
        </a:p>
      </xdr:txBody>
    </xdr:sp>
    <xdr:clientData/>
  </xdr:twoCellAnchor>
  <xdr:twoCellAnchor editAs="absolute">
    <xdr:from>
      <xdr:col>3</xdr:col>
      <xdr:colOff>4473857</xdr:colOff>
      <xdr:row>0</xdr:row>
      <xdr:rowOff>36965</xdr:rowOff>
    </xdr:from>
    <xdr:to>
      <xdr:col>4</xdr:col>
      <xdr:colOff>123953</xdr:colOff>
      <xdr:row>1</xdr:row>
      <xdr:rowOff>150340</xdr:rowOff>
    </xdr:to>
    <xdr:sp macro="" textlink="">
      <xdr:nvSpPr>
        <xdr:cNvPr id="9" name="CaixaDeTexto 10">
          <a:hlinkClick xmlns:r="http://schemas.openxmlformats.org/officeDocument/2006/relationships" r:id="rId4"/>
          <a:extLst>
            <a:ext uri="{FF2B5EF4-FFF2-40B4-BE49-F238E27FC236}">
              <a16:creationId xmlns:a16="http://schemas.microsoft.com/office/drawing/2014/main" id="{00000000-0008-0000-1700-000009000000}"/>
            </a:ext>
          </a:extLst>
        </xdr:cNvPr>
        <xdr:cNvSpPr txBox="1"/>
      </xdr:nvSpPr>
      <xdr:spPr>
        <a:xfrm>
          <a:off x="8474357" y="36965"/>
          <a:ext cx="1222221" cy="2943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100" b="1">
              <a:solidFill>
                <a:srgbClr val="008080"/>
              </a:solidFill>
              <a:latin typeface="Arial" panose="020B0604020202020204" pitchFamily="34" charset="0"/>
              <a:ea typeface="+mn-ea"/>
              <a:cs typeface="Arial" panose="020B0604020202020204" pitchFamily="34" charset="0"/>
            </a:rPr>
            <a:t>Economic</a:t>
          </a:r>
        </a:p>
      </xdr:txBody>
    </xdr:sp>
    <xdr:clientData/>
  </xdr:twoCellAnchor>
  <xdr:twoCellAnchor editAs="absolute">
    <xdr:from>
      <xdr:col>4</xdr:col>
      <xdr:colOff>735012</xdr:colOff>
      <xdr:row>0</xdr:row>
      <xdr:rowOff>48077</xdr:rowOff>
    </xdr:from>
    <xdr:to>
      <xdr:col>5</xdr:col>
      <xdr:colOff>155125</xdr:colOff>
      <xdr:row>1</xdr:row>
      <xdr:rowOff>151927</xdr:rowOff>
    </xdr:to>
    <xdr:sp macro="" textlink="">
      <xdr:nvSpPr>
        <xdr:cNvPr id="10" name="CaixaDeTexto 11">
          <a:hlinkClick xmlns:r="http://schemas.openxmlformats.org/officeDocument/2006/relationships" r:id="rId5"/>
          <a:extLst>
            <a:ext uri="{FF2B5EF4-FFF2-40B4-BE49-F238E27FC236}">
              <a16:creationId xmlns:a16="http://schemas.microsoft.com/office/drawing/2014/main" id="{00000000-0008-0000-1700-00000A000000}"/>
            </a:ext>
          </a:extLst>
        </xdr:cNvPr>
        <xdr:cNvSpPr txBox="1"/>
      </xdr:nvSpPr>
      <xdr:spPr>
        <a:xfrm>
          <a:off x="10307637" y="48077"/>
          <a:ext cx="1410838" cy="28482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100" b="1">
              <a:solidFill>
                <a:srgbClr val="008080"/>
              </a:solidFill>
              <a:latin typeface="Arial" panose="020B0604020202020204" pitchFamily="34" charset="0"/>
              <a:ea typeface="+mn-ea"/>
              <a:cs typeface="Arial" panose="020B0604020202020204" pitchFamily="34" charset="0"/>
            </a:rPr>
            <a:t>Environmental</a:t>
          </a:r>
        </a:p>
      </xdr:txBody>
    </xdr:sp>
    <xdr:clientData/>
  </xdr:twoCellAnchor>
  <xdr:twoCellAnchor editAs="absolute">
    <xdr:from>
      <xdr:col>0</xdr:col>
      <xdr:colOff>1</xdr:colOff>
      <xdr:row>0</xdr:row>
      <xdr:rowOff>9090</xdr:rowOff>
    </xdr:from>
    <xdr:to>
      <xdr:col>1</xdr:col>
      <xdr:colOff>10433</xdr:colOff>
      <xdr:row>2</xdr:row>
      <xdr:rowOff>10431</xdr:rowOff>
    </xdr:to>
    <xdr:sp macro="" textlink="">
      <xdr:nvSpPr>
        <xdr:cNvPr id="13" name="CaixaDeTexto 14">
          <a:hlinkClick xmlns:r="http://schemas.openxmlformats.org/officeDocument/2006/relationships" r:id="rId6"/>
          <a:extLst>
            <a:ext uri="{FF2B5EF4-FFF2-40B4-BE49-F238E27FC236}">
              <a16:creationId xmlns:a16="http://schemas.microsoft.com/office/drawing/2014/main" id="{00000000-0008-0000-1700-00000D000000}"/>
            </a:ext>
          </a:extLst>
        </xdr:cNvPr>
        <xdr:cNvSpPr txBox="1"/>
      </xdr:nvSpPr>
      <xdr:spPr>
        <a:xfrm>
          <a:off x="1" y="9090"/>
          <a:ext cx="620032" cy="363291"/>
        </a:xfrm>
        <a:prstGeom prst="rect">
          <a:avLst/>
        </a:prstGeom>
        <a:solidFill>
          <a:srgbClr val="008080"/>
        </a:solid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100" b="1">
              <a:solidFill>
                <a:schemeClr val="bg1"/>
              </a:solidFill>
              <a:latin typeface="Arial" panose="020B0604020202020204" pitchFamily="34" charset="0"/>
              <a:ea typeface="+mn-ea"/>
              <a:cs typeface="Arial" panose="020B0604020202020204" pitchFamily="34" charset="0"/>
            </a:rPr>
            <a:t>Home</a:t>
          </a:r>
        </a:p>
      </xdr:txBody>
    </xdr:sp>
    <xdr:clientData/>
  </xdr:twoCellAnchor>
  <xdr:twoCellAnchor editAs="absolute">
    <xdr:from>
      <xdr:col>2</xdr:col>
      <xdr:colOff>696752</xdr:colOff>
      <xdr:row>0</xdr:row>
      <xdr:rowOff>35377</xdr:rowOff>
    </xdr:from>
    <xdr:to>
      <xdr:col>2</xdr:col>
      <xdr:colOff>1714500</xdr:colOff>
      <xdr:row>1</xdr:row>
      <xdr:rowOff>151927</xdr:rowOff>
    </xdr:to>
    <xdr:sp macro="" textlink="">
      <xdr:nvSpPr>
        <xdr:cNvPr id="14" name="CaixaDeTexto 15">
          <a:hlinkClick xmlns:r="http://schemas.openxmlformats.org/officeDocument/2006/relationships" r:id="rId7"/>
          <a:extLst>
            <a:ext uri="{FF2B5EF4-FFF2-40B4-BE49-F238E27FC236}">
              <a16:creationId xmlns:a16="http://schemas.microsoft.com/office/drawing/2014/main" id="{00000000-0008-0000-1700-00000E000000}"/>
            </a:ext>
          </a:extLst>
        </xdr:cNvPr>
        <xdr:cNvSpPr txBox="1"/>
      </xdr:nvSpPr>
      <xdr:spPr>
        <a:xfrm>
          <a:off x="2563652" y="35377"/>
          <a:ext cx="1017748" cy="297525"/>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pt-BR" sz="1100" b="1">
              <a:solidFill>
                <a:srgbClr val="008080"/>
              </a:solidFill>
              <a:latin typeface="Arial" panose="020B0604020202020204" pitchFamily="34" charset="0"/>
              <a:ea typeface="+mn-ea"/>
              <a:cs typeface="Arial" panose="020B0604020202020204" pitchFamily="34" charset="0"/>
            </a:rPr>
            <a:t>References</a:t>
          </a:r>
        </a:p>
      </xdr:txBody>
    </xdr:sp>
    <xdr:clientData/>
  </xdr:twoCellAnchor>
  <xdr:twoCellAnchor editAs="absolute">
    <xdr:from>
      <xdr:col>7</xdr:col>
      <xdr:colOff>228600</xdr:colOff>
      <xdr:row>0</xdr:row>
      <xdr:rowOff>38101</xdr:rowOff>
    </xdr:from>
    <xdr:to>
      <xdr:col>7</xdr:col>
      <xdr:colOff>790571</xdr:colOff>
      <xdr:row>1</xdr:row>
      <xdr:rowOff>164957</xdr:rowOff>
    </xdr:to>
    <xdr:pic>
      <xdr:nvPicPr>
        <xdr:cNvPr id="19" name="Imagem 18">
          <a:hlinkClick xmlns:r="http://schemas.openxmlformats.org/officeDocument/2006/relationships" r:id="rId8"/>
          <a:extLst>
            <a:ext uri="{FF2B5EF4-FFF2-40B4-BE49-F238E27FC236}">
              <a16:creationId xmlns:a16="http://schemas.microsoft.com/office/drawing/2014/main" id="{00000000-0008-0000-1700-000013000000}"/>
            </a:ext>
          </a:extLst>
        </xdr:cNvPr>
        <xdr:cNvPicPr preferRelativeResize="0">
          <a:picLocks/>
        </xdr:cNvPicPr>
      </xdr:nvPicPr>
      <xdr:blipFill>
        <a:blip xmlns:r="http://schemas.openxmlformats.org/officeDocument/2006/relationships" r:embed="rId9"/>
        <a:stretch>
          <a:fillRect/>
        </a:stretch>
      </xdr:blipFill>
      <xdr:spPr>
        <a:xfrm flipH="1">
          <a:off x="15773400" y="38101"/>
          <a:ext cx="565146" cy="304656"/>
        </a:xfrm>
        <a:prstGeom prst="rect">
          <a:avLst/>
        </a:prstGeom>
      </xdr:spPr>
    </xdr:pic>
    <xdr:clientData/>
  </xdr:twoCellAnchor>
  <xdr:twoCellAnchor editAs="absolute">
    <xdr:from>
      <xdr:col>7</xdr:col>
      <xdr:colOff>819793</xdr:colOff>
      <xdr:row>0</xdr:row>
      <xdr:rowOff>38100</xdr:rowOff>
    </xdr:from>
    <xdr:to>
      <xdr:col>7</xdr:col>
      <xdr:colOff>1383563</xdr:colOff>
      <xdr:row>1</xdr:row>
      <xdr:rowOff>164956</xdr:rowOff>
    </xdr:to>
    <xdr:pic>
      <xdr:nvPicPr>
        <xdr:cNvPr id="20" name="Imagem 19">
          <a:hlinkClick xmlns:r="http://schemas.openxmlformats.org/officeDocument/2006/relationships" r:id="rId6"/>
          <a:extLst>
            <a:ext uri="{FF2B5EF4-FFF2-40B4-BE49-F238E27FC236}">
              <a16:creationId xmlns:a16="http://schemas.microsoft.com/office/drawing/2014/main" id="{00000000-0008-0000-1700-000014000000}"/>
            </a:ext>
          </a:extLst>
        </xdr:cNvPr>
        <xdr:cNvPicPr preferRelativeResize="0">
          <a:picLocks/>
        </xdr:cNvPicPr>
      </xdr:nvPicPr>
      <xdr:blipFill>
        <a:blip xmlns:r="http://schemas.openxmlformats.org/officeDocument/2006/relationships" r:embed="rId9"/>
        <a:stretch>
          <a:fillRect/>
        </a:stretch>
      </xdr:blipFill>
      <xdr:spPr>
        <a:xfrm rot="10800000" flipH="1">
          <a:off x="16364593" y="38100"/>
          <a:ext cx="560595" cy="304656"/>
        </a:xfrm>
        <a:prstGeom prst="rect">
          <a:avLst/>
        </a:prstGeom>
      </xdr:spPr>
    </xdr:pic>
    <xdr:clientData/>
  </xdr:twoCellAnchor>
  <xdr:twoCellAnchor>
    <xdr:from>
      <xdr:col>6</xdr:col>
      <xdr:colOff>276225</xdr:colOff>
      <xdr:row>0</xdr:row>
      <xdr:rowOff>28575</xdr:rowOff>
    </xdr:from>
    <xdr:to>
      <xdr:col>6</xdr:col>
      <xdr:colOff>1327830</xdr:colOff>
      <xdr:row>1</xdr:row>
      <xdr:rowOff>138775</xdr:rowOff>
    </xdr:to>
    <xdr:sp macro="" textlink="">
      <xdr:nvSpPr>
        <xdr:cNvPr id="4" name="TextBox 3">
          <a:hlinkClick xmlns:r="http://schemas.openxmlformats.org/officeDocument/2006/relationships" r:id="rId10"/>
          <a:extLst>
            <a:ext uri="{FF2B5EF4-FFF2-40B4-BE49-F238E27FC236}">
              <a16:creationId xmlns:a16="http://schemas.microsoft.com/office/drawing/2014/main" id="{00000000-0008-0000-1700-000004000000}"/>
            </a:ext>
            <a:ext uri="{147F2762-F138-4A5C-976F-8EAC2B608ADB}">
              <a16:predDERef xmlns:a16="http://schemas.microsoft.com/office/drawing/2014/main" pred="{00000000-0008-0000-1700-000014000000}"/>
            </a:ext>
          </a:extLst>
        </xdr:cNvPr>
        <xdr:cNvSpPr txBox="1"/>
      </xdr:nvSpPr>
      <xdr:spPr>
        <a:xfrm>
          <a:off x="13230225" y="28575"/>
          <a:ext cx="1051605" cy="2816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1100" b="1">
              <a:solidFill>
                <a:srgbClr val="008080"/>
              </a:solidFill>
              <a:latin typeface="Arial" panose="020B0604020202020204" pitchFamily="34" charset="0"/>
              <a:ea typeface="+mn-ea"/>
              <a:cs typeface="Arial" panose="020B0604020202020204" pitchFamily="34" charset="0"/>
            </a:rPr>
            <a:t>Frameworks</a:t>
          </a:r>
        </a:p>
      </xdr:txBody>
    </xdr:sp>
    <xdr:clientData/>
  </xdr:twoCellAnchor>
  <xdr:twoCellAnchor>
    <xdr:from>
      <xdr:col>5</xdr:col>
      <xdr:colOff>733425</xdr:colOff>
      <xdr:row>0</xdr:row>
      <xdr:rowOff>38100</xdr:rowOff>
    </xdr:from>
    <xdr:to>
      <xdr:col>5</xdr:col>
      <xdr:colOff>1411420</xdr:colOff>
      <xdr:row>1</xdr:row>
      <xdr:rowOff>148300</xdr:rowOff>
    </xdr:to>
    <xdr:sp macro="" textlink="">
      <xdr:nvSpPr>
        <xdr:cNvPr id="5" name="TextBox 4">
          <a:hlinkClick xmlns:r="http://schemas.openxmlformats.org/officeDocument/2006/relationships" r:id="rId11"/>
          <a:extLst>
            <a:ext uri="{FF2B5EF4-FFF2-40B4-BE49-F238E27FC236}">
              <a16:creationId xmlns:a16="http://schemas.microsoft.com/office/drawing/2014/main" id="{00000000-0008-0000-1700-000005000000}"/>
            </a:ext>
            <a:ext uri="{147F2762-F138-4A5C-976F-8EAC2B608ADB}">
              <a16:predDERef xmlns:a16="http://schemas.microsoft.com/office/drawing/2014/main" pred="{C21EC4B3-A178-4212-80D2-F256F1FAA0EC}"/>
            </a:ext>
          </a:extLst>
        </xdr:cNvPr>
        <xdr:cNvSpPr txBox="1"/>
      </xdr:nvSpPr>
      <xdr:spPr>
        <a:xfrm>
          <a:off x="11782425" y="38100"/>
          <a:ext cx="677995" cy="281650"/>
        </a:xfrm>
        <a:prstGeom prst="rect">
          <a:avLst/>
        </a:prstGeom>
        <a:noFill/>
        <a:ln>
          <a:noFill/>
        </a:ln>
        <a:effectLst/>
      </xdr:spPr>
      <xdr:style>
        <a:lnRef idx="0">
          <a:schemeClr val="accent6"/>
        </a:lnRef>
        <a:fillRef idx="3">
          <a:schemeClr val="accent6"/>
        </a:fillRef>
        <a:effectRef idx="3">
          <a:schemeClr val="accent6"/>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pt-BR" sz="1100" b="1">
              <a:solidFill>
                <a:srgbClr val="008080"/>
              </a:solidFill>
              <a:latin typeface="Arial" panose="020B0604020202020204" pitchFamily="34" charset="0"/>
              <a:ea typeface="+mn-ea"/>
              <a:cs typeface="Arial" panose="020B0604020202020204" pitchFamily="34" charset="0"/>
            </a:rPr>
            <a:t>Social</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ayla%20Gusm&#227;o/Desktop/ANINA/Excel%20aplicado%20a%20neg&#243;cios/EAN_IEG_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01553848/Downloads/ICMM%20-%20Performance%20Expectations%20-%20Meio%20Ambiente%20(2019)%2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teiro"/>
      <sheetName val="Botoes"/>
      <sheetName val="Modelo Previsao"/>
      <sheetName val="Previsao"/>
      <sheetName val="Solver"/>
      <sheetName val="AM"/>
      <sheetName val="Tabela Dinâmica"/>
      <sheetName val="DashBoard"/>
      <sheetName val="Exemplo de Output"/>
    </sheetNames>
    <sheetDataSet>
      <sheetData sheetId="0"/>
      <sheetData sheetId="1"/>
      <sheetData sheetId="2"/>
      <sheetData sheetId="3"/>
      <sheetData sheetId="4"/>
      <sheetData sheetId="5"/>
      <sheetData sheetId="6"/>
      <sheetData sheetId="7">
        <row r="6">
          <cell r="A6" t="str">
            <v>UF</v>
          </cell>
          <cell r="B6" t="str">
            <v>ANO</v>
          </cell>
          <cell r="D6" t="str">
            <v>PRODUTO</v>
          </cell>
          <cell r="E6" t="str">
            <v>FOB</v>
          </cell>
        </row>
        <row r="7">
          <cell r="A7" t="str">
            <v>BA</v>
          </cell>
          <cell r="B7">
            <v>2007</v>
          </cell>
          <cell r="D7" t="str">
            <v>SOJA</v>
          </cell>
          <cell r="E7">
            <v>4.37</v>
          </cell>
        </row>
        <row r="8">
          <cell r="A8" t="str">
            <v>PI</v>
          </cell>
          <cell r="B8">
            <v>2007</v>
          </cell>
          <cell r="D8" t="str">
            <v>SOJA</v>
          </cell>
          <cell r="E8">
            <v>6.83</v>
          </cell>
        </row>
        <row r="9">
          <cell r="A9" t="str">
            <v>MT</v>
          </cell>
          <cell r="B9">
            <v>2007</v>
          </cell>
          <cell r="D9" t="str">
            <v>SOJA</v>
          </cell>
          <cell r="E9">
            <v>0</v>
          </cell>
        </row>
        <row r="10">
          <cell r="A10" t="str">
            <v>GO</v>
          </cell>
          <cell r="B10">
            <v>2007</v>
          </cell>
          <cell r="D10" t="str">
            <v>SOJA</v>
          </cell>
          <cell r="E10">
            <v>58.456000000000003</v>
          </cell>
        </row>
        <row r="11">
          <cell r="A11" t="str">
            <v>MT</v>
          </cell>
          <cell r="B11">
            <v>2007</v>
          </cell>
          <cell r="D11" t="str">
            <v>SOJA</v>
          </cell>
          <cell r="E11">
            <v>18.818000000000001</v>
          </cell>
        </row>
        <row r="12">
          <cell r="A12" t="str">
            <v>MT</v>
          </cell>
          <cell r="B12">
            <v>2007</v>
          </cell>
          <cell r="D12" t="str">
            <v>MILHO</v>
          </cell>
          <cell r="E12">
            <v>0</v>
          </cell>
        </row>
        <row r="13">
          <cell r="A13" t="str">
            <v>MT</v>
          </cell>
          <cell r="B13">
            <v>2007</v>
          </cell>
          <cell r="D13" t="str">
            <v>MILHO</v>
          </cell>
          <cell r="E13">
            <v>0</v>
          </cell>
        </row>
        <row r="14">
          <cell r="A14" t="str">
            <v>MT</v>
          </cell>
          <cell r="B14">
            <v>2007</v>
          </cell>
          <cell r="D14" t="str">
            <v>SOJA</v>
          </cell>
          <cell r="E14">
            <v>0</v>
          </cell>
        </row>
        <row r="15">
          <cell r="A15" t="str">
            <v>RS</v>
          </cell>
          <cell r="B15">
            <v>2007</v>
          </cell>
          <cell r="D15" t="str">
            <v>SOJA</v>
          </cell>
          <cell r="E15">
            <v>35.92</v>
          </cell>
        </row>
        <row r="16">
          <cell r="A16" t="str">
            <v>PR</v>
          </cell>
          <cell r="B16">
            <v>2007</v>
          </cell>
          <cell r="D16" t="str">
            <v>MILHO</v>
          </cell>
          <cell r="E16">
            <v>27.65</v>
          </cell>
        </row>
        <row r="17">
          <cell r="A17" t="str">
            <v>PR</v>
          </cell>
          <cell r="B17">
            <v>2007</v>
          </cell>
          <cell r="D17" t="str">
            <v>MILHO</v>
          </cell>
          <cell r="E17">
            <v>11.372</v>
          </cell>
        </row>
        <row r="18">
          <cell r="A18" t="str">
            <v>RS</v>
          </cell>
          <cell r="B18">
            <v>2007</v>
          </cell>
          <cell r="D18" t="str">
            <v>SOJA</v>
          </cell>
          <cell r="E18">
            <v>697.79</v>
          </cell>
        </row>
        <row r="19">
          <cell r="A19" t="str">
            <v>RS</v>
          </cell>
          <cell r="B19">
            <v>2007</v>
          </cell>
          <cell r="D19" t="str">
            <v>SOJA</v>
          </cell>
          <cell r="E19">
            <v>0</v>
          </cell>
        </row>
        <row r="20">
          <cell r="A20" t="str">
            <v>RS</v>
          </cell>
          <cell r="B20">
            <v>2007</v>
          </cell>
          <cell r="D20" t="str">
            <v>SOJA</v>
          </cell>
          <cell r="E20">
            <v>0</v>
          </cell>
        </row>
        <row r="21">
          <cell r="A21" t="str">
            <v>RS</v>
          </cell>
          <cell r="B21">
            <v>2007</v>
          </cell>
          <cell r="D21" t="str">
            <v>SOJA</v>
          </cell>
          <cell r="E21">
            <v>0</v>
          </cell>
        </row>
        <row r="22">
          <cell r="A22" t="str">
            <v>RS</v>
          </cell>
          <cell r="B22">
            <v>2007</v>
          </cell>
          <cell r="D22" t="str">
            <v>MILHO</v>
          </cell>
          <cell r="E22">
            <v>35.08</v>
          </cell>
        </row>
        <row r="23">
          <cell r="A23" t="str">
            <v>RS</v>
          </cell>
          <cell r="B23">
            <v>2007</v>
          </cell>
          <cell r="D23" t="str">
            <v>SOJA</v>
          </cell>
          <cell r="E23">
            <v>180.91</v>
          </cell>
        </row>
        <row r="24">
          <cell r="A24" t="str">
            <v>BA</v>
          </cell>
          <cell r="B24">
            <v>2007</v>
          </cell>
          <cell r="D24" t="str">
            <v>SOJA</v>
          </cell>
          <cell r="E24">
            <v>50.42</v>
          </cell>
        </row>
        <row r="25">
          <cell r="A25" t="str">
            <v>BA</v>
          </cell>
          <cell r="B25">
            <v>2007</v>
          </cell>
          <cell r="D25" t="str">
            <v>SOJA</v>
          </cell>
          <cell r="E25">
            <v>46.119</v>
          </cell>
        </row>
        <row r="26">
          <cell r="A26" t="str">
            <v>GO</v>
          </cell>
          <cell r="B26">
            <v>2007</v>
          </cell>
          <cell r="D26" t="str">
            <v>SOJA</v>
          </cell>
          <cell r="E26">
            <v>21.25</v>
          </cell>
        </row>
        <row r="27">
          <cell r="A27" t="str">
            <v>MS</v>
          </cell>
          <cell r="B27">
            <v>2007</v>
          </cell>
          <cell r="D27" t="str">
            <v>MILHO</v>
          </cell>
          <cell r="E27">
            <v>0</v>
          </cell>
        </row>
        <row r="28">
          <cell r="A28" t="str">
            <v>MS</v>
          </cell>
          <cell r="B28">
            <v>2007</v>
          </cell>
          <cell r="D28" t="str">
            <v>MILHO</v>
          </cell>
          <cell r="E28">
            <v>0</v>
          </cell>
        </row>
        <row r="29">
          <cell r="A29" t="str">
            <v>PR</v>
          </cell>
          <cell r="B29">
            <v>2007</v>
          </cell>
          <cell r="D29" t="str">
            <v>MILHO</v>
          </cell>
          <cell r="E29">
            <v>7.3170000000000002</v>
          </cell>
        </row>
        <row r="30">
          <cell r="A30" t="str">
            <v>RS</v>
          </cell>
          <cell r="B30">
            <v>2007</v>
          </cell>
          <cell r="D30" t="str">
            <v>SOJA</v>
          </cell>
          <cell r="E30">
            <v>62.98</v>
          </cell>
        </row>
        <row r="31">
          <cell r="A31" t="str">
            <v>PR</v>
          </cell>
          <cell r="B31">
            <v>2007</v>
          </cell>
          <cell r="D31" t="str">
            <v>SOJA</v>
          </cell>
          <cell r="E31">
            <v>555.11300000000006</v>
          </cell>
        </row>
        <row r="32">
          <cell r="A32" t="str">
            <v>PR</v>
          </cell>
          <cell r="B32">
            <v>2007</v>
          </cell>
          <cell r="D32" t="str">
            <v>SOJA</v>
          </cell>
          <cell r="E32">
            <v>14.864000000000001</v>
          </cell>
        </row>
        <row r="33">
          <cell r="A33" t="str">
            <v>PR</v>
          </cell>
          <cell r="B33">
            <v>2007</v>
          </cell>
          <cell r="D33" t="str">
            <v>MILHO</v>
          </cell>
          <cell r="E33">
            <v>6000</v>
          </cell>
        </row>
        <row r="34">
          <cell r="A34" t="str">
            <v>RS</v>
          </cell>
          <cell r="B34">
            <v>2007</v>
          </cell>
          <cell r="D34" t="str">
            <v>SOJA</v>
          </cell>
          <cell r="E34">
            <v>4633.6019999999999</v>
          </cell>
        </row>
        <row r="35">
          <cell r="A35" t="str">
            <v>RS</v>
          </cell>
          <cell r="B35">
            <v>2007</v>
          </cell>
          <cell r="D35" t="str">
            <v>SOJA</v>
          </cell>
          <cell r="E35">
            <v>92.381</v>
          </cell>
        </row>
        <row r="36">
          <cell r="A36" t="str">
            <v>RS</v>
          </cell>
          <cell r="B36">
            <v>2007</v>
          </cell>
          <cell r="D36" t="str">
            <v>SOJA</v>
          </cell>
          <cell r="E36">
            <v>0</v>
          </cell>
        </row>
        <row r="37">
          <cell r="A37" t="str">
            <v>RS</v>
          </cell>
          <cell r="B37">
            <v>2007</v>
          </cell>
          <cell r="D37" t="str">
            <v>SOJA</v>
          </cell>
          <cell r="E37">
            <v>0</v>
          </cell>
        </row>
        <row r="38">
          <cell r="A38" t="str">
            <v>BA</v>
          </cell>
          <cell r="B38">
            <v>2007</v>
          </cell>
          <cell r="D38" t="str">
            <v>SOJA</v>
          </cell>
          <cell r="E38">
            <v>82.231999999999999</v>
          </cell>
        </row>
        <row r="39">
          <cell r="A39" t="str">
            <v>PR</v>
          </cell>
          <cell r="B39">
            <v>2007</v>
          </cell>
          <cell r="D39" t="str">
            <v>MILHO</v>
          </cell>
          <cell r="E39">
            <v>0</v>
          </cell>
        </row>
        <row r="40">
          <cell r="A40" t="str">
            <v>PR</v>
          </cell>
          <cell r="B40">
            <v>2007</v>
          </cell>
          <cell r="D40" t="str">
            <v>SOJA</v>
          </cell>
          <cell r="E40">
            <v>1716.855</v>
          </cell>
        </row>
        <row r="41">
          <cell r="A41" t="str">
            <v>MT</v>
          </cell>
          <cell r="B41">
            <v>2007</v>
          </cell>
          <cell r="D41" t="str">
            <v>MILHO</v>
          </cell>
          <cell r="E41">
            <v>0</v>
          </cell>
        </row>
        <row r="42">
          <cell r="A42" t="str">
            <v>MT</v>
          </cell>
          <cell r="B42">
            <v>2007</v>
          </cell>
          <cell r="D42" t="str">
            <v>SOJA</v>
          </cell>
          <cell r="E42">
            <v>5.3929999999999998</v>
          </cell>
        </row>
        <row r="43">
          <cell r="A43" t="str">
            <v>MT</v>
          </cell>
          <cell r="B43">
            <v>2007</v>
          </cell>
          <cell r="D43" t="str">
            <v>SOJA</v>
          </cell>
          <cell r="E43">
            <v>0</v>
          </cell>
        </row>
        <row r="44">
          <cell r="A44" t="str">
            <v>MT</v>
          </cell>
          <cell r="B44">
            <v>2007</v>
          </cell>
          <cell r="D44" t="str">
            <v>SOJA</v>
          </cell>
          <cell r="E44">
            <v>4.8869999999999996</v>
          </cell>
        </row>
        <row r="45">
          <cell r="A45" t="str">
            <v>RS</v>
          </cell>
          <cell r="B45">
            <v>2007</v>
          </cell>
          <cell r="D45" t="str">
            <v>MILHO</v>
          </cell>
          <cell r="E45">
            <v>39.200000000000003</v>
          </cell>
        </row>
        <row r="46">
          <cell r="A46" t="str">
            <v>RS</v>
          </cell>
          <cell r="B46">
            <v>2007</v>
          </cell>
          <cell r="D46" t="str">
            <v>MILHO</v>
          </cell>
          <cell r="E46">
            <v>28.02</v>
          </cell>
        </row>
        <row r="47">
          <cell r="A47" t="str">
            <v>RS</v>
          </cell>
          <cell r="B47">
            <v>2007</v>
          </cell>
          <cell r="D47" t="str">
            <v>SOJA</v>
          </cell>
          <cell r="E47">
            <v>11036.768</v>
          </cell>
        </row>
        <row r="48">
          <cell r="A48" t="str">
            <v>RS</v>
          </cell>
          <cell r="B48">
            <v>2007</v>
          </cell>
          <cell r="D48" t="str">
            <v>SOJA</v>
          </cell>
          <cell r="E48">
            <v>1631.165</v>
          </cell>
        </row>
        <row r="49">
          <cell r="A49" t="str">
            <v>RS</v>
          </cell>
          <cell r="B49">
            <v>2007</v>
          </cell>
          <cell r="D49" t="str">
            <v>SOJA</v>
          </cell>
          <cell r="E49">
            <v>0</v>
          </cell>
        </row>
        <row r="50">
          <cell r="A50" t="str">
            <v>BA</v>
          </cell>
          <cell r="B50">
            <v>2007</v>
          </cell>
          <cell r="D50" t="str">
            <v>MILHO</v>
          </cell>
          <cell r="E50">
            <v>503.66</v>
          </cell>
        </row>
        <row r="51">
          <cell r="A51" t="str">
            <v>BA</v>
          </cell>
          <cell r="B51">
            <v>2007</v>
          </cell>
          <cell r="D51" t="str">
            <v>MILHO</v>
          </cell>
          <cell r="E51">
            <v>238.06</v>
          </cell>
        </row>
        <row r="52">
          <cell r="A52" t="str">
            <v>BA</v>
          </cell>
          <cell r="B52">
            <v>2007</v>
          </cell>
          <cell r="D52" t="str">
            <v>MILHO</v>
          </cell>
          <cell r="E52">
            <v>29</v>
          </cell>
        </row>
        <row r="53">
          <cell r="A53" t="str">
            <v>BA</v>
          </cell>
          <cell r="B53">
            <v>2007</v>
          </cell>
          <cell r="D53" t="str">
            <v>SOJA</v>
          </cell>
          <cell r="E53">
            <v>20.28</v>
          </cell>
        </row>
        <row r="54">
          <cell r="A54" t="str">
            <v>MT</v>
          </cell>
          <cell r="B54">
            <v>2007</v>
          </cell>
          <cell r="D54" t="str">
            <v>SOJA</v>
          </cell>
          <cell r="E54">
            <v>2688.5729999999999</v>
          </cell>
        </row>
        <row r="55">
          <cell r="A55" t="str">
            <v>MT</v>
          </cell>
          <cell r="B55">
            <v>2007</v>
          </cell>
          <cell r="D55" t="str">
            <v>SOJA</v>
          </cell>
          <cell r="E55">
            <v>964.39800000000002</v>
          </cell>
        </row>
        <row r="56">
          <cell r="A56" t="str">
            <v>BA</v>
          </cell>
          <cell r="B56">
            <v>2007</v>
          </cell>
          <cell r="D56" t="str">
            <v>SOJA</v>
          </cell>
          <cell r="E56">
            <v>7.6070000000000002</v>
          </cell>
        </row>
        <row r="57">
          <cell r="A57" t="str">
            <v>SC</v>
          </cell>
          <cell r="B57">
            <v>2007</v>
          </cell>
          <cell r="D57" t="str">
            <v>SOJA</v>
          </cell>
          <cell r="E57">
            <v>50.78</v>
          </cell>
        </row>
        <row r="58">
          <cell r="A58" t="str">
            <v>MS</v>
          </cell>
          <cell r="B58">
            <v>2007</v>
          </cell>
          <cell r="D58" t="str">
            <v>SOJA</v>
          </cell>
          <cell r="E58">
            <v>71.13</v>
          </cell>
        </row>
        <row r="59">
          <cell r="A59" t="str">
            <v>RS</v>
          </cell>
          <cell r="B59">
            <v>2007</v>
          </cell>
          <cell r="D59" t="str">
            <v>SOJA</v>
          </cell>
          <cell r="E59">
            <v>114.14</v>
          </cell>
        </row>
        <row r="60">
          <cell r="A60" t="str">
            <v>MT</v>
          </cell>
          <cell r="B60">
            <v>2007</v>
          </cell>
          <cell r="D60" t="str">
            <v>MILHO</v>
          </cell>
          <cell r="E60">
            <v>0</v>
          </cell>
        </row>
        <row r="61">
          <cell r="A61" t="str">
            <v>RS</v>
          </cell>
          <cell r="B61">
            <v>2007</v>
          </cell>
          <cell r="D61" t="str">
            <v>SOJA</v>
          </cell>
          <cell r="E61">
            <v>342.39400000000001</v>
          </cell>
        </row>
        <row r="62">
          <cell r="A62" t="str">
            <v>MA</v>
          </cell>
          <cell r="B62">
            <v>2007</v>
          </cell>
          <cell r="D62" t="str">
            <v>SOJA</v>
          </cell>
          <cell r="E62">
            <v>11.76</v>
          </cell>
        </row>
        <row r="63">
          <cell r="A63" t="str">
            <v>RS</v>
          </cell>
          <cell r="B63">
            <v>2007</v>
          </cell>
          <cell r="D63" t="str">
            <v>SOJA</v>
          </cell>
          <cell r="E63">
            <v>75</v>
          </cell>
        </row>
        <row r="64">
          <cell r="A64" t="str">
            <v>RS</v>
          </cell>
          <cell r="B64">
            <v>2007</v>
          </cell>
          <cell r="D64" t="str">
            <v>SOJA</v>
          </cell>
          <cell r="E64">
            <v>11.96</v>
          </cell>
        </row>
        <row r="65">
          <cell r="A65" t="str">
            <v>MT</v>
          </cell>
          <cell r="B65">
            <v>2007</v>
          </cell>
          <cell r="D65" t="str">
            <v>MILHO</v>
          </cell>
          <cell r="E65">
            <v>0</v>
          </cell>
        </row>
        <row r="66">
          <cell r="A66" t="str">
            <v>MT</v>
          </cell>
          <cell r="B66">
            <v>2007</v>
          </cell>
          <cell r="D66" t="str">
            <v>MILHO</v>
          </cell>
          <cell r="E66">
            <v>0</v>
          </cell>
        </row>
        <row r="67">
          <cell r="A67" t="str">
            <v>MT</v>
          </cell>
          <cell r="B67">
            <v>2007</v>
          </cell>
          <cell r="D67" t="str">
            <v>SOJA</v>
          </cell>
          <cell r="E67">
            <v>0</v>
          </cell>
        </row>
        <row r="68">
          <cell r="A68" t="str">
            <v>RS</v>
          </cell>
          <cell r="B68">
            <v>2007</v>
          </cell>
          <cell r="D68" t="str">
            <v>SOJA</v>
          </cell>
          <cell r="E68">
            <v>0</v>
          </cell>
        </row>
        <row r="69">
          <cell r="A69" t="str">
            <v>MA</v>
          </cell>
          <cell r="B69">
            <v>2007</v>
          </cell>
          <cell r="D69" t="str">
            <v>SOJA</v>
          </cell>
          <cell r="E69">
            <v>7.4</v>
          </cell>
        </row>
        <row r="70">
          <cell r="A70" t="str">
            <v>RS</v>
          </cell>
          <cell r="B70">
            <v>2007</v>
          </cell>
          <cell r="D70" t="str">
            <v>SOJA</v>
          </cell>
          <cell r="E70">
            <v>166.81</v>
          </cell>
        </row>
        <row r="71">
          <cell r="A71" t="str">
            <v>RS</v>
          </cell>
          <cell r="B71">
            <v>2007</v>
          </cell>
          <cell r="D71" t="str">
            <v>SOJA</v>
          </cell>
          <cell r="E71">
            <v>1.78</v>
          </cell>
        </row>
        <row r="72">
          <cell r="A72" t="str">
            <v>PI</v>
          </cell>
          <cell r="B72">
            <v>2007</v>
          </cell>
          <cell r="D72" t="str">
            <v>SOJA</v>
          </cell>
          <cell r="E72">
            <v>3.74</v>
          </cell>
        </row>
        <row r="73">
          <cell r="A73" t="str">
            <v>PI</v>
          </cell>
          <cell r="B73">
            <v>2007</v>
          </cell>
          <cell r="D73" t="str">
            <v>SOJA</v>
          </cell>
          <cell r="E73">
            <v>5.21</v>
          </cell>
        </row>
        <row r="74">
          <cell r="A74" t="str">
            <v>GO</v>
          </cell>
          <cell r="B74">
            <v>2007</v>
          </cell>
          <cell r="D74" t="str">
            <v>SOJA</v>
          </cell>
          <cell r="E74">
            <v>27.1</v>
          </cell>
        </row>
        <row r="75">
          <cell r="A75" t="str">
            <v>MT</v>
          </cell>
          <cell r="B75">
            <v>2007</v>
          </cell>
          <cell r="D75" t="str">
            <v>SOJA</v>
          </cell>
          <cell r="E75">
            <v>2839.7930000000001</v>
          </cell>
        </row>
        <row r="76">
          <cell r="A76" t="str">
            <v>MT</v>
          </cell>
          <cell r="B76">
            <v>2007</v>
          </cell>
          <cell r="D76" t="str">
            <v>SOJA</v>
          </cell>
          <cell r="E76">
            <v>7601.5420000000004</v>
          </cell>
        </row>
        <row r="77">
          <cell r="A77" t="str">
            <v>MT</v>
          </cell>
          <cell r="B77">
            <v>2007</v>
          </cell>
          <cell r="D77" t="str">
            <v>SOJA</v>
          </cell>
          <cell r="E77">
            <v>4932.59</v>
          </cell>
        </row>
        <row r="78">
          <cell r="A78" t="str">
            <v>MT</v>
          </cell>
          <cell r="B78">
            <v>2007</v>
          </cell>
          <cell r="D78" t="str">
            <v>SOJA</v>
          </cell>
          <cell r="E78">
            <v>549.74300000000005</v>
          </cell>
        </row>
        <row r="79">
          <cell r="A79" t="str">
            <v>MT</v>
          </cell>
          <cell r="B79">
            <v>2007</v>
          </cell>
          <cell r="D79" t="str">
            <v>SOJA</v>
          </cell>
          <cell r="E79">
            <v>0</v>
          </cell>
        </row>
        <row r="80">
          <cell r="A80" t="str">
            <v>MT</v>
          </cell>
          <cell r="B80">
            <v>2007</v>
          </cell>
          <cell r="D80" t="str">
            <v>SOJA</v>
          </cell>
          <cell r="E80">
            <v>0</v>
          </cell>
        </row>
        <row r="81">
          <cell r="A81" t="str">
            <v>MT</v>
          </cell>
          <cell r="B81">
            <v>2007</v>
          </cell>
          <cell r="D81" t="str">
            <v>SOJA</v>
          </cell>
          <cell r="E81">
            <v>10</v>
          </cell>
        </row>
        <row r="82">
          <cell r="A82" t="str">
            <v>MT</v>
          </cell>
          <cell r="B82">
            <v>2007</v>
          </cell>
          <cell r="D82" t="str">
            <v>MILHO</v>
          </cell>
          <cell r="E82">
            <v>0</v>
          </cell>
        </row>
        <row r="83">
          <cell r="A83" t="str">
            <v>MT</v>
          </cell>
          <cell r="B83">
            <v>2007</v>
          </cell>
          <cell r="D83" t="str">
            <v>MILHO</v>
          </cell>
          <cell r="E83">
            <v>15.162000000000001</v>
          </cell>
        </row>
        <row r="84">
          <cell r="A84" t="str">
            <v>MT</v>
          </cell>
          <cell r="B84">
            <v>2007</v>
          </cell>
          <cell r="D84" t="str">
            <v>MILHO</v>
          </cell>
          <cell r="E84">
            <v>5335.7790000000005</v>
          </cell>
        </row>
        <row r="85">
          <cell r="A85" t="str">
            <v>MT</v>
          </cell>
          <cell r="B85">
            <v>2007</v>
          </cell>
          <cell r="D85" t="str">
            <v>MILHO</v>
          </cell>
          <cell r="E85">
            <v>964.24599999999998</v>
          </cell>
        </row>
        <row r="86">
          <cell r="A86" t="str">
            <v>MT</v>
          </cell>
          <cell r="B86">
            <v>2007</v>
          </cell>
          <cell r="D86" t="str">
            <v>MILHO</v>
          </cell>
          <cell r="E86">
            <v>2375.422</v>
          </cell>
        </row>
        <row r="87">
          <cell r="A87" t="str">
            <v>MT</v>
          </cell>
          <cell r="B87">
            <v>2007</v>
          </cell>
          <cell r="D87" t="str">
            <v>MILHO</v>
          </cell>
          <cell r="E87">
            <v>20.422000000000001</v>
          </cell>
        </row>
        <row r="88">
          <cell r="A88" t="str">
            <v>MT</v>
          </cell>
          <cell r="B88">
            <v>2007</v>
          </cell>
          <cell r="D88" t="str">
            <v>MILHO</v>
          </cell>
          <cell r="E88">
            <v>89.483999999999995</v>
          </cell>
        </row>
        <row r="89">
          <cell r="A89" t="str">
            <v>MT</v>
          </cell>
          <cell r="B89">
            <v>2007</v>
          </cell>
          <cell r="D89" t="str">
            <v>SOJA</v>
          </cell>
          <cell r="E89">
            <v>95.902000000000001</v>
          </cell>
        </row>
        <row r="90">
          <cell r="A90" t="str">
            <v>MT</v>
          </cell>
          <cell r="B90">
            <v>2007</v>
          </cell>
          <cell r="D90" t="str">
            <v>SOJA</v>
          </cell>
          <cell r="E90">
            <v>5356.8739999999998</v>
          </cell>
        </row>
        <row r="91">
          <cell r="A91" t="str">
            <v>MT</v>
          </cell>
          <cell r="B91">
            <v>2007</v>
          </cell>
          <cell r="D91" t="str">
            <v>SOJA</v>
          </cell>
          <cell r="E91">
            <v>4348.25</v>
          </cell>
        </row>
        <row r="92">
          <cell r="A92" t="str">
            <v>MT</v>
          </cell>
          <cell r="B92">
            <v>2007</v>
          </cell>
          <cell r="D92" t="str">
            <v>SOJA</v>
          </cell>
          <cell r="E92">
            <v>9.1199999999999992</v>
          </cell>
        </row>
        <row r="93">
          <cell r="A93" t="str">
            <v>MT</v>
          </cell>
          <cell r="B93">
            <v>2007</v>
          </cell>
          <cell r="D93" t="str">
            <v>SOJA</v>
          </cell>
          <cell r="E93">
            <v>0</v>
          </cell>
        </row>
        <row r="94">
          <cell r="A94" t="str">
            <v>BA</v>
          </cell>
          <cell r="B94">
            <v>2007</v>
          </cell>
          <cell r="D94" t="str">
            <v>MILHO</v>
          </cell>
          <cell r="E94">
            <v>0</v>
          </cell>
        </row>
        <row r="95">
          <cell r="A95" t="str">
            <v>BA</v>
          </cell>
          <cell r="B95">
            <v>2007</v>
          </cell>
          <cell r="D95" t="str">
            <v>MILHO</v>
          </cell>
          <cell r="E95">
            <v>0</v>
          </cell>
        </row>
        <row r="96">
          <cell r="A96" t="str">
            <v>BA</v>
          </cell>
          <cell r="B96">
            <v>2007</v>
          </cell>
          <cell r="D96" t="str">
            <v>MILHO</v>
          </cell>
          <cell r="E96">
            <v>0</v>
          </cell>
        </row>
        <row r="97">
          <cell r="A97" t="str">
            <v>BA</v>
          </cell>
          <cell r="B97">
            <v>2007</v>
          </cell>
          <cell r="D97" t="str">
            <v>MILHO</v>
          </cell>
          <cell r="E97">
            <v>0</v>
          </cell>
        </row>
        <row r="98">
          <cell r="A98" t="str">
            <v>BA</v>
          </cell>
          <cell r="B98">
            <v>2007</v>
          </cell>
          <cell r="D98" t="str">
            <v>MILHO</v>
          </cell>
          <cell r="E98">
            <v>0</v>
          </cell>
        </row>
        <row r="99">
          <cell r="A99" t="str">
            <v>BA</v>
          </cell>
          <cell r="B99">
            <v>2007</v>
          </cell>
          <cell r="D99" t="str">
            <v>SOJA</v>
          </cell>
          <cell r="E99">
            <v>10323.347</v>
          </cell>
        </row>
        <row r="100">
          <cell r="A100" t="str">
            <v>BA</v>
          </cell>
          <cell r="B100">
            <v>2007</v>
          </cell>
          <cell r="D100" t="str">
            <v>SOJA</v>
          </cell>
          <cell r="E100">
            <v>27422.024000000001</v>
          </cell>
        </row>
        <row r="101">
          <cell r="A101" t="str">
            <v>BA</v>
          </cell>
          <cell r="B101">
            <v>2007</v>
          </cell>
          <cell r="D101" t="str">
            <v>SOJA</v>
          </cell>
          <cell r="E101">
            <v>2835.203</v>
          </cell>
        </row>
        <row r="102">
          <cell r="A102" t="str">
            <v>BA</v>
          </cell>
          <cell r="B102">
            <v>2007</v>
          </cell>
          <cell r="D102" t="str">
            <v>SOJA</v>
          </cell>
          <cell r="E102">
            <v>994.84100000000001</v>
          </cell>
        </row>
        <row r="103">
          <cell r="A103" t="str">
            <v>BA</v>
          </cell>
          <cell r="B103">
            <v>2007</v>
          </cell>
          <cell r="D103" t="str">
            <v>SOJA</v>
          </cell>
          <cell r="E103">
            <v>33.94</v>
          </cell>
        </row>
        <row r="104">
          <cell r="A104" t="str">
            <v>BA</v>
          </cell>
          <cell r="B104">
            <v>2007</v>
          </cell>
          <cell r="D104" t="str">
            <v>SOJA</v>
          </cell>
          <cell r="E104">
            <v>0</v>
          </cell>
        </row>
        <row r="105">
          <cell r="A105" t="str">
            <v>BA</v>
          </cell>
          <cell r="B105">
            <v>2007</v>
          </cell>
          <cell r="D105" t="str">
            <v>SOJA</v>
          </cell>
          <cell r="E105">
            <v>756.08900000000006</v>
          </cell>
        </row>
        <row r="106">
          <cell r="A106" t="str">
            <v>BA</v>
          </cell>
          <cell r="B106">
            <v>2007</v>
          </cell>
          <cell r="D106" t="str">
            <v>SOJA</v>
          </cell>
          <cell r="E106">
            <v>95.52</v>
          </cell>
        </row>
        <row r="107">
          <cell r="A107" t="str">
            <v>BA</v>
          </cell>
          <cell r="B107">
            <v>2007</v>
          </cell>
          <cell r="D107" t="str">
            <v>SOJA</v>
          </cell>
          <cell r="E107">
            <v>1771.8969999999999</v>
          </cell>
        </row>
        <row r="108">
          <cell r="A108" t="str">
            <v>MG</v>
          </cell>
          <cell r="B108">
            <v>2007</v>
          </cell>
          <cell r="D108" t="str">
            <v>MILHO</v>
          </cell>
          <cell r="E108">
            <v>4286.4989999999998</v>
          </cell>
        </row>
        <row r="109">
          <cell r="A109" t="str">
            <v>MG</v>
          </cell>
          <cell r="B109">
            <v>2007</v>
          </cell>
          <cell r="D109" t="str">
            <v>MILHO</v>
          </cell>
          <cell r="E109">
            <v>478.12200000000001</v>
          </cell>
        </row>
        <row r="110">
          <cell r="A110" t="str">
            <v>PR</v>
          </cell>
          <cell r="B110">
            <v>2007</v>
          </cell>
          <cell r="D110" t="str">
            <v>MILHO</v>
          </cell>
          <cell r="E110">
            <v>0</v>
          </cell>
        </row>
        <row r="111">
          <cell r="A111" t="str">
            <v>PR</v>
          </cell>
          <cell r="B111">
            <v>2007</v>
          </cell>
          <cell r="D111" t="str">
            <v>MILHO</v>
          </cell>
          <cell r="E111">
            <v>0</v>
          </cell>
        </row>
        <row r="112">
          <cell r="A112" t="str">
            <v>PR</v>
          </cell>
          <cell r="B112">
            <v>2007</v>
          </cell>
          <cell r="D112" t="str">
            <v>MILHO</v>
          </cell>
          <cell r="E112">
            <v>0</v>
          </cell>
        </row>
        <row r="113">
          <cell r="A113" t="str">
            <v>PR</v>
          </cell>
          <cell r="B113">
            <v>2007</v>
          </cell>
          <cell r="D113" t="str">
            <v>MILHO</v>
          </cell>
          <cell r="E113">
            <v>0</v>
          </cell>
        </row>
        <row r="114">
          <cell r="A114" t="str">
            <v>PR</v>
          </cell>
          <cell r="B114">
            <v>2007</v>
          </cell>
          <cell r="D114" t="str">
            <v>MILHO</v>
          </cell>
          <cell r="E114">
            <v>0</v>
          </cell>
        </row>
        <row r="115">
          <cell r="A115" t="str">
            <v>PR</v>
          </cell>
          <cell r="B115">
            <v>2007</v>
          </cell>
          <cell r="D115" t="str">
            <v>MILHO</v>
          </cell>
          <cell r="E115">
            <v>0</v>
          </cell>
        </row>
        <row r="116">
          <cell r="A116" t="str">
            <v>PR</v>
          </cell>
          <cell r="B116">
            <v>2007</v>
          </cell>
          <cell r="D116" t="str">
            <v>MILHO</v>
          </cell>
          <cell r="E116">
            <v>0</v>
          </cell>
        </row>
        <row r="117">
          <cell r="A117" t="str">
            <v>PR</v>
          </cell>
          <cell r="B117">
            <v>2007</v>
          </cell>
          <cell r="D117" t="str">
            <v>SOJA</v>
          </cell>
          <cell r="E117">
            <v>1267.4010000000001</v>
          </cell>
        </row>
        <row r="118">
          <cell r="A118" t="str">
            <v>PR</v>
          </cell>
          <cell r="B118">
            <v>2007</v>
          </cell>
          <cell r="D118" t="str">
            <v>SOJA</v>
          </cell>
          <cell r="E118">
            <v>5278.2929999999997</v>
          </cell>
        </row>
        <row r="119">
          <cell r="A119" t="str">
            <v>PR</v>
          </cell>
          <cell r="B119">
            <v>2007</v>
          </cell>
          <cell r="D119" t="str">
            <v>SOJA</v>
          </cell>
          <cell r="E119">
            <v>4253.6679999999997</v>
          </cell>
        </row>
        <row r="120">
          <cell r="A120" t="str">
            <v>PR</v>
          </cell>
          <cell r="B120">
            <v>2007</v>
          </cell>
          <cell r="D120" t="str">
            <v>SOJA</v>
          </cell>
          <cell r="E120">
            <v>368.22500000000002</v>
          </cell>
        </row>
        <row r="121">
          <cell r="A121" t="str">
            <v>PR</v>
          </cell>
          <cell r="B121">
            <v>2007</v>
          </cell>
          <cell r="D121" t="str">
            <v>SOJA</v>
          </cell>
          <cell r="E121">
            <v>450.90499999999997</v>
          </cell>
        </row>
        <row r="122">
          <cell r="A122" t="str">
            <v>PR</v>
          </cell>
          <cell r="B122">
            <v>2007</v>
          </cell>
          <cell r="D122" t="str">
            <v>SOJA</v>
          </cell>
          <cell r="E122">
            <v>3.6960000000000002</v>
          </cell>
        </row>
        <row r="123">
          <cell r="A123" t="str">
            <v>PR</v>
          </cell>
          <cell r="B123">
            <v>2007</v>
          </cell>
          <cell r="D123" t="str">
            <v>SOJA</v>
          </cell>
          <cell r="E123">
            <v>0</v>
          </cell>
        </row>
        <row r="124">
          <cell r="A124" t="str">
            <v>PR</v>
          </cell>
          <cell r="B124">
            <v>2007</v>
          </cell>
          <cell r="D124" t="str">
            <v>SOJA</v>
          </cell>
          <cell r="E124">
            <v>0</v>
          </cell>
        </row>
        <row r="125">
          <cell r="A125" t="str">
            <v>PR</v>
          </cell>
          <cell r="B125">
            <v>2007</v>
          </cell>
          <cell r="D125" t="str">
            <v>SOJA</v>
          </cell>
          <cell r="E125">
            <v>0</v>
          </cell>
        </row>
        <row r="126">
          <cell r="A126" t="str">
            <v>PR</v>
          </cell>
          <cell r="B126">
            <v>2007</v>
          </cell>
          <cell r="D126" t="str">
            <v>MILHO</v>
          </cell>
          <cell r="E126">
            <v>1608.1289999999999</v>
          </cell>
        </row>
        <row r="127">
          <cell r="A127" t="str">
            <v>PR</v>
          </cell>
          <cell r="B127">
            <v>2007</v>
          </cell>
          <cell r="D127" t="str">
            <v>MILHO</v>
          </cell>
          <cell r="E127">
            <v>166.773</v>
          </cell>
        </row>
        <row r="128">
          <cell r="A128" t="str">
            <v>PR</v>
          </cell>
          <cell r="B128">
            <v>2007</v>
          </cell>
          <cell r="D128" t="str">
            <v>MILHO</v>
          </cell>
          <cell r="E128">
            <v>57.965000000000003</v>
          </cell>
        </row>
        <row r="129">
          <cell r="A129" t="str">
            <v>PR</v>
          </cell>
          <cell r="B129">
            <v>2007</v>
          </cell>
          <cell r="D129" t="str">
            <v>MILHO</v>
          </cell>
          <cell r="E129">
            <v>330.47399999999999</v>
          </cell>
        </row>
        <row r="130">
          <cell r="A130" t="str">
            <v>PR</v>
          </cell>
          <cell r="B130">
            <v>2007</v>
          </cell>
          <cell r="D130" t="str">
            <v>MILHO</v>
          </cell>
          <cell r="E130">
            <v>2468.3760000000002</v>
          </cell>
        </row>
        <row r="131">
          <cell r="A131" t="str">
            <v>PR</v>
          </cell>
          <cell r="B131">
            <v>2007</v>
          </cell>
          <cell r="D131" t="str">
            <v>MILHO</v>
          </cell>
          <cell r="E131">
            <v>1360.001</v>
          </cell>
        </row>
        <row r="132">
          <cell r="A132" t="str">
            <v>PR</v>
          </cell>
          <cell r="B132">
            <v>2007</v>
          </cell>
          <cell r="D132" t="str">
            <v>MILHO</v>
          </cell>
          <cell r="E132">
            <v>678.59699999999998</v>
          </cell>
        </row>
        <row r="133">
          <cell r="A133" t="str">
            <v>PR</v>
          </cell>
          <cell r="B133">
            <v>2007</v>
          </cell>
          <cell r="D133" t="str">
            <v>SOJA</v>
          </cell>
          <cell r="E133">
            <v>27.09</v>
          </cell>
        </row>
        <row r="134">
          <cell r="A134" t="str">
            <v>PR</v>
          </cell>
          <cell r="B134">
            <v>2007</v>
          </cell>
          <cell r="D134" t="str">
            <v>SOJA</v>
          </cell>
          <cell r="E134">
            <v>332.24</v>
          </cell>
        </row>
        <row r="135">
          <cell r="A135" t="str">
            <v>PR</v>
          </cell>
          <cell r="B135">
            <v>2007</v>
          </cell>
          <cell r="D135" t="str">
            <v>SOJA</v>
          </cell>
          <cell r="E135">
            <v>8111.4449999999997</v>
          </cell>
        </row>
        <row r="136">
          <cell r="A136" t="str">
            <v>PR</v>
          </cell>
          <cell r="B136">
            <v>2007</v>
          </cell>
          <cell r="D136" t="str">
            <v>SOJA</v>
          </cell>
          <cell r="E136">
            <v>2645.0120000000002</v>
          </cell>
        </row>
        <row r="137">
          <cell r="A137" t="str">
            <v>PR</v>
          </cell>
          <cell r="B137">
            <v>2007</v>
          </cell>
          <cell r="D137" t="str">
            <v>SOJA</v>
          </cell>
          <cell r="E137">
            <v>0</v>
          </cell>
        </row>
        <row r="138">
          <cell r="A138" t="str">
            <v>PR</v>
          </cell>
          <cell r="B138">
            <v>2007</v>
          </cell>
          <cell r="D138" t="str">
            <v>SOJA</v>
          </cell>
          <cell r="E138">
            <v>0</v>
          </cell>
        </row>
        <row r="139">
          <cell r="A139" t="str">
            <v>PI</v>
          </cell>
          <cell r="B139">
            <v>2007</v>
          </cell>
          <cell r="D139" t="str">
            <v>SOJA</v>
          </cell>
          <cell r="E139">
            <v>6590.643</v>
          </cell>
        </row>
        <row r="140">
          <cell r="A140" t="str">
            <v>PI</v>
          </cell>
          <cell r="B140">
            <v>2007</v>
          </cell>
          <cell r="D140" t="str">
            <v>SOJA</v>
          </cell>
          <cell r="E140">
            <v>18753.007000000001</v>
          </cell>
        </row>
        <row r="141">
          <cell r="A141" t="str">
            <v>PI</v>
          </cell>
          <cell r="B141">
            <v>2007</v>
          </cell>
          <cell r="D141" t="str">
            <v>SOJA</v>
          </cell>
          <cell r="E141">
            <v>5773.5360000000001</v>
          </cell>
        </row>
        <row r="142">
          <cell r="A142" t="str">
            <v>PI</v>
          </cell>
          <cell r="B142">
            <v>2007</v>
          </cell>
          <cell r="D142" t="str">
            <v>SOJA</v>
          </cell>
          <cell r="E142">
            <v>0</v>
          </cell>
        </row>
        <row r="143">
          <cell r="A143" t="str">
            <v>PI</v>
          </cell>
          <cell r="B143">
            <v>2007</v>
          </cell>
          <cell r="D143" t="str">
            <v>SOJA</v>
          </cell>
          <cell r="E143">
            <v>0</v>
          </cell>
        </row>
        <row r="144">
          <cell r="A144" t="str">
            <v>PI</v>
          </cell>
          <cell r="B144">
            <v>2007</v>
          </cell>
          <cell r="D144" t="str">
            <v>SOJA</v>
          </cell>
          <cell r="E144">
            <v>0</v>
          </cell>
        </row>
        <row r="145">
          <cell r="A145" t="str">
            <v>PI</v>
          </cell>
          <cell r="B145">
            <v>2007</v>
          </cell>
          <cell r="D145" t="str">
            <v>SOJA</v>
          </cell>
          <cell r="E145">
            <v>0</v>
          </cell>
        </row>
        <row r="146">
          <cell r="A146" t="str">
            <v>PI</v>
          </cell>
          <cell r="B146">
            <v>2007</v>
          </cell>
          <cell r="D146" t="str">
            <v>SOJA</v>
          </cell>
          <cell r="E146">
            <v>9.7210000000000001</v>
          </cell>
        </row>
        <row r="147">
          <cell r="A147" t="str">
            <v>MA</v>
          </cell>
          <cell r="B147">
            <v>2007</v>
          </cell>
          <cell r="D147" t="str">
            <v>MILHO</v>
          </cell>
          <cell r="E147">
            <v>1908.42</v>
          </cell>
        </row>
        <row r="148">
          <cell r="A148" t="str">
            <v>MA</v>
          </cell>
          <cell r="B148">
            <v>2007</v>
          </cell>
          <cell r="D148" t="str">
            <v>MILHO</v>
          </cell>
          <cell r="E148">
            <v>551.58000000000004</v>
          </cell>
        </row>
        <row r="149">
          <cell r="A149" t="str">
            <v>MA</v>
          </cell>
          <cell r="B149">
            <v>2007</v>
          </cell>
          <cell r="D149" t="str">
            <v>SOJA</v>
          </cell>
          <cell r="E149">
            <v>1596.6510000000001</v>
          </cell>
        </row>
        <row r="150">
          <cell r="A150" t="str">
            <v>MA</v>
          </cell>
          <cell r="B150">
            <v>2007</v>
          </cell>
          <cell r="D150" t="str">
            <v>SOJA</v>
          </cell>
          <cell r="E150">
            <v>32167.019</v>
          </cell>
        </row>
        <row r="151">
          <cell r="A151" t="str">
            <v>MA</v>
          </cell>
          <cell r="B151">
            <v>2007</v>
          </cell>
          <cell r="D151" t="str">
            <v>SOJA</v>
          </cell>
          <cell r="E151">
            <v>26954.452000000001</v>
          </cell>
        </row>
        <row r="152">
          <cell r="A152" t="str">
            <v>MA</v>
          </cell>
          <cell r="B152">
            <v>2007</v>
          </cell>
          <cell r="D152" t="str">
            <v>SOJA</v>
          </cell>
          <cell r="E152">
            <v>753.49400000000003</v>
          </cell>
        </row>
        <row r="153">
          <cell r="A153" t="str">
            <v>MA</v>
          </cell>
          <cell r="B153">
            <v>2007</v>
          </cell>
          <cell r="D153" t="str">
            <v>SOJA</v>
          </cell>
          <cell r="E153">
            <v>180.124</v>
          </cell>
        </row>
        <row r="154">
          <cell r="A154" t="str">
            <v>MA</v>
          </cell>
          <cell r="B154">
            <v>2007</v>
          </cell>
          <cell r="D154" t="str">
            <v>SOJA</v>
          </cell>
          <cell r="E154">
            <v>41.83</v>
          </cell>
        </row>
        <row r="155">
          <cell r="A155" t="str">
            <v>MA</v>
          </cell>
          <cell r="B155">
            <v>2007</v>
          </cell>
          <cell r="D155" t="str">
            <v>SOJA</v>
          </cell>
          <cell r="E155">
            <v>0</v>
          </cell>
        </row>
        <row r="156">
          <cell r="A156" t="str">
            <v>MA</v>
          </cell>
          <cell r="B156">
            <v>2007</v>
          </cell>
          <cell r="D156" t="str">
            <v>SOJA</v>
          </cell>
          <cell r="E156">
            <v>34.014000000000003</v>
          </cell>
        </row>
        <row r="157">
          <cell r="A157" t="str">
            <v>MA</v>
          </cell>
          <cell r="B157">
            <v>2007</v>
          </cell>
          <cell r="D157" t="str">
            <v>SOJA</v>
          </cell>
          <cell r="E157">
            <v>0.03</v>
          </cell>
        </row>
        <row r="158">
          <cell r="A158" t="str">
            <v>PR</v>
          </cell>
          <cell r="B158">
            <v>2007</v>
          </cell>
          <cell r="D158" t="str">
            <v>MILHO</v>
          </cell>
          <cell r="E158">
            <v>1490.549</v>
          </cell>
        </row>
        <row r="159">
          <cell r="A159" t="str">
            <v>PR</v>
          </cell>
          <cell r="B159">
            <v>2007</v>
          </cell>
          <cell r="D159" t="str">
            <v>MILHO</v>
          </cell>
          <cell r="E159">
            <v>6069.3860000000004</v>
          </cell>
        </row>
        <row r="160">
          <cell r="A160" t="str">
            <v>PR</v>
          </cell>
          <cell r="B160">
            <v>2007</v>
          </cell>
          <cell r="D160" t="str">
            <v>MILHO</v>
          </cell>
          <cell r="E160">
            <v>3788.0410000000002</v>
          </cell>
        </row>
        <row r="161">
          <cell r="A161" t="str">
            <v>PR</v>
          </cell>
          <cell r="B161">
            <v>2007</v>
          </cell>
          <cell r="D161" t="str">
            <v>MILHO</v>
          </cell>
          <cell r="E161">
            <v>457.68799999999999</v>
          </cell>
        </row>
        <row r="162">
          <cell r="A162" t="str">
            <v>PR</v>
          </cell>
          <cell r="B162">
            <v>2007</v>
          </cell>
          <cell r="D162" t="str">
            <v>SOJA</v>
          </cell>
          <cell r="E162">
            <v>16.852</v>
          </cell>
        </row>
        <row r="163">
          <cell r="A163" t="str">
            <v>PR</v>
          </cell>
          <cell r="B163">
            <v>2007</v>
          </cell>
          <cell r="D163" t="str">
            <v>SOJA</v>
          </cell>
          <cell r="E163">
            <v>3213.6469999999999</v>
          </cell>
        </row>
        <row r="164">
          <cell r="A164" t="str">
            <v>PR</v>
          </cell>
          <cell r="B164">
            <v>2007</v>
          </cell>
          <cell r="D164" t="str">
            <v>SOJA</v>
          </cell>
          <cell r="E164">
            <v>10407.767</v>
          </cell>
        </row>
        <row r="165">
          <cell r="A165" t="str">
            <v>PR</v>
          </cell>
          <cell r="B165">
            <v>2007</v>
          </cell>
          <cell r="D165" t="str">
            <v>SOJA</v>
          </cell>
          <cell r="E165">
            <v>409.58300000000003</v>
          </cell>
        </row>
        <row r="166">
          <cell r="A166" t="str">
            <v>BA</v>
          </cell>
          <cell r="B166">
            <v>2007</v>
          </cell>
          <cell r="D166" t="str">
            <v>SOJA</v>
          </cell>
          <cell r="E166">
            <v>8.76</v>
          </cell>
        </row>
        <row r="167">
          <cell r="A167" t="str">
            <v>BA</v>
          </cell>
          <cell r="B167">
            <v>2007</v>
          </cell>
          <cell r="D167" t="str">
            <v>SOJA</v>
          </cell>
          <cell r="E167">
            <v>9403.268</v>
          </cell>
        </row>
        <row r="168">
          <cell r="A168" t="str">
            <v>BA</v>
          </cell>
          <cell r="B168">
            <v>2007</v>
          </cell>
          <cell r="D168" t="str">
            <v>SOJA</v>
          </cell>
          <cell r="E168">
            <v>10044.726000000001</v>
          </cell>
        </row>
        <row r="169">
          <cell r="A169" t="str">
            <v>BA</v>
          </cell>
          <cell r="B169">
            <v>2007</v>
          </cell>
          <cell r="D169" t="str">
            <v>SOJA</v>
          </cell>
          <cell r="E169">
            <v>1996.028</v>
          </cell>
        </row>
        <row r="170">
          <cell r="A170" t="str">
            <v>BA</v>
          </cell>
          <cell r="B170">
            <v>2007</v>
          </cell>
          <cell r="D170" t="str">
            <v>SOJA</v>
          </cell>
          <cell r="E170">
            <v>1307.3689999999999</v>
          </cell>
        </row>
        <row r="171">
          <cell r="A171" t="str">
            <v>BA</v>
          </cell>
          <cell r="B171">
            <v>2007</v>
          </cell>
          <cell r="D171" t="str">
            <v>SOJA</v>
          </cell>
          <cell r="E171">
            <v>339.06799999999998</v>
          </cell>
        </row>
        <row r="172">
          <cell r="A172" t="str">
            <v>BA</v>
          </cell>
          <cell r="B172">
            <v>2007</v>
          </cell>
          <cell r="D172" t="str">
            <v>SOJA</v>
          </cell>
          <cell r="E172">
            <v>43.898000000000003</v>
          </cell>
        </row>
        <row r="173">
          <cell r="A173" t="str">
            <v>BA</v>
          </cell>
          <cell r="B173">
            <v>2007</v>
          </cell>
          <cell r="D173" t="str">
            <v>MILHO</v>
          </cell>
          <cell r="E173">
            <v>335.97800000000001</v>
          </cell>
        </row>
        <row r="174">
          <cell r="A174" t="str">
            <v>BA</v>
          </cell>
          <cell r="B174">
            <v>2007</v>
          </cell>
          <cell r="D174" t="str">
            <v>MILHO</v>
          </cell>
          <cell r="E174">
            <v>195.14599999999999</v>
          </cell>
        </row>
        <row r="175">
          <cell r="A175" t="str">
            <v>BA</v>
          </cell>
          <cell r="B175">
            <v>2007</v>
          </cell>
          <cell r="D175" t="str">
            <v>MILHO</v>
          </cell>
          <cell r="E175">
            <v>16.003</v>
          </cell>
        </row>
        <row r="176">
          <cell r="A176" t="str">
            <v>BA</v>
          </cell>
          <cell r="B176">
            <v>2007</v>
          </cell>
          <cell r="D176" t="str">
            <v>MILHO</v>
          </cell>
          <cell r="E176">
            <v>302.19</v>
          </cell>
        </row>
        <row r="177">
          <cell r="A177" t="str">
            <v>BA</v>
          </cell>
          <cell r="B177">
            <v>2007</v>
          </cell>
          <cell r="D177" t="str">
            <v>MILHO</v>
          </cell>
          <cell r="E177">
            <v>308.25</v>
          </cell>
        </row>
        <row r="178">
          <cell r="A178" t="str">
            <v>BA</v>
          </cell>
          <cell r="B178">
            <v>2007</v>
          </cell>
          <cell r="D178" t="str">
            <v>SOJA</v>
          </cell>
          <cell r="E178">
            <v>4022.279</v>
          </cell>
        </row>
        <row r="179">
          <cell r="A179" t="str">
            <v>BA</v>
          </cell>
          <cell r="B179">
            <v>2007</v>
          </cell>
          <cell r="D179" t="str">
            <v>SOJA</v>
          </cell>
          <cell r="E179">
            <v>7307.99</v>
          </cell>
        </row>
        <row r="180">
          <cell r="A180" t="str">
            <v>PI</v>
          </cell>
          <cell r="B180">
            <v>2007</v>
          </cell>
          <cell r="D180" t="str">
            <v>SOJA</v>
          </cell>
          <cell r="E180">
            <v>11519.862999999999</v>
          </cell>
        </row>
        <row r="181">
          <cell r="A181" t="str">
            <v>PI</v>
          </cell>
          <cell r="B181">
            <v>2007</v>
          </cell>
          <cell r="D181" t="str">
            <v>SOJA</v>
          </cell>
          <cell r="E181">
            <v>26321.418000000001</v>
          </cell>
        </row>
        <row r="182">
          <cell r="A182" t="str">
            <v>PI</v>
          </cell>
          <cell r="B182">
            <v>2007</v>
          </cell>
          <cell r="D182" t="str">
            <v>SOJA</v>
          </cell>
          <cell r="E182">
            <v>4191.2619999999997</v>
          </cell>
        </row>
        <row r="183">
          <cell r="A183" t="str">
            <v>PI</v>
          </cell>
          <cell r="B183">
            <v>2007</v>
          </cell>
          <cell r="D183" t="str">
            <v>SOJA</v>
          </cell>
          <cell r="E183">
            <v>821.85599999999999</v>
          </cell>
        </row>
        <row r="184">
          <cell r="A184" t="str">
            <v>GO</v>
          </cell>
          <cell r="B184">
            <v>2007</v>
          </cell>
          <cell r="D184" t="str">
            <v>MILHO</v>
          </cell>
          <cell r="E184">
            <v>15007.647000000001</v>
          </cell>
        </row>
        <row r="185">
          <cell r="A185" t="str">
            <v>GO</v>
          </cell>
          <cell r="B185">
            <v>2007</v>
          </cell>
          <cell r="D185" t="str">
            <v>MILHO</v>
          </cell>
          <cell r="E185">
            <v>12336.421</v>
          </cell>
        </row>
        <row r="186">
          <cell r="A186" t="str">
            <v>GO</v>
          </cell>
          <cell r="B186">
            <v>2007</v>
          </cell>
          <cell r="D186" t="str">
            <v>MILHO</v>
          </cell>
          <cell r="E186">
            <v>521.4</v>
          </cell>
        </row>
        <row r="187">
          <cell r="A187" t="str">
            <v>GO</v>
          </cell>
          <cell r="B187">
            <v>2007</v>
          </cell>
          <cell r="D187" t="str">
            <v>SOJA</v>
          </cell>
          <cell r="E187">
            <v>480</v>
          </cell>
        </row>
        <row r="188">
          <cell r="A188" t="str">
            <v>GO</v>
          </cell>
          <cell r="B188">
            <v>2007</v>
          </cell>
          <cell r="D188" t="str">
            <v>SOJA</v>
          </cell>
          <cell r="E188">
            <v>17332.955000000002</v>
          </cell>
        </row>
        <row r="189">
          <cell r="A189" t="str">
            <v>GO</v>
          </cell>
          <cell r="B189">
            <v>2007</v>
          </cell>
          <cell r="D189" t="str">
            <v>SOJA</v>
          </cell>
          <cell r="E189">
            <v>7943.701</v>
          </cell>
        </row>
        <row r="190">
          <cell r="A190" t="str">
            <v>GO</v>
          </cell>
          <cell r="B190">
            <v>2007</v>
          </cell>
          <cell r="D190" t="str">
            <v>SOJA</v>
          </cell>
          <cell r="E190">
            <v>9477.5229999999992</v>
          </cell>
        </row>
        <row r="191">
          <cell r="A191" t="str">
            <v>GO</v>
          </cell>
          <cell r="B191">
            <v>2007</v>
          </cell>
          <cell r="D191" t="str">
            <v>SOJA</v>
          </cell>
          <cell r="E191">
            <v>4842.6329999999998</v>
          </cell>
        </row>
        <row r="192">
          <cell r="A192" t="str">
            <v>GO</v>
          </cell>
          <cell r="B192">
            <v>2007</v>
          </cell>
          <cell r="D192" t="str">
            <v>SOJA</v>
          </cell>
          <cell r="E192">
            <v>6768.509</v>
          </cell>
        </row>
        <row r="193">
          <cell r="A193" t="str">
            <v>GO</v>
          </cell>
          <cell r="B193">
            <v>2007</v>
          </cell>
          <cell r="D193" t="str">
            <v>SOJA</v>
          </cell>
          <cell r="E193">
            <v>2266</v>
          </cell>
        </row>
        <row r="194">
          <cell r="A194" t="str">
            <v>MT</v>
          </cell>
          <cell r="B194">
            <v>2007</v>
          </cell>
          <cell r="D194" t="str">
            <v>MILHO</v>
          </cell>
          <cell r="E194">
            <v>0</v>
          </cell>
        </row>
        <row r="195">
          <cell r="A195" t="str">
            <v>MT</v>
          </cell>
          <cell r="B195">
            <v>2007</v>
          </cell>
          <cell r="D195" t="str">
            <v>MILHO</v>
          </cell>
          <cell r="E195">
            <v>0</v>
          </cell>
        </row>
        <row r="196">
          <cell r="A196" t="str">
            <v>MT</v>
          </cell>
          <cell r="B196">
            <v>2007</v>
          </cell>
          <cell r="D196" t="str">
            <v>SOJA</v>
          </cell>
          <cell r="E196">
            <v>0</v>
          </cell>
        </row>
        <row r="197">
          <cell r="A197" t="str">
            <v>MT</v>
          </cell>
          <cell r="B197">
            <v>2007</v>
          </cell>
          <cell r="D197" t="str">
            <v>SOJA</v>
          </cell>
          <cell r="E197">
            <v>8310.1589999999997</v>
          </cell>
        </row>
        <row r="198">
          <cell r="A198" t="str">
            <v>MT</v>
          </cell>
          <cell r="B198">
            <v>2007</v>
          </cell>
          <cell r="D198" t="str">
            <v>SOJA</v>
          </cell>
          <cell r="E198">
            <v>17840.888999999999</v>
          </cell>
        </row>
        <row r="199">
          <cell r="A199" t="str">
            <v>MT</v>
          </cell>
          <cell r="B199">
            <v>2007</v>
          </cell>
          <cell r="D199" t="str">
            <v>SOJA</v>
          </cell>
          <cell r="E199">
            <v>3523.7930000000001</v>
          </cell>
        </row>
        <row r="200">
          <cell r="A200" t="str">
            <v>MT</v>
          </cell>
          <cell r="B200">
            <v>2007</v>
          </cell>
          <cell r="D200" t="str">
            <v>SOJA</v>
          </cell>
          <cell r="E200">
            <v>0</v>
          </cell>
        </row>
        <row r="201">
          <cell r="A201" t="str">
            <v>MT</v>
          </cell>
          <cell r="B201">
            <v>2007</v>
          </cell>
          <cell r="D201" t="str">
            <v>SOJA</v>
          </cell>
          <cell r="E201">
            <v>34.406999999999996</v>
          </cell>
        </row>
        <row r="202">
          <cell r="A202" t="str">
            <v>MT</v>
          </cell>
          <cell r="B202">
            <v>2007</v>
          </cell>
          <cell r="D202" t="str">
            <v>SOJA</v>
          </cell>
          <cell r="E202">
            <v>0</v>
          </cell>
        </row>
        <row r="203">
          <cell r="A203" t="str">
            <v>MT</v>
          </cell>
          <cell r="B203">
            <v>2007</v>
          </cell>
          <cell r="D203" t="str">
            <v>SOJA</v>
          </cell>
          <cell r="E203">
            <v>0</v>
          </cell>
        </row>
        <row r="204">
          <cell r="A204" t="str">
            <v>MT</v>
          </cell>
          <cell r="B204">
            <v>2007</v>
          </cell>
          <cell r="D204" t="str">
            <v>SOJA</v>
          </cell>
          <cell r="E204">
            <v>0</v>
          </cell>
        </row>
        <row r="205">
          <cell r="A205" t="str">
            <v>MT</v>
          </cell>
          <cell r="B205">
            <v>2007</v>
          </cell>
          <cell r="D205" t="str">
            <v>SOJA</v>
          </cell>
          <cell r="E205">
            <v>0</v>
          </cell>
        </row>
        <row r="206">
          <cell r="A206" t="str">
            <v>MT</v>
          </cell>
          <cell r="B206">
            <v>2007</v>
          </cell>
          <cell r="D206" t="str">
            <v>SOJA</v>
          </cell>
          <cell r="E206">
            <v>0</v>
          </cell>
        </row>
        <row r="207">
          <cell r="A207" t="str">
            <v>MG</v>
          </cell>
          <cell r="B207">
            <v>2007</v>
          </cell>
          <cell r="D207" t="str">
            <v>SOJA</v>
          </cell>
          <cell r="E207">
            <v>12720.715</v>
          </cell>
        </row>
        <row r="208">
          <cell r="A208" t="str">
            <v>MG</v>
          </cell>
          <cell r="B208">
            <v>2007</v>
          </cell>
          <cell r="D208" t="str">
            <v>SOJA</v>
          </cell>
          <cell r="E208">
            <v>22577.190999999999</v>
          </cell>
        </row>
        <row r="209">
          <cell r="A209" t="str">
            <v>MG</v>
          </cell>
          <cell r="B209">
            <v>2007</v>
          </cell>
          <cell r="D209" t="str">
            <v>SOJA</v>
          </cell>
          <cell r="E209">
            <v>3048.0059999999999</v>
          </cell>
        </row>
        <row r="210">
          <cell r="A210" t="str">
            <v>MG</v>
          </cell>
          <cell r="B210">
            <v>2007</v>
          </cell>
          <cell r="D210" t="str">
            <v>SOJA</v>
          </cell>
          <cell r="E210">
            <v>953.35699999999997</v>
          </cell>
        </row>
        <row r="211">
          <cell r="A211" t="str">
            <v>MG</v>
          </cell>
          <cell r="B211">
            <v>2007</v>
          </cell>
          <cell r="D211" t="str">
            <v>SOJA</v>
          </cell>
          <cell r="E211">
            <v>0</v>
          </cell>
        </row>
        <row r="212">
          <cell r="A212" t="str">
            <v>MG</v>
          </cell>
          <cell r="B212">
            <v>2007</v>
          </cell>
          <cell r="D212" t="str">
            <v>SOJA</v>
          </cell>
          <cell r="E212">
            <v>0</v>
          </cell>
        </row>
        <row r="213">
          <cell r="A213" t="str">
            <v>MG</v>
          </cell>
          <cell r="B213">
            <v>2007</v>
          </cell>
          <cell r="D213" t="str">
            <v>SOJA</v>
          </cell>
          <cell r="E213">
            <v>0</v>
          </cell>
        </row>
        <row r="214">
          <cell r="A214" t="str">
            <v>MG</v>
          </cell>
          <cell r="B214">
            <v>2007</v>
          </cell>
          <cell r="D214" t="str">
            <v>SOJA</v>
          </cell>
          <cell r="E214">
            <v>0</v>
          </cell>
        </row>
        <row r="215">
          <cell r="A215" t="str">
            <v>MS</v>
          </cell>
          <cell r="B215">
            <v>2007</v>
          </cell>
          <cell r="D215" t="str">
            <v>MILHO</v>
          </cell>
          <cell r="E215">
            <v>6258.893</v>
          </cell>
        </row>
        <row r="216">
          <cell r="A216" t="str">
            <v>MS</v>
          </cell>
          <cell r="B216">
            <v>2007</v>
          </cell>
          <cell r="D216" t="str">
            <v>MILHO</v>
          </cell>
          <cell r="E216">
            <v>16038.771000000001</v>
          </cell>
        </row>
        <row r="217">
          <cell r="A217" t="str">
            <v>MS</v>
          </cell>
          <cell r="B217">
            <v>2007</v>
          </cell>
          <cell r="D217" t="str">
            <v>MILHO</v>
          </cell>
          <cell r="E217">
            <v>19051.514999999999</v>
          </cell>
        </row>
        <row r="218">
          <cell r="A218" t="str">
            <v>MS</v>
          </cell>
          <cell r="B218">
            <v>2007</v>
          </cell>
          <cell r="D218" t="str">
            <v>MILHO</v>
          </cell>
          <cell r="E218">
            <v>992.673</v>
          </cell>
        </row>
        <row r="219">
          <cell r="A219" t="str">
            <v>MS</v>
          </cell>
          <cell r="B219">
            <v>2007</v>
          </cell>
          <cell r="D219" t="str">
            <v>MILHO</v>
          </cell>
          <cell r="E219">
            <v>5.1920000000000002</v>
          </cell>
        </row>
        <row r="220">
          <cell r="A220" t="str">
            <v>MS</v>
          </cell>
          <cell r="B220">
            <v>2007</v>
          </cell>
          <cell r="D220" t="str">
            <v>MILHO</v>
          </cell>
          <cell r="E220">
            <v>0</v>
          </cell>
        </row>
        <row r="221">
          <cell r="A221" t="str">
            <v>GO</v>
          </cell>
          <cell r="B221">
            <v>2007</v>
          </cell>
          <cell r="D221" t="str">
            <v>MILHO</v>
          </cell>
          <cell r="E221">
            <v>77.91</v>
          </cell>
        </row>
        <row r="222">
          <cell r="A222" t="str">
            <v>GO</v>
          </cell>
          <cell r="B222">
            <v>2007</v>
          </cell>
          <cell r="D222" t="str">
            <v>MILHO</v>
          </cell>
          <cell r="E222">
            <v>2031.154</v>
          </cell>
        </row>
        <row r="223">
          <cell r="A223" t="str">
            <v>GO</v>
          </cell>
          <cell r="B223">
            <v>2007</v>
          </cell>
          <cell r="D223" t="str">
            <v>SOJA</v>
          </cell>
          <cell r="E223">
            <v>43.33</v>
          </cell>
        </row>
        <row r="224">
          <cell r="A224" t="str">
            <v>GO</v>
          </cell>
          <cell r="B224">
            <v>2007</v>
          </cell>
          <cell r="D224" t="str">
            <v>SOJA</v>
          </cell>
          <cell r="E224">
            <v>3939.819</v>
          </cell>
        </row>
        <row r="225">
          <cell r="A225" t="str">
            <v>GO</v>
          </cell>
          <cell r="B225">
            <v>2007</v>
          </cell>
          <cell r="D225" t="str">
            <v>SOJA</v>
          </cell>
          <cell r="E225">
            <v>3372.36</v>
          </cell>
        </row>
        <row r="226">
          <cell r="A226" t="str">
            <v>GO</v>
          </cell>
          <cell r="B226">
            <v>2007</v>
          </cell>
          <cell r="D226" t="str">
            <v>SOJA</v>
          </cell>
          <cell r="E226">
            <v>2839.2089999999998</v>
          </cell>
        </row>
        <row r="227">
          <cell r="A227" t="str">
            <v>GO</v>
          </cell>
          <cell r="B227">
            <v>2007</v>
          </cell>
          <cell r="D227" t="str">
            <v>SOJA</v>
          </cell>
          <cell r="E227">
            <v>419.55500000000001</v>
          </cell>
        </row>
        <row r="228">
          <cell r="A228" t="str">
            <v>GO</v>
          </cell>
          <cell r="B228">
            <v>2007</v>
          </cell>
          <cell r="D228" t="str">
            <v>SOJA</v>
          </cell>
          <cell r="E228">
            <v>172.20699999999999</v>
          </cell>
        </row>
        <row r="229">
          <cell r="A229" t="str">
            <v>MS</v>
          </cell>
          <cell r="B229">
            <v>2007</v>
          </cell>
          <cell r="D229" t="str">
            <v>SOJA</v>
          </cell>
          <cell r="E229">
            <v>933.05200000000002</v>
          </cell>
        </row>
        <row r="230">
          <cell r="A230" t="str">
            <v>MS</v>
          </cell>
          <cell r="B230">
            <v>2007</v>
          </cell>
          <cell r="D230" t="str">
            <v>SOJA</v>
          </cell>
          <cell r="E230">
            <v>7500.2780000000002</v>
          </cell>
        </row>
        <row r="231">
          <cell r="A231" t="str">
            <v>MS</v>
          </cell>
          <cell r="B231">
            <v>2007</v>
          </cell>
          <cell r="D231" t="str">
            <v>SOJA</v>
          </cell>
          <cell r="E231">
            <v>985.20600000000002</v>
          </cell>
        </row>
        <row r="232">
          <cell r="A232" t="str">
            <v>MS</v>
          </cell>
          <cell r="B232">
            <v>2007</v>
          </cell>
          <cell r="D232" t="str">
            <v>SOJA</v>
          </cell>
          <cell r="E232">
            <v>0</v>
          </cell>
        </row>
        <row r="233">
          <cell r="A233" t="str">
            <v>MT</v>
          </cell>
          <cell r="B233">
            <v>2007</v>
          </cell>
          <cell r="D233" t="str">
            <v>MILHO</v>
          </cell>
          <cell r="E233">
            <v>604.76499999999999</v>
          </cell>
        </row>
        <row r="234">
          <cell r="A234" t="str">
            <v>MT</v>
          </cell>
          <cell r="B234">
            <v>2007</v>
          </cell>
          <cell r="D234" t="str">
            <v>MILHO</v>
          </cell>
          <cell r="E234">
            <v>18598.589</v>
          </cell>
        </row>
        <row r="235">
          <cell r="A235" t="str">
            <v>MT</v>
          </cell>
          <cell r="B235">
            <v>2007</v>
          </cell>
          <cell r="D235" t="str">
            <v>MILHO</v>
          </cell>
          <cell r="E235">
            <v>2749.71</v>
          </cell>
        </row>
        <row r="236">
          <cell r="A236" t="str">
            <v>MT</v>
          </cell>
          <cell r="B236">
            <v>2007</v>
          </cell>
          <cell r="D236" t="str">
            <v>MILHO</v>
          </cell>
          <cell r="E236">
            <v>0</v>
          </cell>
        </row>
        <row r="237">
          <cell r="A237" t="str">
            <v>MT</v>
          </cell>
          <cell r="B237">
            <v>2007</v>
          </cell>
          <cell r="D237" t="str">
            <v>MILHO</v>
          </cell>
          <cell r="E237">
            <v>0</v>
          </cell>
        </row>
        <row r="238">
          <cell r="A238" t="str">
            <v>MT</v>
          </cell>
          <cell r="B238">
            <v>2007</v>
          </cell>
          <cell r="D238" t="str">
            <v>MILHO</v>
          </cell>
          <cell r="E238">
            <v>0</v>
          </cell>
        </row>
        <row r="239">
          <cell r="A239" t="str">
            <v>MT</v>
          </cell>
          <cell r="B239">
            <v>2007</v>
          </cell>
          <cell r="D239" t="str">
            <v>SOJA</v>
          </cell>
          <cell r="E239">
            <v>0</v>
          </cell>
        </row>
        <row r="240">
          <cell r="A240" t="str">
            <v>MT</v>
          </cell>
          <cell r="B240">
            <v>2007</v>
          </cell>
          <cell r="D240" t="str">
            <v>SOJA</v>
          </cell>
          <cell r="E240">
            <v>33124.828000000001</v>
          </cell>
        </row>
        <row r="241">
          <cell r="A241" t="str">
            <v>MT</v>
          </cell>
          <cell r="B241">
            <v>2007</v>
          </cell>
          <cell r="D241" t="str">
            <v>SOJA</v>
          </cell>
          <cell r="E241">
            <v>62678.953000000001</v>
          </cell>
        </row>
        <row r="242">
          <cell r="A242" t="str">
            <v>MT</v>
          </cell>
          <cell r="B242">
            <v>2007</v>
          </cell>
          <cell r="D242" t="str">
            <v>SOJA</v>
          </cell>
          <cell r="E242">
            <v>11074.786</v>
          </cell>
        </row>
        <row r="243">
          <cell r="A243" t="str">
            <v>MT</v>
          </cell>
          <cell r="B243">
            <v>2007</v>
          </cell>
          <cell r="D243" t="str">
            <v>SOJA</v>
          </cell>
          <cell r="E243">
            <v>121.973</v>
          </cell>
        </row>
        <row r="244">
          <cell r="A244" t="str">
            <v>MT</v>
          </cell>
          <cell r="B244">
            <v>2007</v>
          </cell>
          <cell r="D244" t="str">
            <v>SOJA</v>
          </cell>
          <cell r="E244">
            <v>0</v>
          </cell>
        </row>
        <row r="245">
          <cell r="A245" t="str">
            <v>MT</v>
          </cell>
          <cell r="B245">
            <v>2007</v>
          </cell>
          <cell r="D245" t="str">
            <v>SOJA</v>
          </cell>
          <cell r="E245">
            <v>0</v>
          </cell>
        </row>
        <row r="246">
          <cell r="A246" t="str">
            <v>MT</v>
          </cell>
          <cell r="B246">
            <v>2007</v>
          </cell>
          <cell r="D246" t="str">
            <v>SOJA</v>
          </cell>
          <cell r="E246">
            <v>36.32</v>
          </cell>
        </row>
        <row r="247">
          <cell r="A247" t="str">
            <v>MT</v>
          </cell>
          <cell r="B247">
            <v>2007</v>
          </cell>
          <cell r="D247" t="str">
            <v>SOJA</v>
          </cell>
          <cell r="E247">
            <v>0</v>
          </cell>
        </row>
        <row r="248">
          <cell r="A248" t="str">
            <v>MT</v>
          </cell>
          <cell r="B248">
            <v>2007</v>
          </cell>
          <cell r="D248" t="str">
            <v>SOJA</v>
          </cell>
          <cell r="E248">
            <v>0</v>
          </cell>
        </row>
        <row r="249">
          <cell r="A249" t="str">
            <v>MT</v>
          </cell>
          <cell r="B249">
            <v>2007</v>
          </cell>
          <cell r="D249" t="str">
            <v>SOJA</v>
          </cell>
          <cell r="E249">
            <v>0</v>
          </cell>
        </row>
        <row r="250">
          <cell r="A250" t="str">
            <v>MT</v>
          </cell>
          <cell r="B250">
            <v>2007</v>
          </cell>
          <cell r="D250" t="str">
            <v>SOJA</v>
          </cell>
          <cell r="E250">
            <v>0</v>
          </cell>
        </row>
        <row r="251">
          <cell r="A251" t="str">
            <v>MT</v>
          </cell>
          <cell r="B251">
            <v>2007</v>
          </cell>
          <cell r="D251" t="str">
            <v>MILHO</v>
          </cell>
          <cell r="E251">
            <v>5172.1260000000002</v>
          </cell>
        </row>
        <row r="252">
          <cell r="A252" t="str">
            <v>MT</v>
          </cell>
          <cell r="B252">
            <v>2007</v>
          </cell>
          <cell r="D252" t="str">
            <v>MILHO</v>
          </cell>
          <cell r="E252">
            <v>28098.785</v>
          </cell>
        </row>
        <row r="253">
          <cell r="A253" t="str">
            <v>MT</v>
          </cell>
          <cell r="B253">
            <v>2007</v>
          </cell>
          <cell r="D253" t="str">
            <v>MILHO</v>
          </cell>
          <cell r="E253">
            <v>14524.48</v>
          </cell>
        </row>
        <row r="254">
          <cell r="A254" t="str">
            <v>MT</v>
          </cell>
          <cell r="B254">
            <v>2007</v>
          </cell>
          <cell r="D254" t="str">
            <v>MILHO</v>
          </cell>
          <cell r="E254">
            <v>0</v>
          </cell>
        </row>
        <row r="255">
          <cell r="A255" t="str">
            <v>MT</v>
          </cell>
          <cell r="B255">
            <v>2007</v>
          </cell>
          <cell r="D255" t="str">
            <v>MILHO</v>
          </cell>
          <cell r="E255">
            <v>0</v>
          </cell>
        </row>
        <row r="256">
          <cell r="A256" t="str">
            <v>MT</v>
          </cell>
          <cell r="B256">
            <v>2007</v>
          </cell>
          <cell r="D256" t="str">
            <v>MILHO</v>
          </cell>
          <cell r="E256">
            <v>0</v>
          </cell>
        </row>
        <row r="257">
          <cell r="A257" t="str">
            <v>MT</v>
          </cell>
          <cell r="B257">
            <v>2007</v>
          </cell>
          <cell r="D257" t="str">
            <v>MILHO</v>
          </cell>
          <cell r="E257">
            <v>0</v>
          </cell>
        </row>
        <row r="258">
          <cell r="A258" t="str">
            <v>MT</v>
          </cell>
          <cell r="B258">
            <v>2007</v>
          </cell>
          <cell r="D258" t="str">
            <v>SOJA</v>
          </cell>
          <cell r="E258">
            <v>3784.027</v>
          </cell>
        </row>
        <row r="259">
          <cell r="A259" t="str">
            <v>MT</v>
          </cell>
          <cell r="B259">
            <v>2007</v>
          </cell>
          <cell r="D259" t="str">
            <v>SOJA</v>
          </cell>
          <cell r="E259">
            <v>28593.232</v>
          </cell>
        </row>
        <row r="260">
          <cell r="A260" t="str">
            <v>MT</v>
          </cell>
          <cell r="B260">
            <v>2007</v>
          </cell>
          <cell r="D260" t="str">
            <v>SOJA</v>
          </cell>
          <cell r="E260">
            <v>20814.735000000001</v>
          </cell>
        </row>
        <row r="261">
          <cell r="A261" t="str">
            <v>MT</v>
          </cell>
          <cell r="B261">
            <v>2007</v>
          </cell>
          <cell r="D261" t="str">
            <v>SOJA</v>
          </cell>
          <cell r="E261">
            <v>2077.953</v>
          </cell>
        </row>
        <row r="262">
          <cell r="A262" t="str">
            <v>MT</v>
          </cell>
          <cell r="B262">
            <v>2007</v>
          </cell>
          <cell r="D262" t="str">
            <v>SOJA</v>
          </cell>
          <cell r="E262">
            <v>299.19400000000002</v>
          </cell>
        </row>
        <row r="263">
          <cell r="A263" t="str">
            <v>MT</v>
          </cell>
          <cell r="B263">
            <v>2007</v>
          </cell>
          <cell r="D263" t="str">
            <v>SOJA</v>
          </cell>
          <cell r="E263">
            <v>0</v>
          </cell>
        </row>
        <row r="264">
          <cell r="A264" t="str">
            <v>MT</v>
          </cell>
          <cell r="B264">
            <v>2007</v>
          </cell>
          <cell r="D264" t="str">
            <v>SOJA</v>
          </cell>
          <cell r="E264">
            <v>0</v>
          </cell>
        </row>
        <row r="265">
          <cell r="A265" t="str">
            <v>MT</v>
          </cell>
          <cell r="B265">
            <v>2007</v>
          </cell>
          <cell r="D265" t="str">
            <v>SOJA</v>
          </cell>
          <cell r="E265">
            <v>0</v>
          </cell>
        </row>
        <row r="266">
          <cell r="A266" t="str">
            <v>MT</v>
          </cell>
          <cell r="B266">
            <v>2007</v>
          </cell>
          <cell r="D266" t="str">
            <v>SOJA</v>
          </cell>
          <cell r="E266">
            <v>48.244</v>
          </cell>
        </row>
        <row r="267">
          <cell r="A267" t="str">
            <v>MT</v>
          </cell>
          <cell r="B267">
            <v>2007</v>
          </cell>
          <cell r="D267" t="str">
            <v>SOJA</v>
          </cell>
          <cell r="E267">
            <v>0</v>
          </cell>
        </row>
        <row r="268">
          <cell r="A268" t="str">
            <v>MT</v>
          </cell>
          <cell r="B268">
            <v>2007</v>
          </cell>
          <cell r="D268" t="str">
            <v>MILHO</v>
          </cell>
          <cell r="E268">
            <v>0</v>
          </cell>
        </row>
        <row r="269">
          <cell r="A269" t="str">
            <v>MT</v>
          </cell>
          <cell r="B269">
            <v>2007</v>
          </cell>
          <cell r="D269" t="str">
            <v>MILHO</v>
          </cell>
          <cell r="E269">
            <v>0</v>
          </cell>
        </row>
        <row r="270">
          <cell r="A270" t="str">
            <v>MT</v>
          </cell>
          <cell r="B270">
            <v>2007</v>
          </cell>
          <cell r="D270" t="str">
            <v>MILHO</v>
          </cell>
          <cell r="E270">
            <v>0</v>
          </cell>
        </row>
        <row r="271">
          <cell r="A271" t="str">
            <v>MT</v>
          </cell>
          <cell r="B271">
            <v>2007</v>
          </cell>
          <cell r="D271" t="str">
            <v>MILHO</v>
          </cell>
          <cell r="E271">
            <v>0</v>
          </cell>
        </row>
        <row r="272">
          <cell r="A272" t="str">
            <v>MT</v>
          </cell>
          <cell r="B272">
            <v>2007</v>
          </cell>
          <cell r="D272" t="str">
            <v>SOJA</v>
          </cell>
          <cell r="E272">
            <v>0</v>
          </cell>
        </row>
        <row r="273">
          <cell r="A273" t="str">
            <v>MT</v>
          </cell>
          <cell r="B273">
            <v>2007</v>
          </cell>
          <cell r="D273" t="str">
            <v>SOJA</v>
          </cell>
          <cell r="E273">
            <v>8520.7479999999996</v>
          </cell>
        </row>
        <row r="274">
          <cell r="A274" t="str">
            <v>MT</v>
          </cell>
          <cell r="B274">
            <v>2007</v>
          </cell>
          <cell r="D274" t="str">
            <v>SOJA</v>
          </cell>
          <cell r="E274">
            <v>17570.57</v>
          </cell>
        </row>
        <row r="275">
          <cell r="A275" t="str">
            <v>MT</v>
          </cell>
          <cell r="B275">
            <v>2007</v>
          </cell>
          <cell r="D275" t="str">
            <v>SOJA</v>
          </cell>
          <cell r="E275">
            <v>1313.8989999999999</v>
          </cell>
        </row>
        <row r="276">
          <cell r="A276" t="str">
            <v>MT</v>
          </cell>
          <cell r="B276">
            <v>2007</v>
          </cell>
          <cell r="D276" t="str">
            <v>SOJA</v>
          </cell>
          <cell r="E276">
            <v>30.956</v>
          </cell>
        </row>
        <row r="277">
          <cell r="A277" t="str">
            <v>MT</v>
          </cell>
          <cell r="B277">
            <v>2007</v>
          </cell>
          <cell r="D277" t="str">
            <v>SOJA</v>
          </cell>
          <cell r="E277">
            <v>0</v>
          </cell>
        </row>
        <row r="278">
          <cell r="A278" t="str">
            <v>MT</v>
          </cell>
          <cell r="B278">
            <v>2007</v>
          </cell>
          <cell r="D278" t="str">
            <v>SOJA</v>
          </cell>
          <cell r="E278">
            <v>0</v>
          </cell>
        </row>
        <row r="279">
          <cell r="A279" t="str">
            <v>MT</v>
          </cell>
          <cell r="B279">
            <v>2007</v>
          </cell>
          <cell r="D279" t="str">
            <v>SOJA</v>
          </cell>
          <cell r="E279">
            <v>0</v>
          </cell>
        </row>
        <row r="280">
          <cell r="A280" t="str">
            <v>MT</v>
          </cell>
          <cell r="B280">
            <v>2007</v>
          </cell>
          <cell r="D280" t="str">
            <v>SOJA</v>
          </cell>
          <cell r="E280">
            <v>247.809</v>
          </cell>
        </row>
        <row r="281">
          <cell r="A281" t="str">
            <v>MT</v>
          </cell>
          <cell r="B281">
            <v>2007</v>
          </cell>
          <cell r="D281" t="str">
            <v>SOJA</v>
          </cell>
          <cell r="E281">
            <v>27.882999999999999</v>
          </cell>
        </row>
        <row r="282">
          <cell r="A282" t="str">
            <v>MT</v>
          </cell>
          <cell r="B282">
            <v>2007</v>
          </cell>
          <cell r="D282" t="str">
            <v>SOJA</v>
          </cell>
          <cell r="E282">
            <v>12.4</v>
          </cell>
        </row>
        <row r="283">
          <cell r="A283" t="str">
            <v>TO</v>
          </cell>
          <cell r="B283">
            <v>2007</v>
          </cell>
          <cell r="D283" t="str">
            <v>SOJA</v>
          </cell>
          <cell r="E283">
            <v>3995.116</v>
          </cell>
        </row>
        <row r="284">
          <cell r="A284" t="str">
            <v>TO</v>
          </cell>
          <cell r="B284">
            <v>2007</v>
          </cell>
          <cell r="D284" t="str">
            <v>SOJA</v>
          </cell>
          <cell r="E284">
            <v>39626.129000000001</v>
          </cell>
        </row>
        <row r="285">
          <cell r="A285" t="str">
            <v>TO</v>
          </cell>
          <cell r="B285">
            <v>2007</v>
          </cell>
          <cell r="D285" t="str">
            <v>SOJA</v>
          </cell>
          <cell r="E285">
            <v>12958.903</v>
          </cell>
        </row>
        <row r="286">
          <cell r="A286" t="str">
            <v>TO</v>
          </cell>
          <cell r="B286">
            <v>2007</v>
          </cell>
          <cell r="D286" t="str">
            <v>SOJA</v>
          </cell>
          <cell r="E286">
            <v>494.17</v>
          </cell>
        </row>
        <row r="287">
          <cell r="A287" t="str">
            <v>TO</v>
          </cell>
          <cell r="B287">
            <v>2007</v>
          </cell>
          <cell r="D287" t="str">
            <v>SOJA</v>
          </cell>
          <cell r="E287">
            <v>0</v>
          </cell>
        </row>
        <row r="288">
          <cell r="A288" t="str">
            <v>TO</v>
          </cell>
          <cell r="B288">
            <v>2007</v>
          </cell>
          <cell r="D288" t="str">
            <v>SOJA</v>
          </cell>
          <cell r="E288">
            <v>0</v>
          </cell>
        </row>
        <row r="289">
          <cell r="A289" t="str">
            <v>TO</v>
          </cell>
          <cell r="B289">
            <v>2007</v>
          </cell>
          <cell r="D289" t="str">
            <v>SOJA</v>
          </cell>
          <cell r="E289">
            <v>0</v>
          </cell>
        </row>
        <row r="290">
          <cell r="A290" t="str">
            <v>MT</v>
          </cell>
          <cell r="B290">
            <v>2007</v>
          </cell>
          <cell r="D290" t="str">
            <v>SOJA</v>
          </cell>
          <cell r="E290">
            <v>5509.4319999999998</v>
          </cell>
        </row>
        <row r="291">
          <cell r="A291" t="str">
            <v>MT</v>
          </cell>
          <cell r="B291">
            <v>2007</v>
          </cell>
          <cell r="D291" t="str">
            <v>SOJA</v>
          </cell>
          <cell r="E291">
            <v>25447.246999999999</v>
          </cell>
        </row>
        <row r="292">
          <cell r="A292" t="str">
            <v>MT</v>
          </cell>
          <cell r="B292">
            <v>2007</v>
          </cell>
          <cell r="D292" t="str">
            <v>SOJA</v>
          </cell>
          <cell r="E292">
            <v>10770.726000000001</v>
          </cell>
        </row>
        <row r="293">
          <cell r="A293" t="str">
            <v>MT</v>
          </cell>
          <cell r="B293">
            <v>2007</v>
          </cell>
          <cell r="D293" t="str">
            <v>SOJA</v>
          </cell>
          <cell r="E293">
            <v>35.716000000000001</v>
          </cell>
        </row>
        <row r="294">
          <cell r="A294" t="str">
            <v>MT</v>
          </cell>
          <cell r="B294">
            <v>2007</v>
          </cell>
          <cell r="D294" t="str">
            <v>SOJA</v>
          </cell>
          <cell r="E294">
            <v>35.18</v>
          </cell>
        </row>
        <row r="295">
          <cell r="A295" t="str">
            <v>MT</v>
          </cell>
          <cell r="B295">
            <v>2007</v>
          </cell>
          <cell r="D295" t="str">
            <v>SOJA</v>
          </cell>
          <cell r="E295">
            <v>0</v>
          </cell>
        </row>
        <row r="296">
          <cell r="A296" t="str">
            <v>MT</v>
          </cell>
          <cell r="B296">
            <v>2007</v>
          </cell>
          <cell r="D296" t="str">
            <v>SOJA</v>
          </cell>
          <cell r="E296">
            <v>10.89</v>
          </cell>
        </row>
        <row r="297">
          <cell r="A297" t="str">
            <v>PR</v>
          </cell>
          <cell r="B297">
            <v>2007</v>
          </cell>
          <cell r="D297" t="str">
            <v>MILHO</v>
          </cell>
          <cell r="E297">
            <v>154.39500000000001</v>
          </cell>
        </row>
        <row r="298">
          <cell r="A298" t="str">
            <v>PR</v>
          </cell>
          <cell r="B298">
            <v>2007</v>
          </cell>
          <cell r="D298" t="str">
            <v>MILHO</v>
          </cell>
          <cell r="E298">
            <v>4529.9359999999997</v>
          </cell>
        </row>
        <row r="299">
          <cell r="A299" t="str">
            <v>PR</v>
          </cell>
          <cell r="B299">
            <v>2007</v>
          </cell>
          <cell r="D299" t="str">
            <v>MILHO</v>
          </cell>
          <cell r="E299">
            <v>557.21900000000005</v>
          </cell>
        </row>
        <row r="300">
          <cell r="A300" t="str">
            <v>PR</v>
          </cell>
          <cell r="B300">
            <v>2007</v>
          </cell>
          <cell r="D300" t="str">
            <v>MILHO</v>
          </cell>
          <cell r="E300">
            <v>84.617999999999995</v>
          </cell>
        </row>
        <row r="301">
          <cell r="A301" t="str">
            <v>PR</v>
          </cell>
          <cell r="B301">
            <v>2007</v>
          </cell>
          <cell r="D301" t="str">
            <v>MILHO</v>
          </cell>
          <cell r="E301">
            <v>275.55</v>
          </cell>
        </row>
        <row r="302">
          <cell r="A302" t="str">
            <v>PR</v>
          </cell>
          <cell r="B302">
            <v>2007</v>
          </cell>
          <cell r="D302" t="str">
            <v>MILHO</v>
          </cell>
          <cell r="E302">
            <v>0</v>
          </cell>
        </row>
        <row r="303">
          <cell r="A303" t="str">
            <v>PR</v>
          </cell>
          <cell r="B303">
            <v>2007</v>
          </cell>
          <cell r="D303" t="str">
            <v>SOJA</v>
          </cell>
          <cell r="E303">
            <v>23.72</v>
          </cell>
        </row>
        <row r="304">
          <cell r="A304" t="str">
            <v>PR</v>
          </cell>
          <cell r="B304">
            <v>2007</v>
          </cell>
          <cell r="D304" t="str">
            <v>SOJA</v>
          </cell>
          <cell r="E304">
            <v>62.966999999999999</v>
          </cell>
        </row>
        <row r="305">
          <cell r="A305" t="str">
            <v>PR</v>
          </cell>
          <cell r="B305">
            <v>2007</v>
          </cell>
          <cell r="D305" t="str">
            <v>SOJA</v>
          </cell>
          <cell r="E305">
            <v>4894.3720000000003</v>
          </cell>
        </row>
        <row r="306">
          <cell r="A306" t="str">
            <v>PR</v>
          </cell>
          <cell r="B306">
            <v>2007</v>
          </cell>
          <cell r="D306" t="str">
            <v>SOJA</v>
          </cell>
          <cell r="E306">
            <v>14166.187</v>
          </cell>
        </row>
        <row r="307">
          <cell r="A307" t="str">
            <v>PR</v>
          </cell>
          <cell r="B307">
            <v>2007</v>
          </cell>
          <cell r="D307" t="str">
            <v>SOJA</v>
          </cell>
          <cell r="E307">
            <v>1124.1489999999999</v>
          </cell>
        </row>
        <row r="308">
          <cell r="A308" t="str">
            <v>PR</v>
          </cell>
          <cell r="B308">
            <v>2007</v>
          </cell>
          <cell r="D308" t="str">
            <v>SOJA</v>
          </cell>
          <cell r="E308">
            <v>363.64100000000002</v>
          </cell>
        </row>
        <row r="309">
          <cell r="A309" t="str">
            <v>PR</v>
          </cell>
          <cell r="B309">
            <v>2007</v>
          </cell>
          <cell r="D309" t="str">
            <v>SOJA</v>
          </cell>
          <cell r="E309">
            <v>0</v>
          </cell>
        </row>
        <row r="310">
          <cell r="A310" t="str">
            <v>PR</v>
          </cell>
          <cell r="B310">
            <v>2007</v>
          </cell>
          <cell r="D310" t="str">
            <v>SOJA</v>
          </cell>
          <cell r="E310">
            <v>0</v>
          </cell>
        </row>
        <row r="311">
          <cell r="A311" t="str">
            <v>RS</v>
          </cell>
          <cell r="B311">
            <v>2007</v>
          </cell>
          <cell r="D311" t="str">
            <v>MILHO</v>
          </cell>
          <cell r="E311">
            <v>1150.7460000000001</v>
          </cell>
        </row>
        <row r="312">
          <cell r="A312" t="str">
            <v>RS</v>
          </cell>
          <cell r="B312">
            <v>2007</v>
          </cell>
          <cell r="D312" t="str">
            <v>MILHO</v>
          </cell>
          <cell r="E312">
            <v>17304.952000000001</v>
          </cell>
        </row>
        <row r="313">
          <cell r="A313" t="str">
            <v>RS</v>
          </cell>
          <cell r="B313">
            <v>2007</v>
          </cell>
          <cell r="D313" t="str">
            <v>MILHO</v>
          </cell>
          <cell r="E313">
            <v>10218.409</v>
          </cell>
        </row>
        <row r="314">
          <cell r="A314" t="str">
            <v>RS</v>
          </cell>
          <cell r="B314">
            <v>2007</v>
          </cell>
          <cell r="D314" t="str">
            <v>MILHO</v>
          </cell>
          <cell r="E314">
            <v>343.16</v>
          </cell>
        </row>
        <row r="315">
          <cell r="A315" t="str">
            <v>RS</v>
          </cell>
          <cell r="B315">
            <v>2007</v>
          </cell>
          <cell r="D315" t="str">
            <v>MILHO</v>
          </cell>
          <cell r="E315">
            <v>822.84</v>
          </cell>
        </row>
        <row r="316">
          <cell r="A316" t="str">
            <v>RS</v>
          </cell>
          <cell r="B316">
            <v>2007</v>
          </cell>
          <cell r="D316" t="str">
            <v>MILHO</v>
          </cell>
          <cell r="E316">
            <v>0</v>
          </cell>
        </row>
        <row r="317">
          <cell r="A317" t="str">
            <v>RS</v>
          </cell>
          <cell r="B317">
            <v>2007</v>
          </cell>
          <cell r="D317" t="str">
            <v>MILHO</v>
          </cell>
          <cell r="E317">
            <v>0</v>
          </cell>
        </row>
        <row r="318">
          <cell r="A318" t="str">
            <v>RS</v>
          </cell>
          <cell r="B318">
            <v>2007</v>
          </cell>
          <cell r="D318" t="str">
            <v>MILHO</v>
          </cell>
          <cell r="E318">
            <v>0</v>
          </cell>
        </row>
        <row r="319">
          <cell r="A319" t="str">
            <v>RS</v>
          </cell>
          <cell r="B319">
            <v>2007</v>
          </cell>
          <cell r="D319" t="str">
            <v>MILHO</v>
          </cell>
          <cell r="E319">
            <v>0</v>
          </cell>
        </row>
        <row r="320">
          <cell r="A320" t="str">
            <v>RS</v>
          </cell>
          <cell r="B320">
            <v>2007</v>
          </cell>
          <cell r="D320" t="str">
            <v>MILHO</v>
          </cell>
          <cell r="E320">
            <v>0</v>
          </cell>
        </row>
        <row r="321">
          <cell r="A321" t="str">
            <v>RS</v>
          </cell>
          <cell r="B321">
            <v>2007</v>
          </cell>
          <cell r="D321" t="str">
            <v>SOJA</v>
          </cell>
          <cell r="E321">
            <v>11.324999999999999</v>
          </cell>
        </row>
        <row r="322">
          <cell r="A322" t="str">
            <v>RS</v>
          </cell>
          <cell r="B322">
            <v>2007</v>
          </cell>
          <cell r="D322" t="str">
            <v>SOJA</v>
          </cell>
          <cell r="E322">
            <v>11808.645</v>
          </cell>
        </row>
        <row r="323">
          <cell r="A323" t="str">
            <v>RS</v>
          </cell>
          <cell r="B323">
            <v>2007</v>
          </cell>
          <cell r="D323" t="str">
            <v>SOJA</v>
          </cell>
          <cell r="E323">
            <v>12281.433999999999</v>
          </cell>
        </row>
        <row r="324">
          <cell r="A324" t="str">
            <v>RS</v>
          </cell>
          <cell r="B324">
            <v>2007</v>
          </cell>
          <cell r="D324" t="str">
            <v>SOJA</v>
          </cell>
          <cell r="E324">
            <v>2266.02</v>
          </cell>
        </row>
        <row r="325">
          <cell r="A325" t="str">
            <v>RS</v>
          </cell>
          <cell r="B325">
            <v>2007</v>
          </cell>
          <cell r="D325" t="str">
            <v>SOJA</v>
          </cell>
          <cell r="E325">
            <v>187.99600000000001</v>
          </cell>
        </row>
        <row r="326">
          <cell r="A326" t="str">
            <v>RS</v>
          </cell>
          <cell r="B326">
            <v>2007</v>
          </cell>
          <cell r="D326" t="str">
            <v>SOJA</v>
          </cell>
          <cell r="E326">
            <v>833.36</v>
          </cell>
        </row>
        <row r="327">
          <cell r="A327" t="str">
            <v>RS</v>
          </cell>
          <cell r="B327">
            <v>2007</v>
          </cell>
          <cell r="D327" t="str">
            <v>SOJA</v>
          </cell>
          <cell r="E327">
            <v>1100.056</v>
          </cell>
        </row>
        <row r="328">
          <cell r="A328" t="str">
            <v>RS</v>
          </cell>
          <cell r="B328">
            <v>2007</v>
          </cell>
          <cell r="D328" t="str">
            <v>SOJA</v>
          </cell>
          <cell r="E328">
            <v>1087.1179999999999</v>
          </cell>
        </row>
        <row r="329">
          <cell r="A329" t="str">
            <v>RS</v>
          </cell>
          <cell r="B329">
            <v>2007</v>
          </cell>
          <cell r="D329" t="str">
            <v>SOJA</v>
          </cell>
          <cell r="E329">
            <v>433.58800000000002</v>
          </cell>
        </row>
        <row r="330">
          <cell r="A330" t="str">
            <v>RS</v>
          </cell>
          <cell r="B330">
            <v>2007</v>
          </cell>
          <cell r="D330" t="str">
            <v>SOJA</v>
          </cell>
          <cell r="E330">
            <v>202.89099999999999</v>
          </cell>
        </row>
        <row r="331">
          <cell r="A331" t="str">
            <v>RS</v>
          </cell>
          <cell r="B331">
            <v>2007</v>
          </cell>
          <cell r="D331" t="str">
            <v>SOJA</v>
          </cell>
          <cell r="E331">
            <v>821.67</v>
          </cell>
        </row>
        <row r="332">
          <cell r="A332" t="str">
            <v>PR</v>
          </cell>
          <cell r="B332">
            <v>2007</v>
          </cell>
          <cell r="D332" t="str">
            <v>MILHO</v>
          </cell>
          <cell r="E332">
            <v>11.349</v>
          </cell>
        </row>
        <row r="333">
          <cell r="A333" t="str">
            <v>PR</v>
          </cell>
          <cell r="B333">
            <v>2007</v>
          </cell>
          <cell r="D333" t="str">
            <v>MILHO</v>
          </cell>
          <cell r="E333">
            <v>8529.4699999999993</v>
          </cell>
        </row>
        <row r="334">
          <cell r="A334" t="str">
            <v>PR</v>
          </cell>
          <cell r="B334">
            <v>2007</v>
          </cell>
          <cell r="D334" t="str">
            <v>MILHO</v>
          </cell>
          <cell r="E334">
            <v>1883.7470000000001</v>
          </cell>
        </row>
        <row r="335">
          <cell r="A335" t="str">
            <v>PR</v>
          </cell>
          <cell r="B335">
            <v>2007</v>
          </cell>
          <cell r="D335" t="str">
            <v>MILHO</v>
          </cell>
          <cell r="E335">
            <v>37.097999999999999</v>
          </cell>
        </row>
        <row r="336">
          <cell r="A336" t="str">
            <v>PR</v>
          </cell>
          <cell r="B336">
            <v>2007</v>
          </cell>
          <cell r="D336" t="str">
            <v>MILHO</v>
          </cell>
          <cell r="E336">
            <v>1219.7439999999999</v>
          </cell>
        </row>
        <row r="337">
          <cell r="A337" t="str">
            <v>PR</v>
          </cell>
          <cell r="B337">
            <v>2007</v>
          </cell>
          <cell r="D337" t="str">
            <v>MILHO</v>
          </cell>
          <cell r="E337">
            <v>3245.3</v>
          </cell>
        </row>
        <row r="338">
          <cell r="A338" t="str">
            <v>PR</v>
          </cell>
          <cell r="B338">
            <v>2007</v>
          </cell>
          <cell r="D338" t="str">
            <v>MILHO</v>
          </cell>
          <cell r="E338">
            <v>28403.295999999998</v>
          </cell>
        </row>
        <row r="339">
          <cell r="A339" t="str">
            <v>PR</v>
          </cell>
          <cell r="B339">
            <v>2007</v>
          </cell>
          <cell r="D339" t="str">
            <v>MILHO</v>
          </cell>
          <cell r="E339">
            <v>41951.85</v>
          </cell>
        </row>
        <row r="340">
          <cell r="A340" t="str">
            <v>PR</v>
          </cell>
          <cell r="B340">
            <v>2007</v>
          </cell>
          <cell r="D340" t="str">
            <v>MILHO</v>
          </cell>
          <cell r="E340">
            <v>40741.559000000001</v>
          </cell>
        </row>
        <row r="341">
          <cell r="A341" t="str">
            <v>PR</v>
          </cell>
          <cell r="B341">
            <v>2007</v>
          </cell>
          <cell r="D341" t="str">
            <v>MILHO</v>
          </cell>
          <cell r="E341">
            <v>24988.899000000001</v>
          </cell>
        </row>
        <row r="342">
          <cell r="A342" t="str">
            <v>PR</v>
          </cell>
          <cell r="B342">
            <v>2007</v>
          </cell>
          <cell r="D342" t="str">
            <v>MILHO</v>
          </cell>
          <cell r="E342">
            <v>10408.011</v>
          </cell>
        </row>
        <row r="343">
          <cell r="A343" t="str">
            <v>PR</v>
          </cell>
          <cell r="B343">
            <v>2007</v>
          </cell>
          <cell r="D343" t="str">
            <v>MILHO</v>
          </cell>
          <cell r="E343">
            <v>5572.3919999999998</v>
          </cell>
        </row>
        <row r="344">
          <cell r="A344" t="str">
            <v>PR</v>
          </cell>
          <cell r="B344">
            <v>2007</v>
          </cell>
          <cell r="D344" t="str">
            <v>SOJA</v>
          </cell>
          <cell r="E344">
            <v>582.92999999999995</v>
          </cell>
        </row>
        <row r="345">
          <cell r="A345" t="str">
            <v>PR</v>
          </cell>
          <cell r="B345">
            <v>2007</v>
          </cell>
          <cell r="D345" t="str">
            <v>SOJA</v>
          </cell>
          <cell r="E345">
            <v>12830.589</v>
          </cell>
        </row>
        <row r="346">
          <cell r="A346" t="str">
            <v>PR</v>
          </cell>
          <cell r="B346">
            <v>2007</v>
          </cell>
          <cell r="D346" t="str">
            <v>SOJA</v>
          </cell>
          <cell r="E346">
            <v>35300.53</v>
          </cell>
        </row>
        <row r="347">
          <cell r="A347" t="str">
            <v>PR</v>
          </cell>
          <cell r="B347">
            <v>2007</v>
          </cell>
          <cell r="D347" t="str">
            <v>SOJA</v>
          </cell>
          <cell r="E347">
            <v>3433.1179999999999</v>
          </cell>
        </row>
        <row r="348">
          <cell r="A348" t="str">
            <v>PR</v>
          </cell>
          <cell r="B348">
            <v>2007</v>
          </cell>
          <cell r="D348" t="str">
            <v>SOJA</v>
          </cell>
          <cell r="E348">
            <v>13593.016</v>
          </cell>
        </row>
        <row r="349">
          <cell r="A349" t="str">
            <v>PR</v>
          </cell>
          <cell r="B349">
            <v>2007</v>
          </cell>
          <cell r="D349" t="str">
            <v>SOJA</v>
          </cell>
          <cell r="E349">
            <v>6672.8770000000004</v>
          </cell>
        </row>
        <row r="350">
          <cell r="A350" t="str">
            <v>PR</v>
          </cell>
          <cell r="B350">
            <v>2007</v>
          </cell>
          <cell r="D350" t="str">
            <v>SOJA</v>
          </cell>
          <cell r="E350">
            <v>1705.5650000000001</v>
          </cell>
        </row>
        <row r="351">
          <cell r="A351" t="str">
            <v>PR</v>
          </cell>
          <cell r="B351">
            <v>2007</v>
          </cell>
          <cell r="D351" t="str">
            <v>SOJA</v>
          </cell>
          <cell r="E351">
            <v>0</v>
          </cell>
        </row>
        <row r="352">
          <cell r="A352" t="str">
            <v>PR</v>
          </cell>
          <cell r="B352">
            <v>2007</v>
          </cell>
          <cell r="D352" t="str">
            <v>SOJA</v>
          </cell>
          <cell r="E352">
            <v>0</v>
          </cell>
        </row>
        <row r="353">
          <cell r="A353" t="str">
            <v>PR</v>
          </cell>
          <cell r="B353">
            <v>2007</v>
          </cell>
          <cell r="D353" t="str">
            <v>SOJA</v>
          </cell>
          <cell r="E353">
            <v>14.513999999999999</v>
          </cell>
        </row>
        <row r="354">
          <cell r="A354" t="str">
            <v>PR</v>
          </cell>
          <cell r="B354">
            <v>2007</v>
          </cell>
          <cell r="D354" t="str">
            <v>SOJA</v>
          </cell>
          <cell r="E354">
            <v>529.952</v>
          </cell>
        </row>
        <row r="355">
          <cell r="A355" t="str">
            <v>PR</v>
          </cell>
          <cell r="B355">
            <v>2007</v>
          </cell>
          <cell r="D355" t="str">
            <v>SOJA</v>
          </cell>
          <cell r="E355">
            <v>9895.2189999999991</v>
          </cell>
        </row>
        <row r="356">
          <cell r="A356" t="str">
            <v>PR</v>
          </cell>
          <cell r="B356">
            <v>2007</v>
          </cell>
          <cell r="D356" t="str">
            <v>MILHO</v>
          </cell>
          <cell r="E356">
            <v>1960.9580000000001</v>
          </cell>
        </row>
        <row r="357">
          <cell r="A357" t="str">
            <v>PR</v>
          </cell>
          <cell r="B357">
            <v>2007</v>
          </cell>
          <cell r="D357" t="str">
            <v>MILHO</v>
          </cell>
          <cell r="E357">
            <v>10270.862999999999</v>
          </cell>
        </row>
        <row r="358">
          <cell r="A358" t="str">
            <v>PR</v>
          </cell>
          <cell r="B358">
            <v>2007</v>
          </cell>
          <cell r="D358" t="str">
            <v>MILHO</v>
          </cell>
          <cell r="E358">
            <v>857.34299999999996</v>
          </cell>
        </row>
        <row r="359">
          <cell r="A359" t="str">
            <v>PR</v>
          </cell>
          <cell r="B359">
            <v>2007</v>
          </cell>
          <cell r="D359" t="str">
            <v>MILHO</v>
          </cell>
          <cell r="E359">
            <v>225.78299999999999</v>
          </cell>
        </row>
        <row r="360">
          <cell r="A360" t="str">
            <v>PR</v>
          </cell>
          <cell r="B360">
            <v>2007</v>
          </cell>
          <cell r="D360" t="str">
            <v>MILHO</v>
          </cell>
          <cell r="E360">
            <v>183.727</v>
          </cell>
        </row>
        <row r="361">
          <cell r="A361" t="str">
            <v>PR</v>
          </cell>
          <cell r="B361">
            <v>2007</v>
          </cell>
          <cell r="D361" t="str">
            <v>MILHO</v>
          </cell>
          <cell r="E361">
            <v>1675.749</v>
          </cell>
        </row>
        <row r="362">
          <cell r="A362" t="str">
            <v>PR</v>
          </cell>
          <cell r="B362">
            <v>2007</v>
          </cell>
          <cell r="D362" t="str">
            <v>MILHO</v>
          </cell>
          <cell r="E362">
            <v>2573.2840000000001</v>
          </cell>
        </row>
        <row r="363">
          <cell r="A363" t="str">
            <v>PR</v>
          </cell>
          <cell r="B363">
            <v>2007</v>
          </cell>
          <cell r="D363" t="str">
            <v>MILHO</v>
          </cell>
          <cell r="E363">
            <v>537.61400000000003</v>
          </cell>
        </row>
        <row r="364">
          <cell r="A364" t="str">
            <v>PR</v>
          </cell>
          <cell r="B364">
            <v>2007</v>
          </cell>
          <cell r="D364" t="str">
            <v>MILHO</v>
          </cell>
          <cell r="E364">
            <v>0</v>
          </cell>
        </row>
        <row r="365">
          <cell r="A365" t="str">
            <v>PR</v>
          </cell>
          <cell r="B365">
            <v>2007</v>
          </cell>
          <cell r="D365" t="str">
            <v>MILHO</v>
          </cell>
          <cell r="E365">
            <v>0</v>
          </cell>
        </row>
        <row r="366">
          <cell r="A366" t="str">
            <v>PR</v>
          </cell>
          <cell r="B366">
            <v>2007</v>
          </cell>
          <cell r="D366" t="str">
            <v>MILHO</v>
          </cell>
          <cell r="E366">
            <v>0</v>
          </cell>
        </row>
        <row r="367">
          <cell r="A367" t="str">
            <v>PR</v>
          </cell>
          <cell r="B367">
            <v>2007</v>
          </cell>
          <cell r="D367" t="str">
            <v>MILHO</v>
          </cell>
          <cell r="E367">
            <v>7.82</v>
          </cell>
        </row>
        <row r="368">
          <cell r="A368" t="str">
            <v>PR</v>
          </cell>
          <cell r="B368">
            <v>2007</v>
          </cell>
          <cell r="D368" t="str">
            <v>SOJA</v>
          </cell>
          <cell r="E368">
            <v>0.64</v>
          </cell>
        </row>
        <row r="369">
          <cell r="A369" t="str">
            <v>PR</v>
          </cell>
          <cell r="B369">
            <v>2007</v>
          </cell>
          <cell r="D369" t="str">
            <v>SOJA</v>
          </cell>
          <cell r="E369">
            <v>5371.866</v>
          </cell>
        </row>
        <row r="370">
          <cell r="A370" t="str">
            <v>PR</v>
          </cell>
          <cell r="B370">
            <v>2007</v>
          </cell>
          <cell r="D370" t="str">
            <v>SOJA</v>
          </cell>
          <cell r="E370">
            <v>9018.0869999999995</v>
          </cell>
        </row>
        <row r="371">
          <cell r="A371" t="str">
            <v>PR</v>
          </cell>
          <cell r="B371">
            <v>2007</v>
          </cell>
          <cell r="D371" t="str">
            <v>SOJA</v>
          </cell>
          <cell r="E371">
            <v>185.047</v>
          </cell>
        </row>
        <row r="372">
          <cell r="A372" t="str">
            <v>PR</v>
          </cell>
          <cell r="B372">
            <v>2007</v>
          </cell>
          <cell r="D372" t="str">
            <v>SOJA</v>
          </cell>
          <cell r="E372">
            <v>106.592</v>
          </cell>
        </row>
        <row r="373">
          <cell r="A373" t="str">
            <v>PR</v>
          </cell>
          <cell r="B373">
            <v>2007</v>
          </cell>
          <cell r="D373" t="str">
            <v>SOJA</v>
          </cell>
          <cell r="E373">
            <v>27.436</v>
          </cell>
        </row>
        <row r="374">
          <cell r="A374" t="str">
            <v>PR</v>
          </cell>
          <cell r="B374">
            <v>2007</v>
          </cell>
          <cell r="D374" t="str">
            <v>SOJA</v>
          </cell>
          <cell r="E374">
            <v>2.8889999999999998</v>
          </cell>
        </row>
        <row r="375">
          <cell r="A375" t="str">
            <v>PR</v>
          </cell>
          <cell r="B375">
            <v>2007</v>
          </cell>
          <cell r="D375" t="str">
            <v>SOJA</v>
          </cell>
          <cell r="E375">
            <v>1.39</v>
          </cell>
        </row>
        <row r="376">
          <cell r="A376" t="str">
            <v>GO</v>
          </cell>
          <cell r="B376">
            <v>2007</v>
          </cell>
          <cell r="D376" t="str">
            <v>SOJA</v>
          </cell>
          <cell r="E376">
            <v>9807.5</v>
          </cell>
        </row>
        <row r="377">
          <cell r="A377" t="str">
            <v>GO</v>
          </cell>
          <cell r="B377">
            <v>2007</v>
          </cell>
          <cell r="D377" t="str">
            <v>SOJA</v>
          </cell>
          <cell r="E377">
            <v>25654.675999999999</v>
          </cell>
        </row>
        <row r="378">
          <cell r="A378" t="str">
            <v>GO</v>
          </cell>
          <cell r="B378">
            <v>2007</v>
          </cell>
          <cell r="D378" t="str">
            <v>SOJA</v>
          </cell>
          <cell r="E378">
            <v>1192.2170000000001</v>
          </cell>
        </row>
        <row r="379">
          <cell r="A379" t="str">
            <v>GO</v>
          </cell>
          <cell r="B379">
            <v>2007</v>
          </cell>
          <cell r="D379" t="str">
            <v>SOJA</v>
          </cell>
          <cell r="E379">
            <v>14.29</v>
          </cell>
        </row>
        <row r="380">
          <cell r="A380" t="str">
            <v>GO</v>
          </cell>
          <cell r="B380">
            <v>2007</v>
          </cell>
          <cell r="D380" t="str">
            <v>SOJA</v>
          </cell>
          <cell r="E380">
            <v>0</v>
          </cell>
        </row>
        <row r="381">
          <cell r="A381" t="str">
            <v>MS</v>
          </cell>
          <cell r="B381">
            <v>2007</v>
          </cell>
          <cell r="D381" t="str">
            <v>MILHO</v>
          </cell>
          <cell r="E381">
            <v>245.27600000000001</v>
          </cell>
        </row>
        <row r="382">
          <cell r="A382" t="str">
            <v>MS</v>
          </cell>
          <cell r="B382">
            <v>2007</v>
          </cell>
          <cell r="D382" t="str">
            <v>MILHO</v>
          </cell>
          <cell r="E382">
            <v>115.169</v>
          </cell>
        </row>
        <row r="383">
          <cell r="A383" t="str">
            <v>MS</v>
          </cell>
          <cell r="B383">
            <v>2007</v>
          </cell>
          <cell r="D383" t="str">
            <v>MILHO</v>
          </cell>
          <cell r="E383">
            <v>0</v>
          </cell>
        </row>
        <row r="384">
          <cell r="A384" t="str">
            <v>MS</v>
          </cell>
          <cell r="B384">
            <v>2007</v>
          </cell>
          <cell r="D384" t="str">
            <v>MILHO</v>
          </cell>
          <cell r="E384">
            <v>0</v>
          </cell>
        </row>
        <row r="385">
          <cell r="A385" t="str">
            <v>MS</v>
          </cell>
          <cell r="B385">
            <v>2007</v>
          </cell>
          <cell r="D385" t="str">
            <v>SOJA</v>
          </cell>
          <cell r="E385">
            <v>132.202</v>
          </cell>
        </row>
        <row r="386">
          <cell r="A386" t="str">
            <v>MS</v>
          </cell>
          <cell r="B386">
            <v>2007</v>
          </cell>
          <cell r="D386" t="str">
            <v>SOJA</v>
          </cell>
          <cell r="E386">
            <v>2187.83</v>
          </cell>
        </row>
        <row r="387">
          <cell r="A387" t="str">
            <v>MS</v>
          </cell>
          <cell r="B387">
            <v>2007</v>
          </cell>
          <cell r="D387" t="str">
            <v>SOJA</v>
          </cell>
          <cell r="E387">
            <v>19941.285</v>
          </cell>
        </row>
        <row r="388">
          <cell r="A388" t="str">
            <v>MS</v>
          </cell>
          <cell r="B388">
            <v>2007</v>
          </cell>
          <cell r="D388" t="str">
            <v>SOJA</v>
          </cell>
          <cell r="E388">
            <v>3806.7950000000001</v>
          </cell>
        </row>
        <row r="389">
          <cell r="A389" t="str">
            <v>MS</v>
          </cell>
          <cell r="B389">
            <v>2007</v>
          </cell>
          <cell r="D389" t="str">
            <v>SOJA</v>
          </cell>
          <cell r="E389">
            <v>7.0430000000000001</v>
          </cell>
        </row>
        <row r="390">
          <cell r="A390" t="str">
            <v>MS</v>
          </cell>
          <cell r="B390">
            <v>2007</v>
          </cell>
          <cell r="D390" t="str">
            <v>SOJA</v>
          </cell>
          <cell r="E390">
            <v>9.83</v>
          </cell>
        </row>
        <row r="391">
          <cell r="A391" t="str">
            <v>MS</v>
          </cell>
          <cell r="B391">
            <v>2007</v>
          </cell>
          <cell r="D391" t="str">
            <v>SOJA</v>
          </cell>
          <cell r="E391">
            <v>312.30399999999997</v>
          </cell>
        </row>
        <row r="392">
          <cell r="A392" t="str">
            <v>SC</v>
          </cell>
          <cell r="B392">
            <v>2007</v>
          </cell>
          <cell r="D392" t="str">
            <v>SOJA</v>
          </cell>
          <cell r="E392">
            <v>0</v>
          </cell>
        </row>
        <row r="393">
          <cell r="A393" t="str">
            <v>MG</v>
          </cell>
          <cell r="B393">
            <v>2007</v>
          </cell>
          <cell r="D393" t="str">
            <v>MILHO</v>
          </cell>
          <cell r="E393">
            <v>15454.852999999999</v>
          </cell>
        </row>
        <row r="394">
          <cell r="A394" t="str">
            <v>MG</v>
          </cell>
          <cell r="B394">
            <v>2007</v>
          </cell>
          <cell r="D394" t="str">
            <v>MILHO</v>
          </cell>
          <cell r="E394">
            <v>21654.102999999999</v>
          </cell>
        </row>
        <row r="395">
          <cell r="A395" t="str">
            <v>MG</v>
          </cell>
          <cell r="B395">
            <v>2007</v>
          </cell>
          <cell r="D395" t="str">
            <v>MILHO</v>
          </cell>
          <cell r="E395">
            <v>23685.164000000001</v>
          </cell>
        </row>
        <row r="396">
          <cell r="A396" t="str">
            <v>MG</v>
          </cell>
          <cell r="B396">
            <v>2007</v>
          </cell>
          <cell r="D396" t="str">
            <v>MILHO</v>
          </cell>
          <cell r="E396">
            <v>2062.9380000000001</v>
          </cell>
        </row>
        <row r="397">
          <cell r="A397" t="str">
            <v>MG</v>
          </cell>
          <cell r="B397">
            <v>2007</v>
          </cell>
          <cell r="D397" t="str">
            <v>MILHO</v>
          </cell>
          <cell r="E397">
            <v>2677.4</v>
          </cell>
        </row>
        <row r="398">
          <cell r="A398" t="str">
            <v>MG</v>
          </cell>
          <cell r="B398">
            <v>2007</v>
          </cell>
          <cell r="D398" t="str">
            <v>MILHO</v>
          </cell>
          <cell r="E398">
            <v>0</v>
          </cell>
        </row>
        <row r="399">
          <cell r="A399" t="str">
            <v>MG</v>
          </cell>
          <cell r="B399">
            <v>2007</v>
          </cell>
          <cell r="D399" t="str">
            <v>SOJA</v>
          </cell>
          <cell r="E399">
            <v>0</v>
          </cell>
        </row>
        <row r="400">
          <cell r="A400" t="str">
            <v>MG</v>
          </cell>
          <cell r="B400">
            <v>2007</v>
          </cell>
          <cell r="D400" t="str">
            <v>SOJA</v>
          </cell>
          <cell r="E400">
            <v>0</v>
          </cell>
        </row>
        <row r="401">
          <cell r="A401" t="str">
            <v>MG</v>
          </cell>
          <cell r="B401">
            <v>2007</v>
          </cell>
          <cell r="D401" t="str">
            <v>SOJA</v>
          </cell>
          <cell r="E401">
            <v>67.94</v>
          </cell>
        </row>
        <row r="402">
          <cell r="A402" t="str">
            <v>BA</v>
          </cell>
          <cell r="B402">
            <v>2007</v>
          </cell>
          <cell r="D402" t="str">
            <v>MILHO</v>
          </cell>
          <cell r="E402">
            <v>3749.8319999999999</v>
          </cell>
        </row>
        <row r="403">
          <cell r="A403" t="str">
            <v>BA</v>
          </cell>
          <cell r="B403">
            <v>2007</v>
          </cell>
          <cell r="D403" t="str">
            <v>MILHO</v>
          </cell>
          <cell r="E403">
            <v>1716.172</v>
          </cell>
        </row>
        <row r="404">
          <cell r="A404" t="str">
            <v>BA</v>
          </cell>
          <cell r="B404">
            <v>2007</v>
          </cell>
          <cell r="D404" t="str">
            <v>MILHO</v>
          </cell>
          <cell r="E404">
            <v>347.13799999999998</v>
          </cell>
        </row>
        <row r="405">
          <cell r="A405" t="str">
            <v>BA</v>
          </cell>
          <cell r="B405">
            <v>2007</v>
          </cell>
          <cell r="D405" t="str">
            <v>SOJA</v>
          </cell>
          <cell r="E405">
            <v>8525.5570000000007</v>
          </cell>
        </row>
        <row r="406">
          <cell r="A406" t="str">
            <v>BA</v>
          </cell>
          <cell r="B406">
            <v>2007</v>
          </cell>
          <cell r="D406" t="str">
            <v>SOJA</v>
          </cell>
          <cell r="E406">
            <v>19688.89</v>
          </cell>
        </row>
        <row r="407">
          <cell r="A407" t="str">
            <v>BA</v>
          </cell>
          <cell r="B407">
            <v>2007</v>
          </cell>
          <cell r="D407" t="str">
            <v>SOJA</v>
          </cell>
          <cell r="E407">
            <v>1523.56</v>
          </cell>
        </row>
        <row r="408">
          <cell r="A408" t="str">
            <v>BA</v>
          </cell>
          <cell r="B408">
            <v>2007</v>
          </cell>
          <cell r="D408" t="str">
            <v>SOJA</v>
          </cell>
          <cell r="E408">
            <v>646.33900000000006</v>
          </cell>
        </row>
        <row r="409">
          <cell r="A409" t="str">
            <v>MS</v>
          </cell>
          <cell r="B409">
            <v>2007</v>
          </cell>
          <cell r="D409" t="str">
            <v>SOJA</v>
          </cell>
          <cell r="E409">
            <v>515.327</v>
          </cell>
        </row>
        <row r="410">
          <cell r="A410" t="str">
            <v>MS</v>
          </cell>
          <cell r="B410">
            <v>2007</v>
          </cell>
          <cell r="D410" t="str">
            <v>SOJA</v>
          </cell>
          <cell r="E410">
            <v>3281.2629999999999</v>
          </cell>
        </row>
        <row r="411">
          <cell r="A411" t="str">
            <v>MS</v>
          </cell>
          <cell r="B411">
            <v>2007</v>
          </cell>
          <cell r="D411" t="str">
            <v>SOJA</v>
          </cell>
          <cell r="E411">
            <v>461.767</v>
          </cell>
        </row>
        <row r="412">
          <cell r="A412" t="str">
            <v>MS</v>
          </cell>
          <cell r="B412">
            <v>2007</v>
          </cell>
          <cell r="D412" t="str">
            <v>SOJA</v>
          </cell>
          <cell r="E412">
            <v>0</v>
          </cell>
        </row>
        <row r="413">
          <cell r="A413" t="str">
            <v>MS</v>
          </cell>
          <cell r="B413">
            <v>2007</v>
          </cell>
          <cell r="D413" t="str">
            <v>SOJA</v>
          </cell>
          <cell r="E413">
            <v>0</v>
          </cell>
        </row>
        <row r="414">
          <cell r="A414" t="str">
            <v>GO</v>
          </cell>
          <cell r="B414">
            <v>2007</v>
          </cell>
          <cell r="D414" t="str">
            <v>MILHO</v>
          </cell>
          <cell r="E414">
            <v>0</v>
          </cell>
        </row>
        <row r="415">
          <cell r="A415" t="str">
            <v>GO</v>
          </cell>
          <cell r="B415">
            <v>2007</v>
          </cell>
          <cell r="D415" t="str">
            <v>MILHO</v>
          </cell>
          <cell r="E415">
            <v>5954.0510000000004</v>
          </cell>
        </row>
        <row r="416">
          <cell r="A416" t="str">
            <v>GO</v>
          </cell>
          <cell r="B416">
            <v>2007</v>
          </cell>
          <cell r="D416" t="str">
            <v>MILHO</v>
          </cell>
          <cell r="E416">
            <v>551.18600000000004</v>
          </cell>
        </row>
        <row r="417">
          <cell r="A417" t="str">
            <v>GO</v>
          </cell>
          <cell r="B417">
            <v>2007</v>
          </cell>
          <cell r="D417" t="str">
            <v>MILHO</v>
          </cell>
          <cell r="E417">
            <v>1</v>
          </cell>
        </row>
        <row r="418">
          <cell r="A418" t="str">
            <v>GO</v>
          </cell>
          <cell r="B418">
            <v>2007</v>
          </cell>
          <cell r="D418" t="str">
            <v>SOJA</v>
          </cell>
          <cell r="E418">
            <v>14247.231</v>
          </cell>
        </row>
        <row r="419">
          <cell r="A419" t="str">
            <v>GO</v>
          </cell>
          <cell r="B419">
            <v>2007</v>
          </cell>
          <cell r="D419" t="str">
            <v>SOJA</v>
          </cell>
          <cell r="E419">
            <v>9265.7479999999996</v>
          </cell>
        </row>
        <row r="420">
          <cell r="A420" t="str">
            <v>GO</v>
          </cell>
          <cell r="B420">
            <v>2007</v>
          </cell>
          <cell r="D420" t="str">
            <v>SOJA</v>
          </cell>
          <cell r="E420">
            <v>230.535</v>
          </cell>
        </row>
        <row r="421">
          <cell r="A421" t="str">
            <v>GO</v>
          </cell>
          <cell r="B421">
            <v>2007</v>
          </cell>
          <cell r="D421" t="str">
            <v>SOJA</v>
          </cell>
          <cell r="E421">
            <v>1111.94</v>
          </cell>
        </row>
        <row r="422">
          <cell r="A422" t="str">
            <v>GO</v>
          </cell>
          <cell r="B422">
            <v>2007</v>
          </cell>
          <cell r="D422" t="str">
            <v>SOJA</v>
          </cell>
          <cell r="E422">
            <v>2532.3119999999999</v>
          </cell>
        </row>
        <row r="423">
          <cell r="A423" t="str">
            <v>GO</v>
          </cell>
          <cell r="B423">
            <v>2007</v>
          </cell>
          <cell r="D423" t="str">
            <v>SOJA</v>
          </cell>
          <cell r="E423">
            <v>772.75</v>
          </cell>
        </row>
        <row r="424">
          <cell r="A424" t="str">
            <v>GO</v>
          </cell>
          <cell r="B424">
            <v>2007</v>
          </cell>
          <cell r="D424" t="str">
            <v>SOJA</v>
          </cell>
          <cell r="E424">
            <v>0</v>
          </cell>
        </row>
        <row r="425">
          <cell r="A425" t="str">
            <v>GO</v>
          </cell>
          <cell r="B425">
            <v>2007</v>
          </cell>
          <cell r="D425" t="str">
            <v>SOJA</v>
          </cell>
          <cell r="E425">
            <v>0</v>
          </cell>
        </row>
        <row r="426">
          <cell r="A426" t="str">
            <v>GO</v>
          </cell>
          <cell r="B426">
            <v>2007</v>
          </cell>
          <cell r="D426" t="str">
            <v>SOJA</v>
          </cell>
          <cell r="E426">
            <v>24</v>
          </cell>
        </row>
        <row r="427">
          <cell r="A427" t="str">
            <v>GO</v>
          </cell>
          <cell r="B427">
            <v>2007</v>
          </cell>
          <cell r="D427" t="str">
            <v>SOJA</v>
          </cell>
          <cell r="E427">
            <v>53.088000000000001</v>
          </cell>
        </row>
        <row r="428">
          <cell r="A428" t="str">
            <v>GO</v>
          </cell>
          <cell r="B428">
            <v>2007</v>
          </cell>
          <cell r="D428" t="str">
            <v>MILHO</v>
          </cell>
          <cell r="E428">
            <v>0</v>
          </cell>
        </row>
        <row r="429">
          <cell r="A429" t="str">
            <v>GO</v>
          </cell>
          <cell r="B429">
            <v>2007</v>
          </cell>
          <cell r="D429" t="str">
            <v>MILHO</v>
          </cell>
          <cell r="E429">
            <v>0</v>
          </cell>
        </row>
        <row r="430">
          <cell r="A430" t="str">
            <v>GO</v>
          </cell>
          <cell r="B430">
            <v>2007</v>
          </cell>
          <cell r="D430" t="str">
            <v>MILHO</v>
          </cell>
          <cell r="E430">
            <v>0</v>
          </cell>
        </row>
        <row r="431">
          <cell r="A431" t="str">
            <v>GO</v>
          </cell>
          <cell r="B431">
            <v>2007</v>
          </cell>
          <cell r="D431" t="str">
            <v>SOJA</v>
          </cell>
          <cell r="E431">
            <v>1920.354</v>
          </cell>
        </row>
        <row r="432">
          <cell r="A432" t="str">
            <v>GO</v>
          </cell>
          <cell r="B432">
            <v>2007</v>
          </cell>
          <cell r="D432" t="str">
            <v>SOJA</v>
          </cell>
          <cell r="E432">
            <v>6500.6139999999996</v>
          </cell>
        </row>
        <row r="433">
          <cell r="A433" t="str">
            <v>GO</v>
          </cell>
          <cell r="B433">
            <v>2007</v>
          </cell>
          <cell r="D433" t="str">
            <v>SOJA</v>
          </cell>
          <cell r="E433">
            <v>6515.2629999999999</v>
          </cell>
        </row>
        <row r="434">
          <cell r="A434" t="str">
            <v>GO</v>
          </cell>
          <cell r="B434">
            <v>2007</v>
          </cell>
          <cell r="D434" t="str">
            <v>SOJA</v>
          </cell>
          <cell r="E434">
            <v>274.52999999999997</v>
          </cell>
        </row>
        <row r="435">
          <cell r="A435" t="str">
            <v>GO</v>
          </cell>
          <cell r="B435">
            <v>2007</v>
          </cell>
          <cell r="D435" t="str">
            <v>SOJA</v>
          </cell>
          <cell r="E435">
            <v>663.37</v>
          </cell>
        </row>
        <row r="436">
          <cell r="A436" t="str">
            <v>GO</v>
          </cell>
          <cell r="B436">
            <v>2007</v>
          </cell>
          <cell r="D436" t="str">
            <v>SOJA</v>
          </cell>
          <cell r="E436">
            <v>260.85000000000002</v>
          </cell>
        </row>
        <row r="437">
          <cell r="A437" t="str">
            <v>GO</v>
          </cell>
          <cell r="B437">
            <v>2007</v>
          </cell>
          <cell r="D437" t="str">
            <v>SOJA</v>
          </cell>
          <cell r="E437">
            <v>90.4</v>
          </cell>
        </row>
        <row r="438">
          <cell r="A438" t="str">
            <v>GO</v>
          </cell>
          <cell r="B438">
            <v>2007</v>
          </cell>
          <cell r="D438" t="str">
            <v>SOJA</v>
          </cell>
          <cell r="E438">
            <v>0</v>
          </cell>
        </row>
        <row r="439">
          <cell r="A439" t="str">
            <v>RS</v>
          </cell>
          <cell r="B439">
            <v>2007</v>
          </cell>
          <cell r="D439" t="str">
            <v>MILHO</v>
          </cell>
          <cell r="E439">
            <v>1082.07</v>
          </cell>
        </row>
        <row r="440">
          <cell r="A440" t="str">
            <v>RS</v>
          </cell>
          <cell r="B440">
            <v>2007</v>
          </cell>
          <cell r="D440" t="str">
            <v>MILHO</v>
          </cell>
          <cell r="E440">
            <v>9955.27</v>
          </cell>
        </row>
        <row r="441">
          <cell r="A441" t="str">
            <v>RS</v>
          </cell>
          <cell r="B441">
            <v>2007</v>
          </cell>
          <cell r="D441" t="str">
            <v>MILHO</v>
          </cell>
          <cell r="E441">
            <v>7827.9960000000001</v>
          </cell>
        </row>
        <row r="442">
          <cell r="A442" t="str">
            <v>RS</v>
          </cell>
          <cell r="B442">
            <v>2007</v>
          </cell>
          <cell r="D442" t="str">
            <v>MILHO</v>
          </cell>
          <cell r="E442">
            <v>355.5</v>
          </cell>
        </row>
        <row r="443">
          <cell r="A443" t="str">
            <v>RS</v>
          </cell>
          <cell r="B443">
            <v>2007</v>
          </cell>
          <cell r="D443" t="str">
            <v>MILHO</v>
          </cell>
          <cell r="E443">
            <v>16.234999999999999</v>
          </cell>
        </row>
        <row r="444">
          <cell r="A444" t="str">
            <v>RS</v>
          </cell>
          <cell r="B444">
            <v>2007</v>
          </cell>
          <cell r="D444" t="str">
            <v>MILHO</v>
          </cell>
          <cell r="E444">
            <v>0</v>
          </cell>
        </row>
        <row r="445">
          <cell r="A445" t="str">
            <v>RS</v>
          </cell>
          <cell r="B445">
            <v>2007</v>
          </cell>
          <cell r="D445" t="str">
            <v>MILHO</v>
          </cell>
          <cell r="E445">
            <v>0</v>
          </cell>
        </row>
        <row r="446">
          <cell r="A446" t="str">
            <v>RS</v>
          </cell>
          <cell r="B446">
            <v>2007</v>
          </cell>
          <cell r="D446" t="str">
            <v>SOJA</v>
          </cell>
          <cell r="E446">
            <v>0</v>
          </cell>
        </row>
        <row r="447">
          <cell r="A447" t="str">
            <v>RS</v>
          </cell>
          <cell r="B447">
            <v>2007</v>
          </cell>
          <cell r="D447" t="str">
            <v>SOJA</v>
          </cell>
          <cell r="E447">
            <v>1068.9639999999999</v>
          </cell>
        </row>
        <row r="448">
          <cell r="A448" t="str">
            <v>RS</v>
          </cell>
          <cell r="B448">
            <v>2007</v>
          </cell>
          <cell r="D448" t="str">
            <v>SOJA</v>
          </cell>
          <cell r="E448">
            <v>25735.713</v>
          </cell>
        </row>
        <row r="449">
          <cell r="A449" t="str">
            <v>RS</v>
          </cell>
          <cell r="B449">
            <v>2007</v>
          </cell>
          <cell r="D449" t="str">
            <v>SOJA</v>
          </cell>
          <cell r="E449">
            <v>79562.731</v>
          </cell>
        </row>
        <row r="450">
          <cell r="A450" t="str">
            <v>RS</v>
          </cell>
          <cell r="B450">
            <v>2007</v>
          </cell>
          <cell r="D450" t="str">
            <v>SOJA</v>
          </cell>
          <cell r="E450">
            <v>15740.314</v>
          </cell>
        </row>
        <row r="451">
          <cell r="A451" t="str">
            <v>RS</v>
          </cell>
          <cell r="B451">
            <v>2007</v>
          </cell>
          <cell r="D451" t="str">
            <v>SOJA</v>
          </cell>
          <cell r="E451">
            <v>3508.7</v>
          </cell>
        </row>
        <row r="452">
          <cell r="A452" t="str">
            <v>RS</v>
          </cell>
          <cell r="B452">
            <v>2007</v>
          </cell>
          <cell r="D452" t="str">
            <v>SOJA</v>
          </cell>
          <cell r="E452">
            <v>5962.4930000000004</v>
          </cell>
        </row>
        <row r="453">
          <cell r="A453" t="str">
            <v>RS</v>
          </cell>
          <cell r="B453">
            <v>2007</v>
          </cell>
          <cell r="D453" t="str">
            <v>SOJA</v>
          </cell>
          <cell r="E453">
            <v>6544.4870000000001</v>
          </cell>
        </row>
        <row r="454">
          <cell r="A454" t="str">
            <v>RS</v>
          </cell>
          <cell r="B454">
            <v>2007</v>
          </cell>
          <cell r="D454" t="str">
            <v>SOJA</v>
          </cell>
          <cell r="E454">
            <v>599.03</v>
          </cell>
        </row>
        <row r="455">
          <cell r="A455" t="str">
            <v>RS</v>
          </cell>
          <cell r="B455">
            <v>2007</v>
          </cell>
          <cell r="D455" t="str">
            <v>SOJA</v>
          </cell>
          <cell r="E455">
            <v>848.26499999999999</v>
          </cell>
        </row>
        <row r="456">
          <cell r="A456" t="str">
            <v>RS</v>
          </cell>
          <cell r="B456">
            <v>2007</v>
          </cell>
          <cell r="D456" t="str">
            <v>SOJA</v>
          </cell>
          <cell r="E456">
            <v>13048.736000000001</v>
          </cell>
        </row>
        <row r="457">
          <cell r="A457" t="str">
            <v>RS</v>
          </cell>
          <cell r="B457">
            <v>2007</v>
          </cell>
          <cell r="D457" t="str">
            <v>SOJA</v>
          </cell>
          <cell r="E457">
            <v>9052.02</v>
          </cell>
        </row>
        <row r="458">
          <cell r="A458" t="str">
            <v>MT</v>
          </cell>
          <cell r="B458">
            <v>2007</v>
          </cell>
          <cell r="D458" t="str">
            <v>SOJA</v>
          </cell>
          <cell r="E458">
            <v>0</v>
          </cell>
        </row>
        <row r="459">
          <cell r="A459" t="str">
            <v>MT</v>
          </cell>
          <cell r="B459">
            <v>2007</v>
          </cell>
          <cell r="D459" t="str">
            <v>SOJA</v>
          </cell>
          <cell r="E459">
            <v>0</v>
          </cell>
        </row>
        <row r="460">
          <cell r="A460" t="str">
            <v>MT</v>
          </cell>
          <cell r="B460">
            <v>2007</v>
          </cell>
          <cell r="D460" t="str">
            <v>SOJA</v>
          </cell>
          <cell r="E460">
            <v>0</v>
          </cell>
        </row>
        <row r="461">
          <cell r="A461" t="str">
            <v>MT</v>
          </cell>
          <cell r="B461">
            <v>2007</v>
          </cell>
          <cell r="D461" t="str">
            <v>SOJA</v>
          </cell>
          <cell r="E461">
            <v>0</v>
          </cell>
        </row>
        <row r="462">
          <cell r="A462" t="str">
            <v>MT</v>
          </cell>
          <cell r="B462">
            <v>2007</v>
          </cell>
          <cell r="D462" t="str">
            <v>SOJA</v>
          </cell>
          <cell r="E462">
            <v>0</v>
          </cell>
        </row>
        <row r="463">
          <cell r="A463" t="str">
            <v>MT</v>
          </cell>
          <cell r="B463">
            <v>2007</v>
          </cell>
          <cell r="D463" t="str">
            <v>SOJA</v>
          </cell>
          <cell r="E463">
            <v>0</v>
          </cell>
        </row>
        <row r="464">
          <cell r="A464" t="str">
            <v>PI</v>
          </cell>
          <cell r="B464">
            <v>2007</v>
          </cell>
          <cell r="D464" t="str">
            <v>SOJA</v>
          </cell>
          <cell r="E464">
            <v>1303.508</v>
          </cell>
        </row>
        <row r="465">
          <cell r="A465" t="str">
            <v>PI</v>
          </cell>
          <cell r="B465">
            <v>2007</v>
          </cell>
          <cell r="D465" t="str">
            <v>SOJA</v>
          </cell>
          <cell r="E465">
            <v>8490.0069999999996</v>
          </cell>
        </row>
        <row r="466">
          <cell r="A466" t="str">
            <v>PI</v>
          </cell>
          <cell r="B466">
            <v>2007</v>
          </cell>
          <cell r="D466" t="str">
            <v>SOJA</v>
          </cell>
          <cell r="E466">
            <v>1916.8489999999999</v>
          </cell>
        </row>
        <row r="467">
          <cell r="A467" t="str">
            <v>PI</v>
          </cell>
          <cell r="B467">
            <v>2007</v>
          </cell>
          <cell r="D467" t="str">
            <v>SOJA</v>
          </cell>
          <cell r="E467">
            <v>28.76</v>
          </cell>
        </row>
        <row r="468">
          <cell r="A468" t="str">
            <v>MT</v>
          </cell>
          <cell r="B468">
            <v>2007</v>
          </cell>
          <cell r="D468" t="str">
            <v>MILHO</v>
          </cell>
          <cell r="E468">
            <v>548.16999999999996</v>
          </cell>
        </row>
        <row r="469">
          <cell r="A469" t="str">
            <v>MT</v>
          </cell>
          <cell r="B469">
            <v>2007</v>
          </cell>
          <cell r="D469" t="str">
            <v>MILHO</v>
          </cell>
          <cell r="E469">
            <v>3082.5169999999998</v>
          </cell>
        </row>
        <row r="470">
          <cell r="A470" t="str">
            <v>MT</v>
          </cell>
          <cell r="B470">
            <v>2007</v>
          </cell>
          <cell r="D470" t="str">
            <v>MILHO</v>
          </cell>
          <cell r="E470">
            <v>5904.8810000000003</v>
          </cell>
        </row>
        <row r="471">
          <cell r="A471" t="str">
            <v>MT</v>
          </cell>
          <cell r="B471">
            <v>2007</v>
          </cell>
          <cell r="D471" t="str">
            <v>MILHO</v>
          </cell>
          <cell r="E471">
            <v>1823.826</v>
          </cell>
        </row>
        <row r="472">
          <cell r="A472" t="str">
            <v>MT</v>
          </cell>
          <cell r="B472">
            <v>2007</v>
          </cell>
          <cell r="D472" t="str">
            <v>MILHO</v>
          </cell>
          <cell r="E472">
            <v>226.46700000000001</v>
          </cell>
        </row>
        <row r="473">
          <cell r="A473" t="str">
            <v>MT</v>
          </cell>
          <cell r="B473">
            <v>2007</v>
          </cell>
          <cell r="D473" t="str">
            <v>MILHO</v>
          </cell>
          <cell r="E473">
            <v>0</v>
          </cell>
        </row>
        <row r="474">
          <cell r="A474" t="str">
            <v>MT</v>
          </cell>
          <cell r="B474">
            <v>2007</v>
          </cell>
          <cell r="D474" t="str">
            <v>MILHO</v>
          </cell>
          <cell r="E474">
            <v>0</v>
          </cell>
        </row>
        <row r="475">
          <cell r="A475" t="str">
            <v>MT</v>
          </cell>
          <cell r="B475">
            <v>2007</v>
          </cell>
          <cell r="D475" t="str">
            <v>SOJA</v>
          </cell>
          <cell r="E475">
            <v>112.931</v>
          </cell>
        </row>
        <row r="476">
          <cell r="A476" t="str">
            <v>MT</v>
          </cell>
          <cell r="B476">
            <v>2007</v>
          </cell>
          <cell r="D476" t="str">
            <v>SOJA</v>
          </cell>
          <cell r="E476">
            <v>4666.3919999999998</v>
          </cell>
        </row>
        <row r="477">
          <cell r="A477" t="str">
            <v>MT</v>
          </cell>
          <cell r="B477">
            <v>2007</v>
          </cell>
          <cell r="D477" t="str">
            <v>SOJA</v>
          </cell>
          <cell r="E477">
            <v>5709.5559999999996</v>
          </cell>
        </row>
        <row r="478">
          <cell r="A478" t="str">
            <v>MT</v>
          </cell>
          <cell r="B478">
            <v>2007</v>
          </cell>
          <cell r="D478" t="str">
            <v>SOJA</v>
          </cell>
          <cell r="E478">
            <v>2307.9290000000001</v>
          </cell>
        </row>
        <row r="479">
          <cell r="A479" t="str">
            <v>MT</v>
          </cell>
          <cell r="B479">
            <v>2007</v>
          </cell>
          <cell r="D479" t="str">
            <v>SOJA</v>
          </cell>
          <cell r="E479">
            <v>0</v>
          </cell>
        </row>
        <row r="480">
          <cell r="A480" t="str">
            <v>MT</v>
          </cell>
          <cell r="B480">
            <v>2007</v>
          </cell>
          <cell r="D480" t="str">
            <v>SOJA</v>
          </cell>
          <cell r="E480">
            <v>0</v>
          </cell>
        </row>
        <row r="481">
          <cell r="A481" t="str">
            <v>MT</v>
          </cell>
          <cell r="B481">
            <v>2007</v>
          </cell>
          <cell r="D481" t="str">
            <v>SOJA</v>
          </cell>
          <cell r="E481">
            <v>0</v>
          </cell>
        </row>
        <row r="482">
          <cell r="A482" t="str">
            <v>MT</v>
          </cell>
          <cell r="B482">
            <v>2007</v>
          </cell>
          <cell r="D482" t="str">
            <v>MILHO</v>
          </cell>
          <cell r="E482">
            <v>0</v>
          </cell>
        </row>
        <row r="483">
          <cell r="A483" t="str">
            <v>MT</v>
          </cell>
          <cell r="B483">
            <v>2007</v>
          </cell>
          <cell r="D483" t="str">
            <v>MILHO</v>
          </cell>
          <cell r="E483">
            <v>0</v>
          </cell>
        </row>
        <row r="484">
          <cell r="A484" t="str">
            <v>MT</v>
          </cell>
          <cell r="B484">
            <v>2007</v>
          </cell>
          <cell r="D484" t="str">
            <v>MILHO</v>
          </cell>
          <cell r="E484">
            <v>0</v>
          </cell>
        </row>
        <row r="485">
          <cell r="A485" t="str">
            <v>MT</v>
          </cell>
          <cell r="B485">
            <v>2007</v>
          </cell>
          <cell r="D485" t="str">
            <v>MILHO</v>
          </cell>
          <cell r="E485">
            <v>0</v>
          </cell>
        </row>
        <row r="486">
          <cell r="A486" t="str">
            <v>MT</v>
          </cell>
          <cell r="B486">
            <v>2007</v>
          </cell>
          <cell r="D486" t="str">
            <v>SOJA</v>
          </cell>
          <cell r="E486">
            <v>2732.9340000000002</v>
          </cell>
        </row>
        <row r="487">
          <cell r="A487" t="str">
            <v>MT</v>
          </cell>
          <cell r="B487">
            <v>2007</v>
          </cell>
          <cell r="D487" t="str">
            <v>SOJA</v>
          </cell>
          <cell r="E487">
            <v>6992.4709999999995</v>
          </cell>
        </row>
        <row r="488">
          <cell r="A488" t="str">
            <v>MT</v>
          </cell>
          <cell r="B488">
            <v>2007</v>
          </cell>
          <cell r="D488" t="str">
            <v>SOJA</v>
          </cell>
          <cell r="E488">
            <v>0.22900000000000001</v>
          </cell>
        </row>
        <row r="489">
          <cell r="A489" t="str">
            <v>MT</v>
          </cell>
          <cell r="B489">
            <v>2007</v>
          </cell>
          <cell r="D489" t="str">
            <v>SOJA</v>
          </cell>
          <cell r="E489">
            <v>2494</v>
          </cell>
        </row>
        <row r="490">
          <cell r="A490" t="str">
            <v>MT</v>
          </cell>
          <cell r="B490">
            <v>2007</v>
          </cell>
          <cell r="D490" t="str">
            <v>SOJA</v>
          </cell>
          <cell r="E490">
            <v>22.75</v>
          </cell>
        </row>
        <row r="491">
          <cell r="A491" t="str">
            <v>MT</v>
          </cell>
          <cell r="B491">
            <v>2007</v>
          </cell>
          <cell r="D491" t="str">
            <v>SOJA</v>
          </cell>
          <cell r="E491">
            <v>0</v>
          </cell>
        </row>
        <row r="492">
          <cell r="A492" t="str">
            <v>MT</v>
          </cell>
          <cell r="B492">
            <v>2007</v>
          </cell>
          <cell r="D492" t="str">
            <v>SOJA</v>
          </cell>
          <cell r="E492">
            <v>0</v>
          </cell>
        </row>
        <row r="493">
          <cell r="A493" t="str">
            <v>MS</v>
          </cell>
          <cell r="B493">
            <v>2007</v>
          </cell>
          <cell r="D493" t="str">
            <v>MILHO</v>
          </cell>
          <cell r="E493">
            <v>0</v>
          </cell>
        </row>
        <row r="494">
          <cell r="A494" t="str">
            <v>MS</v>
          </cell>
          <cell r="B494">
            <v>2007</v>
          </cell>
          <cell r="D494" t="str">
            <v>MILHO</v>
          </cell>
          <cell r="E494">
            <v>0</v>
          </cell>
        </row>
        <row r="495">
          <cell r="A495" t="str">
            <v>MS</v>
          </cell>
          <cell r="B495">
            <v>2007</v>
          </cell>
          <cell r="D495" t="str">
            <v>MILHO</v>
          </cell>
          <cell r="E495">
            <v>0</v>
          </cell>
        </row>
        <row r="496">
          <cell r="A496" t="str">
            <v>MS</v>
          </cell>
          <cell r="B496">
            <v>2007</v>
          </cell>
          <cell r="D496" t="str">
            <v>MILHO</v>
          </cell>
          <cell r="E496">
            <v>0</v>
          </cell>
        </row>
        <row r="497">
          <cell r="A497" t="str">
            <v>MS</v>
          </cell>
          <cell r="B497">
            <v>2007</v>
          </cell>
          <cell r="D497" t="str">
            <v>MILHO</v>
          </cell>
          <cell r="E497">
            <v>4514.9589999999998</v>
          </cell>
        </row>
        <row r="498">
          <cell r="A498" t="str">
            <v>MS</v>
          </cell>
          <cell r="B498">
            <v>2007</v>
          </cell>
          <cell r="D498" t="str">
            <v>MILHO</v>
          </cell>
          <cell r="E498">
            <v>41.808999999999997</v>
          </cell>
        </row>
        <row r="499">
          <cell r="A499" t="str">
            <v>MS</v>
          </cell>
          <cell r="B499">
            <v>2007</v>
          </cell>
          <cell r="D499" t="str">
            <v>MILHO</v>
          </cell>
          <cell r="E499">
            <v>0</v>
          </cell>
        </row>
        <row r="500">
          <cell r="A500" t="str">
            <v>MS</v>
          </cell>
          <cell r="B500">
            <v>2007</v>
          </cell>
          <cell r="D500" t="str">
            <v>MILHO</v>
          </cell>
          <cell r="E500">
            <v>150.78</v>
          </cell>
        </row>
        <row r="501">
          <cell r="A501" t="str">
            <v>MS</v>
          </cell>
          <cell r="B501">
            <v>2007</v>
          </cell>
          <cell r="D501" t="str">
            <v>MILHO</v>
          </cell>
          <cell r="E501">
            <v>0</v>
          </cell>
        </row>
        <row r="502">
          <cell r="A502" t="str">
            <v>MS</v>
          </cell>
          <cell r="B502">
            <v>2007</v>
          </cell>
          <cell r="D502" t="str">
            <v>SOJA</v>
          </cell>
          <cell r="E502">
            <v>25622.708999999999</v>
          </cell>
        </row>
        <row r="503">
          <cell r="A503" t="str">
            <v>MS</v>
          </cell>
          <cell r="B503">
            <v>2007</v>
          </cell>
          <cell r="D503" t="str">
            <v>SOJA</v>
          </cell>
          <cell r="E503">
            <v>71764.619000000006</v>
          </cell>
        </row>
        <row r="504">
          <cell r="A504" t="str">
            <v>MS</v>
          </cell>
          <cell r="B504">
            <v>2007</v>
          </cell>
          <cell r="D504" t="str">
            <v>SOJA</v>
          </cell>
          <cell r="E504">
            <v>20585.173999999999</v>
          </cell>
        </row>
        <row r="505">
          <cell r="A505" t="str">
            <v>MS</v>
          </cell>
          <cell r="B505">
            <v>2007</v>
          </cell>
          <cell r="D505" t="str">
            <v>SOJA</v>
          </cell>
          <cell r="E505">
            <v>5558.9949999999999</v>
          </cell>
        </row>
        <row r="506">
          <cell r="A506" t="str">
            <v>MS</v>
          </cell>
          <cell r="B506">
            <v>2007</v>
          </cell>
          <cell r="D506" t="str">
            <v>SOJA</v>
          </cell>
          <cell r="E506">
            <v>8344.7870000000003</v>
          </cell>
        </row>
        <row r="507">
          <cell r="A507" t="str">
            <v>MS</v>
          </cell>
          <cell r="B507">
            <v>2007</v>
          </cell>
          <cell r="D507" t="str">
            <v>SOJA</v>
          </cell>
          <cell r="E507">
            <v>5382.4250000000002</v>
          </cell>
        </row>
        <row r="508">
          <cell r="A508" t="str">
            <v>MS</v>
          </cell>
          <cell r="B508">
            <v>2007</v>
          </cell>
          <cell r="D508" t="str">
            <v>SOJA</v>
          </cell>
          <cell r="E508">
            <v>14755.237999999999</v>
          </cell>
        </row>
        <row r="509">
          <cell r="A509" t="str">
            <v>MS</v>
          </cell>
          <cell r="B509">
            <v>2007</v>
          </cell>
          <cell r="D509" t="str">
            <v>SOJA</v>
          </cell>
          <cell r="E509">
            <v>6628.8739999999998</v>
          </cell>
        </row>
        <row r="510">
          <cell r="A510" t="str">
            <v>MS</v>
          </cell>
          <cell r="B510">
            <v>2007</v>
          </cell>
          <cell r="D510" t="str">
            <v>SOJA</v>
          </cell>
          <cell r="E510">
            <v>3277.614</v>
          </cell>
        </row>
        <row r="511">
          <cell r="A511" t="str">
            <v>MS</v>
          </cell>
          <cell r="B511">
            <v>2007</v>
          </cell>
          <cell r="D511" t="str">
            <v>SOJA</v>
          </cell>
          <cell r="E511">
            <v>5297.7309999999998</v>
          </cell>
        </row>
        <row r="512">
          <cell r="A512" t="str">
            <v>MS</v>
          </cell>
          <cell r="B512">
            <v>2007</v>
          </cell>
          <cell r="D512" t="str">
            <v>SOJA</v>
          </cell>
          <cell r="E512">
            <v>2368.067</v>
          </cell>
        </row>
        <row r="513">
          <cell r="A513" t="str">
            <v>BA</v>
          </cell>
          <cell r="B513">
            <v>2007</v>
          </cell>
          <cell r="D513" t="str">
            <v>SOJA</v>
          </cell>
          <cell r="E513">
            <v>6524.942</v>
          </cell>
        </row>
        <row r="514">
          <cell r="A514" t="str">
            <v>BA</v>
          </cell>
          <cell r="B514">
            <v>2007</v>
          </cell>
          <cell r="D514" t="str">
            <v>SOJA</v>
          </cell>
          <cell r="E514">
            <v>31524.191999999999</v>
          </cell>
        </row>
        <row r="515">
          <cell r="A515" t="str">
            <v>BA</v>
          </cell>
          <cell r="B515">
            <v>2007</v>
          </cell>
          <cell r="D515" t="str">
            <v>SOJA</v>
          </cell>
          <cell r="E515">
            <v>1218.182</v>
          </cell>
        </row>
        <row r="516">
          <cell r="A516" t="str">
            <v>BA</v>
          </cell>
          <cell r="B516">
            <v>2007</v>
          </cell>
          <cell r="D516" t="str">
            <v>SOJA</v>
          </cell>
          <cell r="E516">
            <v>33.5</v>
          </cell>
        </row>
        <row r="517">
          <cell r="A517" t="str">
            <v>BA</v>
          </cell>
          <cell r="B517">
            <v>2007</v>
          </cell>
          <cell r="D517" t="str">
            <v>SOJA</v>
          </cell>
          <cell r="E517">
            <v>90.39</v>
          </cell>
        </row>
        <row r="518">
          <cell r="A518" t="str">
            <v>GO</v>
          </cell>
          <cell r="B518">
            <v>2007</v>
          </cell>
          <cell r="D518" t="str">
            <v>SOJA</v>
          </cell>
          <cell r="E518">
            <v>2780.607</v>
          </cell>
        </row>
        <row r="519">
          <cell r="A519" t="str">
            <v>GO</v>
          </cell>
          <cell r="B519">
            <v>2007</v>
          </cell>
          <cell r="D519" t="str">
            <v>SOJA</v>
          </cell>
          <cell r="E519">
            <v>17687.008999999998</v>
          </cell>
        </row>
        <row r="520">
          <cell r="A520" t="str">
            <v>GO</v>
          </cell>
          <cell r="B520">
            <v>2007</v>
          </cell>
          <cell r="D520" t="str">
            <v>SOJA</v>
          </cell>
          <cell r="E520">
            <v>3136.1329999999998</v>
          </cell>
        </row>
        <row r="521">
          <cell r="A521" t="str">
            <v>GO</v>
          </cell>
          <cell r="B521">
            <v>2007</v>
          </cell>
          <cell r="D521" t="str">
            <v>SOJA</v>
          </cell>
          <cell r="E521">
            <v>1107.066</v>
          </cell>
        </row>
        <row r="522">
          <cell r="A522" t="str">
            <v>GO</v>
          </cell>
          <cell r="B522">
            <v>2007</v>
          </cell>
          <cell r="D522" t="str">
            <v>SOJA</v>
          </cell>
          <cell r="E522">
            <v>171</v>
          </cell>
        </row>
        <row r="523">
          <cell r="A523" t="str">
            <v>GO</v>
          </cell>
          <cell r="B523">
            <v>2007</v>
          </cell>
          <cell r="D523" t="str">
            <v>SOJA</v>
          </cell>
          <cell r="E523">
            <v>276.14699999999999</v>
          </cell>
        </row>
        <row r="524">
          <cell r="A524" t="str">
            <v>GO</v>
          </cell>
          <cell r="B524">
            <v>2007</v>
          </cell>
          <cell r="D524" t="str">
            <v>SOJA</v>
          </cell>
          <cell r="E524">
            <v>155</v>
          </cell>
        </row>
        <row r="525">
          <cell r="A525" t="str">
            <v>GO</v>
          </cell>
          <cell r="B525">
            <v>2007</v>
          </cell>
          <cell r="D525" t="str">
            <v>SOJA</v>
          </cell>
          <cell r="E525">
            <v>81.768000000000001</v>
          </cell>
        </row>
        <row r="526">
          <cell r="A526" t="str">
            <v>GO</v>
          </cell>
          <cell r="B526">
            <v>2007</v>
          </cell>
          <cell r="D526" t="str">
            <v>SOJA</v>
          </cell>
          <cell r="E526">
            <v>31.7</v>
          </cell>
        </row>
        <row r="527">
          <cell r="A527" t="str">
            <v>BA</v>
          </cell>
          <cell r="B527">
            <v>2007</v>
          </cell>
          <cell r="D527" t="str">
            <v>SOJA</v>
          </cell>
          <cell r="E527">
            <v>32269.399000000001</v>
          </cell>
        </row>
        <row r="528">
          <cell r="A528" t="str">
            <v>BA</v>
          </cell>
          <cell r="B528">
            <v>2007</v>
          </cell>
          <cell r="D528" t="str">
            <v>SOJA</v>
          </cell>
          <cell r="E528">
            <v>34485.656000000003</v>
          </cell>
        </row>
        <row r="529">
          <cell r="A529" t="str">
            <v>BA</v>
          </cell>
          <cell r="B529">
            <v>2007</v>
          </cell>
          <cell r="D529" t="str">
            <v>SOJA</v>
          </cell>
          <cell r="E529">
            <v>4078.0160000000001</v>
          </cell>
        </row>
        <row r="530">
          <cell r="A530" t="str">
            <v>BA</v>
          </cell>
          <cell r="B530">
            <v>2007</v>
          </cell>
          <cell r="D530" t="str">
            <v>SOJA</v>
          </cell>
          <cell r="E530">
            <v>58.761000000000003</v>
          </cell>
        </row>
        <row r="531">
          <cell r="A531" t="str">
            <v>BA</v>
          </cell>
          <cell r="B531">
            <v>2007</v>
          </cell>
          <cell r="D531" t="str">
            <v>SOJA</v>
          </cell>
          <cell r="E531">
            <v>101.54300000000001</v>
          </cell>
        </row>
        <row r="532">
          <cell r="A532" t="str">
            <v>BA</v>
          </cell>
          <cell r="B532">
            <v>2007</v>
          </cell>
          <cell r="D532" t="str">
            <v>SOJA</v>
          </cell>
          <cell r="E532">
            <v>20.701000000000001</v>
          </cell>
        </row>
        <row r="533">
          <cell r="A533" t="str">
            <v>BA</v>
          </cell>
          <cell r="B533">
            <v>2007</v>
          </cell>
          <cell r="D533" t="str">
            <v>SOJA</v>
          </cell>
          <cell r="E533">
            <v>42.9</v>
          </cell>
        </row>
        <row r="534">
          <cell r="A534" t="str">
            <v>BA</v>
          </cell>
          <cell r="B534">
            <v>2007</v>
          </cell>
          <cell r="D534" t="str">
            <v>SOJA</v>
          </cell>
          <cell r="E534">
            <v>3913.7919999999999</v>
          </cell>
        </row>
        <row r="535">
          <cell r="A535" t="str">
            <v>BA</v>
          </cell>
          <cell r="B535">
            <v>2007</v>
          </cell>
          <cell r="D535" t="str">
            <v>SOJA</v>
          </cell>
          <cell r="E535">
            <v>36425.449000000001</v>
          </cell>
        </row>
        <row r="536">
          <cell r="A536" t="str">
            <v>BA</v>
          </cell>
          <cell r="B536">
            <v>2007</v>
          </cell>
          <cell r="D536" t="str">
            <v>SOJA</v>
          </cell>
          <cell r="E536">
            <v>11389.039000000001</v>
          </cell>
        </row>
        <row r="537">
          <cell r="A537" t="str">
            <v>BA</v>
          </cell>
          <cell r="B537">
            <v>2007</v>
          </cell>
          <cell r="D537" t="str">
            <v>SOJA</v>
          </cell>
          <cell r="E537">
            <v>153.03</v>
          </cell>
        </row>
        <row r="538">
          <cell r="A538" t="str">
            <v>BA</v>
          </cell>
          <cell r="B538">
            <v>2007</v>
          </cell>
          <cell r="D538" t="str">
            <v>SOJA</v>
          </cell>
          <cell r="E538">
            <v>121.63200000000001</v>
          </cell>
        </row>
        <row r="539">
          <cell r="A539" t="str">
            <v>BA</v>
          </cell>
          <cell r="B539">
            <v>2007</v>
          </cell>
          <cell r="D539" t="str">
            <v>SOJA</v>
          </cell>
          <cell r="E539">
            <v>233.52199999999999</v>
          </cell>
        </row>
        <row r="540">
          <cell r="A540" t="str">
            <v>RS</v>
          </cell>
          <cell r="B540">
            <v>2007</v>
          </cell>
          <cell r="D540" t="str">
            <v>MILHO</v>
          </cell>
          <cell r="E540">
            <v>3496.9140000000002</v>
          </cell>
        </row>
        <row r="541">
          <cell r="A541" t="str">
            <v>RS</v>
          </cell>
          <cell r="B541">
            <v>2007</v>
          </cell>
          <cell r="D541" t="str">
            <v>MILHO</v>
          </cell>
          <cell r="E541">
            <v>4620.8789999999999</v>
          </cell>
        </row>
        <row r="542">
          <cell r="A542" t="str">
            <v>RS</v>
          </cell>
          <cell r="B542">
            <v>2007</v>
          </cell>
          <cell r="D542" t="str">
            <v>MILHO</v>
          </cell>
          <cell r="E542">
            <v>38.262999999999998</v>
          </cell>
        </row>
        <row r="543">
          <cell r="A543" t="str">
            <v>RS</v>
          </cell>
          <cell r="B543">
            <v>2007</v>
          </cell>
          <cell r="D543" t="str">
            <v>SOJA</v>
          </cell>
          <cell r="E543">
            <v>3081.2269999999999</v>
          </cell>
        </row>
        <row r="544">
          <cell r="A544" t="str">
            <v>RS</v>
          </cell>
          <cell r="B544">
            <v>2007</v>
          </cell>
          <cell r="D544" t="str">
            <v>SOJA</v>
          </cell>
          <cell r="E544">
            <v>24298.99</v>
          </cell>
        </row>
        <row r="545">
          <cell r="A545" t="str">
            <v>RS</v>
          </cell>
          <cell r="B545">
            <v>2007</v>
          </cell>
          <cell r="D545" t="str">
            <v>SOJA</v>
          </cell>
          <cell r="E545">
            <v>5701.741</v>
          </cell>
        </row>
        <row r="546">
          <cell r="A546" t="str">
            <v>RS</v>
          </cell>
          <cell r="B546">
            <v>2007</v>
          </cell>
          <cell r="D546" t="str">
            <v>SOJA</v>
          </cell>
          <cell r="E546">
            <v>164.828</v>
          </cell>
        </row>
        <row r="547">
          <cell r="A547" t="str">
            <v>RS</v>
          </cell>
          <cell r="B547">
            <v>2007</v>
          </cell>
          <cell r="D547" t="str">
            <v>SOJA</v>
          </cell>
          <cell r="E547">
            <v>621.69600000000003</v>
          </cell>
        </row>
        <row r="548">
          <cell r="A548" t="str">
            <v>RS</v>
          </cell>
          <cell r="B548">
            <v>2007</v>
          </cell>
          <cell r="D548" t="str">
            <v>SOJA</v>
          </cell>
          <cell r="E548">
            <v>903.31299999999999</v>
          </cell>
        </row>
        <row r="549">
          <cell r="A549" t="str">
            <v>RS</v>
          </cell>
          <cell r="B549">
            <v>2007</v>
          </cell>
          <cell r="D549" t="str">
            <v>SOJA</v>
          </cell>
          <cell r="E549">
            <v>475.49200000000002</v>
          </cell>
        </row>
        <row r="550">
          <cell r="A550" t="str">
            <v>RS</v>
          </cell>
          <cell r="B550">
            <v>2007</v>
          </cell>
          <cell r="D550" t="str">
            <v>SOJA</v>
          </cell>
          <cell r="E550">
            <v>606.29999999999995</v>
          </cell>
        </row>
        <row r="551">
          <cell r="A551" t="str">
            <v>RS</v>
          </cell>
          <cell r="B551">
            <v>2007</v>
          </cell>
          <cell r="D551" t="str">
            <v>SOJA</v>
          </cell>
          <cell r="E551">
            <v>34.56</v>
          </cell>
        </row>
        <row r="552">
          <cell r="A552" t="str">
            <v>RS</v>
          </cell>
          <cell r="B552">
            <v>2007</v>
          </cell>
          <cell r="D552" t="str">
            <v>SOJA</v>
          </cell>
          <cell r="E552">
            <v>173.34</v>
          </cell>
        </row>
        <row r="553">
          <cell r="A553" t="str">
            <v>TO</v>
          </cell>
          <cell r="B553">
            <v>2007</v>
          </cell>
          <cell r="D553" t="str">
            <v>SOJA</v>
          </cell>
          <cell r="E553">
            <v>984.19299999999998</v>
          </cell>
        </row>
        <row r="554">
          <cell r="A554" t="str">
            <v>TO</v>
          </cell>
          <cell r="B554">
            <v>2007</v>
          </cell>
          <cell r="D554" t="str">
            <v>SOJA</v>
          </cell>
          <cell r="E554">
            <v>24719.56</v>
          </cell>
        </row>
        <row r="555">
          <cell r="A555" t="str">
            <v>TO</v>
          </cell>
          <cell r="B555">
            <v>2007</v>
          </cell>
          <cell r="D555" t="str">
            <v>SOJA</v>
          </cell>
          <cell r="E555">
            <v>25934.117999999999</v>
          </cell>
        </row>
        <row r="556">
          <cell r="A556" t="str">
            <v>TO</v>
          </cell>
          <cell r="B556">
            <v>2007</v>
          </cell>
          <cell r="D556" t="str">
            <v>SOJA</v>
          </cell>
          <cell r="E556">
            <v>498.81900000000002</v>
          </cell>
        </row>
        <row r="557">
          <cell r="A557" t="str">
            <v>TO</v>
          </cell>
          <cell r="B557">
            <v>2007</v>
          </cell>
          <cell r="D557" t="str">
            <v>SOJA</v>
          </cell>
          <cell r="E557">
            <v>4.7519999999999998</v>
          </cell>
        </row>
        <row r="558">
          <cell r="A558" t="str">
            <v>PR</v>
          </cell>
          <cell r="B558">
            <v>2007</v>
          </cell>
          <cell r="D558" t="str">
            <v>MILHO</v>
          </cell>
          <cell r="E558">
            <v>179.99</v>
          </cell>
        </row>
        <row r="559">
          <cell r="A559" t="str">
            <v>PR</v>
          </cell>
          <cell r="B559">
            <v>2007</v>
          </cell>
          <cell r="D559" t="str">
            <v>MILHO</v>
          </cell>
          <cell r="E559">
            <v>777.36800000000005</v>
          </cell>
        </row>
        <row r="560">
          <cell r="A560" t="str">
            <v>PR</v>
          </cell>
          <cell r="B560">
            <v>2007</v>
          </cell>
          <cell r="D560" t="str">
            <v>MILHO</v>
          </cell>
          <cell r="E560">
            <v>84.751999999999995</v>
          </cell>
        </row>
        <row r="561">
          <cell r="A561" t="str">
            <v>PR</v>
          </cell>
          <cell r="B561">
            <v>2007</v>
          </cell>
          <cell r="D561" t="str">
            <v>MILHO</v>
          </cell>
          <cell r="E561">
            <v>0</v>
          </cell>
        </row>
        <row r="562">
          <cell r="A562" t="str">
            <v>PR</v>
          </cell>
          <cell r="B562">
            <v>2007</v>
          </cell>
          <cell r="D562" t="str">
            <v>MILHO</v>
          </cell>
          <cell r="E562">
            <v>0</v>
          </cell>
        </row>
        <row r="563">
          <cell r="A563" t="str">
            <v>PR</v>
          </cell>
          <cell r="B563">
            <v>2007</v>
          </cell>
          <cell r="D563" t="str">
            <v>MILHO</v>
          </cell>
          <cell r="E563">
            <v>0</v>
          </cell>
        </row>
        <row r="564">
          <cell r="A564" t="str">
            <v>PR</v>
          </cell>
          <cell r="B564">
            <v>2007</v>
          </cell>
          <cell r="D564" t="str">
            <v>MILHO</v>
          </cell>
          <cell r="E564">
            <v>0</v>
          </cell>
        </row>
        <row r="565">
          <cell r="A565" t="str">
            <v>PR</v>
          </cell>
          <cell r="B565">
            <v>2007</v>
          </cell>
          <cell r="D565" t="str">
            <v>MILHO</v>
          </cell>
          <cell r="E565">
            <v>0</v>
          </cell>
        </row>
        <row r="566">
          <cell r="A566" t="str">
            <v>PR</v>
          </cell>
          <cell r="B566">
            <v>2007</v>
          </cell>
          <cell r="D566" t="str">
            <v>MILHO</v>
          </cell>
          <cell r="E566">
            <v>0</v>
          </cell>
        </row>
        <row r="567">
          <cell r="A567" t="str">
            <v>PR</v>
          </cell>
          <cell r="B567">
            <v>2007</v>
          </cell>
          <cell r="D567" t="str">
            <v>SOJA</v>
          </cell>
          <cell r="E567">
            <v>1975.395</v>
          </cell>
        </row>
        <row r="568">
          <cell r="A568" t="str">
            <v>PR</v>
          </cell>
          <cell r="B568">
            <v>2007</v>
          </cell>
          <cell r="D568" t="str">
            <v>SOJA</v>
          </cell>
          <cell r="E568">
            <v>12021.26</v>
          </cell>
        </row>
        <row r="569">
          <cell r="A569" t="str">
            <v>PR</v>
          </cell>
          <cell r="B569">
            <v>2007</v>
          </cell>
          <cell r="D569" t="str">
            <v>SOJA</v>
          </cell>
          <cell r="E569">
            <v>2480.7959999999998</v>
          </cell>
        </row>
        <row r="570">
          <cell r="A570" t="str">
            <v>PR</v>
          </cell>
          <cell r="B570">
            <v>2007</v>
          </cell>
          <cell r="D570" t="str">
            <v>SOJA</v>
          </cell>
          <cell r="E570">
            <v>0</v>
          </cell>
        </row>
        <row r="571">
          <cell r="A571" t="str">
            <v>PR</v>
          </cell>
          <cell r="B571">
            <v>2007</v>
          </cell>
          <cell r="D571" t="str">
            <v>SOJA</v>
          </cell>
          <cell r="E571">
            <v>0</v>
          </cell>
        </row>
        <row r="572">
          <cell r="A572" t="str">
            <v>PR</v>
          </cell>
          <cell r="B572">
            <v>2007</v>
          </cell>
          <cell r="D572" t="str">
            <v>SOJA</v>
          </cell>
          <cell r="E572">
            <v>0</v>
          </cell>
        </row>
        <row r="573">
          <cell r="A573" t="str">
            <v>PR</v>
          </cell>
          <cell r="B573">
            <v>2007</v>
          </cell>
          <cell r="D573" t="str">
            <v>SOJA</v>
          </cell>
          <cell r="E573">
            <v>0</v>
          </cell>
        </row>
        <row r="574">
          <cell r="A574" t="str">
            <v>PR</v>
          </cell>
          <cell r="B574">
            <v>2007</v>
          </cell>
          <cell r="D574" t="str">
            <v>SOJA</v>
          </cell>
          <cell r="E574">
            <v>13.521000000000001</v>
          </cell>
        </row>
        <row r="575">
          <cell r="A575" t="str">
            <v>TO</v>
          </cell>
          <cell r="B575">
            <v>2007</v>
          </cell>
          <cell r="D575" t="str">
            <v>SOJA</v>
          </cell>
          <cell r="E575">
            <v>1.3160000000000001</v>
          </cell>
        </row>
        <row r="576">
          <cell r="A576" t="str">
            <v>TO</v>
          </cell>
          <cell r="B576">
            <v>2007</v>
          </cell>
          <cell r="D576" t="str">
            <v>SOJA</v>
          </cell>
          <cell r="E576">
            <v>4697.7430000000004</v>
          </cell>
        </row>
        <row r="577">
          <cell r="A577" t="str">
            <v>TO</v>
          </cell>
          <cell r="B577">
            <v>2007</v>
          </cell>
          <cell r="D577" t="str">
            <v>SOJA</v>
          </cell>
          <cell r="E577">
            <v>7607.0389999999998</v>
          </cell>
        </row>
        <row r="578">
          <cell r="A578" t="str">
            <v>TO</v>
          </cell>
          <cell r="B578">
            <v>2007</v>
          </cell>
          <cell r="D578" t="str">
            <v>SOJA</v>
          </cell>
          <cell r="E578">
            <v>38.152999999999999</v>
          </cell>
        </row>
        <row r="579">
          <cell r="A579" t="str">
            <v>TO</v>
          </cell>
          <cell r="B579">
            <v>2007</v>
          </cell>
          <cell r="D579" t="str">
            <v>SOJA</v>
          </cell>
          <cell r="E579">
            <v>0</v>
          </cell>
        </row>
        <row r="580">
          <cell r="A580" t="str">
            <v>TO</v>
          </cell>
          <cell r="B580">
            <v>2007</v>
          </cell>
          <cell r="D580" t="str">
            <v>SOJA</v>
          </cell>
          <cell r="E580">
            <v>0</v>
          </cell>
        </row>
        <row r="581">
          <cell r="A581" t="str">
            <v>TO</v>
          </cell>
          <cell r="B581">
            <v>2007</v>
          </cell>
          <cell r="D581" t="str">
            <v>SOJA</v>
          </cell>
          <cell r="E581">
            <v>0</v>
          </cell>
        </row>
        <row r="582">
          <cell r="A582" t="str">
            <v>PR</v>
          </cell>
          <cell r="B582">
            <v>2007</v>
          </cell>
          <cell r="D582" t="str">
            <v>MILHO</v>
          </cell>
          <cell r="E582">
            <v>1175.373</v>
          </cell>
        </row>
        <row r="583">
          <cell r="A583" t="str">
            <v>PR</v>
          </cell>
          <cell r="B583">
            <v>2007</v>
          </cell>
          <cell r="D583" t="str">
            <v>MILHO</v>
          </cell>
          <cell r="E583">
            <v>4111.8320000000003</v>
          </cell>
        </row>
        <row r="584">
          <cell r="A584" t="str">
            <v>PR</v>
          </cell>
          <cell r="B584">
            <v>2007</v>
          </cell>
          <cell r="D584" t="str">
            <v>SOJA</v>
          </cell>
          <cell r="E584">
            <v>254.63900000000001</v>
          </cell>
        </row>
        <row r="585">
          <cell r="A585" t="str">
            <v>PR</v>
          </cell>
          <cell r="B585">
            <v>2007</v>
          </cell>
          <cell r="D585" t="str">
            <v>SOJA</v>
          </cell>
          <cell r="E585">
            <v>7461.82</v>
          </cell>
        </row>
        <row r="586">
          <cell r="A586" t="str">
            <v>PR</v>
          </cell>
          <cell r="B586">
            <v>2007</v>
          </cell>
          <cell r="D586" t="str">
            <v>SOJA</v>
          </cell>
          <cell r="E586">
            <v>5563.6940000000004</v>
          </cell>
        </row>
        <row r="587">
          <cell r="A587" t="str">
            <v>PR</v>
          </cell>
          <cell r="B587">
            <v>2007</v>
          </cell>
          <cell r="D587" t="str">
            <v>SOJA</v>
          </cell>
          <cell r="E587">
            <v>152.66</v>
          </cell>
        </row>
        <row r="588">
          <cell r="A588" t="str">
            <v>PR</v>
          </cell>
          <cell r="B588">
            <v>2007</v>
          </cell>
          <cell r="D588" t="str">
            <v>SOJA</v>
          </cell>
          <cell r="E588">
            <v>6.3559999999999999</v>
          </cell>
        </row>
        <row r="589">
          <cell r="A589" t="str">
            <v>PR</v>
          </cell>
          <cell r="B589">
            <v>2007</v>
          </cell>
          <cell r="D589" t="str">
            <v>MILHO</v>
          </cell>
          <cell r="E589">
            <v>905.60599999999999</v>
          </cell>
        </row>
        <row r="590">
          <cell r="A590" t="str">
            <v>PR</v>
          </cell>
          <cell r="B590">
            <v>2007</v>
          </cell>
          <cell r="D590" t="str">
            <v>MILHO</v>
          </cell>
          <cell r="E590">
            <v>4177.7870000000003</v>
          </cell>
        </row>
        <row r="591">
          <cell r="A591" t="str">
            <v>PR</v>
          </cell>
          <cell r="B591">
            <v>2007</v>
          </cell>
          <cell r="D591" t="str">
            <v>MILHO</v>
          </cell>
          <cell r="E591">
            <v>896.98299999999995</v>
          </cell>
        </row>
        <row r="592">
          <cell r="A592" t="str">
            <v>PR</v>
          </cell>
          <cell r="B592">
            <v>2007</v>
          </cell>
          <cell r="D592" t="str">
            <v>MILHO</v>
          </cell>
          <cell r="E592">
            <v>203.15600000000001</v>
          </cell>
        </row>
        <row r="593">
          <cell r="A593" t="str">
            <v>PR</v>
          </cell>
          <cell r="B593">
            <v>2007</v>
          </cell>
          <cell r="D593" t="str">
            <v>MILHO</v>
          </cell>
          <cell r="E593">
            <v>9.9369999999999994</v>
          </cell>
        </row>
        <row r="594">
          <cell r="A594" t="str">
            <v>PR</v>
          </cell>
          <cell r="B594">
            <v>2007</v>
          </cell>
          <cell r="D594" t="str">
            <v>MILHO</v>
          </cell>
          <cell r="E594">
            <v>0</v>
          </cell>
        </row>
        <row r="595">
          <cell r="A595" t="str">
            <v>PR</v>
          </cell>
          <cell r="B595">
            <v>2007</v>
          </cell>
          <cell r="D595" t="str">
            <v>SOJA</v>
          </cell>
          <cell r="E595">
            <v>21.69</v>
          </cell>
        </row>
        <row r="596">
          <cell r="A596" t="str">
            <v>PR</v>
          </cell>
          <cell r="B596">
            <v>2007</v>
          </cell>
          <cell r="D596" t="str">
            <v>SOJA</v>
          </cell>
          <cell r="E596">
            <v>1458.4190000000001</v>
          </cell>
        </row>
        <row r="597">
          <cell r="A597" t="str">
            <v>PR</v>
          </cell>
          <cell r="B597">
            <v>2007</v>
          </cell>
          <cell r="D597" t="str">
            <v>SOJA</v>
          </cell>
          <cell r="E597">
            <v>16302.77</v>
          </cell>
        </row>
        <row r="598">
          <cell r="A598" t="str">
            <v>PR</v>
          </cell>
          <cell r="B598">
            <v>2007</v>
          </cell>
          <cell r="D598" t="str">
            <v>SOJA</v>
          </cell>
          <cell r="E598">
            <v>14304.050999999999</v>
          </cell>
        </row>
        <row r="599">
          <cell r="A599" t="str">
            <v>PR</v>
          </cell>
          <cell r="B599">
            <v>2007</v>
          </cell>
          <cell r="D599" t="str">
            <v>SOJA</v>
          </cell>
          <cell r="E599">
            <v>1654.6990000000001</v>
          </cell>
        </row>
        <row r="600">
          <cell r="A600" t="str">
            <v>PR</v>
          </cell>
          <cell r="B600">
            <v>2007</v>
          </cell>
          <cell r="D600" t="str">
            <v>SOJA</v>
          </cell>
          <cell r="E600">
            <v>18.045000000000002</v>
          </cell>
        </row>
        <row r="601">
          <cell r="A601" t="str">
            <v>PR</v>
          </cell>
          <cell r="B601">
            <v>2007</v>
          </cell>
          <cell r="D601" t="str">
            <v>SOJA</v>
          </cell>
          <cell r="E601">
            <v>26.98</v>
          </cell>
        </row>
        <row r="602">
          <cell r="A602" t="str">
            <v>PR</v>
          </cell>
          <cell r="B602">
            <v>2007</v>
          </cell>
          <cell r="D602" t="str">
            <v>MILHO</v>
          </cell>
          <cell r="E602">
            <v>38.423999999999999</v>
          </cell>
        </row>
        <row r="603">
          <cell r="A603" t="str">
            <v>PR</v>
          </cell>
          <cell r="B603">
            <v>2007</v>
          </cell>
          <cell r="D603" t="str">
            <v>MILHO</v>
          </cell>
          <cell r="E603">
            <v>5047.3739999999998</v>
          </cell>
        </row>
        <row r="604">
          <cell r="A604" t="str">
            <v>PR</v>
          </cell>
          <cell r="B604">
            <v>2007</v>
          </cell>
          <cell r="D604" t="str">
            <v>MILHO</v>
          </cell>
          <cell r="E604">
            <v>513.596</v>
          </cell>
        </row>
        <row r="605">
          <cell r="A605" t="str">
            <v>PR</v>
          </cell>
          <cell r="B605">
            <v>2007</v>
          </cell>
          <cell r="D605" t="str">
            <v>MILHO</v>
          </cell>
          <cell r="E605">
            <v>474.61399999999998</v>
          </cell>
        </row>
        <row r="606">
          <cell r="A606" t="str">
            <v>PR</v>
          </cell>
          <cell r="B606">
            <v>2007</v>
          </cell>
          <cell r="D606" t="str">
            <v>SOJA</v>
          </cell>
          <cell r="E606">
            <v>25.498000000000001</v>
          </cell>
        </row>
        <row r="607">
          <cell r="A607" t="str">
            <v>PR</v>
          </cell>
          <cell r="B607">
            <v>2007</v>
          </cell>
          <cell r="D607" t="str">
            <v>SOJA</v>
          </cell>
          <cell r="E607">
            <v>4547.6080000000002</v>
          </cell>
        </row>
        <row r="608">
          <cell r="A608" t="str">
            <v>PR</v>
          </cell>
          <cell r="B608">
            <v>2007</v>
          </cell>
          <cell r="D608" t="str">
            <v>SOJA</v>
          </cell>
          <cell r="E608">
            <v>10168.884</v>
          </cell>
        </row>
        <row r="609">
          <cell r="A609" t="str">
            <v>PR</v>
          </cell>
          <cell r="B609">
            <v>2007</v>
          </cell>
          <cell r="D609" t="str">
            <v>SOJA</v>
          </cell>
          <cell r="E609">
            <v>1385.749</v>
          </cell>
        </row>
        <row r="610">
          <cell r="A610" t="str">
            <v>PR</v>
          </cell>
          <cell r="B610">
            <v>2007</v>
          </cell>
          <cell r="D610" t="str">
            <v>SOJA</v>
          </cell>
          <cell r="E610">
            <v>4.806</v>
          </cell>
        </row>
        <row r="611">
          <cell r="A611" t="str">
            <v>BA</v>
          </cell>
          <cell r="B611">
            <v>2007</v>
          </cell>
          <cell r="D611" t="str">
            <v>SOJA</v>
          </cell>
          <cell r="E611">
            <v>76.644999999999996</v>
          </cell>
        </row>
        <row r="612">
          <cell r="A612" t="str">
            <v>BA</v>
          </cell>
          <cell r="B612">
            <v>2007</v>
          </cell>
          <cell r="D612" t="str">
            <v>SOJA</v>
          </cell>
          <cell r="E612">
            <v>98133.356</v>
          </cell>
        </row>
        <row r="613">
          <cell r="A613" t="str">
            <v>BA</v>
          </cell>
          <cell r="B613">
            <v>2007</v>
          </cell>
          <cell r="D613" t="str">
            <v>SOJA</v>
          </cell>
          <cell r="E613">
            <v>133545.03700000001</v>
          </cell>
        </row>
        <row r="614">
          <cell r="A614" t="str">
            <v>BA</v>
          </cell>
          <cell r="B614">
            <v>2007</v>
          </cell>
          <cell r="D614" t="str">
            <v>SOJA</v>
          </cell>
          <cell r="E614">
            <v>9810.6319999999996</v>
          </cell>
        </row>
        <row r="615">
          <cell r="A615" t="str">
            <v>BA</v>
          </cell>
          <cell r="B615">
            <v>2007</v>
          </cell>
          <cell r="D615" t="str">
            <v>SOJA</v>
          </cell>
          <cell r="E615">
            <v>6202.7659999999996</v>
          </cell>
        </row>
        <row r="616">
          <cell r="A616" t="str">
            <v>BA</v>
          </cell>
          <cell r="B616">
            <v>2007</v>
          </cell>
          <cell r="D616" t="str">
            <v>SOJA</v>
          </cell>
          <cell r="E616">
            <v>1892.5989999999999</v>
          </cell>
        </row>
        <row r="617">
          <cell r="A617" t="str">
            <v>BA</v>
          </cell>
          <cell r="B617">
            <v>2007</v>
          </cell>
          <cell r="D617" t="str">
            <v>SOJA</v>
          </cell>
          <cell r="E617">
            <v>4029.9180000000001</v>
          </cell>
        </row>
        <row r="618">
          <cell r="A618" t="str">
            <v>BA</v>
          </cell>
          <cell r="B618">
            <v>2007</v>
          </cell>
          <cell r="D618" t="str">
            <v>SOJA</v>
          </cell>
          <cell r="E618">
            <v>1561.6079999999999</v>
          </cell>
        </row>
        <row r="619">
          <cell r="A619" t="str">
            <v>BA</v>
          </cell>
          <cell r="B619">
            <v>2007</v>
          </cell>
          <cell r="D619" t="str">
            <v>SOJA</v>
          </cell>
          <cell r="E619">
            <v>499.85399999999998</v>
          </cell>
        </row>
        <row r="620">
          <cell r="A620" t="str">
            <v>BA</v>
          </cell>
          <cell r="B620">
            <v>2007</v>
          </cell>
          <cell r="D620" t="str">
            <v>SOJA</v>
          </cell>
          <cell r="E620">
            <v>881.11</v>
          </cell>
        </row>
        <row r="621">
          <cell r="A621" t="str">
            <v>BA</v>
          </cell>
          <cell r="B621">
            <v>2007</v>
          </cell>
          <cell r="D621" t="str">
            <v>SOJA</v>
          </cell>
          <cell r="E621">
            <v>498.54</v>
          </cell>
        </row>
        <row r="622">
          <cell r="A622" t="str">
            <v>MT</v>
          </cell>
          <cell r="B622">
            <v>2007</v>
          </cell>
          <cell r="D622" t="str">
            <v>MILHO</v>
          </cell>
          <cell r="E622">
            <v>3.1440000000000001</v>
          </cell>
        </row>
        <row r="623">
          <cell r="A623" t="str">
            <v>MT</v>
          </cell>
          <cell r="B623">
            <v>2007</v>
          </cell>
          <cell r="D623" t="str">
            <v>MILHO</v>
          </cell>
          <cell r="E623">
            <v>5736.7939999999999</v>
          </cell>
        </row>
        <row r="624">
          <cell r="A624" t="str">
            <v>MT</v>
          </cell>
          <cell r="B624">
            <v>2007</v>
          </cell>
          <cell r="D624" t="str">
            <v>MILHO</v>
          </cell>
          <cell r="E624">
            <v>24555.753000000001</v>
          </cell>
        </row>
        <row r="625">
          <cell r="A625" t="str">
            <v>MT</v>
          </cell>
          <cell r="B625">
            <v>2007</v>
          </cell>
          <cell r="D625" t="str">
            <v>MILHO</v>
          </cell>
          <cell r="E625">
            <v>87756.951000000001</v>
          </cell>
        </row>
        <row r="626">
          <cell r="A626" t="str">
            <v>MT</v>
          </cell>
          <cell r="B626">
            <v>2007</v>
          </cell>
          <cell r="D626" t="str">
            <v>MILHO</v>
          </cell>
          <cell r="E626">
            <v>25041.699000000001</v>
          </cell>
        </row>
        <row r="627">
          <cell r="A627" t="str">
            <v>MT</v>
          </cell>
          <cell r="B627">
            <v>2007</v>
          </cell>
          <cell r="D627" t="str">
            <v>MILHO</v>
          </cell>
          <cell r="E627">
            <v>5331.1229999999996</v>
          </cell>
        </row>
        <row r="628">
          <cell r="A628" t="str">
            <v>MT</v>
          </cell>
          <cell r="B628">
            <v>2007</v>
          </cell>
          <cell r="D628" t="str">
            <v>MILHO</v>
          </cell>
          <cell r="E628">
            <v>27319.222000000002</v>
          </cell>
        </row>
        <row r="629">
          <cell r="A629" t="str">
            <v>MT</v>
          </cell>
          <cell r="B629">
            <v>2007</v>
          </cell>
          <cell r="D629" t="str">
            <v>MILHO</v>
          </cell>
          <cell r="E629">
            <v>2127.5650000000001</v>
          </cell>
        </row>
        <row r="630">
          <cell r="A630" t="str">
            <v>MT</v>
          </cell>
          <cell r="B630">
            <v>2007</v>
          </cell>
          <cell r="D630" t="str">
            <v>MILHO</v>
          </cell>
          <cell r="E630">
            <v>207.70500000000001</v>
          </cell>
        </row>
        <row r="631">
          <cell r="A631" t="str">
            <v>MT</v>
          </cell>
          <cell r="B631">
            <v>2007</v>
          </cell>
          <cell r="D631" t="str">
            <v>SOJA</v>
          </cell>
          <cell r="E631">
            <v>46261.652999999998</v>
          </cell>
        </row>
        <row r="632">
          <cell r="A632" t="str">
            <v>MT</v>
          </cell>
          <cell r="B632">
            <v>2007</v>
          </cell>
          <cell r="D632" t="str">
            <v>SOJA</v>
          </cell>
          <cell r="E632">
            <v>75104.282000000007</v>
          </cell>
        </row>
        <row r="633">
          <cell r="A633" t="str">
            <v>MT</v>
          </cell>
          <cell r="B633">
            <v>2007</v>
          </cell>
          <cell r="D633" t="str">
            <v>SOJA</v>
          </cell>
          <cell r="E633">
            <v>39109.178</v>
          </cell>
        </row>
        <row r="634">
          <cell r="A634" t="str">
            <v>MT</v>
          </cell>
          <cell r="B634">
            <v>2007</v>
          </cell>
          <cell r="D634" t="str">
            <v>SOJA</v>
          </cell>
          <cell r="E634">
            <v>4192.2160000000003</v>
          </cell>
        </row>
        <row r="635">
          <cell r="A635" t="str">
            <v>MT</v>
          </cell>
          <cell r="B635">
            <v>2007</v>
          </cell>
          <cell r="D635" t="str">
            <v>SOJA</v>
          </cell>
          <cell r="E635">
            <v>2452.3420000000001</v>
          </cell>
        </row>
        <row r="636">
          <cell r="A636" t="str">
            <v>MT</v>
          </cell>
          <cell r="B636">
            <v>2007</v>
          </cell>
          <cell r="D636" t="str">
            <v>SOJA</v>
          </cell>
          <cell r="E636">
            <v>1248.2090000000001</v>
          </cell>
        </row>
        <row r="637">
          <cell r="A637" t="str">
            <v>MT</v>
          </cell>
          <cell r="B637">
            <v>2007</v>
          </cell>
          <cell r="D637" t="str">
            <v>SOJA</v>
          </cell>
          <cell r="E637">
            <v>0</v>
          </cell>
        </row>
        <row r="638">
          <cell r="A638" t="str">
            <v>MT</v>
          </cell>
          <cell r="B638">
            <v>2007</v>
          </cell>
          <cell r="D638" t="str">
            <v>SOJA</v>
          </cell>
          <cell r="E638">
            <v>0</v>
          </cell>
        </row>
        <row r="639">
          <cell r="A639" t="str">
            <v>MT</v>
          </cell>
          <cell r="B639">
            <v>2007</v>
          </cell>
          <cell r="D639" t="str">
            <v>SOJA</v>
          </cell>
          <cell r="E639">
            <v>0</v>
          </cell>
        </row>
        <row r="640">
          <cell r="A640" t="str">
            <v>MT</v>
          </cell>
          <cell r="B640">
            <v>2007</v>
          </cell>
          <cell r="D640" t="str">
            <v>SOJA</v>
          </cell>
          <cell r="E640">
            <v>796.45799999999997</v>
          </cell>
        </row>
        <row r="641">
          <cell r="A641" t="str">
            <v>MT</v>
          </cell>
          <cell r="B641">
            <v>2007</v>
          </cell>
          <cell r="D641" t="str">
            <v>SOJA</v>
          </cell>
          <cell r="E641">
            <v>0</v>
          </cell>
        </row>
        <row r="642">
          <cell r="A642" t="str">
            <v>MT</v>
          </cell>
          <cell r="B642">
            <v>2007</v>
          </cell>
          <cell r="D642" t="str">
            <v>SOJA</v>
          </cell>
          <cell r="E642">
            <v>0</v>
          </cell>
        </row>
        <row r="643">
          <cell r="A643" t="str">
            <v>GO</v>
          </cell>
          <cell r="B643">
            <v>2007</v>
          </cell>
          <cell r="D643" t="str">
            <v>MILHO</v>
          </cell>
          <cell r="E643">
            <v>0</v>
          </cell>
        </row>
        <row r="644">
          <cell r="A644" t="str">
            <v>GO</v>
          </cell>
          <cell r="B644">
            <v>2007</v>
          </cell>
          <cell r="D644" t="str">
            <v>SOJA</v>
          </cell>
          <cell r="E644">
            <v>31.347999999999999</v>
          </cell>
        </row>
        <row r="645">
          <cell r="A645" t="str">
            <v>GO</v>
          </cell>
          <cell r="B645">
            <v>2007</v>
          </cell>
          <cell r="D645" t="str">
            <v>SOJA</v>
          </cell>
          <cell r="E645">
            <v>257.03399999999999</v>
          </cell>
        </row>
        <row r="646">
          <cell r="A646" t="str">
            <v>GO</v>
          </cell>
          <cell r="B646">
            <v>2007</v>
          </cell>
          <cell r="D646" t="str">
            <v>SOJA</v>
          </cell>
          <cell r="E646">
            <v>10004.433999999999</v>
          </cell>
        </row>
        <row r="647">
          <cell r="A647" t="str">
            <v>GO</v>
          </cell>
          <cell r="B647">
            <v>2007</v>
          </cell>
          <cell r="D647" t="str">
            <v>SOJA</v>
          </cell>
          <cell r="E647">
            <v>16525.416000000001</v>
          </cell>
        </row>
        <row r="648">
          <cell r="A648" t="str">
            <v>GO</v>
          </cell>
          <cell r="B648">
            <v>2007</v>
          </cell>
          <cell r="D648" t="str">
            <v>SOJA</v>
          </cell>
          <cell r="E648">
            <v>1871.65</v>
          </cell>
        </row>
        <row r="649">
          <cell r="A649" t="str">
            <v>GO</v>
          </cell>
          <cell r="B649">
            <v>2007</v>
          </cell>
          <cell r="D649" t="str">
            <v>SOJA</v>
          </cell>
          <cell r="E649">
            <v>334.5</v>
          </cell>
        </row>
        <row r="650">
          <cell r="A650" t="str">
            <v>GO</v>
          </cell>
          <cell r="B650">
            <v>2007</v>
          </cell>
          <cell r="D650" t="str">
            <v>SOJA</v>
          </cell>
          <cell r="E650">
            <v>613.65</v>
          </cell>
        </row>
        <row r="651">
          <cell r="A651" t="str">
            <v>GO</v>
          </cell>
          <cell r="B651">
            <v>2007</v>
          </cell>
          <cell r="D651" t="str">
            <v>SOJA</v>
          </cell>
          <cell r="E651">
            <v>2017.7919999999999</v>
          </cell>
        </row>
        <row r="652">
          <cell r="A652" t="str">
            <v>GO</v>
          </cell>
          <cell r="B652">
            <v>2007</v>
          </cell>
          <cell r="D652" t="str">
            <v>SOJA</v>
          </cell>
          <cell r="E652">
            <v>84.79</v>
          </cell>
        </row>
        <row r="653">
          <cell r="A653" t="str">
            <v>GO</v>
          </cell>
          <cell r="B653">
            <v>2007</v>
          </cell>
          <cell r="D653" t="str">
            <v>SOJA</v>
          </cell>
          <cell r="E653">
            <v>39.152000000000001</v>
          </cell>
        </row>
        <row r="654">
          <cell r="A654" t="str">
            <v>GO</v>
          </cell>
          <cell r="B654">
            <v>2007</v>
          </cell>
          <cell r="D654" t="str">
            <v>SOJA</v>
          </cell>
          <cell r="E654">
            <v>392.68900000000002</v>
          </cell>
        </row>
        <row r="655">
          <cell r="A655" t="str">
            <v>GO</v>
          </cell>
          <cell r="B655">
            <v>2007</v>
          </cell>
          <cell r="D655" t="str">
            <v>SOJA</v>
          </cell>
          <cell r="E655">
            <v>366.488</v>
          </cell>
        </row>
        <row r="656">
          <cell r="A656" t="str">
            <v>MS</v>
          </cell>
          <cell r="B656">
            <v>2007</v>
          </cell>
          <cell r="D656" t="str">
            <v>MILHO</v>
          </cell>
          <cell r="E656">
            <v>0</v>
          </cell>
        </row>
        <row r="657">
          <cell r="A657" t="str">
            <v>MS</v>
          </cell>
          <cell r="B657">
            <v>2007</v>
          </cell>
          <cell r="D657" t="str">
            <v>MILHO</v>
          </cell>
          <cell r="E657">
            <v>1168.3589999999999</v>
          </cell>
        </row>
        <row r="658">
          <cell r="A658" t="str">
            <v>MS</v>
          </cell>
          <cell r="B658">
            <v>2007</v>
          </cell>
          <cell r="D658" t="str">
            <v>MILHO</v>
          </cell>
          <cell r="E658">
            <v>31029.046999999999</v>
          </cell>
        </row>
        <row r="659">
          <cell r="A659" t="str">
            <v>MS</v>
          </cell>
          <cell r="B659">
            <v>2007</v>
          </cell>
          <cell r="D659" t="str">
            <v>MILHO</v>
          </cell>
          <cell r="E659">
            <v>17605.876</v>
          </cell>
        </row>
        <row r="660">
          <cell r="A660" t="str">
            <v>MS</v>
          </cell>
          <cell r="B660">
            <v>2007</v>
          </cell>
          <cell r="D660" t="str">
            <v>MILHO</v>
          </cell>
          <cell r="E660">
            <v>881.30100000000004</v>
          </cell>
        </row>
        <row r="661">
          <cell r="A661" t="str">
            <v>MS</v>
          </cell>
          <cell r="B661">
            <v>2007</v>
          </cell>
          <cell r="D661" t="str">
            <v>MILHO</v>
          </cell>
          <cell r="E661">
            <v>55.68</v>
          </cell>
        </row>
        <row r="662">
          <cell r="A662" t="str">
            <v>MS</v>
          </cell>
          <cell r="B662">
            <v>2007</v>
          </cell>
          <cell r="D662" t="str">
            <v>MILHO</v>
          </cell>
          <cell r="E662">
            <v>1.4999999999999999E-2</v>
          </cell>
        </row>
        <row r="663">
          <cell r="A663" t="str">
            <v>MS</v>
          </cell>
          <cell r="B663">
            <v>2007</v>
          </cell>
          <cell r="D663" t="str">
            <v>SOJA</v>
          </cell>
          <cell r="E663">
            <v>8416.4259999999995</v>
          </cell>
        </row>
        <row r="664">
          <cell r="A664" t="str">
            <v>MS</v>
          </cell>
          <cell r="B664">
            <v>2007</v>
          </cell>
          <cell r="D664" t="str">
            <v>SOJA</v>
          </cell>
          <cell r="E664">
            <v>49487.864999999998</v>
          </cell>
        </row>
        <row r="665">
          <cell r="A665" t="str">
            <v>MS</v>
          </cell>
          <cell r="B665">
            <v>2007</v>
          </cell>
          <cell r="D665" t="str">
            <v>SOJA</v>
          </cell>
          <cell r="E665">
            <v>4416.9830000000002</v>
          </cell>
        </row>
        <row r="666">
          <cell r="A666" t="str">
            <v>MS</v>
          </cell>
          <cell r="B666">
            <v>2007</v>
          </cell>
          <cell r="D666" t="str">
            <v>SOJA</v>
          </cell>
          <cell r="E666">
            <v>32.01</v>
          </cell>
        </row>
        <row r="667">
          <cell r="A667" t="str">
            <v>MS</v>
          </cell>
          <cell r="B667">
            <v>2007</v>
          </cell>
          <cell r="D667" t="str">
            <v>SOJA</v>
          </cell>
          <cell r="E667">
            <v>3603.51</v>
          </cell>
        </row>
        <row r="668">
          <cell r="A668" t="str">
            <v>MS</v>
          </cell>
          <cell r="B668">
            <v>2007</v>
          </cell>
          <cell r="D668" t="str">
            <v>SOJA</v>
          </cell>
          <cell r="E668">
            <v>1200</v>
          </cell>
        </row>
        <row r="669">
          <cell r="A669" t="str">
            <v>MS</v>
          </cell>
          <cell r="B669">
            <v>2007</v>
          </cell>
          <cell r="D669" t="str">
            <v>SOJA</v>
          </cell>
          <cell r="E669">
            <v>11113.597</v>
          </cell>
        </row>
        <row r="670">
          <cell r="A670" t="str">
            <v>MS</v>
          </cell>
          <cell r="B670">
            <v>2007</v>
          </cell>
          <cell r="D670" t="str">
            <v>SOJA</v>
          </cell>
          <cell r="E670">
            <v>0</v>
          </cell>
        </row>
        <row r="671">
          <cell r="A671" t="str">
            <v>MS</v>
          </cell>
          <cell r="B671">
            <v>2007</v>
          </cell>
          <cell r="D671" t="str">
            <v>SOJA</v>
          </cell>
          <cell r="E671">
            <v>0</v>
          </cell>
        </row>
        <row r="672">
          <cell r="A672" t="str">
            <v>MS</v>
          </cell>
          <cell r="B672">
            <v>2007</v>
          </cell>
          <cell r="D672" t="str">
            <v>SOJA</v>
          </cell>
          <cell r="E672">
            <v>0</v>
          </cell>
        </row>
        <row r="673">
          <cell r="A673" t="str">
            <v>MS</v>
          </cell>
          <cell r="B673">
            <v>2007</v>
          </cell>
          <cell r="D673" t="str">
            <v>SOJA</v>
          </cell>
          <cell r="E673">
            <v>0</v>
          </cell>
        </row>
        <row r="674">
          <cell r="A674" t="str">
            <v>PR</v>
          </cell>
          <cell r="B674">
            <v>2007</v>
          </cell>
          <cell r="D674" t="str">
            <v>MILHO</v>
          </cell>
          <cell r="E674">
            <v>0</v>
          </cell>
        </row>
        <row r="675">
          <cell r="A675" t="str">
            <v>PR</v>
          </cell>
          <cell r="B675">
            <v>2007</v>
          </cell>
          <cell r="D675" t="str">
            <v>MILHO</v>
          </cell>
          <cell r="E675">
            <v>1713.7719999999999</v>
          </cell>
        </row>
        <row r="676">
          <cell r="A676" t="str">
            <v>PR</v>
          </cell>
          <cell r="B676">
            <v>2007</v>
          </cell>
          <cell r="D676" t="str">
            <v>MILHO</v>
          </cell>
          <cell r="E676">
            <v>0</v>
          </cell>
        </row>
        <row r="677">
          <cell r="A677" t="str">
            <v>PR</v>
          </cell>
          <cell r="B677">
            <v>2007</v>
          </cell>
          <cell r="D677" t="str">
            <v>MILHO</v>
          </cell>
          <cell r="E677">
            <v>0</v>
          </cell>
        </row>
        <row r="678">
          <cell r="A678" t="str">
            <v>PR</v>
          </cell>
          <cell r="B678">
            <v>2007</v>
          </cell>
          <cell r="D678" t="str">
            <v>MILHO</v>
          </cell>
          <cell r="E678">
            <v>0</v>
          </cell>
        </row>
        <row r="679">
          <cell r="A679" t="str">
            <v>PR</v>
          </cell>
          <cell r="B679">
            <v>2007</v>
          </cell>
          <cell r="D679" t="str">
            <v>MILHO</v>
          </cell>
          <cell r="E679">
            <v>0</v>
          </cell>
        </row>
        <row r="680">
          <cell r="A680" t="str">
            <v>PR</v>
          </cell>
          <cell r="B680">
            <v>2007</v>
          </cell>
          <cell r="D680" t="str">
            <v>MILHO</v>
          </cell>
          <cell r="E680">
            <v>4258.2089999999998</v>
          </cell>
        </row>
        <row r="681">
          <cell r="A681" t="str">
            <v>PR</v>
          </cell>
          <cell r="B681">
            <v>2007</v>
          </cell>
          <cell r="D681" t="str">
            <v>MILHO</v>
          </cell>
          <cell r="E681">
            <v>16146.366</v>
          </cell>
        </row>
        <row r="682">
          <cell r="A682" t="str">
            <v>PR</v>
          </cell>
          <cell r="B682">
            <v>2007</v>
          </cell>
          <cell r="D682" t="str">
            <v>MILHO</v>
          </cell>
          <cell r="E682">
            <v>8803.9490000000005</v>
          </cell>
        </row>
        <row r="683">
          <cell r="A683" t="str">
            <v>PR</v>
          </cell>
          <cell r="B683">
            <v>2007</v>
          </cell>
          <cell r="D683" t="str">
            <v>MILHO</v>
          </cell>
          <cell r="E683">
            <v>290.86</v>
          </cell>
        </row>
        <row r="684">
          <cell r="A684" t="str">
            <v>PR</v>
          </cell>
          <cell r="B684">
            <v>2007</v>
          </cell>
          <cell r="D684" t="str">
            <v>MILHO</v>
          </cell>
          <cell r="E684">
            <v>14.45</v>
          </cell>
        </row>
        <row r="685">
          <cell r="A685" t="str">
            <v>PR</v>
          </cell>
          <cell r="B685">
            <v>2007</v>
          </cell>
          <cell r="D685" t="str">
            <v>MILHO</v>
          </cell>
          <cell r="E685">
            <v>0</v>
          </cell>
        </row>
        <row r="686">
          <cell r="A686" t="str">
            <v>PR</v>
          </cell>
          <cell r="B686">
            <v>2007</v>
          </cell>
          <cell r="D686" t="str">
            <v>SOJA</v>
          </cell>
          <cell r="E686">
            <v>17.556000000000001</v>
          </cell>
        </row>
        <row r="687">
          <cell r="A687" t="str">
            <v>PR</v>
          </cell>
          <cell r="B687">
            <v>2007</v>
          </cell>
          <cell r="D687" t="str">
            <v>SOJA</v>
          </cell>
          <cell r="E687">
            <v>1919.4269999999999</v>
          </cell>
        </row>
        <row r="688">
          <cell r="A688" t="str">
            <v>PR</v>
          </cell>
          <cell r="B688">
            <v>2007</v>
          </cell>
          <cell r="D688" t="str">
            <v>SOJA</v>
          </cell>
          <cell r="E688">
            <v>23620.994999999999</v>
          </cell>
        </row>
        <row r="689">
          <cell r="A689" t="str">
            <v>PR</v>
          </cell>
          <cell r="B689">
            <v>2007</v>
          </cell>
          <cell r="D689" t="str">
            <v>SOJA</v>
          </cell>
          <cell r="E689">
            <v>16422.666000000001</v>
          </cell>
        </row>
        <row r="690">
          <cell r="A690" t="str">
            <v>PR</v>
          </cell>
          <cell r="B690">
            <v>2007</v>
          </cell>
          <cell r="D690" t="str">
            <v>SOJA</v>
          </cell>
          <cell r="E690">
            <v>223.71899999999999</v>
          </cell>
        </row>
        <row r="691">
          <cell r="A691" t="str">
            <v>PR</v>
          </cell>
          <cell r="B691">
            <v>2007</v>
          </cell>
          <cell r="D691" t="str">
            <v>SOJA</v>
          </cell>
          <cell r="E691">
            <v>1924.66</v>
          </cell>
        </row>
        <row r="692">
          <cell r="A692" t="str">
            <v>PR</v>
          </cell>
          <cell r="B692">
            <v>2007</v>
          </cell>
          <cell r="D692" t="str">
            <v>SOJA</v>
          </cell>
          <cell r="E692">
            <v>3275.5259999999998</v>
          </cell>
        </row>
        <row r="693">
          <cell r="A693" t="str">
            <v>PR</v>
          </cell>
          <cell r="B693">
            <v>2007</v>
          </cell>
          <cell r="D693" t="str">
            <v>SOJA</v>
          </cell>
          <cell r="E693">
            <v>0</v>
          </cell>
        </row>
        <row r="694">
          <cell r="A694" t="str">
            <v>PR</v>
          </cell>
          <cell r="B694">
            <v>2007</v>
          </cell>
          <cell r="D694" t="str">
            <v>SOJA</v>
          </cell>
          <cell r="E694">
            <v>333.33100000000002</v>
          </cell>
        </row>
        <row r="695">
          <cell r="A695" t="str">
            <v>PR</v>
          </cell>
          <cell r="B695">
            <v>2007</v>
          </cell>
          <cell r="D695" t="str">
            <v>SOJA</v>
          </cell>
          <cell r="E695">
            <v>0</v>
          </cell>
        </row>
        <row r="696">
          <cell r="A696" t="str">
            <v>PR</v>
          </cell>
          <cell r="B696">
            <v>2007</v>
          </cell>
          <cell r="D696" t="str">
            <v>SOJA</v>
          </cell>
          <cell r="E696">
            <v>0</v>
          </cell>
        </row>
        <row r="697">
          <cell r="A697" t="str">
            <v>GO</v>
          </cell>
          <cell r="B697">
            <v>2007</v>
          </cell>
          <cell r="D697" t="str">
            <v>MILHO</v>
          </cell>
          <cell r="E697">
            <v>5838</v>
          </cell>
        </row>
        <row r="698">
          <cell r="A698" t="str">
            <v>GO</v>
          </cell>
          <cell r="B698">
            <v>2007</v>
          </cell>
          <cell r="D698" t="str">
            <v>MILHO</v>
          </cell>
          <cell r="E698">
            <v>7949.07</v>
          </cell>
        </row>
        <row r="699">
          <cell r="A699" t="str">
            <v>GO</v>
          </cell>
          <cell r="B699">
            <v>2007</v>
          </cell>
          <cell r="D699" t="str">
            <v>MILHO</v>
          </cell>
          <cell r="E699">
            <v>5739.89</v>
          </cell>
        </row>
        <row r="700">
          <cell r="A700" t="str">
            <v>GO</v>
          </cell>
          <cell r="B700">
            <v>2007</v>
          </cell>
          <cell r="D700" t="str">
            <v>MILHO</v>
          </cell>
          <cell r="E700">
            <v>43518.211000000003</v>
          </cell>
        </row>
        <row r="701">
          <cell r="A701" t="str">
            <v>GO</v>
          </cell>
          <cell r="B701">
            <v>2007</v>
          </cell>
          <cell r="D701" t="str">
            <v>MILHO</v>
          </cell>
          <cell r="E701">
            <v>27971.348000000002</v>
          </cell>
        </row>
        <row r="702">
          <cell r="A702" t="str">
            <v>GO</v>
          </cell>
          <cell r="B702">
            <v>2007</v>
          </cell>
          <cell r="D702" t="str">
            <v>MILHO</v>
          </cell>
          <cell r="E702">
            <v>440.95</v>
          </cell>
        </row>
        <row r="703">
          <cell r="A703" t="str">
            <v>GO</v>
          </cell>
          <cell r="B703">
            <v>2007</v>
          </cell>
          <cell r="D703" t="str">
            <v>MILHO</v>
          </cell>
          <cell r="E703">
            <v>0</v>
          </cell>
        </row>
        <row r="704">
          <cell r="A704" t="str">
            <v>GO</v>
          </cell>
          <cell r="B704">
            <v>2007</v>
          </cell>
          <cell r="D704" t="str">
            <v>SOJA</v>
          </cell>
          <cell r="E704">
            <v>202.72900000000001</v>
          </cell>
        </row>
        <row r="705">
          <cell r="A705" t="str">
            <v>GO</v>
          </cell>
          <cell r="B705">
            <v>2007</v>
          </cell>
          <cell r="D705" t="str">
            <v>SOJA</v>
          </cell>
          <cell r="E705">
            <v>16551.048999999999</v>
          </cell>
        </row>
        <row r="706">
          <cell r="A706" t="str">
            <v>GO</v>
          </cell>
          <cell r="B706">
            <v>2007</v>
          </cell>
          <cell r="D706" t="str">
            <v>SOJA</v>
          </cell>
          <cell r="E706">
            <v>23338.056</v>
          </cell>
        </row>
        <row r="707">
          <cell r="A707" t="str">
            <v>GO</v>
          </cell>
          <cell r="B707">
            <v>2007</v>
          </cell>
          <cell r="D707" t="str">
            <v>SOJA</v>
          </cell>
          <cell r="E707">
            <v>484.88400000000001</v>
          </cell>
        </row>
        <row r="708">
          <cell r="A708" t="str">
            <v>GO</v>
          </cell>
          <cell r="B708">
            <v>2007</v>
          </cell>
          <cell r="D708" t="str">
            <v>SOJA</v>
          </cell>
          <cell r="E708">
            <v>3720</v>
          </cell>
        </row>
        <row r="709">
          <cell r="A709" t="str">
            <v>GO</v>
          </cell>
          <cell r="B709">
            <v>2007</v>
          </cell>
          <cell r="D709" t="str">
            <v>SOJA</v>
          </cell>
          <cell r="E709">
            <v>0</v>
          </cell>
        </row>
        <row r="710">
          <cell r="A710" t="str">
            <v>GO</v>
          </cell>
          <cell r="B710">
            <v>2007</v>
          </cell>
          <cell r="D710" t="str">
            <v>SOJA</v>
          </cell>
          <cell r="E710">
            <v>61.29</v>
          </cell>
        </row>
        <row r="711">
          <cell r="A711" t="str">
            <v>GO</v>
          </cell>
          <cell r="B711">
            <v>2007</v>
          </cell>
          <cell r="D711" t="str">
            <v>SOJA</v>
          </cell>
          <cell r="E711">
            <v>0</v>
          </cell>
        </row>
        <row r="712">
          <cell r="A712" t="str">
            <v>GO</v>
          </cell>
          <cell r="B712">
            <v>2007</v>
          </cell>
          <cell r="D712" t="str">
            <v>MILHO</v>
          </cell>
          <cell r="E712">
            <v>290.98599999999999</v>
          </cell>
        </row>
        <row r="713">
          <cell r="A713" t="str">
            <v>GO</v>
          </cell>
          <cell r="B713">
            <v>2007</v>
          </cell>
          <cell r="D713" t="str">
            <v>MILHO</v>
          </cell>
          <cell r="E713">
            <v>6921.0389999999998</v>
          </cell>
        </row>
        <row r="714">
          <cell r="A714" t="str">
            <v>GO</v>
          </cell>
          <cell r="B714">
            <v>2007</v>
          </cell>
          <cell r="D714" t="str">
            <v>MILHO</v>
          </cell>
          <cell r="E714">
            <v>8834.5409999999993</v>
          </cell>
        </row>
        <row r="715">
          <cell r="A715" t="str">
            <v>GO</v>
          </cell>
          <cell r="B715">
            <v>2007</v>
          </cell>
          <cell r="D715" t="str">
            <v>MILHO</v>
          </cell>
          <cell r="E715">
            <v>20035.762999999999</v>
          </cell>
        </row>
        <row r="716">
          <cell r="A716" t="str">
            <v>GO</v>
          </cell>
          <cell r="B716">
            <v>2007</v>
          </cell>
          <cell r="D716" t="str">
            <v>MILHO</v>
          </cell>
          <cell r="E716">
            <v>52369.798000000003</v>
          </cell>
        </row>
        <row r="717">
          <cell r="A717" t="str">
            <v>GO</v>
          </cell>
          <cell r="B717">
            <v>2007</v>
          </cell>
          <cell r="D717" t="str">
            <v>MILHO</v>
          </cell>
          <cell r="E717">
            <v>20021.795999999998</v>
          </cell>
        </row>
        <row r="718">
          <cell r="A718" t="str">
            <v>GO</v>
          </cell>
          <cell r="B718">
            <v>2007</v>
          </cell>
          <cell r="D718" t="str">
            <v>MILHO</v>
          </cell>
          <cell r="E718">
            <v>950.93</v>
          </cell>
        </row>
        <row r="719">
          <cell r="A719" t="str">
            <v>GO</v>
          </cell>
          <cell r="B719">
            <v>2007</v>
          </cell>
          <cell r="D719" t="str">
            <v>MILHO</v>
          </cell>
          <cell r="E719">
            <v>816.70299999999997</v>
          </cell>
        </row>
        <row r="720">
          <cell r="A720" t="str">
            <v>GO</v>
          </cell>
          <cell r="B720">
            <v>2007</v>
          </cell>
          <cell r="D720" t="str">
            <v>MILHO</v>
          </cell>
          <cell r="E720">
            <v>0.28999999999999998</v>
          </cell>
        </row>
        <row r="721">
          <cell r="A721" t="str">
            <v>GO</v>
          </cell>
          <cell r="B721">
            <v>2007</v>
          </cell>
          <cell r="D721" t="str">
            <v>SOJA</v>
          </cell>
          <cell r="E721">
            <v>13416.171</v>
          </cell>
        </row>
        <row r="722">
          <cell r="A722" t="str">
            <v>GO</v>
          </cell>
          <cell r="B722">
            <v>2007</v>
          </cell>
          <cell r="D722" t="str">
            <v>SOJA</v>
          </cell>
          <cell r="E722">
            <v>27450.362000000001</v>
          </cell>
        </row>
        <row r="723">
          <cell r="A723" t="str">
            <v>GO</v>
          </cell>
          <cell r="B723">
            <v>2007</v>
          </cell>
          <cell r="D723" t="str">
            <v>SOJA</v>
          </cell>
          <cell r="E723">
            <v>3644.5120000000002</v>
          </cell>
        </row>
        <row r="724">
          <cell r="A724" t="str">
            <v>GO</v>
          </cell>
          <cell r="B724">
            <v>2007</v>
          </cell>
          <cell r="D724" t="str">
            <v>SOJA</v>
          </cell>
          <cell r="E724">
            <v>576.86800000000005</v>
          </cell>
        </row>
        <row r="725">
          <cell r="A725" t="str">
            <v>GO</v>
          </cell>
          <cell r="B725">
            <v>2007</v>
          </cell>
          <cell r="D725" t="str">
            <v>SOJA</v>
          </cell>
          <cell r="E725">
            <v>32.56</v>
          </cell>
        </row>
        <row r="726">
          <cell r="A726" t="str">
            <v>PR</v>
          </cell>
          <cell r="B726">
            <v>2007</v>
          </cell>
          <cell r="D726" t="str">
            <v>MILHO</v>
          </cell>
          <cell r="E726">
            <v>1673.2280000000001</v>
          </cell>
        </row>
        <row r="727">
          <cell r="A727" t="str">
            <v>PR</v>
          </cell>
          <cell r="B727">
            <v>2007</v>
          </cell>
          <cell r="D727" t="str">
            <v>MILHO</v>
          </cell>
          <cell r="E727">
            <v>6046.665</v>
          </cell>
        </row>
        <row r="728">
          <cell r="A728" t="str">
            <v>PR</v>
          </cell>
          <cell r="B728">
            <v>2007</v>
          </cell>
          <cell r="D728" t="str">
            <v>MILHO</v>
          </cell>
          <cell r="E728">
            <v>376.88099999999997</v>
          </cell>
        </row>
        <row r="729">
          <cell r="A729" t="str">
            <v>PR</v>
          </cell>
          <cell r="B729">
            <v>2007</v>
          </cell>
          <cell r="D729" t="str">
            <v>MILHO</v>
          </cell>
          <cell r="E729">
            <v>294.27600000000001</v>
          </cell>
        </row>
        <row r="730">
          <cell r="A730" t="str">
            <v>PR</v>
          </cell>
          <cell r="B730">
            <v>2007</v>
          </cell>
          <cell r="D730" t="str">
            <v>MILHO</v>
          </cell>
          <cell r="E730">
            <v>4710.4709999999995</v>
          </cell>
        </row>
        <row r="731">
          <cell r="A731" t="str">
            <v>PR</v>
          </cell>
          <cell r="B731">
            <v>2007</v>
          </cell>
          <cell r="D731" t="str">
            <v>MILHO</v>
          </cell>
          <cell r="E731">
            <v>11892.337</v>
          </cell>
        </row>
        <row r="732">
          <cell r="A732" t="str">
            <v>PR</v>
          </cell>
          <cell r="B732">
            <v>2007</v>
          </cell>
          <cell r="D732" t="str">
            <v>MILHO</v>
          </cell>
          <cell r="E732">
            <v>7729.0510000000004</v>
          </cell>
        </row>
        <row r="733">
          <cell r="A733" t="str">
            <v>PR</v>
          </cell>
          <cell r="B733">
            <v>2007</v>
          </cell>
          <cell r="D733" t="str">
            <v>MILHO</v>
          </cell>
          <cell r="E733">
            <v>518.41099999999994</v>
          </cell>
        </row>
        <row r="734">
          <cell r="A734" t="str">
            <v>PR</v>
          </cell>
          <cell r="B734">
            <v>2007</v>
          </cell>
          <cell r="D734" t="str">
            <v>MILHO</v>
          </cell>
          <cell r="E734">
            <v>3.6120000000000001</v>
          </cell>
        </row>
        <row r="735">
          <cell r="A735" t="str">
            <v>PR</v>
          </cell>
          <cell r="B735">
            <v>2007</v>
          </cell>
          <cell r="D735" t="str">
            <v>SOJA</v>
          </cell>
          <cell r="E735">
            <v>218.68600000000001</v>
          </cell>
        </row>
        <row r="736">
          <cell r="A736" t="str">
            <v>PR</v>
          </cell>
          <cell r="B736">
            <v>2007</v>
          </cell>
          <cell r="D736" t="str">
            <v>SOJA</v>
          </cell>
          <cell r="E736">
            <v>11914.071</v>
          </cell>
        </row>
        <row r="737">
          <cell r="A737" t="str">
            <v>PR</v>
          </cell>
          <cell r="B737">
            <v>2007</v>
          </cell>
          <cell r="D737" t="str">
            <v>SOJA</v>
          </cell>
          <cell r="E737">
            <v>12625.177</v>
          </cell>
        </row>
        <row r="738">
          <cell r="A738" t="str">
            <v>PR</v>
          </cell>
          <cell r="B738">
            <v>2007</v>
          </cell>
          <cell r="D738" t="str">
            <v>SOJA</v>
          </cell>
          <cell r="E738">
            <v>235.93199999999999</v>
          </cell>
        </row>
        <row r="739">
          <cell r="A739" t="str">
            <v>PR</v>
          </cell>
          <cell r="B739">
            <v>2007</v>
          </cell>
          <cell r="D739" t="str">
            <v>SOJA</v>
          </cell>
          <cell r="E739">
            <v>8.18</v>
          </cell>
        </row>
        <row r="740">
          <cell r="A740" t="str">
            <v>PR</v>
          </cell>
          <cell r="B740">
            <v>2007</v>
          </cell>
          <cell r="D740" t="str">
            <v>SOJA</v>
          </cell>
          <cell r="E740">
            <v>0</v>
          </cell>
        </row>
        <row r="741">
          <cell r="A741" t="str">
            <v>MT</v>
          </cell>
          <cell r="B741">
            <v>2007</v>
          </cell>
          <cell r="D741" t="str">
            <v>MILHO</v>
          </cell>
          <cell r="E741">
            <v>678.57600000000002</v>
          </cell>
        </row>
        <row r="742">
          <cell r="A742" t="str">
            <v>MT</v>
          </cell>
          <cell r="B742">
            <v>2007</v>
          </cell>
          <cell r="D742" t="str">
            <v>MILHO</v>
          </cell>
          <cell r="E742">
            <v>17172.036</v>
          </cell>
        </row>
        <row r="743">
          <cell r="A743" t="str">
            <v>MT</v>
          </cell>
          <cell r="B743">
            <v>2007</v>
          </cell>
          <cell r="D743" t="str">
            <v>MILHO</v>
          </cell>
          <cell r="E743">
            <v>29140.412</v>
          </cell>
        </row>
        <row r="744">
          <cell r="A744" t="str">
            <v>MT</v>
          </cell>
          <cell r="B744">
            <v>2007</v>
          </cell>
          <cell r="D744" t="str">
            <v>MILHO</v>
          </cell>
          <cell r="E744">
            <v>2107.1109999999999</v>
          </cell>
        </row>
        <row r="745">
          <cell r="A745" t="str">
            <v>MT</v>
          </cell>
          <cell r="B745">
            <v>2007</v>
          </cell>
          <cell r="D745" t="str">
            <v>MILHO</v>
          </cell>
          <cell r="E745">
            <v>12515.798000000001</v>
          </cell>
        </row>
        <row r="746">
          <cell r="A746" t="str">
            <v>MT</v>
          </cell>
          <cell r="B746">
            <v>2007</v>
          </cell>
          <cell r="D746" t="str">
            <v>MILHO</v>
          </cell>
          <cell r="E746">
            <v>1550.597</v>
          </cell>
        </row>
        <row r="747">
          <cell r="A747" t="str">
            <v>MT</v>
          </cell>
          <cell r="B747">
            <v>2007</v>
          </cell>
          <cell r="D747" t="str">
            <v>MILHO</v>
          </cell>
          <cell r="E747">
            <v>16.289000000000001</v>
          </cell>
        </row>
        <row r="748">
          <cell r="A748" t="str">
            <v>MT</v>
          </cell>
          <cell r="B748">
            <v>2007</v>
          </cell>
          <cell r="D748" t="str">
            <v>MILHO</v>
          </cell>
          <cell r="E748">
            <v>0</v>
          </cell>
        </row>
        <row r="749">
          <cell r="A749" t="str">
            <v>MT</v>
          </cell>
          <cell r="B749">
            <v>2007</v>
          </cell>
          <cell r="D749" t="str">
            <v>SOJA</v>
          </cell>
          <cell r="E749">
            <v>5402.0280000000002</v>
          </cell>
        </row>
        <row r="750">
          <cell r="A750" t="str">
            <v>MT</v>
          </cell>
          <cell r="B750">
            <v>2007</v>
          </cell>
          <cell r="D750" t="str">
            <v>SOJA</v>
          </cell>
          <cell r="E750">
            <v>5943.9949999999999</v>
          </cell>
        </row>
        <row r="751">
          <cell r="A751" t="str">
            <v>MT</v>
          </cell>
          <cell r="B751">
            <v>2007</v>
          </cell>
          <cell r="D751" t="str">
            <v>SOJA</v>
          </cell>
          <cell r="E751">
            <v>269.87900000000002</v>
          </cell>
        </row>
        <row r="752">
          <cell r="A752" t="str">
            <v>MT</v>
          </cell>
          <cell r="B752">
            <v>2007</v>
          </cell>
          <cell r="D752" t="str">
            <v>SOJA</v>
          </cell>
          <cell r="E752">
            <v>65.456000000000003</v>
          </cell>
        </row>
        <row r="753">
          <cell r="A753" t="str">
            <v>MT</v>
          </cell>
          <cell r="B753">
            <v>2007</v>
          </cell>
          <cell r="D753" t="str">
            <v>SOJA</v>
          </cell>
          <cell r="E753">
            <v>81.468000000000004</v>
          </cell>
        </row>
        <row r="754">
          <cell r="A754" t="str">
            <v>MT</v>
          </cell>
          <cell r="B754">
            <v>2007</v>
          </cell>
          <cell r="D754" t="str">
            <v>MILHO</v>
          </cell>
          <cell r="E754">
            <v>0</v>
          </cell>
        </row>
        <row r="755">
          <cell r="A755" t="str">
            <v>MT</v>
          </cell>
          <cell r="B755">
            <v>2007</v>
          </cell>
          <cell r="D755" t="str">
            <v>MILHO</v>
          </cell>
          <cell r="E755">
            <v>0</v>
          </cell>
        </row>
        <row r="756">
          <cell r="A756" t="str">
            <v>MT</v>
          </cell>
          <cell r="B756">
            <v>2007</v>
          </cell>
          <cell r="D756" t="str">
            <v>MILHO</v>
          </cell>
          <cell r="E756">
            <v>0</v>
          </cell>
        </row>
        <row r="757">
          <cell r="A757" t="str">
            <v>MT</v>
          </cell>
          <cell r="B757">
            <v>2007</v>
          </cell>
          <cell r="D757" t="str">
            <v>MILHO</v>
          </cell>
          <cell r="E757">
            <v>0</v>
          </cell>
        </row>
        <row r="758">
          <cell r="A758" t="str">
            <v>MT</v>
          </cell>
          <cell r="B758">
            <v>2007</v>
          </cell>
          <cell r="D758" t="str">
            <v>MILHO</v>
          </cell>
          <cell r="E758">
            <v>0</v>
          </cell>
        </row>
        <row r="759">
          <cell r="A759" t="str">
            <v>MT</v>
          </cell>
          <cell r="B759">
            <v>2007</v>
          </cell>
          <cell r="D759" t="str">
            <v>MILHO</v>
          </cell>
          <cell r="E759">
            <v>0</v>
          </cell>
        </row>
        <row r="760">
          <cell r="A760" t="str">
            <v>MT</v>
          </cell>
          <cell r="B760">
            <v>2007</v>
          </cell>
          <cell r="D760" t="str">
            <v>SOJA</v>
          </cell>
          <cell r="E760">
            <v>7294.9719999999998</v>
          </cell>
        </row>
        <row r="761">
          <cell r="A761" t="str">
            <v>MT</v>
          </cell>
          <cell r="B761">
            <v>2007</v>
          </cell>
          <cell r="D761" t="str">
            <v>SOJA</v>
          </cell>
          <cell r="E761">
            <v>27403.61</v>
          </cell>
        </row>
        <row r="762">
          <cell r="A762" t="str">
            <v>MT</v>
          </cell>
          <cell r="B762">
            <v>2007</v>
          </cell>
          <cell r="D762" t="str">
            <v>SOJA</v>
          </cell>
          <cell r="E762">
            <v>18310.821</v>
          </cell>
        </row>
        <row r="763">
          <cell r="A763" t="str">
            <v>MT</v>
          </cell>
          <cell r="B763">
            <v>2007</v>
          </cell>
          <cell r="D763" t="str">
            <v>SOJA</v>
          </cell>
          <cell r="E763">
            <v>211.62</v>
          </cell>
        </row>
        <row r="764">
          <cell r="A764" t="str">
            <v>MT</v>
          </cell>
          <cell r="B764">
            <v>2007</v>
          </cell>
          <cell r="D764" t="str">
            <v>SOJA</v>
          </cell>
          <cell r="E764">
            <v>60</v>
          </cell>
        </row>
        <row r="765">
          <cell r="A765" t="str">
            <v>MT</v>
          </cell>
          <cell r="B765">
            <v>2007</v>
          </cell>
          <cell r="D765" t="str">
            <v>SOJA</v>
          </cell>
          <cell r="E765">
            <v>389.93200000000002</v>
          </cell>
        </row>
        <row r="766">
          <cell r="A766" t="str">
            <v>MT</v>
          </cell>
          <cell r="B766">
            <v>2007</v>
          </cell>
          <cell r="D766" t="str">
            <v>SOJA</v>
          </cell>
          <cell r="E766">
            <v>3763.596</v>
          </cell>
        </row>
        <row r="767">
          <cell r="A767" t="str">
            <v>MT</v>
          </cell>
          <cell r="B767">
            <v>2007</v>
          </cell>
          <cell r="D767" t="str">
            <v>SOJA</v>
          </cell>
          <cell r="E767">
            <v>11.821999999999999</v>
          </cell>
        </row>
        <row r="768">
          <cell r="A768" t="str">
            <v>MT</v>
          </cell>
          <cell r="B768">
            <v>2007</v>
          </cell>
          <cell r="D768" t="str">
            <v>SOJA</v>
          </cell>
          <cell r="E768">
            <v>28.44</v>
          </cell>
        </row>
        <row r="769">
          <cell r="A769" t="str">
            <v>MT</v>
          </cell>
          <cell r="B769">
            <v>2007</v>
          </cell>
          <cell r="D769" t="str">
            <v>SOJA</v>
          </cell>
          <cell r="E769">
            <v>0</v>
          </cell>
        </row>
        <row r="770">
          <cell r="A770" t="str">
            <v>MT</v>
          </cell>
          <cell r="B770">
            <v>2007</v>
          </cell>
          <cell r="D770" t="str">
            <v>SOJA</v>
          </cell>
          <cell r="E770">
            <v>3.02</v>
          </cell>
        </row>
        <row r="771">
          <cell r="A771" t="str">
            <v>MT</v>
          </cell>
          <cell r="B771">
            <v>2007</v>
          </cell>
          <cell r="D771" t="str">
            <v>SOJA</v>
          </cell>
          <cell r="E771">
            <v>128.68199999999999</v>
          </cell>
        </row>
        <row r="772">
          <cell r="A772" t="str">
            <v>MT</v>
          </cell>
          <cell r="B772">
            <v>2007</v>
          </cell>
          <cell r="D772" t="str">
            <v>SOJA</v>
          </cell>
          <cell r="E772">
            <v>554.91</v>
          </cell>
        </row>
        <row r="773">
          <cell r="A773" t="str">
            <v>MT</v>
          </cell>
          <cell r="B773">
            <v>2007</v>
          </cell>
          <cell r="D773" t="str">
            <v>SOJA</v>
          </cell>
          <cell r="E773">
            <v>14516.68</v>
          </cell>
        </row>
        <row r="774">
          <cell r="A774" t="str">
            <v>MT</v>
          </cell>
          <cell r="B774">
            <v>2007</v>
          </cell>
          <cell r="D774" t="str">
            <v>SOJA</v>
          </cell>
          <cell r="E774">
            <v>13818.145</v>
          </cell>
        </row>
        <row r="775">
          <cell r="A775" t="str">
            <v>MT</v>
          </cell>
          <cell r="B775">
            <v>2007</v>
          </cell>
          <cell r="D775" t="str">
            <v>SOJA</v>
          </cell>
          <cell r="E775">
            <v>84.926000000000002</v>
          </cell>
        </row>
        <row r="776">
          <cell r="A776" t="str">
            <v>MT</v>
          </cell>
          <cell r="B776">
            <v>2007</v>
          </cell>
          <cell r="D776" t="str">
            <v>SOJA</v>
          </cell>
          <cell r="E776">
            <v>0</v>
          </cell>
        </row>
        <row r="777">
          <cell r="A777" t="str">
            <v>MT</v>
          </cell>
          <cell r="B777">
            <v>2007</v>
          </cell>
          <cell r="D777" t="str">
            <v>SOJA</v>
          </cell>
          <cell r="E777">
            <v>0</v>
          </cell>
        </row>
        <row r="778">
          <cell r="A778" t="str">
            <v>MT</v>
          </cell>
          <cell r="B778">
            <v>2007</v>
          </cell>
          <cell r="D778" t="str">
            <v>SOJA</v>
          </cell>
          <cell r="E778">
            <v>0</v>
          </cell>
        </row>
        <row r="779">
          <cell r="A779" t="str">
            <v>MT</v>
          </cell>
          <cell r="B779">
            <v>2007</v>
          </cell>
          <cell r="D779" t="str">
            <v>SOJA</v>
          </cell>
          <cell r="E779">
            <v>6.69</v>
          </cell>
        </row>
        <row r="780">
          <cell r="A780" t="str">
            <v>MT</v>
          </cell>
          <cell r="B780">
            <v>2007</v>
          </cell>
          <cell r="D780" t="str">
            <v>MILHO</v>
          </cell>
          <cell r="E780">
            <v>2354.444</v>
          </cell>
        </row>
        <row r="781">
          <cell r="A781" t="str">
            <v>MT</v>
          </cell>
          <cell r="B781">
            <v>2007</v>
          </cell>
          <cell r="D781" t="str">
            <v>MILHO</v>
          </cell>
          <cell r="E781">
            <v>7786.5460000000003</v>
          </cell>
        </row>
        <row r="782">
          <cell r="A782" t="str">
            <v>MT</v>
          </cell>
          <cell r="B782">
            <v>2007</v>
          </cell>
          <cell r="D782" t="str">
            <v>MILHO</v>
          </cell>
          <cell r="E782">
            <v>25962.213</v>
          </cell>
        </row>
        <row r="783">
          <cell r="A783" t="str">
            <v>MT</v>
          </cell>
          <cell r="B783">
            <v>2007</v>
          </cell>
          <cell r="D783" t="str">
            <v>MILHO</v>
          </cell>
          <cell r="E783">
            <v>3957.38</v>
          </cell>
        </row>
        <row r="784">
          <cell r="A784" t="str">
            <v>MT</v>
          </cell>
          <cell r="B784">
            <v>2007</v>
          </cell>
          <cell r="D784" t="str">
            <v>MILHO</v>
          </cell>
          <cell r="E784">
            <v>5482.8559999999998</v>
          </cell>
        </row>
        <row r="785">
          <cell r="A785" t="str">
            <v>MT</v>
          </cell>
          <cell r="B785">
            <v>2007</v>
          </cell>
          <cell r="D785" t="str">
            <v>MILHO</v>
          </cell>
          <cell r="E785">
            <v>223.77799999999999</v>
          </cell>
        </row>
        <row r="786">
          <cell r="A786" t="str">
            <v>MT</v>
          </cell>
          <cell r="B786">
            <v>2007</v>
          </cell>
          <cell r="D786" t="str">
            <v>MILHO</v>
          </cell>
          <cell r="E786">
            <v>498.077</v>
          </cell>
        </row>
        <row r="787">
          <cell r="A787" t="str">
            <v>MT</v>
          </cell>
          <cell r="B787">
            <v>2007</v>
          </cell>
          <cell r="D787" t="str">
            <v>MILHO</v>
          </cell>
          <cell r="E787">
            <v>0</v>
          </cell>
        </row>
        <row r="788">
          <cell r="A788" t="str">
            <v>MT</v>
          </cell>
          <cell r="B788">
            <v>2007</v>
          </cell>
          <cell r="D788" t="str">
            <v>SOJA</v>
          </cell>
          <cell r="E788">
            <v>3226.0630000000001</v>
          </cell>
        </row>
        <row r="789">
          <cell r="A789" t="str">
            <v>MT</v>
          </cell>
          <cell r="B789">
            <v>2007</v>
          </cell>
          <cell r="D789" t="str">
            <v>SOJA</v>
          </cell>
          <cell r="E789">
            <v>23040.834999999999</v>
          </cell>
        </row>
        <row r="790">
          <cell r="A790" t="str">
            <v>MT</v>
          </cell>
          <cell r="B790">
            <v>2007</v>
          </cell>
          <cell r="D790" t="str">
            <v>SOJA</v>
          </cell>
          <cell r="E790">
            <v>17172.656999999999</v>
          </cell>
        </row>
        <row r="791">
          <cell r="A791" t="str">
            <v>MT</v>
          </cell>
          <cell r="B791">
            <v>2007</v>
          </cell>
          <cell r="D791" t="str">
            <v>SOJA</v>
          </cell>
          <cell r="E791">
            <v>293.26</v>
          </cell>
        </row>
        <row r="792">
          <cell r="A792" t="str">
            <v>MT</v>
          </cell>
          <cell r="B792">
            <v>2007</v>
          </cell>
          <cell r="D792" t="str">
            <v>SOJA</v>
          </cell>
          <cell r="E792">
            <v>235</v>
          </cell>
        </row>
        <row r="793">
          <cell r="A793" t="str">
            <v>MT</v>
          </cell>
          <cell r="B793">
            <v>2007</v>
          </cell>
          <cell r="D793" t="str">
            <v>SOJA</v>
          </cell>
          <cell r="E793">
            <v>19.091999999999999</v>
          </cell>
        </row>
        <row r="794">
          <cell r="A794" t="str">
            <v>BA</v>
          </cell>
          <cell r="B794">
            <v>2007</v>
          </cell>
          <cell r="D794" t="str">
            <v>SOJA</v>
          </cell>
          <cell r="E794">
            <v>5097.2020000000002</v>
          </cell>
        </row>
        <row r="795">
          <cell r="A795" t="str">
            <v>BA</v>
          </cell>
          <cell r="B795">
            <v>2007</v>
          </cell>
          <cell r="D795" t="str">
            <v>SOJA</v>
          </cell>
          <cell r="E795">
            <v>13633.377</v>
          </cell>
        </row>
        <row r="796">
          <cell r="A796" t="str">
            <v>SP</v>
          </cell>
          <cell r="B796">
            <v>2007</v>
          </cell>
          <cell r="D796" t="str">
            <v>MILHO</v>
          </cell>
          <cell r="E796">
            <v>9858.69</v>
          </cell>
        </row>
        <row r="797">
          <cell r="A797" t="str">
            <v>SP</v>
          </cell>
          <cell r="B797">
            <v>2007</v>
          </cell>
          <cell r="D797" t="str">
            <v>MILHO</v>
          </cell>
          <cell r="E797">
            <v>25740.659</v>
          </cell>
        </row>
        <row r="798">
          <cell r="A798" t="str">
            <v>SP</v>
          </cell>
          <cell r="B798">
            <v>2007</v>
          </cell>
          <cell r="D798" t="str">
            <v>MILHO</v>
          </cell>
          <cell r="E798">
            <v>5125.67</v>
          </cell>
        </row>
        <row r="799">
          <cell r="A799" t="str">
            <v>SP</v>
          </cell>
          <cell r="B799">
            <v>2007</v>
          </cell>
          <cell r="D799" t="str">
            <v>MILHO</v>
          </cell>
          <cell r="E799">
            <v>3913.48</v>
          </cell>
        </row>
        <row r="800">
          <cell r="A800" t="str">
            <v>SP</v>
          </cell>
          <cell r="B800">
            <v>2007</v>
          </cell>
          <cell r="D800" t="str">
            <v>MILHO</v>
          </cell>
          <cell r="E800">
            <v>3640.47</v>
          </cell>
        </row>
        <row r="801">
          <cell r="A801" t="str">
            <v>SP</v>
          </cell>
          <cell r="B801">
            <v>2007</v>
          </cell>
          <cell r="D801" t="str">
            <v>MILHO</v>
          </cell>
          <cell r="E801">
            <v>3322.75</v>
          </cell>
        </row>
        <row r="802">
          <cell r="A802" t="str">
            <v>SP</v>
          </cell>
          <cell r="B802">
            <v>2007</v>
          </cell>
          <cell r="D802" t="str">
            <v>SOJA</v>
          </cell>
          <cell r="E802">
            <v>8136.42</v>
          </cell>
        </row>
        <row r="803">
          <cell r="A803" t="str">
            <v>SP</v>
          </cell>
          <cell r="B803">
            <v>2007</v>
          </cell>
          <cell r="D803" t="str">
            <v>SOJA</v>
          </cell>
          <cell r="E803">
            <v>3342.0459999999998</v>
          </cell>
        </row>
        <row r="804">
          <cell r="A804" t="str">
            <v>SP</v>
          </cell>
          <cell r="B804">
            <v>2007</v>
          </cell>
          <cell r="D804" t="str">
            <v>SOJA</v>
          </cell>
          <cell r="E804">
            <v>465.91399999999999</v>
          </cell>
        </row>
        <row r="805">
          <cell r="A805" t="str">
            <v>SP</v>
          </cell>
          <cell r="B805">
            <v>2007</v>
          </cell>
          <cell r="D805" t="str">
            <v>SOJA</v>
          </cell>
          <cell r="E805">
            <v>2.6669999999999998</v>
          </cell>
        </row>
        <row r="806">
          <cell r="A806" t="str">
            <v>SP</v>
          </cell>
          <cell r="B806">
            <v>2007</v>
          </cell>
          <cell r="D806" t="str">
            <v>SOJA</v>
          </cell>
          <cell r="E806">
            <v>145.52000000000001</v>
          </cell>
        </row>
        <row r="807">
          <cell r="A807" t="str">
            <v>SP</v>
          </cell>
          <cell r="B807">
            <v>2007</v>
          </cell>
          <cell r="D807" t="str">
            <v>SOJA</v>
          </cell>
          <cell r="E807">
            <v>39.159999999999997</v>
          </cell>
        </row>
        <row r="808">
          <cell r="A808" t="str">
            <v>SP</v>
          </cell>
          <cell r="B808">
            <v>2007</v>
          </cell>
          <cell r="D808" t="str">
            <v>SOJA</v>
          </cell>
          <cell r="E808">
            <v>10.371</v>
          </cell>
        </row>
        <row r="809">
          <cell r="A809" t="str">
            <v>BA</v>
          </cell>
          <cell r="B809">
            <v>2007</v>
          </cell>
          <cell r="D809" t="str">
            <v>MILHO</v>
          </cell>
          <cell r="E809">
            <v>913.17100000000005</v>
          </cell>
        </row>
        <row r="810">
          <cell r="A810" t="str">
            <v>BA</v>
          </cell>
          <cell r="B810">
            <v>2007</v>
          </cell>
          <cell r="D810" t="str">
            <v>MILHO</v>
          </cell>
          <cell r="E810">
            <v>3428.4940000000001</v>
          </cell>
        </row>
        <row r="811">
          <cell r="A811" t="str">
            <v>BA</v>
          </cell>
          <cell r="B811">
            <v>2007</v>
          </cell>
          <cell r="D811" t="str">
            <v>MILHO</v>
          </cell>
          <cell r="E811">
            <v>10775.887000000001</v>
          </cell>
        </row>
        <row r="812">
          <cell r="A812" t="str">
            <v>BA</v>
          </cell>
          <cell r="B812">
            <v>2007</v>
          </cell>
          <cell r="D812" t="str">
            <v>MILHO</v>
          </cell>
          <cell r="E812">
            <v>268.37799999999999</v>
          </cell>
        </row>
        <row r="813">
          <cell r="A813" t="str">
            <v>BA</v>
          </cell>
          <cell r="B813">
            <v>2007</v>
          </cell>
          <cell r="D813" t="str">
            <v>MILHO</v>
          </cell>
          <cell r="E813">
            <v>80.617999999999995</v>
          </cell>
        </row>
        <row r="814">
          <cell r="A814" t="str">
            <v>BA</v>
          </cell>
          <cell r="B814">
            <v>2007</v>
          </cell>
          <cell r="D814" t="str">
            <v>MILHO</v>
          </cell>
          <cell r="E814">
            <v>1483.7059999999999</v>
          </cell>
        </row>
        <row r="815">
          <cell r="A815" t="str">
            <v>BA</v>
          </cell>
          <cell r="B815">
            <v>2007</v>
          </cell>
          <cell r="D815" t="str">
            <v>MILHO</v>
          </cell>
          <cell r="E815">
            <v>820.51599999999996</v>
          </cell>
        </row>
        <row r="816">
          <cell r="A816" t="str">
            <v>BA</v>
          </cell>
          <cell r="B816">
            <v>2007</v>
          </cell>
          <cell r="D816" t="str">
            <v>MILHO</v>
          </cell>
          <cell r="E816">
            <v>60</v>
          </cell>
        </row>
        <row r="817">
          <cell r="A817" t="str">
            <v>BA</v>
          </cell>
          <cell r="B817">
            <v>2007</v>
          </cell>
          <cell r="D817" t="str">
            <v>MILHO</v>
          </cell>
          <cell r="E817">
            <v>14.083</v>
          </cell>
        </row>
        <row r="818">
          <cell r="A818" t="str">
            <v>BA</v>
          </cell>
          <cell r="B818">
            <v>2007</v>
          </cell>
          <cell r="D818" t="str">
            <v>MILHO</v>
          </cell>
          <cell r="E818">
            <v>146.63800000000001</v>
          </cell>
        </row>
        <row r="819">
          <cell r="A819" t="str">
            <v>BA</v>
          </cell>
          <cell r="B819">
            <v>2007</v>
          </cell>
          <cell r="D819" t="str">
            <v>SOJA</v>
          </cell>
          <cell r="E819">
            <v>2087.5659999999998</v>
          </cell>
        </row>
        <row r="820">
          <cell r="A820" t="str">
            <v>BA</v>
          </cell>
          <cell r="B820">
            <v>2007</v>
          </cell>
          <cell r="D820" t="str">
            <v>SOJA</v>
          </cell>
          <cell r="E820">
            <v>7883.26</v>
          </cell>
        </row>
        <row r="821">
          <cell r="A821" t="str">
            <v>BA</v>
          </cell>
          <cell r="B821">
            <v>2007</v>
          </cell>
          <cell r="D821" t="str">
            <v>SOJA</v>
          </cell>
          <cell r="E821">
            <v>2056.1579999999999</v>
          </cell>
        </row>
        <row r="822">
          <cell r="A822" t="str">
            <v>BA</v>
          </cell>
          <cell r="B822">
            <v>2007</v>
          </cell>
          <cell r="D822" t="str">
            <v>SOJA</v>
          </cell>
          <cell r="E822">
            <v>134.58000000000001</v>
          </cell>
        </row>
        <row r="823">
          <cell r="A823" t="str">
            <v>BA</v>
          </cell>
          <cell r="B823">
            <v>2007</v>
          </cell>
          <cell r="D823" t="str">
            <v>SOJA</v>
          </cell>
          <cell r="E823">
            <v>20.779</v>
          </cell>
        </row>
        <row r="824">
          <cell r="A824" t="str">
            <v>BA</v>
          </cell>
          <cell r="B824">
            <v>2007</v>
          </cell>
          <cell r="D824" t="str">
            <v>SOJA</v>
          </cell>
          <cell r="E824">
            <v>45.03</v>
          </cell>
        </row>
        <row r="825">
          <cell r="A825" t="str">
            <v>BA</v>
          </cell>
          <cell r="B825">
            <v>2007</v>
          </cell>
          <cell r="D825" t="str">
            <v>SOJA</v>
          </cell>
          <cell r="E825">
            <v>51344.565000000002</v>
          </cell>
        </row>
        <row r="826">
          <cell r="A826" t="str">
            <v>BA</v>
          </cell>
          <cell r="B826">
            <v>2007</v>
          </cell>
          <cell r="D826" t="str">
            <v>SOJA</v>
          </cell>
          <cell r="E826">
            <v>52380.146999999997</v>
          </cell>
        </row>
        <row r="827">
          <cell r="A827" t="str">
            <v>BA</v>
          </cell>
          <cell r="B827">
            <v>2007</v>
          </cell>
          <cell r="D827" t="str">
            <v>SOJA</v>
          </cell>
          <cell r="E827">
            <v>1002.881</v>
          </cell>
        </row>
        <row r="828">
          <cell r="A828" t="str">
            <v>BA</v>
          </cell>
          <cell r="B828">
            <v>2007</v>
          </cell>
          <cell r="D828" t="str">
            <v>SOJA</v>
          </cell>
          <cell r="E828">
            <v>2512.1030000000001</v>
          </cell>
        </row>
        <row r="829">
          <cell r="A829" t="str">
            <v>BA</v>
          </cell>
          <cell r="B829">
            <v>2007</v>
          </cell>
          <cell r="D829" t="str">
            <v>SOJA</v>
          </cell>
          <cell r="E829">
            <v>2432.9499999999998</v>
          </cell>
        </row>
        <row r="830">
          <cell r="A830" t="str">
            <v>BA</v>
          </cell>
          <cell r="B830">
            <v>2007</v>
          </cell>
          <cell r="D830" t="str">
            <v>SOJA</v>
          </cell>
          <cell r="E830">
            <v>3455.1559999999999</v>
          </cell>
        </row>
        <row r="831">
          <cell r="A831" t="str">
            <v>BA</v>
          </cell>
          <cell r="B831">
            <v>2007</v>
          </cell>
          <cell r="D831" t="str">
            <v>SOJA</v>
          </cell>
          <cell r="E831">
            <v>393.63600000000002</v>
          </cell>
        </row>
        <row r="832">
          <cell r="A832" t="str">
            <v>BA</v>
          </cell>
          <cell r="B832">
            <v>2007</v>
          </cell>
          <cell r="D832" t="str">
            <v>SOJA</v>
          </cell>
          <cell r="E832">
            <v>68.409000000000006</v>
          </cell>
        </row>
        <row r="833">
          <cell r="A833" t="str">
            <v>BA</v>
          </cell>
          <cell r="B833">
            <v>2007</v>
          </cell>
          <cell r="D833" t="str">
            <v>SOJA</v>
          </cell>
          <cell r="E833">
            <v>430.923</v>
          </cell>
        </row>
        <row r="834">
          <cell r="A834" t="str">
            <v>RS</v>
          </cell>
          <cell r="B834">
            <v>2007</v>
          </cell>
          <cell r="D834" t="str">
            <v>MILHO</v>
          </cell>
          <cell r="E834">
            <v>5948.04</v>
          </cell>
        </row>
        <row r="835">
          <cell r="A835" t="str">
            <v>RS</v>
          </cell>
          <cell r="B835">
            <v>2007</v>
          </cell>
          <cell r="D835" t="str">
            <v>MILHO</v>
          </cell>
          <cell r="E835">
            <v>12387.382</v>
          </cell>
        </row>
        <row r="836">
          <cell r="A836" t="str">
            <v>RS</v>
          </cell>
          <cell r="B836">
            <v>2007</v>
          </cell>
          <cell r="D836" t="str">
            <v>MILHO</v>
          </cell>
          <cell r="E836">
            <v>3234.6779999999999</v>
          </cell>
        </row>
        <row r="837">
          <cell r="A837" t="str">
            <v>RS</v>
          </cell>
          <cell r="B837">
            <v>2007</v>
          </cell>
          <cell r="D837" t="str">
            <v>MILHO</v>
          </cell>
          <cell r="E837">
            <v>0</v>
          </cell>
        </row>
        <row r="838">
          <cell r="A838" t="str">
            <v>RS</v>
          </cell>
          <cell r="B838">
            <v>2007</v>
          </cell>
          <cell r="D838" t="str">
            <v>MILHO</v>
          </cell>
          <cell r="E838">
            <v>0</v>
          </cell>
        </row>
        <row r="839">
          <cell r="A839" t="str">
            <v>RS</v>
          </cell>
          <cell r="B839">
            <v>2007</v>
          </cell>
          <cell r="D839" t="str">
            <v>MILHO</v>
          </cell>
          <cell r="E839">
            <v>0</v>
          </cell>
        </row>
        <row r="840">
          <cell r="A840" t="str">
            <v>RS</v>
          </cell>
          <cell r="B840">
            <v>2007</v>
          </cell>
          <cell r="D840" t="str">
            <v>SOJA</v>
          </cell>
          <cell r="E840">
            <v>0</v>
          </cell>
        </row>
        <row r="841">
          <cell r="A841" t="str">
            <v>RS</v>
          </cell>
          <cell r="B841">
            <v>2007</v>
          </cell>
          <cell r="D841" t="str">
            <v>SOJA</v>
          </cell>
          <cell r="E841">
            <v>8677.9490000000005</v>
          </cell>
        </row>
        <row r="842">
          <cell r="A842" t="str">
            <v>RS</v>
          </cell>
          <cell r="B842">
            <v>2007</v>
          </cell>
          <cell r="D842" t="str">
            <v>SOJA</v>
          </cell>
          <cell r="E842">
            <v>19061.522000000001</v>
          </cell>
        </row>
        <row r="843">
          <cell r="A843" t="str">
            <v>RS</v>
          </cell>
          <cell r="B843">
            <v>2007</v>
          </cell>
          <cell r="D843" t="str">
            <v>SOJA</v>
          </cell>
          <cell r="E843">
            <v>2482.1350000000002</v>
          </cell>
        </row>
        <row r="844">
          <cell r="A844" t="str">
            <v>RS</v>
          </cell>
          <cell r="B844">
            <v>2007</v>
          </cell>
          <cell r="D844" t="str">
            <v>SOJA</v>
          </cell>
          <cell r="E844">
            <v>783.81799999999998</v>
          </cell>
        </row>
        <row r="845">
          <cell r="A845" t="str">
            <v>RS</v>
          </cell>
          <cell r="B845">
            <v>2007</v>
          </cell>
          <cell r="D845" t="str">
            <v>SOJA</v>
          </cell>
          <cell r="E845">
            <v>17.170000000000002</v>
          </cell>
        </row>
        <row r="846">
          <cell r="A846" t="str">
            <v>RS</v>
          </cell>
          <cell r="B846">
            <v>2007</v>
          </cell>
          <cell r="D846" t="str">
            <v>SOJA</v>
          </cell>
          <cell r="E846">
            <v>71.52</v>
          </cell>
        </row>
        <row r="847">
          <cell r="A847" t="str">
            <v>RS</v>
          </cell>
          <cell r="B847">
            <v>2007</v>
          </cell>
          <cell r="D847" t="str">
            <v>SOJA</v>
          </cell>
          <cell r="E847">
            <v>69.099999999999994</v>
          </cell>
        </row>
        <row r="848">
          <cell r="A848" t="str">
            <v>RS</v>
          </cell>
          <cell r="B848">
            <v>2007</v>
          </cell>
          <cell r="D848" t="str">
            <v>SOJA</v>
          </cell>
          <cell r="E848">
            <v>491.42</v>
          </cell>
        </row>
        <row r="849">
          <cell r="A849" t="str">
            <v>RS</v>
          </cell>
          <cell r="B849">
            <v>2007</v>
          </cell>
          <cell r="D849" t="str">
            <v>SOJA</v>
          </cell>
          <cell r="E849">
            <v>29.86</v>
          </cell>
        </row>
        <row r="850">
          <cell r="A850" t="str">
            <v>RS</v>
          </cell>
          <cell r="B850">
            <v>2007</v>
          </cell>
          <cell r="D850" t="str">
            <v>SOJA</v>
          </cell>
          <cell r="E850">
            <v>301.86</v>
          </cell>
        </row>
        <row r="851">
          <cell r="A851" t="str">
            <v>PR</v>
          </cell>
          <cell r="B851">
            <v>2007</v>
          </cell>
          <cell r="D851" t="str">
            <v>MILHO</v>
          </cell>
          <cell r="E851">
            <v>1353.3109999999999</v>
          </cell>
        </row>
        <row r="852">
          <cell r="A852" t="str">
            <v>PR</v>
          </cell>
          <cell r="B852">
            <v>2007</v>
          </cell>
          <cell r="D852" t="str">
            <v>MILHO</v>
          </cell>
          <cell r="E852">
            <v>6244.8180000000002</v>
          </cell>
        </row>
        <row r="853">
          <cell r="A853" t="str">
            <v>PR</v>
          </cell>
          <cell r="B853">
            <v>2007</v>
          </cell>
          <cell r="D853" t="str">
            <v>MILHO</v>
          </cell>
          <cell r="E853">
            <v>763.56299999999999</v>
          </cell>
        </row>
        <row r="854">
          <cell r="A854" t="str">
            <v>PR</v>
          </cell>
          <cell r="B854">
            <v>2007</v>
          </cell>
          <cell r="D854" t="str">
            <v>MILHO</v>
          </cell>
          <cell r="E854">
            <v>620.67399999999998</v>
          </cell>
        </row>
        <row r="855">
          <cell r="A855" t="str">
            <v>PR</v>
          </cell>
          <cell r="B855">
            <v>2007</v>
          </cell>
          <cell r="D855" t="str">
            <v>MILHO</v>
          </cell>
          <cell r="E855">
            <v>181.465</v>
          </cell>
        </row>
        <row r="856">
          <cell r="A856" t="str">
            <v>PR</v>
          </cell>
          <cell r="B856">
            <v>2007</v>
          </cell>
          <cell r="D856" t="str">
            <v>MILHO</v>
          </cell>
          <cell r="E856">
            <v>0</v>
          </cell>
        </row>
        <row r="857">
          <cell r="A857" t="str">
            <v>PR</v>
          </cell>
          <cell r="B857">
            <v>2007</v>
          </cell>
          <cell r="D857" t="str">
            <v>MILHO</v>
          </cell>
          <cell r="E857">
            <v>47.139000000000003</v>
          </cell>
        </row>
        <row r="858">
          <cell r="A858" t="str">
            <v>PR</v>
          </cell>
          <cell r="B858">
            <v>2007</v>
          </cell>
          <cell r="D858" t="str">
            <v>MILHO</v>
          </cell>
          <cell r="E858">
            <v>0</v>
          </cell>
        </row>
        <row r="859">
          <cell r="A859" t="str">
            <v>PR</v>
          </cell>
          <cell r="B859">
            <v>2007</v>
          </cell>
          <cell r="D859" t="str">
            <v>MILHO</v>
          </cell>
          <cell r="E859">
            <v>0</v>
          </cell>
        </row>
        <row r="860">
          <cell r="A860" t="str">
            <v>PR</v>
          </cell>
          <cell r="B860">
            <v>2007</v>
          </cell>
          <cell r="D860" t="str">
            <v>SOJA</v>
          </cell>
          <cell r="E860">
            <v>45.534999999999997</v>
          </cell>
        </row>
        <row r="861">
          <cell r="A861" t="str">
            <v>PR</v>
          </cell>
          <cell r="B861">
            <v>2007</v>
          </cell>
          <cell r="D861" t="str">
            <v>SOJA</v>
          </cell>
          <cell r="E861">
            <v>139.50800000000001</v>
          </cell>
        </row>
        <row r="862">
          <cell r="A862" t="str">
            <v>PR</v>
          </cell>
          <cell r="B862">
            <v>2007</v>
          </cell>
          <cell r="D862" t="str">
            <v>SOJA</v>
          </cell>
          <cell r="E862">
            <v>10031.156999999999</v>
          </cell>
        </row>
        <row r="863">
          <cell r="A863" t="str">
            <v>PR</v>
          </cell>
          <cell r="B863">
            <v>2007</v>
          </cell>
          <cell r="D863" t="str">
            <v>SOJA</v>
          </cell>
          <cell r="E863">
            <v>11294.879000000001</v>
          </cell>
        </row>
        <row r="864">
          <cell r="A864" t="str">
            <v>PR</v>
          </cell>
          <cell r="B864">
            <v>2007</v>
          </cell>
          <cell r="D864" t="str">
            <v>SOJA</v>
          </cell>
          <cell r="E864">
            <v>300.07799999999997</v>
          </cell>
        </row>
        <row r="865">
          <cell r="A865" t="str">
            <v>PR</v>
          </cell>
          <cell r="B865">
            <v>2007</v>
          </cell>
          <cell r="D865" t="str">
            <v>SOJA</v>
          </cell>
          <cell r="E865">
            <v>253.46299999999999</v>
          </cell>
        </row>
        <row r="866">
          <cell r="A866" t="str">
            <v>PR</v>
          </cell>
          <cell r="B866">
            <v>2007</v>
          </cell>
          <cell r="D866" t="str">
            <v>SOJA</v>
          </cell>
          <cell r="E866">
            <v>7.87</v>
          </cell>
        </row>
        <row r="867">
          <cell r="A867" t="str">
            <v>PR</v>
          </cell>
          <cell r="B867">
            <v>2007</v>
          </cell>
          <cell r="D867" t="str">
            <v>SOJA</v>
          </cell>
          <cell r="E867">
            <v>3.7850000000000001</v>
          </cell>
        </row>
        <row r="868">
          <cell r="A868" t="str">
            <v>PR</v>
          </cell>
          <cell r="B868">
            <v>2007</v>
          </cell>
          <cell r="D868" t="str">
            <v>SOJA</v>
          </cell>
          <cell r="E868">
            <v>3.42</v>
          </cell>
        </row>
        <row r="869">
          <cell r="A869" t="str">
            <v>PR</v>
          </cell>
          <cell r="B869">
            <v>2007</v>
          </cell>
          <cell r="D869" t="str">
            <v>SOJA</v>
          </cell>
          <cell r="E869">
            <v>55.872</v>
          </cell>
        </row>
        <row r="870">
          <cell r="A870" t="str">
            <v>PR</v>
          </cell>
          <cell r="B870">
            <v>2007</v>
          </cell>
          <cell r="D870" t="str">
            <v>SOJA</v>
          </cell>
          <cell r="E870">
            <v>26.39</v>
          </cell>
        </row>
        <row r="871">
          <cell r="A871" t="str">
            <v>PR</v>
          </cell>
          <cell r="B871">
            <v>2007</v>
          </cell>
          <cell r="D871" t="str">
            <v>SOJA</v>
          </cell>
          <cell r="E871">
            <v>54.67</v>
          </cell>
        </row>
        <row r="872">
          <cell r="A872" t="str">
            <v>PR</v>
          </cell>
          <cell r="B872">
            <v>2007</v>
          </cell>
          <cell r="D872" t="str">
            <v>MILHO</v>
          </cell>
          <cell r="E872">
            <v>623.38199999999995</v>
          </cell>
        </row>
        <row r="873">
          <cell r="A873" t="str">
            <v>PR</v>
          </cell>
          <cell r="B873">
            <v>2007</v>
          </cell>
          <cell r="D873" t="str">
            <v>MILHO</v>
          </cell>
          <cell r="E873">
            <v>416.87299999999999</v>
          </cell>
        </row>
        <row r="874">
          <cell r="A874" t="str">
            <v>PR</v>
          </cell>
          <cell r="B874">
            <v>2007</v>
          </cell>
          <cell r="D874" t="str">
            <v>MILHO</v>
          </cell>
          <cell r="E874">
            <v>41.850999999999999</v>
          </cell>
        </row>
        <row r="875">
          <cell r="A875" t="str">
            <v>PR</v>
          </cell>
          <cell r="B875">
            <v>2007</v>
          </cell>
          <cell r="D875" t="str">
            <v>MILHO</v>
          </cell>
          <cell r="E875">
            <v>5196.1049999999996</v>
          </cell>
        </row>
        <row r="876">
          <cell r="A876" t="str">
            <v>PR</v>
          </cell>
          <cell r="B876">
            <v>2007</v>
          </cell>
          <cell r="D876" t="str">
            <v>MILHO</v>
          </cell>
          <cell r="E876">
            <v>6272.7359999999999</v>
          </cell>
        </row>
        <row r="877">
          <cell r="A877" t="str">
            <v>PR</v>
          </cell>
          <cell r="B877">
            <v>2007</v>
          </cell>
          <cell r="D877" t="str">
            <v>MILHO</v>
          </cell>
          <cell r="E877">
            <v>2372.172</v>
          </cell>
        </row>
        <row r="878">
          <cell r="A878" t="str">
            <v>PR</v>
          </cell>
          <cell r="B878">
            <v>2007</v>
          </cell>
          <cell r="D878" t="str">
            <v>MILHO</v>
          </cell>
          <cell r="E878">
            <v>997.33699999999999</v>
          </cell>
        </row>
        <row r="879">
          <cell r="A879" t="str">
            <v>PR</v>
          </cell>
          <cell r="B879">
            <v>2007</v>
          </cell>
          <cell r="D879" t="str">
            <v>MILHO</v>
          </cell>
          <cell r="E879">
            <v>0</v>
          </cell>
        </row>
        <row r="880">
          <cell r="A880" t="str">
            <v>PR</v>
          </cell>
          <cell r="B880">
            <v>2007</v>
          </cell>
          <cell r="D880" t="str">
            <v>SOJA</v>
          </cell>
          <cell r="E880">
            <v>1670.624</v>
          </cell>
        </row>
        <row r="881">
          <cell r="A881" t="str">
            <v>PR</v>
          </cell>
          <cell r="B881">
            <v>2007</v>
          </cell>
          <cell r="D881" t="str">
            <v>SOJA</v>
          </cell>
          <cell r="E881">
            <v>5984.058</v>
          </cell>
        </row>
        <row r="882">
          <cell r="A882" t="str">
            <v>PR</v>
          </cell>
          <cell r="B882">
            <v>2007</v>
          </cell>
          <cell r="D882" t="str">
            <v>SOJA</v>
          </cell>
          <cell r="E882">
            <v>2412.1379999999999</v>
          </cell>
        </row>
        <row r="883">
          <cell r="A883" t="str">
            <v>PR</v>
          </cell>
          <cell r="B883">
            <v>2007</v>
          </cell>
          <cell r="D883" t="str">
            <v>SOJA</v>
          </cell>
          <cell r="E883">
            <v>16.547999999999998</v>
          </cell>
        </row>
        <row r="884">
          <cell r="A884" t="str">
            <v>PR</v>
          </cell>
          <cell r="B884">
            <v>2007</v>
          </cell>
          <cell r="D884" t="str">
            <v>SOJA</v>
          </cell>
          <cell r="E884">
            <v>0.87</v>
          </cell>
        </row>
        <row r="885">
          <cell r="A885" t="str">
            <v>PR</v>
          </cell>
          <cell r="B885">
            <v>2007</v>
          </cell>
          <cell r="D885" t="str">
            <v>SOJA</v>
          </cell>
          <cell r="E885">
            <v>5.74</v>
          </cell>
        </row>
        <row r="886">
          <cell r="A886" t="str">
            <v>PA</v>
          </cell>
          <cell r="B886">
            <v>2007</v>
          </cell>
          <cell r="D886" t="str">
            <v>SOJA</v>
          </cell>
          <cell r="E886">
            <v>1144.663</v>
          </cell>
        </row>
        <row r="887">
          <cell r="A887" t="str">
            <v>PA</v>
          </cell>
          <cell r="B887">
            <v>2007</v>
          </cell>
          <cell r="D887" t="str">
            <v>SOJA</v>
          </cell>
          <cell r="E887">
            <v>3279.6289999999999</v>
          </cell>
        </row>
        <row r="888">
          <cell r="A888" t="str">
            <v>PA</v>
          </cell>
          <cell r="B888">
            <v>2007</v>
          </cell>
          <cell r="D888" t="str">
            <v>SOJA</v>
          </cell>
          <cell r="E888">
            <v>1429.69</v>
          </cell>
        </row>
        <row r="889">
          <cell r="A889" t="str">
            <v>PA</v>
          </cell>
          <cell r="B889">
            <v>2007</v>
          </cell>
          <cell r="D889" t="str">
            <v>SOJA</v>
          </cell>
          <cell r="E889">
            <v>680.41399999999999</v>
          </cell>
        </row>
        <row r="890">
          <cell r="A890" t="str">
            <v>PA</v>
          </cell>
          <cell r="B890">
            <v>2007</v>
          </cell>
          <cell r="D890" t="str">
            <v>SOJA</v>
          </cell>
          <cell r="E890">
            <v>76.421000000000006</v>
          </cell>
        </row>
        <row r="891">
          <cell r="A891" t="str">
            <v>PR</v>
          </cell>
          <cell r="B891">
            <v>2007</v>
          </cell>
          <cell r="D891" t="str">
            <v>MILHO</v>
          </cell>
          <cell r="E891">
            <v>179.65</v>
          </cell>
        </row>
        <row r="892">
          <cell r="A892" t="str">
            <v>PR</v>
          </cell>
          <cell r="B892">
            <v>2007</v>
          </cell>
          <cell r="D892" t="str">
            <v>MILHO</v>
          </cell>
          <cell r="E892">
            <v>16646.841</v>
          </cell>
        </row>
        <row r="893">
          <cell r="A893" t="str">
            <v>PR</v>
          </cell>
          <cell r="B893">
            <v>2007</v>
          </cell>
          <cell r="D893" t="str">
            <v>MILHO</v>
          </cell>
          <cell r="E893">
            <v>11.239000000000001</v>
          </cell>
        </row>
        <row r="894">
          <cell r="A894" t="str">
            <v>PR</v>
          </cell>
          <cell r="B894">
            <v>2007</v>
          </cell>
          <cell r="D894" t="str">
            <v>MILHO</v>
          </cell>
          <cell r="E894">
            <v>1692.19</v>
          </cell>
        </row>
        <row r="895">
          <cell r="A895" t="str">
            <v>PR</v>
          </cell>
          <cell r="B895">
            <v>2007</v>
          </cell>
          <cell r="D895" t="str">
            <v>MILHO</v>
          </cell>
          <cell r="E895">
            <v>1401.71</v>
          </cell>
        </row>
        <row r="896">
          <cell r="A896" t="str">
            <v>PR</v>
          </cell>
          <cell r="B896">
            <v>2007</v>
          </cell>
          <cell r="D896" t="str">
            <v>MILHO</v>
          </cell>
          <cell r="E896">
            <v>1221.49</v>
          </cell>
        </row>
        <row r="897">
          <cell r="A897" t="str">
            <v>PR</v>
          </cell>
          <cell r="B897">
            <v>2007</v>
          </cell>
          <cell r="D897" t="str">
            <v>MILHO</v>
          </cell>
          <cell r="E897">
            <v>14157</v>
          </cell>
        </row>
        <row r="898">
          <cell r="A898" t="str">
            <v>PR</v>
          </cell>
          <cell r="B898">
            <v>2007</v>
          </cell>
          <cell r="D898" t="str">
            <v>MILHO</v>
          </cell>
          <cell r="E898">
            <v>54220.071000000004</v>
          </cell>
        </row>
        <row r="899">
          <cell r="A899" t="str">
            <v>PR</v>
          </cell>
          <cell r="B899">
            <v>2007</v>
          </cell>
          <cell r="D899" t="str">
            <v>MILHO</v>
          </cell>
          <cell r="E899">
            <v>89633.020999999993</v>
          </cell>
        </row>
        <row r="900">
          <cell r="A900" t="str">
            <v>PR</v>
          </cell>
          <cell r="B900">
            <v>2007</v>
          </cell>
          <cell r="D900" t="str">
            <v>MILHO</v>
          </cell>
          <cell r="E900">
            <v>47384.362999999998</v>
          </cell>
        </row>
        <row r="901">
          <cell r="A901" t="str">
            <v>PR</v>
          </cell>
          <cell r="B901">
            <v>2007</v>
          </cell>
          <cell r="D901" t="str">
            <v>MILHO</v>
          </cell>
          <cell r="E901">
            <v>71814.418000000005</v>
          </cell>
        </row>
        <row r="902">
          <cell r="A902" t="str">
            <v>PR</v>
          </cell>
          <cell r="B902">
            <v>2007</v>
          </cell>
          <cell r="D902" t="str">
            <v>MILHO</v>
          </cell>
          <cell r="E902">
            <v>82125.054000000004</v>
          </cell>
        </row>
        <row r="903">
          <cell r="A903" t="str">
            <v>PR</v>
          </cell>
          <cell r="B903">
            <v>2007</v>
          </cell>
          <cell r="D903" t="str">
            <v>MILHO</v>
          </cell>
          <cell r="E903">
            <v>29173.258000000002</v>
          </cell>
        </row>
        <row r="904">
          <cell r="A904" t="str">
            <v>PR</v>
          </cell>
          <cell r="B904">
            <v>2007</v>
          </cell>
          <cell r="D904" t="str">
            <v>MILHO</v>
          </cell>
          <cell r="E904">
            <v>28236.307000000001</v>
          </cell>
        </row>
        <row r="905">
          <cell r="A905" t="str">
            <v>PR</v>
          </cell>
          <cell r="B905">
            <v>2007</v>
          </cell>
          <cell r="D905" t="str">
            <v>MILHO</v>
          </cell>
          <cell r="E905">
            <v>19209.641</v>
          </cell>
        </row>
        <row r="906">
          <cell r="A906" t="str">
            <v>PR</v>
          </cell>
          <cell r="B906">
            <v>2007</v>
          </cell>
          <cell r="D906" t="str">
            <v>MILHO</v>
          </cell>
          <cell r="E906">
            <v>5909.058</v>
          </cell>
        </row>
        <row r="907">
          <cell r="A907" t="str">
            <v>RS</v>
          </cell>
          <cell r="B907">
            <v>2007</v>
          </cell>
          <cell r="D907" t="str">
            <v>SOJA</v>
          </cell>
          <cell r="E907">
            <v>0</v>
          </cell>
        </row>
        <row r="908">
          <cell r="A908" t="str">
            <v>RS</v>
          </cell>
          <cell r="B908">
            <v>2007</v>
          </cell>
          <cell r="D908" t="str">
            <v>SOJA</v>
          </cell>
          <cell r="E908">
            <v>3101.6469999999999</v>
          </cell>
        </row>
        <row r="909">
          <cell r="A909" t="str">
            <v>RS</v>
          </cell>
          <cell r="B909">
            <v>2007</v>
          </cell>
          <cell r="D909" t="str">
            <v>SOJA</v>
          </cell>
          <cell r="E909">
            <v>22923.072</v>
          </cell>
        </row>
        <row r="910">
          <cell r="A910" t="str">
            <v>RS</v>
          </cell>
          <cell r="B910">
            <v>2007</v>
          </cell>
          <cell r="D910" t="str">
            <v>SOJA</v>
          </cell>
          <cell r="E910">
            <v>52432.029000000002</v>
          </cell>
        </row>
        <row r="911">
          <cell r="A911" t="str">
            <v>RS</v>
          </cell>
          <cell r="B911">
            <v>2007</v>
          </cell>
          <cell r="D911" t="str">
            <v>SOJA</v>
          </cell>
          <cell r="E911">
            <v>27460.388999999999</v>
          </cell>
        </row>
        <row r="912">
          <cell r="A912" t="str">
            <v>RS</v>
          </cell>
          <cell r="B912">
            <v>2007</v>
          </cell>
          <cell r="D912" t="str">
            <v>SOJA</v>
          </cell>
          <cell r="E912">
            <v>17994.331999999999</v>
          </cell>
        </row>
        <row r="913">
          <cell r="A913" t="str">
            <v>RS</v>
          </cell>
          <cell r="B913">
            <v>2007</v>
          </cell>
          <cell r="D913" t="str">
            <v>SOJA</v>
          </cell>
          <cell r="E913">
            <v>11454.493</v>
          </cell>
        </row>
        <row r="914">
          <cell r="A914" t="str">
            <v>RS</v>
          </cell>
          <cell r="B914">
            <v>2007</v>
          </cell>
          <cell r="D914" t="str">
            <v>SOJA</v>
          </cell>
          <cell r="E914">
            <v>13388.620999999999</v>
          </cell>
        </row>
        <row r="915">
          <cell r="A915" t="str">
            <v>RS</v>
          </cell>
          <cell r="B915">
            <v>2007</v>
          </cell>
          <cell r="D915" t="str">
            <v>SOJA</v>
          </cell>
          <cell r="E915">
            <v>4087.25</v>
          </cell>
        </row>
        <row r="916">
          <cell r="A916" t="str">
            <v>RS</v>
          </cell>
          <cell r="B916">
            <v>2007</v>
          </cell>
          <cell r="D916" t="str">
            <v>SOJA</v>
          </cell>
          <cell r="E916">
            <v>3062.78</v>
          </cell>
        </row>
        <row r="917">
          <cell r="A917" t="str">
            <v>RS</v>
          </cell>
          <cell r="B917">
            <v>2007</v>
          </cell>
          <cell r="D917" t="str">
            <v>SOJA</v>
          </cell>
          <cell r="E917">
            <v>6077.6419999999998</v>
          </cell>
        </row>
        <row r="918">
          <cell r="A918" t="str">
            <v>RS</v>
          </cell>
          <cell r="B918">
            <v>2007</v>
          </cell>
          <cell r="D918" t="str">
            <v>SOJA</v>
          </cell>
          <cell r="E918">
            <v>11631.464</v>
          </cell>
        </row>
        <row r="919">
          <cell r="A919" t="str">
            <v>RS</v>
          </cell>
          <cell r="B919">
            <v>2007</v>
          </cell>
          <cell r="D919" t="str">
            <v>MILHO</v>
          </cell>
          <cell r="E919">
            <v>735.49199999999996</v>
          </cell>
        </row>
        <row r="920">
          <cell r="A920" t="str">
            <v>RS</v>
          </cell>
          <cell r="B920">
            <v>2007</v>
          </cell>
          <cell r="D920" t="str">
            <v>MILHO</v>
          </cell>
          <cell r="E920">
            <v>1767.239</v>
          </cell>
        </row>
        <row r="921">
          <cell r="A921" t="str">
            <v>RS</v>
          </cell>
          <cell r="B921">
            <v>2007</v>
          </cell>
          <cell r="D921" t="str">
            <v>MILHO</v>
          </cell>
          <cell r="E921">
            <v>0</v>
          </cell>
        </row>
        <row r="922">
          <cell r="A922" t="str">
            <v>RS</v>
          </cell>
          <cell r="B922">
            <v>2007</v>
          </cell>
          <cell r="D922" t="str">
            <v>MILHO</v>
          </cell>
          <cell r="E922">
            <v>56.76</v>
          </cell>
        </row>
        <row r="923">
          <cell r="A923" t="str">
            <v>RS</v>
          </cell>
          <cell r="B923">
            <v>2007</v>
          </cell>
          <cell r="D923" t="str">
            <v>MILHO</v>
          </cell>
          <cell r="E923">
            <v>143.36699999999999</v>
          </cell>
        </row>
        <row r="924">
          <cell r="A924" t="str">
            <v>RS</v>
          </cell>
          <cell r="B924">
            <v>2007</v>
          </cell>
          <cell r="D924" t="str">
            <v>MILHO</v>
          </cell>
          <cell r="E924">
            <v>0</v>
          </cell>
        </row>
        <row r="925">
          <cell r="A925" t="str">
            <v>RS</v>
          </cell>
          <cell r="B925">
            <v>2007</v>
          </cell>
          <cell r="D925" t="str">
            <v>MILHO</v>
          </cell>
          <cell r="E925">
            <v>0</v>
          </cell>
        </row>
        <row r="926">
          <cell r="A926" t="str">
            <v>RS</v>
          </cell>
          <cell r="B926">
            <v>2007</v>
          </cell>
          <cell r="D926" t="str">
            <v>MILHO</v>
          </cell>
          <cell r="E926">
            <v>0</v>
          </cell>
        </row>
        <row r="927">
          <cell r="A927" t="str">
            <v>RS</v>
          </cell>
          <cell r="B927">
            <v>2007</v>
          </cell>
          <cell r="D927" t="str">
            <v>MILHO</v>
          </cell>
          <cell r="E927">
            <v>0</v>
          </cell>
        </row>
        <row r="928">
          <cell r="A928" t="str">
            <v>RS</v>
          </cell>
          <cell r="B928">
            <v>2007</v>
          </cell>
          <cell r="D928" t="str">
            <v>MILHO</v>
          </cell>
          <cell r="E928">
            <v>0</v>
          </cell>
        </row>
        <row r="929">
          <cell r="A929" t="str">
            <v>RS</v>
          </cell>
          <cell r="B929">
            <v>2007</v>
          </cell>
          <cell r="D929" t="str">
            <v>SOJA</v>
          </cell>
          <cell r="E929">
            <v>0</v>
          </cell>
        </row>
        <row r="930">
          <cell r="A930" t="str">
            <v>RS</v>
          </cell>
          <cell r="B930">
            <v>2007</v>
          </cell>
          <cell r="D930" t="str">
            <v>SOJA</v>
          </cell>
          <cell r="E930">
            <v>0</v>
          </cell>
        </row>
        <row r="931">
          <cell r="A931" t="str">
            <v>RS</v>
          </cell>
          <cell r="B931">
            <v>2007</v>
          </cell>
          <cell r="D931" t="str">
            <v>SOJA</v>
          </cell>
          <cell r="E931">
            <v>8048.607</v>
          </cell>
        </row>
        <row r="932">
          <cell r="A932" t="str">
            <v>RS</v>
          </cell>
          <cell r="B932">
            <v>2007</v>
          </cell>
          <cell r="D932" t="str">
            <v>SOJA</v>
          </cell>
          <cell r="E932">
            <v>62112.023999999998</v>
          </cell>
        </row>
        <row r="933">
          <cell r="A933" t="str">
            <v>RS</v>
          </cell>
          <cell r="B933">
            <v>2007</v>
          </cell>
          <cell r="D933" t="str">
            <v>SOJA</v>
          </cell>
          <cell r="E933">
            <v>5567.5510000000004</v>
          </cell>
        </row>
        <row r="934">
          <cell r="A934" t="str">
            <v>RS</v>
          </cell>
          <cell r="B934">
            <v>2007</v>
          </cell>
          <cell r="D934" t="str">
            <v>SOJA</v>
          </cell>
          <cell r="E934">
            <v>399.56900000000002</v>
          </cell>
        </row>
        <row r="935">
          <cell r="A935" t="str">
            <v>RS</v>
          </cell>
          <cell r="B935">
            <v>2007</v>
          </cell>
          <cell r="D935" t="str">
            <v>SOJA</v>
          </cell>
          <cell r="E935">
            <v>82.947000000000003</v>
          </cell>
        </row>
        <row r="936">
          <cell r="A936" t="str">
            <v>RS</v>
          </cell>
          <cell r="B936">
            <v>2007</v>
          </cell>
          <cell r="D936" t="str">
            <v>SOJA</v>
          </cell>
          <cell r="E936">
            <v>333.72</v>
          </cell>
        </row>
        <row r="937">
          <cell r="A937" t="str">
            <v>RS</v>
          </cell>
          <cell r="B937">
            <v>2007</v>
          </cell>
          <cell r="D937" t="str">
            <v>SOJA</v>
          </cell>
          <cell r="E937">
            <v>1241.5989999999999</v>
          </cell>
        </row>
        <row r="938">
          <cell r="A938" t="str">
            <v>RS</v>
          </cell>
          <cell r="B938">
            <v>2007</v>
          </cell>
          <cell r="D938" t="str">
            <v>SOJA</v>
          </cell>
          <cell r="E938">
            <v>2681.23</v>
          </cell>
        </row>
        <row r="939">
          <cell r="A939" t="str">
            <v>RS</v>
          </cell>
          <cell r="B939">
            <v>2007</v>
          </cell>
          <cell r="D939" t="str">
            <v>SOJA</v>
          </cell>
          <cell r="E939">
            <v>18630.901999999998</v>
          </cell>
        </row>
        <row r="940">
          <cell r="A940" t="str">
            <v>RS</v>
          </cell>
          <cell r="B940">
            <v>2007</v>
          </cell>
          <cell r="D940" t="str">
            <v>SOJA</v>
          </cell>
          <cell r="E940">
            <v>2364.52</v>
          </cell>
        </row>
        <row r="941">
          <cell r="A941" t="str">
            <v>TO</v>
          </cell>
          <cell r="B941">
            <v>2007</v>
          </cell>
          <cell r="D941" t="str">
            <v>SOJA</v>
          </cell>
          <cell r="E941">
            <v>977.27599999999995</v>
          </cell>
        </row>
        <row r="942">
          <cell r="A942" t="str">
            <v>TO</v>
          </cell>
          <cell r="B942">
            <v>2007</v>
          </cell>
          <cell r="D942" t="str">
            <v>SOJA</v>
          </cell>
          <cell r="E942">
            <v>22067.628000000001</v>
          </cell>
        </row>
        <row r="943">
          <cell r="A943" t="str">
            <v>TO</v>
          </cell>
          <cell r="B943">
            <v>2007</v>
          </cell>
          <cell r="D943" t="str">
            <v>SOJA</v>
          </cell>
          <cell r="E943">
            <v>15976.17</v>
          </cell>
        </row>
        <row r="944">
          <cell r="A944" t="str">
            <v>TO</v>
          </cell>
          <cell r="B944">
            <v>2007</v>
          </cell>
          <cell r="D944" t="str">
            <v>SOJA</v>
          </cell>
          <cell r="E944">
            <v>215.005</v>
          </cell>
        </row>
        <row r="945">
          <cell r="A945" t="str">
            <v>TO</v>
          </cell>
          <cell r="B945">
            <v>2007</v>
          </cell>
          <cell r="D945" t="str">
            <v>SOJA</v>
          </cell>
          <cell r="E945">
            <v>0</v>
          </cell>
        </row>
        <row r="946">
          <cell r="A946" t="str">
            <v>BA</v>
          </cell>
          <cell r="B946">
            <v>2007</v>
          </cell>
          <cell r="D946" t="str">
            <v>MILHO</v>
          </cell>
          <cell r="E946">
            <v>0</v>
          </cell>
        </row>
        <row r="947">
          <cell r="A947" t="str">
            <v>BA</v>
          </cell>
          <cell r="B947">
            <v>2007</v>
          </cell>
          <cell r="D947" t="str">
            <v>MILHO</v>
          </cell>
          <cell r="E947">
            <v>185</v>
          </cell>
        </row>
        <row r="948">
          <cell r="A948" t="str">
            <v>BA</v>
          </cell>
          <cell r="B948">
            <v>2007</v>
          </cell>
          <cell r="D948" t="str">
            <v>MILHO</v>
          </cell>
          <cell r="E948">
            <v>333</v>
          </cell>
        </row>
        <row r="949">
          <cell r="A949" t="str">
            <v>BA</v>
          </cell>
          <cell r="B949">
            <v>2007</v>
          </cell>
          <cell r="D949" t="str">
            <v>SOJA</v>
          </cell>
          <cell r="E949">
            <v>13081.317999999999</v>
          </cell>
        </row>
        <row r="950">
          <cell r="A950" t="str">
            <v>BA</v>
          </cell>
          <cell r="B950">
            <v>2007</v>
          </cell>
          <cell r="D950" t="str">
            <v>SOJA</v>
          </cell>
          <cell r="E950">
            <v>13555.296</v>
          </cell>
        </row>
        <row r="951">
          <cell r="A951" t="str">
            <v>BA</v>
          </cell>
          <cell r="B951">
            <v>2007</v>
          </cell>
          <cell r="D951" t="str">
            <v>SOJA</v>
          </cell>
          <cell r="E951">
            <v>919.65800000000002</v>
          </cell>
        </row>
        <row r="952">
          <cell r="A952" t="str">
            <v>BA</v>
          </cell>
          <cell r="B952">
            <v>2007</v>
          </cell>
          <cell r="D952" t="str">
            <v>SOJA</v>
          </cell>
          <cell r="E952">
            <v>11.382</v>
          </cell>
        </row>
        <row r="953">
          <cell r="A953" t="str">
            <v>BA</v>
          </cell>
          <cell r="B953">
            <v>2007</v>
          </cell>
          <cell r="D953" t="str">
            <v>SOJA</v>
          </cell>
          <cell r="E953">
            <v>28.266999999999999</v>
          </cell>
        </row>
        <row r="954">
          <cell r="A954" t="str">
            <v>BA</v>
          </cell>
          <cell r="B954">
            <v>2007</v>
          </cell>
          <cell r="D954" t="str">
            <v>SOJA</v>
          </cell>
          <cell r="E954">
            <v>1.0089999999999999</v>
          </cell>
        </row>
        <row r="955">
          <cell r="A955" t="str">
            <v>BA</v>
          </cell>
          <cell r="B955">
            <v>2007</v>
          </cell>
          <cell r="D955" t="str">
            <v>SOJA</v>
          </cell>
          <cell r="E955">
            <v>17.059999999999999</v>
          </cell>
        </row>
        <row r="956">
          <cell r="A956" t="str">
            <v>BA</v>
          </cell>
          <cell r="B956">
            <v>2007</v>
          </cell>
          <cell r="D956" t="str">
            <v>SOJA</v>
          </cell>
          <cell r="E956">
            <v>3.9060000000000001</v>
          </cell>
        </row>
        <row r="957">
          <cell r="A957" t="str">
            <v>PR</v>
          </cell>
          <cell r="B957">
            <v>2007</v>
          </cell>
          <cell r="D957" t="str">
            <v>MILHO</v>
          </cell>
          <cell r="E957">
            <v>1791.5820000000001</v>
          </cell>
        </row>
        <row r="958">
          <cell r="A958" t="str">
            <v>PR</v>
          </cell>
          <cell r="B958">
            <v>2007</v>
          </cell>
          <cell r="D958" t="str">
            <v>MILHO</v>
          </cell>
          <cell r="E958">
            <v>283.64999999999998</v>
          </cell>
        </row>
        <row r="959">
          <cell r="A959" t="str">
            <v>PR</v>
          </cell>
          <cell r="B959">
            <v>2007</v>
          </cell>
          <cell r="D959" t="str">
            <v>MILHO</v>
          </cell>
          <cell r="E959">
            <v>0</v>
          </cell>
        </row>
        <row r="960">
          <cell r="A960" t="str">
            <v>PR</v>
          </cell>
          <cell r="B960">
            <v>2007</v>
          </cell>
          <cell r="D960" t="str">
            <v>MILHO</v>
          </cell>
          <cell r="E960">
            <v>0</v>
          </cell>
        </row>
        <row r="961">
          <cell r="A961" t="str">
            <v>PR</v>
          </cell>
          <cell r="B961">
            <v>2007</v>
          </cell>
          <cell r="D961" t="str">
            <v>MILHO</v>
          </cell>
          <cell r="E961">
            <v>0</v>
          </cell>
        </row>
        <row r="962">
          <cell r="A962" t="str">
            <v>PR</v>
          </cell>
          <cell r="B962">
            <v>2007</v>
          </cell>
          <cell r="D962" t="str">
            <v>MILHO</v>
          </cell>
          <cell r="E962">
            <v>0</v>
          </cell>
        </row>
        <row r="963">
          <cell r="A963" t="str">
            <v>PR</v>
          </cell>
          <cell r="B963">
            <v>2007</v>
          </cell>
          <cell r="D963" t="str">
            <v>MILHO</v>
          </cell>
          <cell r="E963">
            <v>0</v>
          </cell>
        </row>
        <row r="964">
          <cell r="A964" t="str">
            <v>PR</v>
          </cell>
          <cell r="B964">
            <v>2007</v>
          </cell>
          <cell r="D964" t="str">
            <v>MILHO</v>
          </cell>
          <cell r="E964">
            <v>0</v>
          </cell>
        </row>
        <row r="965">
          <cell r="A965" t="str">
            <v>PR</v>
          </cell>
          <cell r="B965">
            <v>2007</v>
          </cell>
          <cell r="D965" t="str">
            <v>MILHO</v>
          </cell>
          <cell r="E965">
            <v>0</v>
          </cell>
        </row>
        <row r="966">
          <cell r="A966" t="str">
            <v>PR</v>
          </cell>
          <cell r="B966">
            <v>2007</v>
          </cell>
          <cell r="D966" t="str">
            <v>SOJA</v>
          </cell>
          <cell r="E966">
            <v>543.95000000000005</v>
          </cell>
        </row>
        <row r="967">
          <cell r="A967" t="str">
            <v>PR</v>
          </cell>
          <cell r="B967">
            <v>2007</v>
          </cell>
          <cell r="D967" t="str">
            <v>SOJA</v>
          </cell>
          <cell r="E967">
            <v>6619.1379999999999</v>
          </cell>
        </row>
        <row r="968">
          <cell r="A968" t="str">
            <v>PR</v>
          </cell>
          <cell r="B968">
            <v>2007</v>
          </cell>
          <cell r="D968" t="str">
            <v>SOJA</v>
          </cell>
          <cell r="E968">
            <v>58758.374000000003</v>
          </cell>
        </row>
        <row r="969">
          <cell r="A969" t="str">
            <v>PR</v>
          </cell>
          <cell r="B969">
            <v>2007</v>
          </cell>
          <cell r="D969" t="str">
            <v>SOJA</v>
          </cell>
          <cell r="E969">
            <v>91729.986999999994</v>
          </cell>
        </row>
        <row r="970">
          <cell r="A970" t="str">
            <v>PR</v>
          </cell>
          <cell r="B970">
            <v>2007</v>
          </cell>
          <cell r="D970" t="str">
            <v>SOJA</v>
          </cell>
          <cell r="E970">
            <v>34832.828999999998</v>
          </cell>
        </row>
        <row r="971">
          <cell r="A971" t="str">
            <v>PR</v>
          </cell>
          <cell r="B971">
            <v>2007</v>
          </cell>
          <cell r="D971" t="str">
            <v>SOJA</v>
          </cell>
          <cell r="E971">
            <v>34665.845999999998</v>
          </cell>
        </row>
        <row r="972">
          <cell r="A972" t="str">
            <v>PR</v>
          </cell>
          <cell r="B972">
            <v>2007</v>
          </cell>
          <cell r="D972" t="str">
            <v>SOJA</v>
          </cell>
          <cell r="E972">
            <v>10576.210999999999</v>
          </cell>
        </row>
        <row r="973">
          <cell r="A973" t="str">
            <v>PR</v>
          </cell>
          <cell r="B973">
            <v>2007</v>
          </cell>
          <cell r="D973" t="str">
            <v>SOJA</v>
          </cell>
          <cell r="E973">
            <v>10731.839</v>
          </cell>
        </row>
        <row r="974">
          <cell r="A974" t="str">
            <v>PR</v>
          </cell>
          <cell r="B974">
            <v>2007</v>
          </cell>
          <cell r="D974" t="str">
            <v>SOJA</v>
          </cell>
          <cell r="E974">
            <v>2324.741</v>
          </cell>
        </row>
        <row r="975">
          <cell r="A975" t="str">
            <v>PR</v>
          </cell>
          <cell r="B975">
            <v>2007</v>
          </cell>
          <cell r="D975" t="str">
            <v>SOJA</v>
          </cell>
          <cell r="E975">
            <v>3238.395</v>
          </cell>
        </row>
        <row r="976">
          <cell r="A976" t="str">
            <v>PR</v>
          </cell>
          <cell r="B976">
            <v>2007</v>
          </cell>
          <cell r="D976" t="str">
            <v>SOJA</v>
          </cell>
          <cell r="E976">
            <v>7205.3630000000003</v>
          </cell>
        </row>
        <row r="977">
          <cell r="A977" t="str">
            <v>PR</v>
          </cell>
          <cell r="B977">
            <v>2007</v>
          </cell>
          <cell r="D977" t="str">
            <v>SOJA</v>
          </cell>
          <cell r="E977">
            <v>6237.7430000000004</v>
          </cell>
        </row>
        <row r="978">
          <cell r="A978" t="str">
            <v>MT</v>
          </cell>
          <cell r="B978">
            <v>2007</v>
          </cell>
          <cell r="D978" t="str">
            <v>SOJA</v>
          </cell>
          <cell r="E978">
            <v>870.19200000000001</v>
          </cell>
        </row>
        <row r="979">
          <cell r="A979" t="str">
            <v>MT</v>
          </cell>
          <cell r="B979">
            <v>2007</v>
          </cell>
          <cell r="D979" t="str">
            <v>SOJA</v>
          </cell>
          <cell r="E979">
            <v>2712.8440000000001</v>
          </cell>
        </row>
        <row r="980">
          <cell r="A980" t="str">
            <v>MT</v>
          </cell>
          <cell r="B980">
            <v>2007</v>
          </cell>
          <cell r="D980" t="str">
            <v>SOJA</v>
          </cell>
          <cell r="E980">
            <v>2993.422</v>
          </cell>
        </row>
        <row r="981">
          <cell r="A981" t="str">
            <v>MT</v>
          </cell>
          <cell r="B981">
            <v>2007</v>
          </cell>
          <cell r="D981" t="str">
            <v>SOJA</v>
          </cell>
          <cell r="E981">
            <v>424.84300000000002</v>
          </cell>
        </row>
        <row r="982">
          <cell r="A982" t="str">
            <v>MT</v>
          </cell>
          <cell r="B982">
            <v>2007</v>
          </cell>
          <cell r="D982" t="str">
            <v>SOJA</v>
          </cell>
          <cell r="E982">
            <v>0</v>
          </cell>
        </row>
        <row r="983">
          <cell r="A983" t="str">
            <v>MT</v>
          </cell>
          <cell r="B983">
            <v>2007</v>
          </cell>
          <cell r="D983" t="str">
            <v>SOJA</v>
          </cell>
          <cell r="E983">
            <v>91.605999999999995</v>
          </cell>
        </row>
        <row r="984">
          <cell r="A984" t="str">
            <v>MA</v>
          </cell>
          <cell r="B984">
            <v>2007</v>
          </cell>
          <cell r="D984" t="str">
            <v>SOJA</v>
          </cell>
          <cell r="E984">
            <v>11816.351000000001</v>
          </cell>
        </row>
        <row r="985">
          <cell r="A985" t="str">
            <v>MA</v>
          </cell>
          <cell r="B985">
            <v>2007</v>
          </cell>
          <cell r="D985" t="str">
            <v>SOJA</v>
          </cell>
          <cell r="E985">
            <v>17911.772000000001</v>
          </cell>
        </row>
        <row r="986">
          <cell r="A986" t="str">
            <v>MA</v>
          </cell>
          <cell r="B986">
            <v>2007</v>
          </cell>
          <cell r="D986" t="str">
            <v>SOJA</v>
          </cell>
          <cell r="E986">
            <v>7069.1970000000001</v>
          </cell>
        </row>
        <row r="987">
          <cell r="A987" t="str">
            <v>MA</v>
          </cell>
          <cell r="B987">
            <v>2007</v>
          </cell>
          <cell r="D987" t="str">
            <v>SOJA</v>
          </cell>
          <cell r="E987">
            <v>9191.4369999999999</v>
          </cell>
        </row>
        <row r="988">
          <cell r="A988" t="str">
            <v>MA</v>
          </cell>
          <cell r="B988">
            <v>2007</v>
          </cell>
          <cell r="D988" t="str">
            <v>SOJA</v>
          </cell>
          <cell r="E988">
            <v>4933.9629999999997</v>
          </cell>
        </row>
        <row r="989">
          <cell r="A989" t="str">
            <v>MA</v>
          </cell>
          <cell r="B989">
            <v>2007</v>
          </cell>
          <cell r="D989" t="str">
            <v>SOJA</v>
          </cell>
          <cell r="E989">
            <v>857.84299999999996</v>
          </cell>
        </row>
        <row r="990">
          <cell r="A990" t="str">
            <v>MA</v>
          </cell>
          <cell r="B990">
            <v>2007</v>
          </cell>
          <cell r="D990" t="str">
            <v>SOJA</v>
          </cell>
          <cell r="E990">
            <v>4845.2460000000001</v>
          </cell>
        </row>
        <row r="991">
          <cell r="A991" t="str">
            <v>MA</v>
          </cell>
          <cell r="B991">
            <v>2007</v>
          </cell>
          <cell r="D991" t="str">
            <v>SOJA</v>
          </cell>
          <cell r="E991">
            <v>26.341000000000001</v>
          </cell>
        </row>
        <row r="992">
          <cell r="A992" t="str">
            <v>TO</v>
          </cell>
          <cell r="B992">
            <v>2007</v>
          </cell>
          <cell r="D992" t="str">
            <v>SOJA</v>
          </cell>
          <cell r="E992">
            <v>466.96199999999999</v>
          </cell>
        </row>
        <row r="993">
          <cell r="A993" t="str">
            <v>TO</v>
          </cell>
          <cell r="B993">
            <v>2007</v>
          </cell>
          <cell r="D993" t="str">
            <v>SOJA</v>
          </cell>
          <cell r="E993">
            <v>20784.138999999999</v>
          </cell>
        </row>
        <row r="994">
          <cell r="A994" t="str">
            <v>TO</v>
          </cell>
          <cell r="B994">
            <v>2007</v>
          </cell>
          <cell r="D994" t="str">
            <v>SOJA</v>
          </cell>
          <cell r="E994">
            <v>23877.143</v>
          </cell>
        </row>
        <row r="995">
          <cell r="A995" t="str">
            <v>TO</v>
          </cell>
          <cell r="B995">
            <v>2007</v>
          </cell>
          <cell r="D995" t="str">
            <v>SOJA</v>
          </cell>
          <cell r="E995">
            <v>1547.6310000000001</v>
          </cell>
        </row>
        <row r="996">
          <cell r="A996" t="str">
            <v>TO</v>
          </cell>
          <cell r="B996">
            <v>2007</v>
          </cell>
          <cell r="D996" t="str">
            <v>SOJA</v>
          </cell>
          <cell r="E996">
            <v>0</v>
          </cell>
        </row>
        <row r="997">
          <cell r="A997" t="str">
            <v>TO</v>
          </cell>
          <cell r="B997">
            <v>2007</v>
          </cell>
          <cell r="D997" t="str">
            <v>SOJA</v>
          </cell>
          <cell r="E997">
            <v>0</v>
          </cell>
        </row>
        <row r="998">
          <cell r="A998" t="str">
            <v>MT</v>
          </cell>
          <cell r="B998">
            <v>2007</v>
          </cell>
          <cell r="D998" t="str">
            <v>MILHO</v>
          </cell>
          <cell r="E998">
            <v>0</v>
          </cell>
        </row>
        <row r="999">
          <cell r="A999" t="str">
            <v>MT</v>
          </cell>
          <cell r="B999">
            <v>2007</v>
          </cell>
          <cell r="D999" t="str">
            <v>MILHO</v>
          </cell>
          <cell r="E999">
            <v>0</v>
          </cell>
        </row>
        <row r="1000">
          <cell r="A1000" t="str">
            <v>MT</v>
          </cell>
          <cell r="B1000">
            <v>2007</v>
          </cell>
          <cell r="D1000" t="str">
            <v>MILHO</v>
          </cell>
          <cell r="E1000">
            <v>0</v>
          </cell>
        </row>
        <row r="1001">
          <cell r="A1001" t="str">
            <v>MT</v>
          </cell>
          <cell r="B1001">
            <v>2007</v>
          </cell>
          <cell r="D1001" t="str">
            <v>MILHO</v>
          </cell>
          <cell r="E1001">
            <v>0</v>
          </cell>
        </row>
        <row r="1002">
          <cell r="A1002" t="str">
            <v>MT</v>
          </cell>
          <cell r="B1002">
            <v>2007</v>
          </cell>
          <cell r="D1002" t="str">
            <v>MILHO</v>
          </cell>
          <cell r="E1002">
            <v>0</v>
          </cell>
        </row>
        <row r="1003">
          <cell r="A1003" t="str">
            <v>MT</v>
          </cell>
          <cell r="B1003">
            <v>2007</v>
          </cell>
          <cell r="D1003" t="str">
            <v>MILHO</v>
          </cell>
          <cell r="E1003">
            <v>0</v>
          </cell>
        </row>
        <row r="1004">
          <cell r="A1004" t="str">
            <v>MT</v>
          </cell>
          <cell r="B1004">
            <v>2007</v>
          </cell>
          <cell r="D1004" t="str">
            <v>MILHO</v>
          </cell>
          <cell r="E1004">
            <v>0</v>
          </cell>
        </row>
        <row r="1005">
          <cell r="A1005" t="str">
            <v>MT</v>
          </cell>
          <cell r="B1005">
            <v>2007</v>
          </cell>
          <cell r="D1005" t="str">
            <v>MILHO</v>
          </cell>
          <cell r="E1005">
            <v>0</v>
          </cell>
        </row>
        <row r="1006">
          <cell r="A1006" t="str">
            <v>MT</v>
          </cell>
          <cell r="B1006">
            <v>2007</v>
          </cell>
          <cell r="D1006" t="str">
            <v>MILHO</v>
          </cell>
          <cell r="E1006">
            <v>0</v>
          </cell>
        </row>
        <row r="1007">
          <cell r="A1007" t="str">
            <v>MT</v>
          </cell>
          <cell r="B1007">
            <v>2007</v>
          </cell>
          <cell r="D1007" t="str">
            <v>MILHO</v>
          </cell>
          <cell r="E1007">
            <v>0</v>
          </cell>
        </row>
        <row r="1008">
          <cell r="A1008" t="str">
            <v>MT</v>
          </cell>
          <cell r="B1008">
            <v>2007</v>
          </cell>
          <cell r="D1008" t="str">
            <v>SOJA</v>
          </cell>
          <cell r="E1008">
            <v>5072.1909999999998</v>
          </cell>
        </row>
        <row r="1009">
          <cell r="A1009" t="str">
            <v>MT</v>
          </cell>
          <cell r="B1009">
            <v>2007</v>
          </cell>
          <cell r="D1009" t="str">
            <v>SOJA</v>
          </cell>
          <cell r="E1009">
            <v>38935.824000000001</v>
          </cell>
        </row>
        <row r="1010">
          <cell r="A1010" t="str">
            <v>MT</v>
          </cell>
          <cell r="B1010">
            <v>2007</v>
          </cell>
          <cell r="D1010" t="str">
            <v>SOJA</v>
          </cell>
          <cell r="E1010">
            <v>59873.023000000001</v>
          </cell>
        </row>
        <row r="1011">
          <cell r="A1011" t="str">
            <v>MT</v>
          </cell>
          <cell r="B1011">
            <v>2007</v>
          </cell>
          <cell r="D1011" t="str">
            <v>SOJA</v>
          </cell>
          <cell r="E1011">
            <v>5093.3710000000001</v>
          </cell>
        </row>
        <row r="1012">
          <cell r="A1012" t="str">
            <v>MT</v>
          </cell>
          <cell r="B1012">
            <v>2007</v>
          </cell>
          <cell r="D1012" t="str">
            <v>SOJA</v>
          </cell>
          <cell r="E1012">
            <v>182.81299999999999</v>
          </cell>
        </row>
        <row r="1013">
          <cell r="A1013" t="str">
            <v>MT</v>
          </cell>
          <cell r="B1013">
            <v>2007</v>
          </cell>
          <cell r="D1013" t="str">
            <v>SOJA</v>
          </cell>
          <cell r="E1013">
            <v>91.17</v>
          </cell>
        </row>
        <row r="1014">
          <cell r="A1014" t="str">
            <v>MT</v>
          </cell>
          <cell r="B1014">
            <v>2007</v>
          </cell>
          <cell r="D1014" t="str">
            <v>SOJA</v>
          </cell>
          <cell r="E1014">
            <v>0</v>
          </cell>
        </row>
        <row r="1015">
          <cell r="A1015" t="str">
            <v>MT</v>
          </cell>
          <cell r="B1015">
            <v>2007</v>
          </cell>
          <cell r="D1015" t="str">
            <v>SOJA</v>
          </cell>
          <cell r="E1015">
            <v>0</v>
          </cell>
        </row>
        <row r="1016">
          <cell r="A1016" t="str">
            <v>MT</v>
          </cell>
          <cell r="B1016">
            <v>2007</v>
          </cell>
          <cell r="D1016" t="str">
            <v>SOJA</v>
          </cell>
          <cell r="E1016">
            <v>0</v>
          </cell>
        </row>
        <row r="1017">
          <cell r="A1017" t="str">
            <v>MT</v>
          </cell>
          <cell r="B1017">
            <v>2007</v>
          </cell>
          <cell r="D1017" t="str">
            <v>SOJA</v>
          </cell>
          <cell r="E1017">
            <v>0</v>
          </cell>
        </row>
        <row r="1018">
          <cell r="A1018" t="str">
            <v>MT</v>
          </cell>
          <cell r="B1018">
            <v>2007</v>
          </cell>
          <cell r="D1018" t="str">
            <v>SOJA</v>
          </cell>
          <cell r="E1018">
            <v>0</v>
          </cell>
        </row>
        <row r="1019">
          <cell r="A1019" t="str">
            <v>MT</v>
          </cell>
          <cell r="B1019">
            <v>2007</v>
          </cell>
          <cell r="D1019" t="str">
            <v>SOJA</v>
          </cell>
          <cell r="E1019">
            <v>630.57000000000005</v>
          </cell>
        </row>
        <row r="1020">
          <cell r="A1020" t="str">
            <v>MT</v>
          </cell>
          <cell r="B1020">
            <v>2007</v>
          </cell>
          <cell r="D1020" t="str">
            <v>SOJA</v>
          </cell>
          <cell r="E1020">
            <v>12287.022999999999</v>
          </cell>
        </row>
        <row r="1021">
          <cell r="A1021" t="str">
            <v>MT</v>
          </cell>
          <cell r="B1021">
            <v>2007</v>
          </cell>
          <cell r="D1021" t="str">
            <v>SOJA</v>
          </cell>
          <cell r="E1021">
            <v>14541.04</v>
          </cell>
        </row>
        <row r="1022">
          <cell r="A1022" t="str">
            <v>MT</v>
          </cell>
          <cell r="B1022">
            <v>2007</v>
          </cell>
          <cell r="D1022" t="str">
            <v>SOJA</v>
          </cell>
          <cell r="E1022">
            <v>702.84299999999996</v>
          </cell>
        </row>
        <row r="1023">
          <cell r="A1023" t="str">
            <v>MT</v>
          </cell>
          <cell r="B1023">
            <v>2007</v>
          </cell>
          <cell r="D1023" t="str">
            <v>SOJA</v>
          </cell>
          <cell r="E1023">
            <v>3.79</v>
          </cell>
        </row>
        <row r="1024">
          <cell r="A1024" t="str">
            <v>MT</v>
          </cell>
          <cell r="B1024">
            <v>2007</v>
          </cell>
          <cell r="D1024" t="str">
            <v>SOJA</v>
          </cell>
          <cell r="E1024">
            <v>4075.5859999999998</v>
          </cell>
        </row>
        <row r="1025">
          <cell r="A1025" t="str">
            <v>MT</v>
          </cell>
          <cell r="B1025">
            <v>2007</v>
          </cell>
          <cell r="D1025" t="str">
            <v>SOJA</v>
          </cell>
          <cell r="E1025">
            <v>51193.22</v>
          </cell>
        </row>
        <row r="1026">
          <cell r="A1026" t="str">
            <v>MT</v>
          </cell>
          <cell r="B1026">
            <v>2007</v>
          </cell>
          <cell r="D1026" t="str">
            <v>SOJA</v>
          </cell>
          <cell r="E1026">
            <v>30085.39</v>
          </cell>
        </row>
        <row r="1027">
          <cell r="A1027" t="str">
            <v>MT</v>
          </cell>
          <cell r="B1027">
            <v>2007</v>
          </cell>
          <cell r="D1027" t="str">
            <v>SOJA</v>
          </cell>
          <cell r="E1027">
            <v>595.29200000000003</v>
          </cell>
        </row>
        <row r="1028">
          <cell r="A1028" t="str">
            <v>MT</v>
          </cell>
          <cell r="B1028">
            <v>2007</v>
          </cell>
          <cell r="D1028" t="str">
            <v>SOJA</v>
          </cell>
          <cell r="E1028">
            <v>243.845</v>
          </cell>
        </row>
        <row r="1029">
          <cell r="A1029" t="str">
            <v>MT</v>
          </cell>
          <cell r="B1029">
            <v>2007</v>
          </cell>
          <cell r="D1029" t="str">
            <v>SOJA</v>
          </cell>
          <cell r="E1029">
            <v>0</v>
          </cell>
        </row>
        <row r="1030">
          <cell r="A1030" t="str">
            <v>MT</v>
          </cell>
          <cell r="B1030">
            <v>2007</v>
          </cell>
          <cell r="D1030" t="str">
            <v>SOJA</v>
          </cell>
          <cell r="E1030">
            <v>153</v>
          </cell>
        </row>
        <row r="1031">
          <cell r="A1031" t="str">
            <v>MT</v>
          </cell>
          <cell r="B1031">
            <v>2007</v>
          </cell>
          <cell r="D1031" t="str">
            <v>SOJA</v>
          </cell>
          <cell r="E1031">
            <v>0</v>
          </cell>
        </row>
        <row r="1032">
          <cell r="A1032" t="str">
            <v>MT</v>
          </cell>
          <cell r="B1032">
            <v>2007</v>
          </cell>
          <cell r="D1032" t="str">
            <v>SOJA</v>
          </cell>
          <cell r="E1032">
            <v>84.942999999999998</v>
          </cell>
        </row>
        <row r="1033">
          <cell r="A1033" t="str">
            <v>MT</v>
          </cell>
          <cell r="B1033">
            <v>2007</v>
          </cell>
          <cell r="D1033" t="str">
            <v>SOJA</v>
          </cell>
          <cell r="E1033">
            <v>4.8869999999999996</v>
          </cell>
        </row>
        <row r="1034">
          <cell r="A1034" t="str">
            <v>MT</v>
          </cell>
          <cell r="B1034">
            <v>2007</v>
          </cell>
          <cell r="D1034" t="str">
            <v>SOJA</v>
          </cell>
          <cell r="E1034">
            <v>0</v>
          </cell>
        </row>
        <row r="1035">
          <cell r="A1035" t="str">
            <v>PR</v>
          </cell>
          <cell r="B1035">
            <v>2007</v>
          </cell>
          <cell r="D1035" t="str">
            <v>MILHO</v>
          </cell>
          <cell r="E1035">
            <v>900.42200000000003</v>
          </cell>
        </row>
        <row r="1036">
          <cell r="A1036" t="str">
            <v>PR</v>
          </cell>
          <cell r="B1036">
            <v>2007</v>
          </cell>
          <cell r="D1036" t="str">
            <v>MILHO</v>
          </cell>
          <cell r="E1036">
            <v>1290.5029999999999</v>
          </cell>
        </row>
        <row r="1037">
          <cell r="A1037" t="str">
            <v>PR</v>
          </cell>
          <cell r="B1037">
            <v>2007</v>
          </cell>
          <cell r="D1037" t="str">
            <v>MILHO</v>
          </cell>
          <cell r="E1037">
            <v>116.48699999999999</v>
          </cell>
        </row>
        <row r="1038">
          <cell r="A1038" t="str">
            <v>PR</v>
          </cell>
          <cell r="B1038">
            <v>2007</v>
          </cell>
          <cell r="D1038" t="str">
            <v>MILHO</v>
          </cell>
          <cell r="E1038">
            <v>977.05</v>
          </cell>
        </row>
        <row r="1039">
          <cell r="A1039" t="str">
            <v>PR</v>
          </cell>
          <cell r="B1039">
            <v>2007</v>
          </cell>
          <cell r="D1039" t="str">
            <v>MILHO</v>
          </cell>
          <cell r="E1039">
            <v>266.62299999999999</v>
          </cell>
        </row>
        <row r="1040">
          <cell r="A1040" t="str">
            <v>PR</v>
          </cell>
          <cell r="B1040">
            <v>2007</v>
          </cell>
          <cell r="D1040" t="str">
            <v>MILHO</v>
          </cell>
          <cell r="E1040">
            <v>276.52699999999999</v>
          </cell>
        </row>
        <row r="1041">
          <cell r="A1041" t="str">
            <v>PR</v>
          </cell>
          <cell r="B1041">
            <v>2007</v>
          </cell>
          <cell r="D1041" t="str">
            <v>MILHO</v>
          </cell>
          <cell r="E1041">
            <v>369.33100000000002</v>
          </cell>
        </row>
        <row r="1042">
          <cell r="A1042" t="str">
            <v>PR</v>
          </cell>
          <cell r="B1042">
            <v>2007</v>
          </cell>
          <cell r="D1042" t="str">
            <v>SOJA</v>
          </cell>
          <cell r="E1042">
            <v>50.014000000000003</v>
          </cell>
        </row>
        <row r="1043">
          <cell r="A1043" t="str">
            <v>PR</v>
          </cell>
          <cell r="B1043">
            <v>2007</v>
          </cell>
          <cell r="D1043" t="str">
            <v>SOJA</v>
          </cell>
          <cell r="E1043">
            <v>7932.5839999999998</v>
          </cell>
        </row>
        <row r="1044">
          <cell r="A1044" t="str">
            <v>PR</v>
          </cell>
          <cell r="B1044">
            <v>2007</v>
          </cell>
          <cell r="D1044" t="str">
            <v>SOJA</v>
          </cell>
          <cell r="E1044">
            <v>6887.2240000000002</v>
          </cell>
        </row>
        <row r="1045">
          <cell r="A1045" t="str">
            <v>PR</v>
          </cell>
          <cell r="B1045">
            <v>2007</v>
          </cell>
          <cell r="D1045" t="str">
            <v>SOJA</v>
          </cell>
          <cell r="E1045">
            <v>498.726</v>
          </cell>
        </row>
        <row r="1046">
          <cell r="A1046" t="str">
            <v>PR</v>
          </cell>
          <cell r="B1046">
            <v>2007</v>
          </cell>
          <cell r="D1046" t="str">
            <v>SOJA</v>
          </cell>
          <cell r="E1046">
            <v>79.453000000000003</v>
          </cell>
        </row>
        <row r="1047">
          <cell r="A1047" t="str">
            <v>MA</v>
          </cell>
          <cell r="B1047">
            <v>2007</v>
          </cell>
          <cell r="D1047" t="str">
            <v>SOJA</v>
          </cell>
          <cell r="E1047">
            <v>643.18200000000002</v>
          </cell>
        </row>
        <row r="1048">
          <cell r="A1048" t="str">
            <v>MA</v>
          </cell>
          <cell r="B1048">
            <v>2007</v>
          </cell>
          <cell r="D1048" t="str">
            <v>SOJA</v>
          </cell>
          <cell r="E1048">
            <v>23797.21</v>
          </cell>
        </row>
        <row r="1049">
          <cell r="A1049" t="str">
            <v>MA</v>
          </cell>
          <cell r="B1049">
            <v>2007</v>
          </cell>
          <cell r="D1049" t="str">
            <v>SOJA</v>
          </cell>
          <cell r="E1049">
            <v>12405.058999999999</v>
          </cell>
        </row>
        <row r="1050">
          <cell r="A1050" t="str">
            <v>MA</v>
          </cell>
          <cell r="B1050">
            <v>2007</v>
          </cell>
          <cell r="D1050" t="str">
            <v>SOJA</v>
          </cell>
          <cell r="E1050">
            <v>760.32399999999996</v>
          </cell>
        </row>
        <row r="1051">
          <cell r="A1051" t="str">
            <v>MA</v>
          </cell>
          <cell r="B1051">
            <v>2007</v>
          </cell>
          <cell r="D1051" t="str">
            <v>SOJA</v>
          </cell>
          <cell r="E1051">
            <v>0</v>
          </cell>
        </row>
        <row r="1052">
          <cell r="A1052" t="str">
            <v>MA</v>
          </cell>
          <cell r="B1052">
            <v>2007</v>
          </cell>
          <cell r="D1052" t="str">
            <v>SOJA</v>
          </cell>
          <cell r="E1052">
            <v>10.4</v>
          </cell>
        </row>
        <row r="1053">
          <cell r="A1053" t="str">
            <v>RS</v>
          </cell>
          <cell r="B1053">
            <v>2007</v>
          </cell>
          <cell r="D1053" t="str">
            <v>MILHO</v>
          </cell>
          <cell r="E1053">
            <v>332.23899999999998</v>
          </cell>
        </row>
        <row r="1054">
          <cell r="A1054" t="str">
            <v>RS</v>
          </cell>
          <cell r="B1054">
            <v>2007</v>
          </cell>
          <cell r="D1054" t="str">
            <v>MILHO</v>
          </cell>
          <cell r="E1054">
            <v>4699.79</v>
          </cell>
        </row>
        <row r="1055">
          <cell r="A1055" t="str">
            <v>RS</v>
          </cell>
          <cell r="B1055">
            <v>2007</v>
          </cell>
          <cell r="D1055" t="str">
            <v>MILHO</v>
          </cell>
          <cell r="E1055">
            <v>25892.295999999998</v>
          </cell>
        </row>
        <row r="1056">
          <cell r="A1056" t="str">
            <v>RS</v>
          </cell>
          <cell r="B1056">
            <v>2007</v>
          </cell>
          <cell r="D1056" t="str">
            <v>MILHO</v>
          </cell>
          <cell r="E1056">
            <v>4093.29</v>
          </cell>
        </row>
        <row r="1057">
          <cell r="A1057" t="str">
            <v>RS</v>
          </cell>
          <cell r="B1057">
            <v>2007</v>
          </cell>
          <cell r="D1057" t="str">
            <v>MILHO</v>
          </cell>
          <cell r="E1057">
            <v>400.65800000000002</v>
          </cell>
        </row>
        <row r="1058">
          <cell r="A1058" t="str">
            <v>RS</v>
          </cell>
          <cell r="B1058">
            <v>2007</v>
          </cell>
          <cell r="D1058" t="str">
            <v>SOJA</v>
          </cell>
          <cell r="E1058">
            <v>197.39</v>
          </cell>
        </row>
        <row r="1059">
          <cell r="A1059" t="str">
            <v>RS</v>
          </cell>
          <cell r="B1059">
            <v>2007</v>
          </cell>
          <cell r="D1059" t="str">
            <v>SOJA</v>
          </cell>
          <cell r="E1059">
            <v>4314.6139999999996</v>
          </cell>
        </row>
        <row r="1060">
          <cell r="A1060" t="str">
            <v>RS</v>
          </cell>
          <cell r="B1060">
            <v>2007</v>
          </cell>
          <cell r="D1060" t="str">
            <v>SOJA</v>
          </cell>
          <cell r="E1060">
            <v>18215.419000000002</v>
          </cell>
        </row>
        <row r="1061">
          <cell r="A1061" t="str">
            <v>RS</v>
          </cell>
          <cell r="B1061">
            <v>2007</v>
          </cell>
          <cell r="D1061" t="str">
            <v>SOJA</v>
          </cell>
          <cell r="E1061">
            <v>117477.06600000001</v>
          </cell>
        </row>
        <row r="1062">
          <cell r="A1062" t="str">
            <v>RS</v>
          </cell>
          <cell r="B1062">
            <v>2007</v>
          </cell>
          <cell r="D1062" t="str">
            <v>SOJA</v>
          </cell>
          <cell r="E1062">
            <v>142367.299</v>
          </cell>
        </row>
        <row r="1063">
          <cell r="A1063" t="str">
            <v>RS</v>
          </cell>
          <cell r="B1063">
            <v>2007</v>
          </cell>
          <cell r="D1063" t="str">
            <v>SOJA</v>
          </cell>
          <cell r="E1063">
            <v>57986.453000000001</v>
          </cell>
        </row>
        <row r="1064">
          <cell r="A1064" t="str">
            <v>RS</v>
          </cell>
          <cell r="B1064">
            <v>2007</v>
          </cell>
          <cell r="D1064" t="str">
            <v>SOJA</v>
          </cell>
          <cell r="E1064">
            <v>62198.839</v>
          </cell>
        </row>
        <row r="1065">
          <cell r="A1065" t="str">
            <v>RS</v>
          </cell>
          <cell r="B1065">
            <v>2007</v>
          </cell>
          <cell r="D1065" t="str">
            <v>SOJA</v>
          </cell>
          <cell r="E1065">
            <v>96657.205000000002</v>
          </cell>
        </row>
        <row r="1066">
          <cell r="A1066" t="str">
            <v>RS</v>
          </cell>
          <cell r="B1066">
            <v>2007</v>
          </cell>
          <cell r="D1066" t="str">
            <v>SOJA</v>
          </cell>
          <cell r="E1066">
            <v>67062.668000000005</v>
          </cell>
        </row>
        <row r="1067">
          <cell r="A1067" t="str">
            <v>RS</v>
          </cell>
          <cell r="B1067">
            <v>2007</v>
          </cell>
          <cell r="D1067" t="str">
            <v>SOJA</v>
          </cell>
          <cell r="E1067">
            <v>42943.09</v>
          </cell>
        </row>
        <row r="1068">
          <cell r="A1068" t="str">
            <v>RS</v>
          </cell>
          <cell r="B1068">
            <v>2007</v>
          </cell>
          <cell r="D1068" t="str">
            <v>SOJA</v>
          </cell>
          <cell r="E1068">
            <v>70515.032000000007</v>
          </cell>
        </row>
        <row r="1069">
          <cell r="A1069" t="str">
            <v>RS</v>
          </cell>
          <cell r="B1069">
            <v>2007</v>
          </cell>
          <cell r="D1069" t="str">
            <v>SOJA</v>
          </cell>
          <cell r="E1069">
            <v>20629.662</v>
          </cell>
        </row>
        <row r="1070">
          <cell r="A1070" t="str">
            <v>GO</v>
          </cell>
          <cell r="B1070">
            <v>2007</v>
          </cell>
          <cell r="D1070" t="str">
            <v>MILHO</v>
          </cell>
          <cell r="E1070">
            <v>158.6</v>
          </cell>
        </row>
        <row r="1071">
          <cell r="A1071" t="str">
            <v>GO</v>
          </cell>
          <cell r="B1071">
            <v>2007</v>
          </cell>
          <cell r="D1071" t="str">
            <v>MILHO</v>
          </cell>
          <cell r="E1071">
            <v>245.87</v>
          </cell>
        </row>
        <row r="1072">
          <cell r="A1072" t="str">
            <v>GO</v>
          </cell>
          <cell r="B1072">
            <v>2007</v>
          </cell>
          <cell r="D1072" t="str">
            <v>MILHO</v>
          </cell>
          <cell r="E1072">
            <v>399.99</v>
          </cell>
        </row>
        <row r="1073">
          <cell r="A1073" t="str">
            <v>GO</v>
          </cell>
          <cell r="B1073">
            <v>2007</v>
          </cell>
          <cell r="D1073" t="str">
            <v>SOJA</v>
          </cell>
          <cell r="E1073">
            <v>524.07000000000005</v>
          </cell>
        </row>
        <row r="1074">
          <cell r="A1074" t="str">
            <v>GO</v>
          </cell>
          <cell r="B1074">
            <v>2007</v>
          </cell>
          <cell r="D1074" t="str">
            <v>SOJA</v>
          </cell>
          <cell r="E1074">
            <v>16188.093999999999</v>
          </cell>
        </row>
        <row r="1075">
          <cell r="A1075" t="str">
            <v>GO</v>
          </cell>
          <cell r="B1075">
            <v>2007</v>
          </cell>
          <cell r="D1075" t="str">
            <v>SOJA</v>
          </cell>
          <cell r="E1075">
            <v>1640.355</v>
          </cell>
        </row>
        <row r="1076">
          <cell r="A1076" t="str">
            <v>GO</v>
          </cell>
          <cell r="B1076">
            <v>2007</v>
          </cell>
          <cell r="D1076" t="str">
            <v>SOJA</v>
          </cell>
          <cell r="E1076">
            <v>15000</v>
          </cell>
        </row>
        <row r="1077">
          <cell r="A1077" t="str">
            <v>GO</v>
          </cell>
          <cell r="B1077">
            <v>2007</v>
          </cell>
          <cell r="D1077" t="str">
            <v>SOJA</v>
          </cell>
          <cell r="E1077">
            <v>10512.92</v>
          </cell>
        </row>
        <row r="1078">
          <cell r="A1078" t="str">
            <v>GO</v>
          </cell>
          <cell r="B1078">
            <v>2007</v>
          </cell>
          <cell r="D1078" t="str">
            <v>SOJA</v>
          </cell>
          <cell r="E1078">
            <v>18.43</v>
          </cell>
        </row>
        <row r="1079">
          <cell r="A1079" t="str">
            <v>BA</v>
          </cell>
          <cell r="B1079">
            <v>2007</v>
          </cell>
          <cell r="D1079" t="str">
            <v>MILHO</v>
          </cell>
          <cell r="E1079">
            <v>1647.2449999999999</v>
          </cell>
        </row>
        <row r="1080">
          <cell r="A1080" t="str">
            <v>BA</v>
          </cell>
          <cell r="B1080">
            <v>2007</v>
          </cell>
          <cell r="D1080" t="str">
            <v>MILHO</v>
          </cell>
          <cell r="E1080">
            <v>215.173</v>
          </cell>
        </row>
        <row r="1081">
          <cell r="A1081" t="str">
            <v>BA</v>
          </cell>
          <cell r="B1081">
            <v>2007</v>
          </cell>
          <cell r="D1081" t="str">
            <v>MILHO</v>
          </cell>
          <cell r="E1081">
            <v>5672.8710000000001</v>
          </cell>
        </row>
        <row r="1082">
          <cell r="A1082" t="str">
            <v>BA</v>
          </cell>
          <cell r="B1082">
            <v>2007</v>
          </cell>
          <cell r="D1082" t="str">
            <v>MILHO</v>
          </cell>
          <cell r="E1082">
            <v>377.82900000000001</v>
          </cell>
        </row>
        <row r="1083">
          <cell r="A1083" t="str">
            <v>BA</v>
          </cell>
          <cell r="B1083">
            <v>2007</v>
          </cell>
          <cell r="D1083" t="str">
            <v>MILHO</v>
          </cell>
          <cell r="E1083">
            <v>59.363999999999997</v>
          </cell>
        </row>
        <row r="1084">
          <cell r="A1084" t="str">
            <v>BA</v>
          </cell>
          <cell r="B1084">
            <v>2007</v>
          </cell>
          <cell r="D1084" t="str">
            <v>MILHO</v>
          </cell>
          <cell r="E1084">
            <v>145.369</v>
          </cell>
        </row>
        <row r="1085">
          <cell r="A1085" t="str">
            <v>BA</v>
          </cell>
          <cell r="B1085">
            <v>2007</v>
          </cell>
          <cell r="D1085" t="str">
            <v>MILHO</v>
          </cell>
          <cell r="E1085">
            <v>6.875</v>
          </cell>
        </row>
        <row r="1086">
          <cell r="A1086" t="str">
            <v>BA</v>
          </cell>
          <cell r="B1086">
            <v>2007</v>
          </cell>
          <cell r="D1086" t="str">
            <v>MILHO</v>
          </cell>
          <cell r="E1086">
            <v>0</v>
          </cell>
        </row>
        <row r="1087">
          <cell r="A1087" t="str">
            <v>BA</v>
          </cell>
          <cell r="B1087">
            <v>2007</v>
          </cell>
          <cell r="D1087" t="str">
            <v>MILHO</v>
          </cell>
          <cell r="E1087">
            <v>0</v>
          </cell>
        </row>
        <row r="1088">
          <cell r="A1088" t="str">
            <v>BA</v>
          </cell>
          <cell r="B1088">
            <v>2007</v>
          </cell>
          <cell r="D1088" t="str">
            <v>SOJA</v>
          </cell>
          <cell r="E1088">
            <v>31027.275000000001</v>
          </cell>
        </row>
        <row r="1089">
          <cell r="A1089" t="str">
            <v>BA</v>
          </cell>
          <cell r="B1089">
            <v>2007</v>
          </cell>
          <cell r="D1089" t="str">
            <v>SOJA</v>
          </cell>
          <cell r="E1089">
            <v>40930.911999999997</v>
          </cell>
        </row>
        <row r="1090">
          <cell r="A1090" t="str">
            <v>BA</v>
          </cell>
          <cell r="B1090">
            <v>2007</v>
          </cell>
          <cell r="D1090" t="str">
            <v>SOJA</v>
          </cell>
          <cell r="E1090">
            <v>5952.19</v>
          </cell>
        </row>
        <row r="1091">
          <cell r="A1091" t="str">
            <v>BA</v>
          </cell>
          <cell r="B1091">
            <v>2007</v>
          </cell>
          <cell r="D1091" t="str">
            <v>SOJA</v>
          </cell>
          <cell r="E1091">
            <v>679.76400000000001</v>
          </cell>
        </row>
        <row r="1092">
          <cell r="A1092" t="str">
            <v>BA</v>
          </cell>
          <cell r="B1092">
            <v>2007</v>
          </cell>
          <cell r="D1092" t="str">
            <v>SOJA</v>
          </cell>
          <cell r="E1092">
            <v>256.75</v>
          </cell>
        </row>
        <row r="1093">
          <cell r="A1093" t="str">
            <v>BA</v>
          </cell>
          <cell r="B1093">
            <v>2007</v>
          </cell>
          <cell r="D1093" t="str">
            <v>SOJA</v>
          </cell>
          <cell r="E1093">
            <v>116.53400000000001</v>
          </cell>
        </row>
        <row r="1094">
          <cell r="A1094" t="str">
            <v>BA</v>
          </cell>
          <cell r="B1094">
            <v>2007</v>
          </cell>
          <cell r="D1094" t="str">
            <v>SOJA</v>
          </cell>
          <cell r="E1094">
            <v>81.400000000000006</v>
          </cell>
        </row>
        <row r="1095">
          <cell r="A1095" t="str">
            <v>BA</v>
          </cell>
          <cell r="B1095">
            <v>2007</v>
          </cell>
          <cell r="D1095" t="str">
            <v>SOJA</v>
          </cell>
          <cell r="E1095">
            <v>143.69</v>
          </cell>
        </row>
        <row r="1096">
          <cell r="A1096" t="str">
            <v>BA</v>
          </cell>
          <cell r="B1096">
            <v>2007</v>
          </cell>
          <cell r="D1096" t="str">
            <v>SOJA</v>
          </cell>
          <cell r="E1096">
            <v>32.81</v>
          </cell>
        </row>
        <row r="1097">
          <cell r="A1097" t="str">
            <v>MT</v>
          </cell>
          <cell r="B1097">
            <v>2007</v>
          </cell>
          <cell r="D1097" t="str">
            <v>MILHO</v>
          </cell>
          <cell r="E1097">
            <v>0</v>
          </cell>
        </row>
        <row r="1098">
          <cell r="A1098" t="str">
            <v>MT</v>
          </cell>
          <cell r="B1098">
            <v>2007</v>
          </cell>
          <cell r="D1098" t="str">
            <v>MILHO</v>
          </cell>
          <cell r="E1098">
            <v>0</v>
          </cell>
        </row>
        <row r="1099">
          <cell r="A1099" t="str">
            <v>MT</v>
          </cell>
          <cell r="B1099">
            <v>2007</v>
          </cell>
          <cell r="D1099" t="str">
            <v>MILHO</v>
          </cell>
          <cell r="E1099">
            <v>0</v>
          </cell>
        </row>
        <row r="1100">
          <cell r="A1100" t="str">
            <v>MT</v>
          </cell>
          <cell r="B1100">
            <v>2007</v>
          </cell>
          <cell r="D1100" t="str">
            <v>MILHO</v>
          </cell>
          <cell r="E1100">
            <v>0</v>
          </cell>
        </row>
        <row r="1101">
          <cell r="A1101" t="str">
            <v>MT</v>
          </cell>
          <cell r="B1101">
            <v>2007</v>
          </cell>
          <cell r="D1101" t="str">
            <v>MILHO</v>
          </cell>
          <cell r="E1101">
            <v>0</v>
          </cell>
        </row>
        <row r="1102">
          <cell r="A1102" t="str">
            <v>MT</v>
          </cell>
          <cell r="B1102">
            <v>2007</v>
          </cell>
          <cell r="D1102" t="str">
            <v>MILHO</v>
          </cell>
          <cell r="E1102">
            <v>0</v>
          </cell>
        </row>
        <row r="1103">
          <cell r="A1103" t="str">
            <v>MT</v>
          </cell>
          <cell r="B1103">
            <v>2007</v>
          </cell>
          <cell r="D1103" t="str">
            <v>MILHO</v>
          </cell>
          <cell r="E1103">
            <v>0</v>
          </cell>
        </row>
        <row r="1104">
          <cell r="A1104" t="str">
            <v>MT</v>
          </cell>
          <cell r="B1104">
            <v>2007</v>
          </cell>
          <cell r="D1104" t="str">
            <v>MILHO</v>
          </cell>
          <cell r="E1104">
            <v>0</v>
          </cell>
        </row>
        <row r="1105">
          <cell r="A1105" t="str">
            <v>MT</v>
          </cell>
          <cell r="B1105">
            <v>2007</v>
          </cell>
          <cell r="D1105" t="str">
            <v>MILHO</v>
          </cell>
          <cell r="E1105">
            <v>0</v>
          </cell>
        </row>
        <row r="1106">
          <cell r="A1106" t="str">
            <v>MT</v>
          </cell>
          <cell r="B1106">
            <v>2007</v>
          </cell>
          <cell r="D1106" t="str">
            <v>MILHO</v>
          </cell>
          <cell r="E1106">
            <v>0</v>
          </cell>
        </row>
        <row r="1107">
          <cell r="A1107" t="str">
            <v>MT</v>
          </cell>
          <cell r="B1107">
            <v>2007</v>
          </cell>
          <cell r="D1107" t="str">
            <v>SOJA</v>
          </cell>
          <cell r="E1107">
            <v>7226.1139999999996</v>
          </cell>
        </row>
        <row r="1108">
          <cell r="A1108" t="str">
            <v>MT</v>
          </cell>
          <cell r="B1108">
            <v>2007</v>
          </cell>
          <cell r="D1108" t="str">
            <v>SOJA</v>
          </cell>
          <cell r="E1108">
            <v>29085.16</v>
          </cell>
        </row>
        <row r="1109">
          <cell r="A1109" t="str">
            <v>MT</v>
          </cell>
          <cell r="B1109">
            <v>2007</v>
          </cell>
          <cell r="D1109" t="str">
            <v>SOJA</v>
          </cell>
          <cell r="E1109">
            <v>40419.150999999998</v>
          </cell>
        </row>
        <row r="1110">
          <cell r="A1110" t="str">
            <v>MT</v>
          </cell>
          <cell r="B1110">
            <v>2007</v>
          </cell>
          <cell r="D1110" t="str">
            <v>SOJA</v>
          </cell>
          <cell r="E1110">
            <v>13262.977000000001</v>
          </cell>
        </row>
        <row r="1111">
          <cell r="A1111" t="str">
            <v>MT</v>
          </cell>
          <cell r="B1111">
            <v>2007</v>
          </cell>
          <cell r="D1111" t="str">
            <v>SOJA</v>
          </cell>
          <cell r="E1111">
            <v>22937.111000000001</v>
          </cell>
        </row>
        <row r="1112">
          <cell r="A1112" t="str">
            <v>MT</v>
          </cell>
          <cell r="B1112">
            <v>2007</v>
          </cell>
          <cell r="D1112" t="str">
            <v>SOJA</v>
          </cell>
          <cell r="E1112">
            <v>18965.651999999998</v>
          </cell>
        </row>
        <row r="1113">
          <cell r="A1113" t="str">
            <v>MT</v>
          </cell>
          <cell r="B1113">
            <v>2007</v>
          </cell>
          <cell r="D1113" t="str">
            <v>SOJA</v>
          </cell>
          <cell r="E1113">
            <v>7754.05</v>
          </cell>
        </row>
        <row r="1114">
          <cell r="A1114" t="str">
            <v>MT</v>
          </cell>
          <cell r="B1114">
            <v>2007</v>
          </cell>
          <cell r="D1114" t="str">
            <v>SOJA</v>
          </cell>
          <cell r="E1114">
            <v>13967.261</v>
          </cell>
        </row>
        <row r="1115">
          <cell r="A1115" t="str">
            <v>MT</v>
          </cell>
          <cell r="B1115">
            <v>2007</v>
          </cell>
          <cell r="D1115" t="str">
            <v>SOJA</v>
          </cell>
          <cell r="E1115">
            <v>13955.94</v>
          </cell>
        </row>
        <row r="1116">
          <cell r="A1116" t="str">
            <v>MT</v>
          </cell>
          <cell r="B1116">
            <v>2007</v>
          </cell>
          <cell r="D1116" t="str">
            <v>SOJA</v>
          </cell>
          <cell r="E1116">
            <v>4672.1310000000003</v>
          </cell>
        </row>
        <row r="1117">
          <cell r="A1117" t="str">
            <v>MT</v>
          </cell>
          <cell r="B1117">
            <v>2007</v>
          </cell>
          <cell r="D1117" t="str">
            <v>SOJA</v>
          </cell>
          <cell r="E1117">
            <v>28949.941999999999</v>
          </cell>
        </row>
        <row r="1118">
          <cell r="A1118" t="str">
            <v>MT</v>
          </cell>
          <cell r="B1118">
            <v>2007</v>
          </cell>
          <cell r="D1118" t="str">
            <v>SOJA</v>
          </cell>
          <cell r="E1118">
            <v>16008.7</v>
          </cell>
        </row>
        <row r="1119">
          <cell r="A1119" t="str">
            <v>BA</v>
          </cell>
          <cell r="B1119">
            <v>2007</v>
          </cell>
          <cell r="D1119" t="str">
            <v>MILHO</v>
          </cell>
          <cell r="E1119">
            <v>0</v>
          </cell>
        </row>
        <row r="1120">
          <cell r="A1120" t="str">
            <v>BA</v>
          </cell>
          <cell r="B1120">
            <v>2007</v>
          </cell>
          <cell r="D1120" t="str">
            <v>MILHO</v>
          </cell>
          <cell r="E1120">
            <v>0</v>
          </cell>
        </row>
        <row r="1121">
          <cell r="A1121" t="str">
            <v>BA</v>
          </cell>
          <cell r="B1121">
            <v>2007</v>
          </cell>
          <cell r="D1121" t="str">
            <v>MILHO</v>
          </cell>
          <cell r="E1121">
            <v>0</v>
          </cell>
        </row>
        <row r="1122">
          <cell r="A1122" t="str">
            <v>BA</v>
          </cell>
          <cell r="B1122">
            <v>2007</v>
          </cell>
          <cell r="D1122" t="str">
            <v>MILHO</v>
          </cell>
          <cell r="E1122">
            <v>0</v>
          </cell>
        </row>
        <row r="1123">
          <cell r="A1123" t="str">
            <v>BA</v>
          </cell>
          <cell r="B1123">
            <v>2007</v>
          </cell>
          <cell r="D1123" t="str">
            <v>MILHO</v>
          </cell>
          <cell r="E1123">
            <v>0</v>
          </cell>
        </row>
        <row r="1124">
          <cell r="A1124" t="str">
            <v>BA</v>
          </cell>
          <cell r="B1124">
            <v>2007</v>
          </cell>
          <cell r="D1124" t="str">
            <v>MILHO</v>
          </cell>
          <cell r="E1124">
            <v>0</v>
          </cell>
        </row>
        <row r="1125">
          <cell r="A1125" t="str">
            <v>BA</v>
          </cell>
          <cell r="B1125">
            <v>2007</v>
          </cell>
          <cell r="D1125" t="str">
            <v>SOJA</v>
          </cell>
          <cell r="E1125">
            <v>54.756999999999998</v>
          </cell>
        </row>
        <row r="1126">
          <cell r="A1126" t="str">
            <v>BA</v>
          </cell>
          <cell r="B1126">
            <v>2007</v>
          </cell>
          <cell r="D1126" t="str">
            <v>SOJA</v>
          </cell>
          <cell r="E1126">
            <v>6565.6270000000004</v>
          </cell>
        </row>
        <row r="1127">
          <cell r="A1127" t="str">
            <v>BA</v>
          </cell>
          <cell r="B1127">
            <v>2007</v>
          </cell>
          <cell r="D1127" t="str">
            <v>SOJA</v>
          </cell>
          <cell r="E1127">
            <v>22898.044999999998</v>
          </cell>
        </row>
        <row r="1128">
          <cell r="A1128" t="str">
            <v>BA</v>
          </cell>
          <cell r="B1128">
            <v>2007</v>
          </cell>
          <cell r="D1128" t="str">
            <v>SOJA</v>
          </cell>
          <cell r="E1128">
            <v>2776.9279999999999</v>
          </cell>
        </row>
        <row r="1129">
          <cell r="A1129" t="str">
            <v>BA</v>
          </cell>
          <cell r="B1129">
            <v>2007</v>
          </cell>
          <cell r="D1129" t="str">
            <v>SOJA</v>
          </cell>
          <cell r="E1129">
            <v>587.89599999999996</v>
          </cell>
        </row>
        <row r="1130">
          <cell r="A1130" t="str">
            <v>BA</v>
          </cell>
          <cell r="B1130">
            <v>2007</v>
          </cell>
          <cell r="D1130" t="str">
            <v>SOJA</v>
          </cell>
          <cell r="E1130">
            <v>606.28700000000003</v>
          </cell>
        </row>
        <row r="1131">
          <cell r="A1131" t="str">
            <v>BA</v>
          </cell>
          <cell r="B1131">
            <v>2007</v>
          </cell>
          <cell r="D1131" t="str">
            <v>SOJA</v>
          </cell>
          <cell r="E1131">
            <v>244.86699999999999</v>
          </cell>
        </row>
        <row r="1132">
          <cell r="A1132" t="str">
            <v>BA</v>
          </cell>
          <cell r="B1132">
            <v>2007</v>
          </cell>
          <cell r="D1132" t="str">
            <v>SOJA</v>
          </cell>
          <cell r="E1132">
            <v>261.529</v>
          </cell>
        </row>
        <row r="1133">
          <cell r="A1133" t="str">
            <v>BA</v>
          </cell>
          <cell r="B1133">
            <v>2007</v>
          </cell>
          <cell r="D1133" t="str">
            <v>SOJA</v>
          </cell>
          <cell r="E1133">
            <v>58.613</v>
          </cell>
        </row>
        <row r="1134">
          <cell r="A1134" t="str">
            <v>BA</v>
          </cell>
          <cell r="B1134">
            <v>2007</v>
          </cell>
          <cell r="D1134" t="str">
            <v>SOJA</v>
          </cell>
          <cell r="E1134">
            <v>90.971000000000004</v>
          </cell>
        </row>
        <row r="1135">
          <cell r="A1135" t="str">
            <v>BA</v>
          </cell>
          <cell r="B1135">
            <v>2007</v>
          </cell>
          <cell r="D1135" t="str">
            <v>SOJA</v>
          </cell>
          <cell r="E1135">
            <v>302.74900000000002</v>
          </cell>
        </row>
        <row r="1136">
          <cell r="A1136" t="str">
            <v>SC</v>
          </cell>
          <cell r="B1136">
            <v>2007</v>
          </cell>
          <cell r="D1136" t="str">
            <v>MILHO</v>
          </cell>
          <cell r="E1136">
            <v>12412.862999999999</v>
          </cell>
        </row>
        <row r="1137">
          <cell r="A1137" t="str">
            <v>SC</v>
          </cell>
          <cell r="B1137">
            <v>2007</v>
          </cell>
          <cell r="D1137" t="str">
            <v>MILHO</v>
          </cell>
          <cell r="E1137">
            <v>6144.3029999999999</v>
          </cell>
        </row>
        <row r="1138">
          <cell r="A1138" t="str">
            <v>SC</v>
          </cell>
          <cell r="B1138">
            <v>2007</v>
          </cell>
          <cell r="D1138" t="str">
            <v>MILHO</v>
          </cell>
          <cell r="E1138">
            <v>6671.893</v>
          </cell>
        </row>
        <row r="1139">
          <cell r="A1139" t="str">
            <v>SC</v>
          </cell>
          <cell r="B1139">
            <v>2007</v>
          </cell>
          <cell r="D1139" t="str">
            <v>MILHO</v>
          </cell>
          <cell r="E1139">
            <v>14153</v>
          </cell>
        </row>
        <row r="1140">
          <cell r="A1140" t="str">
            <v>SC</v>
          </cell>
          <cell r="B1140">
            <v>2007</v>
          </cell>
          <cell r="D1140" t="str">
            <v>MILHO</v>
          </cell>
          <cell r="E1140">
            <v>12058.174999999999</v>
          </cell>
        </row>
        <row r="1141">
          <cell r="A1141" t="str">
            <v>SC</v>
          </cell>
          <cell r="B1141">
            <v>2007</v>
          </cell>
          <cell r="D1141" t="str">
            <v>MILHO</v>
          </cell>
          <cell r="E1141">
            <v>1689.0260000000001</v>
          </cell>
        </row>
        <row r="1142">
          <cell r="A1142" t="str">
            <v>SC</v>
          </cell>
          <cell r="B1142">
            <v>2007</v>
          </cell>
          <cell r="D1142" t="str">
            <v>MILHO</v>
          </cell>
          <cell r="E1142">
            <v>0</v>
          </cell>
        </row>
        <row r="1143">
          <cell r="A1143" t="str">
            <v>SC</v>
          </cell>
          <cell r="B1143">
            <v>2007</v>
          </cell>
          <cell r="D1143" t="str">
            <v>SOJA</v>
          </cell>
          <cell r="E1143">
            <v>2293.5210000000002</v>
          </cell>
        </row>
        <row r="1144">
          <cell r="A1144" t="str">
            <v>SC</v>
          </cell>
          <cell r="B1144">
            <v>2007</v>
          </cell>
          <cell r="D1144" t="str">
            <v>SOJA</v>
          </cell>
          <cell r="E1144">
            <v>25648.637999999999</v>
          </cell>
        </row>
        <row r="1145">
          <cell r="A1145" t="str">
            <v>SC</v>
          </cell>
          <cell r="B1145">
            <v>2007</v>
          </cell>
          <cell r="D1145" t="str">
            <v>SOJA</v>
          </cell>
          <cell r="E1145">
            <v>70100.303</v>
          </cell>
        </row>
        <row r="1146">
          <cell r="A1146" t="str">
            <v>SC</v>
          </cell>
          <cell r="B1146">
            <v>2007</v>
          </cell>
          <cell r="D1146" t="str">
            <v>SOJA</v>
          </cell>
          <cell r="E1146">
            <v>63017.921000000002</v>
          </cell>
        </row>
        <row r="1147">
          <cell r="A1147" t="str">
            <v>SC</v>
          </cell>
          <cell r="B1147">
            <v>2007</v>
          </cell>
          <cell r="D1147" t="str">
            <v>SOJA</v>
          </cell>
          <cell r="E1147">
            <v>47690.720000000001</v>
          </cell>
        </row>
        <row r="1148">
          <cell r="A1148" t="str">
            <v>SC</v>
          </cell>
          <cell r="B1148">
            <v>2007</v>
          </cell>
          <cell r="D1148" t="str">
            <v>SOJA</v>
          </cell>
          <cell r="E1148">
            <v>26510.607</v>
          </cell>
        </row>
        <row r="1149">
          <cell r="A1149" t="str">
            <v>SC</v>
          </cell>
          <cell r="B1149">
            <v>2007</v>
          </cell>
          <cell r="D1149" t="str">
            <v>SOJA</v>
          </cell>
          <cell r="E1149">
            <v>22920.212</v>
          </cell>
        </row>
        <row r="1150">
          <cell r="A1150" t="str">
            <v>SC</v>
          </cell>
          <cell r="B1150">
            <v>2007</v>
          </cell>
          <cell r="D1150" t="str">
            <v>SOJA</v>
          </cell>
          <cell r="E1150">
            <v>11230.714</v>
          </cell>
        </row>
        <row r="1151">
          <cell r="A1151" t="str">
            <v>SC</v>
          </cell>
          <cell r="B1151">
            <v>2007</v>
          </cell>
          <cell r="D1151" t="str">
            <v>SOJA</v>
          </cell>
          <cell r="E1151">
            <v>4493.3</v>
          </cell>
        </row>
        <row r="1152">
          <cell r="A1152" t="str">
            <v>SC</v>
          </cell>
          <cell r="B1152">
            <v>2007</v>
          </cell>
          <cell r="D1152" t="str">
            <v>SOJA</v>
          </cell>
          <cell r="E1152">
            <v>4621.42</v>
          </cell>
        </row>
        <row r="1153">
          <cell r="A1153" t="str">
            <v>SC</v>
          </cell>
          <cell r="B1153">
            <v>2007</v>
          </cell>
          <cell r="D1153" t="str">
            <v>SOJA</v>
          </cell>
          <cell r="E1153">
            <v>3254.95</v>
          </cell>
        </row>
        <row r="1154">
          <cell r="A1154" t="str">
            <v>MS</v>
          </cell>
          <cell r="B1154">
            <v>2007</v>
          </cell>
          <cell r="D1154" t="str">
            <v>MILHO</v>
          </cell>
          <cell r="E1154">
            <v>505.66699999999997</v>
          </cell>
        </row>
        <row r="1155">
          <cell r="A1155" t="str">
            <v>MS</v>
          </cell>
          <cell r="B1155">
            <v>2007</v>
          </cell>
          <cell r="D1155" t="str">
            <v>MILHO</v>
          </cell>
          <cell r="E1155">
            <v>24884.920999999998</v>
          </cell>
        </row>
        <row r="1156">
          <cell r="A1156" t="str">
            <v>MS</v>
          </cell>
          <cell r="B1156">
            <v>2007</v>
          </cell>
          <cell r="D1156" t="str">
            <v>MILHO</v>
          </cell>
          <cell r="E1156">
            <v>18254.928</v>
          </cell>
        </row>
        <row r="1157">
          <cell r="A1157" t="str">
            <v>MS</v>
          </cell>
          <cell r="B1157">
            <v>2007</v>
          </cell>
          <cell r="D1157" t="str">
            <v>MILHO</v>
          </cell>
          <cell r="E1157">
            <v>2162.355</v>
          </cell>
        </row>
        <row r="1158">
          <cell r="A1158" t="str">
            <v>MS</v>
          </cell>
          <cell r="B1158">
            <v>2007</v>
          </cell>
          <cell r="D1158" t="str">
            <v>MILHO</v>
          </cell>
          <cell r="E1158">
            <v>130.75</v>
          </cell>
        </row>
        <row r="1159">
          <cell r="A1159" t="str">
            <v>MS</v>
          </cell>
          <cell r="B1159">
            <v>2007</v>
          </cell>
          <cell r="D1159" t="str">
            <v>MILHO</v>
          </cell>
          <cell r="E1159">
            <v>0</v>
          </cell>
        </row>
        <row r="1160">
          <cell r="A1160" t="str">
            <v>MS</v>
          </cell>
          <cell r="B1160">
            <v>2007</v>
          </cell>
          <cell r="D1160" t="str">
            <v>SOJA</v>
          </cell>
          <cell r="E1160">
            <v>2497.3330000000001</v>
          </cell>
        </row>
        <row r="1161">
          <cell r="A1161" t="str">
            <v>MS</v>
          </cell>
          <cell r="B1161">
            <v>2007</v>
          </cell>
          <cell r="D1161" t="str">
            <v>SOJA</v>
          </cell>
          <cell r="E1161">
            <v>11218.002</v>
          </cell>
        </row>
        <row r="1162">
          <cell r="A1162" t="str">
            <v>MS</v>
          </cell>
          <cell r="B1162">
            <v>2007</v>
          </cell>
          <cell r="D1162" t="str">
            <v>SOJA</v>
          </cell>
          <cell r="E1162">
            <v>20.663</v>
          </cell>
        </row>
        <row r="1163">
          <cell r="A1163" t="str">
            <v>MS</v>
          </cell>
          <cell r="B1163">
            <v>2007</v>
          </cell>
          <cell r="D1163" t="str">
            <v>SOJA</v>
          </cell>
          <cell r="E1163">
            <v>26.16</v>
          </cell>
        </row>
        <row r="1164">
          <cell r="A1164" t="str">
            <v>MS</v>
          </cell>
          <cell r="B1164">
            <v>2007</v>
          </cell>
          <cell r="D1164" t="str">
            <v>SOJA</v>
          </cell>
          <cell r="E1164">
            <v>0</v>
          </cell>
        </row>
        <row r="1165">
          <cell r="A1165" t="str">
            <v>MS</v>
          </cell>
          <cell r="B1165">
            <v>2007</v>
          </cell>
          <cell r="D1165" t="str">
            <v>SOJA</v>
          </cell>
          <cell r="E1165">
            <v>0</v>
          </cell>
        </row>
        <row r="1166">
          <cell r="A1166" t="str">
            <v>MS</v>
          </cell>
          <cell r="B1166">
            <v>2007</v>
          </cell>
          <cell r="D1166" t="str">
            <v>SOJA</v>
          </cell>
          <cell r="E1166">
            <v>0</v>
          </cell>
        </row>
        <row r="1167">
          <cell r="A1167" t="str">
            <v>MS</v>
          </cell>
          <cell r="B1167">
            <v>2007</v>
          </cell>
          <cell r="D1167" t="str">
            <v>SOJA</v>
          </cell>
          <cell r="E1167">
            <v>0</v>
          </cell>
        </row>
        <row r="1168">
          <cell r="A1168" t="str">
            <v>MS</v>
          </cell>
          <cell r="B1168">
            <v>2007</v>
          </cell>
          <cell r="D1168" t="str">
            <v>SOJA</v>
          </cell>
          <cell r="E1168">
            <v>0</v>
          </cell>
        </row>
        <row r="1169">
          <cell r="A1169" t="str">
            <v>MS</v>
          </cell>
          <cell r="B1169">
            <v>2007</v>
          </cell>
          <cell r="D1169" t="str">
            <v>SOJA</v>
          </cell>
          <cell r="E1169">
            <v>0</v>
          </cell>
        </row>
        <row r="1170">
          <cell r="A1170" t="str">
            <v>MS</v>
          </cell>
          <cell r="B1170">
            <v>2007</v>
          </cell>
          <cell r="D1170" t="str">
            <v>SOJA</v>
          </cell>
          <cell r="E1170">
            <v>0</v>
          </cell>
        </row>
        <row r="1171">
          <cell r="A1171" t="str">
            <v>MA</v>
          </cell>
          <cell r="B1171">
            <v>2007</v>
          </cell>
          <cell r="D1171" t="str">
            <v>SOJA</v>
          </cell>
          <cell r="E1171">
            <v>662.71900000000005</v>
          </cell>
        </row>
        <row r="1172">
          <cell r="A1172" t="str">
            <v>MA</v>
          </cell>
          <cell r="B1172">
            <v>2007</v>
          </cell>
          <cell r="D1172" t="str">
            <v>SOJA</v>
          </cell>
          <cell r="E1172">
            <v>11082.144</v>
          </cell>
        </row>
        <row r="1173">
          <cell r="A1173" t="str">
            <v>MA</v>
          </cell>
          <cell r="B1173">
            <v>2007</v>
          </cell>
          <cell r="D1173" t="str">
            <v>SOJA</v>
          </cell>
          <cell r="E1173">
            <v>30004.874</v>
          </cell>
        </row>
        <row r="1174">
          <cell r="A1174" t="str">
            <v>MA</v>
          </cell>
          <cell r="B1174">
            <v>2007</v>
          </cell>
          <cell r="D1174" t="str">
            <v>SOJA</v>
          </cell>
          <cell r="E1174">
            <v>6061.4309999999996</v>
          </cell>
        </row>
        <row r="1175">
          <cell r="A1175" t="str">
            <v>MT</v>
          </cell>
          <cell r="B1175">
            <v>2007</v>
          </cell>
          <cell r="D1175" t="str">
            <v>SOJA</v>
          </cell>
          <cell r="E1175">
            <v>2052.3879999999999</v>
          </cell>
        </row>
        <row r="1176">
          <cell r="A1176" t="str">
            <v>MT</v>
          </cell>
          <cell r="B1176">
            <v>2007</v>
          </cell>
          <cell r="D1176" t="str">
            <v>SOJA</v>
          </cell>
          <cell r="E1176">
            <v>1906.7070000000001</v>
          </cell>
        </row>
        <row r="1177">
          <cell r="A1177" t="str">
            <v>MT</v>
          </cell>
          <cell r="B1177">
            <v>2007</v>
          </cell>
          <cell r="D1177" t="str">
            <v>SOJA</v>
          </cell>
          <cell r="E1177">
            <v>1645.1880000000001</v>
          </cell>
        </row>
        <row r="1178">
          <cell r="A1178" t="str">
            <v>MT</v>
          </cell>
          <cell r="B1178">
            <v>2007</v>
          </cell>
          <cell r="D1178" t="str">
            <v>SOJA</v>
          </cell>
          <cell r="E1178">
            <v>5847.1279999999997</v>
          </cell>
        </row>
        <row r="1179">
          <cell r="A1179" t="str">
            <v>MT</v>
          </cell>
          <cell r="B1179">
            <v>2007</v>
          </cell>
          <cell r="D1179" t="str">
            <v>SOJA</v>
          </cell>
          <cell r="E1179">
            <v>9.8719999999999999</v>
          </cell>
        </row>
        <row r="1180">
          <cell r="A1180" t="str">
            <v>RS</v>
          </cell>
          <cell r="B1180">
            <v>2007</v>
          </cell>
          <cell r="D1180" t="str">
            <v>SOJA</v>
          </cell>
          <cell r="E1180">
            <v>1871.0419999999999</v>
          </cell>
        </row>
        <row r="1181">
          <cell r="A1181" t="str">
            <v>RS</v>
          </cell>
          <cell r="B1181">
            <v>2007</v>
          </cell>
          <cell r="D1181" t="str">
            <v>SOJA</v>
          </cell>
          <cell r="E1181">
            <v>24573.718000000001</v>
          </cell>
        </row>
        <row r="1182">
          <cell r="A1182" t="str">
            <v>RS</v>
          </cell>
          <cell r="B1182">
            <v>2007</v>
          </cell>
          <cell r="D1182" t="str">
            <v>SOJA</v>
          </cell>
          <cell r="E1182">
            <v>21042.502</v>
          </cell>
        </row>
        <row r="1183">
          <cell r="A1183" t="str">
            <v>RS</v>
          </cell>
          <cell r="B1183">
            <v>2007</v>
          </cell>
          <cell r="D1183" t="str">
            <v>SOJA</v>
          </cell>
          <cell r="E1183">
            <v>1255.575</v>
          </cell>
        </row>
        <row r="1184">
          <cell r="A1184" t="str">
            <v>RS</v>
          </cell>
          <cell r="B1184">
            <v>2007</v>
          </cell>
          <cell r="D1184" t="str">
            <v>SOJA</v>
          </cell>
          <cell r="E1184">
            <v>1138.22</v>
          </cell>
        </row>
        <row r="1185">
          <cell r="A1185" t="str">
            <v>RS</v>
          </cell>
          <cell r="B1185">
            <v>2007</v>
          </cell>
          <cell r="D1185" t="str">
            <v>SOJA</v>
          </cell>
          <cell r="E1185">
            <v>90.222999999999999</v>
          </cell>
        </row>
        <row r="1186">
          <cell r="A1186" t="str">
            <v>RS</v>
          </cell>
          <cell r="B1186">
            <v>2007</v>
          </cell>
          <cell r="D1186" t="str">
            <v>SOJA</v>
          </cell>
          <cell r="E1186">
            <v>53.786999999999999</v>
          </cell>
        </row>
        <row r="1187">
          <cell r="A1187" t="str">
            <v>RS</v>
          </cell>
          <cell r="B1187">
            <v>2007</v>
          </cell>
          <cell r="D1187" t="str">
            <v>SOJA</v>
          </cell>
          <cell r="E1187">
            <v>58.792999999999999</v>
          </cell>
        </row>
        <row r="1188">
          <cell r="A1188" t="str">
            <v>RS</v>
          </cell>
          <cell r="B1188">
            <v>2007</v>
          </cell>
          <cell r="D1188" t="str">
            <v>SOJA</v>
          </cell>
          <cell r="E1188">
            <v>1.9</v>
          </cell>
        </row>
        <row r="1189">
          <cell r="A1189" t="str">
            <v>RS</v>
          </cell>
          <cell r="B1189">
            <v>2007</v>
          </cell>
          <cell r="D1189" t="str">
            <v>SOJA</v>
          </cell>
          <cell r="E1189">
            <v>44.72</v>
          </cell>
        </row>
        <row r="1190">
          <cell r="A1190" t="str">
            <v>PR</v>
          </cell>
          <cell r="B1190">
            <v>2007</v>
          </cell>
          <cell r="D1190" t="str">
            <v>MILHO</v>
          </cell>
          <cell r="E1190">
            <v>2364.8960000000002</v>
          </cell>
        </row>
        <row r="1191">
          <cell r="A1191" t="str">
            <v>PR</v>
          </cell>
          <cell r="B1191">
            <v>2007</v>
          </cell>
          <cell r="D1191" t="str">
            <v>MILHO</v>
          </cell>
          <cell r="E1191">
            <v>208.30600000000001</v>
          </cell>
        </row>
        <row r="1192">
          <cell r="A1192" t="str">
            <v>PR</v>
          </cell>
          <cell r="B1192">
            <v>2007</v>
          </cell>
          <cell r="D1192" t="str">
            <v>MILHO</v>
          </cell>
          <cell r="E1192">
            <v>832.77300000000002</v>
          </cell>
        </row>
        <row r="1193">
          <cell r="A1193" t="str">
            <v>PR</v>
          </cell>
          <cell r="B1193">
            <v>2007</v>
          </cell>
          <cell r="D1193" t="str">
            <v>MILHO</v>
          </cell>
          <cell r="E1193">
            <v>3262.6669999999999</v>
          </cell>
        </row>
        <row r="1194">
          <cell r="A1194" t="str">
            <v>PR</v>
          </cell>
          <cell r="B1194">
            <v>2007</v>
          </cell>
          <cell r="D1194" t="str">
            <v>MILHO</v>
          </cell>
          <cell r="E1194">
            <v>1118.2149999999999</v>
          </cell>
        </row>
        <row r="1195">
          <cell r="A1195" t="str">
            <v>PR</v>
          </cell>
          <cell r="B1195">
            <v>2007</v>
          </cell>
          <cell r="D1195" t="str">
            <v>MILHO</v>
          </cell>
          <cell r="E1195">
            <v>52.066000000000003</v>
          </cell>
        </row>
        <row r="1196">
          <cell r="A1196" t="str">
            <v>PR</v>
          </cell>
          <cell r="B1196">
            <v>2007</v>
          </cell>
          <cell r="D1196" t="str">
            <v>SOJA</v>
          </cell>
          <cell r="E1196">
            <v>1586.604</v>
          </cell>
        </row>
        <row r="1197">
          <cell r="A1197" t="str">
            <v>PR</v>
          </cell>
          <cell r="B1197">
            <v>2007</v>
          </cell>
          <cell r="D1197" t="str">
            <v>SOJA</v>
          </cell>
          <cell r="E1197">
            <v>12849.678</v>
          </cell>
        </row>
        <row r="1198">
          <cell r="A1198" t="str">
            <v>PR</v>
          </cell>
          <cell r="B1198">
            <v>2007</v>
          </cell>
          <cell r="D1198" t="str">
            <v>SOJA</v>
          </cell>
          <cell r="E1198">
            <v>1552.953</v>
          </cell>
        </row>
        <row r="1199">
          <cell r="A1199" t="str">
            <v>PR</v>
          </cell>
          <cell r="B1199">
            <v>2007</v>
          </cell>
          <cell r="D1199" t="str">
            <v>SOJA</v>
          </cell>
          <cell r="E1199">
            <v>0</v>
          </cell>
        </row>
        <row r="1200">
          <cell r="A1200" t="str">
            <v>PR</v>
          </cell>
          <cell r="B1200">
            <v>2007</v>
          </cell>
          <cell r="D1200" t="str">
            <v>SOJA</v>
          </cell>
          <cell r="E1200">
            <v>396.911</v>
          </cell>
        </row>
        <row r="1201">
          <cell r="A1201" t="str">
            <v>PR</v>
          </cell>
          <cell r="B1201">
            <v>2007</v>
          </cell>
          <cell r="D1201" t="str">
            <v>SOJA</v>
          </cell>
          <cell r="E1201">
            <v>0</v>
          </cell>
        </row>
        <row r="1202">
          <cell r="A1202" t="str">
            <v>PR</v>
          </cell>
          <cell r="B1202">
            <v>2007</v>
          </cell>
          <cell r="D1202" t="str">
            <v>SOJA</v>
          </cell>
          <cell r="E1202">
            <v>0</v>
          </cell>
        </row>
        <row r="1203">
          <cell r="A1203" t="str">
            <v>MT</v>
          </cell>
          <cell r="B1203">
            <v>2007</v>
          </cell>
          <cell r="D1203" t="str">
            <v>MILHO</v>
          </cell>
          <cell r="E1203">
            <v>0</v>
          </cell>
        </row>
        <row r="1204">
          <cell r="A1204" t="str">
            <v>MT</v>
          </cell>
          <cell r="B1204">
            <v>2007</v>
          </cell>
          <cell r="D1204" t="str">
            <v>MILHO</v>
          </cell>
          <cell r="E1204">
            <v>2836.873</v>
          </cell>
        </row>
        <row r="1205">
          <cell r="A1205" t="str">
            <v>MT</v>
          </cell>
          <cell r="B1205">
            <v>2007</v>
          </cell>
          <cell r="D1205" t="str">
            <v>MILHO</v>
          </cell>
          <cell r="E1205">
            <v>17002.186000000002</v>
          </cell>
        </row>
        <row r="1206">
          <cell r="A1206" t="str">
            <v>MT</v>
          </cell>
          <cell r="B1206">
            <v>2007</v>
          </cell>
          <cell r="D1206" t="str">
            <v>MILHO</v>
          </cell>
          <cell r="E1206">
            <v>11286.361000000001</v>
          </cell>
        </row>
        <row r="1207">
          <cell r="A1207" t="str">
            <v>MT</v>
          </cell>
          <cell r="B1207">
            <v>2007</v>
          </cell>
          <cell r="D1207" t="str">
            <v>MILHO</v>
          </cell>
          <cell r="E1207">
            <v>172.10499999999999</v>
          </cell>
        </row>
        <row r="1208">
          <cell r="A1208" t="str">
            <v>MT</v>
          </cell>
          <cell r="B1208">
            <v>2007</v>
          </cell>
          <cell r="D1208" t="str">
            <v>MILHO</v>
          </cell>
          <cell r="E1208">
            <v>200.37200000000001</v>
          </cell>
        </row>
        <row r="1209">
          <cell r="A1209" t="str">
            <v>MT</v>
          </cell>
          <cell r="B1209">
            <v>2007</v>
          </cell>
          <cell r="D1209" t="str">
            <v>SOJA</v>
          </cell>
          <cell r="E1209">
            <v>6207.4660000000003</v>
          </cell>
        </row>
        <row r="1210">
          <cell r="A1210" t="str">
            <v>MT</v>
          </cell>
          <cell r="B1210">
            <v>2007</v>
          </cell>
          <cell r="D1210" t="str">
            <v>SOJA</v>
          </cell>
          <cell r="E1210">
            <v>28073.49</v>
          </cell>
        </row>
        <row r="1211">
          <cell r="A1211" t="str">
            <v>MT</v>
          </cell>
          <cell r="B1211">
            <v>2007</v>
          </cell>
          <cell r="D1211" t="str">
            <v>SOJA</v>
          </cell>
          <cell r="E1211">
            <v>47173.837</v>
          </cell>
        </row>
        <row r="1212">
          <cell r="A1212" t="str">
            <v>MT</v>
          </cell>
          <cell r="B1212">
            <v>2007</v>
          </cell>
          <cell r="D1212" t="str">
            <v>SOJA</v>
          </cell>
          <cell r="E1212">
            <v>625.19200000000001</v>
          </cell>
        </row>
        <row r="1213">
          <cell r="A1213" t="str">
            <v>MT</v>
          </cell>
          <cell r="B1213">
            <v>2007</v>
          </cell>
          <cell r="D1213" t="str">
            <v>SOJA</v>
          </cell>
          <cell r="E1213">
            <v>282.05</v>
          </cell>
        </row>
        <row r="1214">
          <cell r="A1214" t="str">
            <v>MT</v>
          </cell>
          <cell r="B1214">
            <v>2007</v>
          </cell>
          <cell r="D1214" t="str">
            <v>SOJA</v>
          </cell>
          <cell r="E1214">
            <v>212.542</v>
          </cell>
        </row>
        <row r="1215">
          <cell r="A1215" t="str">
            <v>MT</v>
          </cell>
          <cell r="B1215">
            <v>2007</v>
          </cell>
          <cell r="D1215" t="str">
            <v>SOJA</v>
          </cell>
          <cell r="E1215">
            <v>0</v>
          </cell>
        </row>
        <row r="1216">
          <cell r="A1216" t="str">
            <v>PA</v>
          </cell>
          <cell r="B1216">
            <v>2007</v>
          </cell>
          <cell r="D1216" t="str">
            <v>SOJA</v>
          </cell>
          <cell r="E1216">
            <v>404.44200000000001</v>
          </cell>
        </row>
        <row r="1217">
          <cell r="A1217" t="str">
            <v>PA</v>
          </cell>
          <cell r="B1217">
            <v>2007</v>
          </cell>
          <cell r="D1217" t="str">
            <v>SOJA</v>
          </cell>
          <cell r="E1217">
            <v>7680.5739999999996</v>
          </cell>
        </row>
        <row r="1218">
          <cell r="A1218" t="str">
            <v>PA</v>
          </cell>
          <cell r="B1218">
            <v>2007</v>
          </cell>
          <cell r="D1218" t="str">
            <v>SOJA</v>
          </cell>
          <cell r="E1218">
            <v>3897.5830000000001</v>
          </cell>
        </row>
        <row r="1219">
          <cell r="A1219" t="str">
            <v>PA</v>
          </cell>
          <cell r="B1219">
            <v>2007</v>
          </cell>
          <cell r="D1219" t="str">
            <v>SOJA</v>
          </cell>
          <cell r="E1219">
            <v>632.67899999999997</v>
          </cell>
        </row>
        <row r="1220">
          <cell r="A1220" t="str">
            <v>MT</v>
          </cell>
          <cell r="B1220">
            <v>2007</v>
          </cell>
          <cell r="D1220" t="str">
            <v>SOJA</v>
          </cell>
          <cell r="E1220">
            <v>1004.6609999999999</v>
          </cell>
        </row>
        <row r="1221">
          <cell r="A1221" t="str">
            <v>MT</v>
          </cell>
          <cell r="B1221">
            <v>2007</v>
          </cell>
          <cell r="D1221" t="str">
            <v>SOJA</v>
          </cell>
          <cell r="E1221">
            <v>7916.1</v>
          </cell>
        </row>
        <row r="1222">
          <cell r="A1222" t="str">
            <v>MT</v>
          </cell>
          <cell r="B1222">
            <v>2007</v>
          </cell>
          <cell r="D1222" t="str">
            <v>SOJA</v>
          </cell>
          <cell r="E1222">
            <v>836.45100000000002</v>
          </cell>
        </row>
        <row r="1223">
          <cell r="A1223" t="str">
            <v>MT</v>
          </cell>
          <cell r="B1223">
            <v>2007</v>
          </cell>
          <cell r="D1223" t="str">
            <v>SOJA</v>
          </cell>
          <cell r="E1223">
            <v>12918.616</v>
          </cell>
        </row>
        <row r="1224">
          <cell r="A1224" t="str">
            <v>MT</v>
          </cell>
          <cell r="B1224">
            <v>2007</v>
          </cell>
          <cell r="D1224" t="str">
            <v>SOJA</v>
          </cell>
          <cell r="E1224">
            <v>160.49</v>
          </cell>
        </row>
        <row r="1225">
          <cell r="A1225" t="str">
            <v>MT</v>
          </cell>
          <cell r="B1225">
            <v>2007</v>
          </cell>
          <cell r="D1225" t="str">
            <v>SOJA</v>
          </cell>
          <cell r="E1225">
            <v>182.15</v>
          </cell>
        </row>
        <row r="1226">
          <cell r="A1226" t="str">
            <v>RS</v>
          </cell>
          <cell r="B1226">
            <v>2007</v>
          </cell>
          <cell r="D1226" t="str">
            <v>MILHO</v>
          </cell>
          <cell r="E1226">
            <v>4904.6769999999997</v>
          </cell>
        </row>
        <row r="1227">
          <cell r="A1227" t="str">
            <v>RS</v>
          </cell>
          <cell r="B1227">
            <v>2007</v>
          </cell>
          <cell r="D1227" t="str">
            <v>MILHO</v>
          </cell>
          <cell r="E1227">
            <v>15082.144</v>
          </cell>
        </row>
        <row r="1228">
          <cell r="A1228" t="str">
            <v>RS</v>
          </cell>
          <cell r="B1228">
            <v>2007</v>
          </cell>
          <cell r="D1228" t="str">
            <v>MILHO</v>
          </cell>
          <cell r="E1228">
            <v>1642.6859999999999</v>
          </cell>
        </row>
        <row r="1229">
          <cell r="A1229" t="str">
            <v>RS</v>
          </cell>
          <cell r="B1229">
            <v>2007</v>
          </cell>
          <cell r="D1229" t="str">
            <v>SOJA</v>
          </cell>
          <cell r="E1229">
            <v>3073.1460000000002</v>
          </cell>
        </row>
        <row r="1230">
          <cell r="A1230" t="str">
            <v>RS</v>
          </cell>
          <cell r="B1230">
            <v>2007</v>
          </cell>
          <cell r="D1230" t="str">
            <v>SOJA</v>
          </cell>
          <cell r="E1230">
            <v>36578.271000000001</v>
          </cell>
        </row>
        <row r="1231">
          <cell r="A1231" t="str">
            <v>RS</v>
          </cell>
          <cell r="B1231">
            <v>2007</v>
          </cell>
          <cell r="D1231" t="str">
            <v>SOJA</v>
          </cell>
          <cell r="E1231">
            <v>14964.829</v>
          </cell>
        </row>
        <row r="1232">
          <cell r="A1232" t="str">
            <v>RS</v>
          </cell>
          <cell r="B1232">
            <v>2007</v>
          </cell>
          <cell r="D1232" t="str">
            <v>SOJA</v>
          </cell>
          <cell r="E1232">
            <v>2649.1460000000002</v>
          </cell>
        </row>
        <row r="1233">
          <cell r="A1233" t="str">
            <v>RS</v>
          </cell>
          <cell r="B1233">
            <v>2007</v>
          </cell>
          <cell r="D1233" t="str">
            <v>SOJA</v>
          </cell>
          <cell r="E1233">
            <v>144.08799999999999</v>
          </cell>
        </row>
        <row r="1234">
          <cell r="A1234" t="str">
            <v>RS</v>
          </cell>
          <cell r="B1234">
            <v>2007</v>
          </cell>
          <cell r="D1234" t="str">
            <v>SOJA</v>
          </cell>
          <cell r="E1234">
            <v>2596.8649999999998</v>
          </cell>
        </row>
        <row r="1235">
          <cell r="A1235" t="str">
            <v>RS</v>
          </cell>
          <cell r="B1235">
            <v>2007</v>
          </cell>
          <cell r="D1235" t="str">
            <v>SOJA</v>
          </cell>
          <cell r="E1235">
            <v>313.55</v>
          </cell>
        </row>
        <row r="1236">
          <cell r="A1236" t="str">
            <v>RS</v>
          </cell>
          <cell r="B1236">
            <v>2007</v>
          </cell>
          <cell r="D1236" t="str">
            <v>SOJA</v>
          </cell>
          <cell r="E1236">
            <v>481.21</v>
          </cell>
        </row>
        <row r="1237">
          <cell r="A1237" t="str">
            <v>RS</v>
          </cell>
          <cell r="B1237">
            <v>2007</v>
          </cell>
          <cell r="D1237" t="str">
            <v>SOJA</v>
          </cell>
          <cell r="E1237">
            <v>56.5</v>
          </cell>
        </row>
        <row r="1238">
          <cell r="A1238" t="str">
            <v>RS</v>
          </cell>
          <cell r="B1238">
            <v>2007</v>
          </cell>
          <cell r="D1238" t="str">
            <v>SOJA</v>
          </cell>
          <cell r="E1238">
            <v>511.57</v>
          </cell>
        </row>
        <row r="1239">
          <cell r="A1239" t="str">
            <v>RS</v>
          </cell>
          <cell r="B1239">
            <v>2007</v>
          </cell>
          <cell r="D1239" t="str">
            <v>MILHO</v>
          </cell>
          <cell r="E1239">
            <v>1687.7550000000001</v>
          </cell>
        </row>
        <row r="1240">
          <cell r="A1240" t="str">
            <v>RS</v>
          </cell>
          <cell r="B1240">
            <v>2007</v>
          </cell>
          <cell r="D1240" t="str">
            <v>MILHO</v>
          </cell>
          <cell r="E1240">
            <v>8966.0640000000003</v>
          </cell>
        </row>
        <row r="1241">
          <cell r="A1241" t="str">
            <v>RS</v>
          </cell>
          <cell r="B1241">
            <v>2007</v>
          </cell>
          <cell r="D1241" t="str">
            <v>MILHO</v>
          </cell>
          <cell r="E1241">
            <v>411.90499999999997</v>
          </cell>
        </row>
        <row r="1242">
          <cell r="A1242" t="str">
            <v>RS</v>
          </cell>
          <cell r="B1242">
            <v>2007</v>
          </cell>
          <cell r="D1242" t="str">
            <v>SOJA</v>
          </cell>
          <cell r="E1242">
            <v>0.63</v>
          </cell>
        </row>
        <row r="1243">
          <cell r="A1243" t="str">
            <v>RS</v>
          </cell>
          <cell r="B1243">
            <v>2007</v>
          </cell>
          <cell r="D1243" t="str">
            <v>SOJA</v>
          </cell>
          <cell r="E1243">
            <v>12522.95</v>
          </cell>
        </row>
        <row r="1244">
          <cell r="A1244" t="str">
            <v>RS</v>
          </cell>
          <cell r="B1244">
            <v>2007</v>
          </cell>
          <cell r="D1244" t="str">
            <v>SOJA</v>
          </cell>
          <cell r="E1244">
            <v>32413.006000000001</v>
          </cell>
        </row>
        <row r="1245">
          <cell r="A1245" t="str">
            <v>RS</v>
          </cell>
          <cell r="B1245">
            <v>2007</v>
          </cell>
          <cell r="D1245" t="str">
            <v>SOJA</v>
          </cell>
          <cell r="E1245">
            <v>4304.7839999999997</v>
          </cell>
        </row>
        <row r="1246">
          <cell r="A1246" t="str">
            <v>RS</v>
          </cell>
          <cell r="B1246">
            <v>2007</v>
          </cell>
          <cell r="D1246" t="str">
            <v>SOJA</v>
          </cell>
          <cell r="E1246">
            <v>981.63699999999994</v>
          </cell>
        </row>
        <row r="1247">
          <cell r="A1247" t="str">
            <v>RS</v>
          </cell>
          <cell r="B1247">
            <v>2007</v>
          </cell>
          <cell r="D1247" t="str">
            <v>SOJA</v>
          </cell>
          <cell r="E1247">
            <v>560.37699999999995</v>
          </cell>
        </row>
        <row r="1248">
          <cell r="A1248" t="str">
            <v>RS</v>
          </cell>
          <cell r="B1248">
            <v>2007</v>
          </cell>
          <cell r="D1248" t="str">
            <v>SOJA</v>
          </cell>
          <cell r="E1248">
            <v>1210.7460000000001</v>
          </cell>
        </row>
        <row r="1249">
          <cell r="A1249" t="str">
            <v>RS</v>
          </cell>
          <cell r="B1249">
            <v>2007</v>
          </cell>
          <cell r="D1249" t="str">
            <v>SOJA</v>
          </cell>
          <cell r="E1249">
            <v>224.77</v>
          </cell>
        </row>
        <row r="1250">
          <cell r="A1250" t="str">
            <v>RS</v>
          </cell>
          <cell r="B1250">
            <v>2007</v>
          </cell>
          <cell r="D1250" t="str">
            <v>SOJA</v>
          </cell>
          <cell r="E1250">
            <v>365.404</v>
          </cell>
        </row>
        <row r="1251">
          <cell r="A1251" t="str">
            <v>RS</v>
          </cell>
          <cell r="B1251">
            <v>2007</v>
          </cell>
          <cell r="D1251" t="str">
            <v>SOJA</v>
          </cell>
          <cell r="E1251">
            <v>11.56</v>
          </cell>
        </row>
        <row r="1252">
          <cell r="A1252" t="str">
            <v>RS</v>
          </cell>
          <cell r="B1252">
            <v>2007</v>
          </cell>
          <cell r="D1252" t="str">
            <v>SOJA</v>
          </cell>
          <cell r="E1252">
            <v>23.66</v>
          </cell>
        </row>
        <row r="1253">
          <cell r="A1253" t="str">
            <v>MA</v>
          </cell>
          <cell r="B1253">
            <v>2007</v>
          </cell>
          <cell r="D1253" t="str">
            <v>SOJA</v>
          </cell>
          <cell r="E1253">
            <v>1.06</v>
          </cell>
        </row>
        <row r="1254">
          <cell r="A1254" t="str">
            <v>MA</v>
          </cell>
          <cell r="B1254">
            <v>2007</v>
          </cell>
          <cell r="D1254" t="str">
            <v>SOJA</v>
          </cell>
          <cell r="E1254">
            <v>16638.602999999999</v>
          </cell>
        </row>
        <row r="1255">
          <cell r="A1255" t="str">
            <v>MA</v>
          </cell>
          <cell r="B1255">
            <v>2007</v>
          </cell>
          <cell r="D1255" t="str">
            <v>SOJA</v>
          </cell>
          <cell r="E1255">
            <v>27624.895</v>
          </cell>
        </row>
        <row r="1256">
          <cell r="A1256" t="str">
            <v>MA</v>
          </cell>
          <cell r="B1256">
            <v>2007</v>
          </cell>
          <cell r="D1256" t="str">
            <v>SOJA</v>
          </cell>
          <cell r="E1256">
            <v>2997.24</v>
          </cell>
        </row>
        <row r="1257">
          <cell r="A1257" t="str">
            <v>MA</v>
          </cell>
          <cell r="B1257">
            <v>2007</v>
          </cell>
          <cell r="D1257" t="str">
            <v>SOJA</v>
          </cell>
          <cell r="E1257">
            <v>0</v>
          </cell>
        </row>
        <row r="1258">
          <cell r="A1258" t="str">
            <v>MA</v>
          </cell>
          <cell r="B1258">
            <v>2007</v>
          </cell>
          <cell r="D1258" t="str">
            <v>SOJA</v>
          </cell>
          <cell r="E1258">
            <v>0</v>
          </cell>
        </row>
        <row r="1259">
          <cell r="A1259" t="str">
            <v>MA</v>
          </cell>
          <cell r="B1259">
            <v>2007</v>
          </cell>
          <cell r="D1259" t="str">
            <v>SOJA</v>
          </cell>
          <cell r="E1259">
            <v>6.08</v>
          </cell>
        </row>
        <row r="1260">
          <cell r="A1260" t="str">
            <v>MA</v>
          </cell>
          <cell r="B1260">
            <v>2007</v>
          </cell>
          <cell r="D1260" t="str">
            <v>SOJA</v>
          </cell>
          <cell r="E1260">
            <v>1.1599999999999999</v>
          </cell>
        </row>
        <row r="1261">
          <cell r="A1261" t="str">
            <v>MA</v>
          </cell>
          <cell r="B1261">
            <v>2007</v>
          </cell>
          <cell r="D1261" t="str">
            <v>SOJA</v>
          </cell>
          <cell r="E1261">
            <v>5.92</v>
          </cell>
        </row>
        <row r="1262">
          <cell r="A1262" t="str">
            <v>RS</v>
          </cell>
          <cell r="B1262">
            <v>2007</v>
          </cell>
          <cell r="D1262" t="str">
            <v>SOJA</v>
          </cell>
          <cell r="E1262">
            <v>36.299999999999997</v>
          </cell>
        </row>
        <row r="1263">
          <cell r="A1263" t="str">
            <v>RS</v>
          </cell>
          <cell r="B1263">
            <v>2007</v>
          </cell>
          <cell r="D1263" t="str">
            <v>SOJA</v>
          </cell>
          <cell r="E1263">
            <v>263.86</v>
          </cell>
        </row>
        <row r="1264">
          <cell r="A1264" t="str">
            <v>RS</v>
          </cell>
          <cell r="B1264">
            <v>2007</v>
          </cell>
          <cell r="D1264" t="str">
            <v>SOJA</v>
          </cell>
          <cell r="E1264">
            <v>18539.565999999999</v>
          </cell>
        </row>
        <row r="1265">
          <cell r="A1265" t="str">
            <v>RS</v>
          </cell>
          <cell r="B1265">
            <v>2007</v>
          </cell>
          <cell r="D1265" t="str">
            <v>SOJA</v>
          </cell>
          <cell r="E1265">
            <v>19208.191999999999</v>
          </cell>
        </row>
        <row r="1266">
          <cell r="A1266" t="str">
            <v>RS</v>
          </cell>
          <cell r="B1266">
            <v>2007</v>
          </cell>
          <cell r="D1266" t="str">
            <v>SOJA</v>
          </cell>
          <cell r="E1266">
            <v>764.37699999999995</v>
          </cell>
        </row>
        <row r="1267">
          <cell r="A1267" t="str">
            <v>RS</v>
          </cell>
          <cell r="B1267">
            <v>2007</v>
          </cell>
          <cell r="D1267" t="str">
            <v>SOJA</v>
          </cell>
          <cell r="E1267">
            <v>123.803</v>
          </cell>
        </row>
        <row r="1268">
          <cell r="A1268" t="str">
            <v>RS</v>
          </cell>
          <cell r="B1268">
            <v>2007</v>
          </cell>
          <cell r="D1268" t="str">
            <v>SOJA</v>
          </cell>
          <cell r="E1268">
            <v>44.92</v>
          </cell>
        </row>
        <row r="1269">
          <cell r="A1269" t="str">
            <v>RS</v>
          </cell>
          <cell r="B1269">
            <v>2007</v>
          </cell>
          <cell r="D1269" t="str">
            <v>SOJA</v>
          </cell>
          <cell r="E1269">
            <v>1.046</v>
          </cell>
        </row>
        <row r="1270">
          <cell r="A1270" t="str">
            <v>RS</v>
          </cell>
          <cell r="B1270">
            <v>2007</v>
          </cell>
          <cell r="D1270" t="str">
            <v>SOJA</v>
          </cell>
          <cell r="E1270">
            <v>0</v>
          </cell>
        </row>
        <row r="1271">
          <cell r="A1271" t="str">
            <v>RS</v>
          </cell>
          <cell r="B1271">
            <v>2007</v>
          </cell>
          <cell r="D1271" t="str">
            <v>SOJA</v>
          </cell>
          <cell r="E1271">
            <v>0</v>
          </cell>
        </row>
        <row r="1272">
          <cell r="A1272" t="str">
            <v>RS</v>
          </cell>
          <cell r="B1272">
            <v>2007</v>
          </cell>
          <cell r="D1272" t="str">
            <v>SOJA</v>
          </cell>
          <cell r="E1272">
            <v>87.811000000000007</v>
          </cell>
        </row>
        <row r="1273">
          <cell r="A1273" t="str">
            <v>MT</v>
          </cell>
          <cell r="B1273">
            <v>2007</v>
          </cell>
          <cell r="D1273" t="str">
            <v>SOJA</v>
          </cell>
          <cell r="E1273">
            <v>720.67399999999998</v>
          </cell>
        </row>
        <row r="1274">
          <cell r="A1274" t="str">
            <v>MT</v>
          </cell>
          <cell r="B1274">
            <v>2007</v>
          </cell>
          <cell r="D1274" t="str">
            <v>SOJA</v>
          </cell>
          <cell r="E1274">
            <v>17231.091</v>
          </cell>
        </row>
        <row r="1275">
          <cell r="A1275" t="str">
            <v>MT</v>
          </cell>
          <cell r="B1275">
            <v>2007</v>
          </cell>
          <cell r="D1275" t="str">
            <v>SOJA</v>
          </cell>
          <cell r="E1275">
            <v>13946.382</v>
          </cell>
        </row>
        <row r="1276">
          <cell r="A1276" t="str">
            <v>MT</v>
          </cell>
          <cell r="B1276">
            <v>2007</v>
          </cell>
          <cell r="D1276" t="str">
            <v>SOJA</v>
          </cell>
          <cell r="E1276">
            <v>3140.7669999999998</v>
          </cell>
        </row>
        <row r="1277">
          <cell r="A1277" t="str">
            <v>MT</v>
          </cell>
          <cell r="B1277">
            <v>2007</v>
          </cell>
          <cell r="D1277" t="str">
            <v>SOJA</v>
          </cell>
          <cell r="E1277">
            <v>218.58099999999999</v>
          </cell>
        </row>
        <row r="1278">
          <cell r="A1278" t="str">
            <v>MT</v>
          </cell>
          <cell r="B1278">
            <v>2007</v>
          </cell>
          <cell r="D1278" t="str">
            <v>SOJA</v>
          </cell>
          <cell r="E1278">
            <v>28.36</v>
          </cell>
        </row>
        <row r="1279">
          <cell r="A1279" t="str">
            <v>MT</v>
          </cell>
          <cell r="B1279">
            <v>2007</v>
          </cell>
          <cell r="D1279" t="str">
            <v>SOJA</v>
          </cell>
          <cell r="E1279">
            <v>182.81299999999999</v>
          </cell>
        </row>
        <row r="1280">
          <cell r="A1280" t="str">
            <v>MT</v>
          </cell>
          <cell r="B1280">
            <v>2007</v>
          </cell>
          <cell r="D1280" t="str">
            <v>SOJA</v>
          </cell>
          <cell r="E1280">
            <v>8.16</v>
          </cell>
        </row>
        <row r="1281">
          <cell r="A1281" t="str">
            <v>MA</v>
          </cell>
          <cell r="B1281">
            <v>2007</v>
          </cell>
          <cell r="D1281" t="str">
            <v>SOJA</v>
          </cell>
          <cell r="E1281">
            <v>2212.71</v>
          </cell>
        </row>
        <row r="1282">
          <cell r="A1282" t="str">
            <v>MA</v>
          </cell>
          <cell r="B1282">
            <v>2007</v>
          </cell>
          <cell r="D1282" t="str">
            <v>SOJA</v>
          </cell>
          <cell r="E1282">
            <v>18421.78</v>
          </cell>
        </row>
        <row r="1283">
          <cell r="A1283" t="str">
            <v>MA</v>
          </cell>
          <cell r="B1283">
            <v>2007</v>
          </cell>
          <cell r="D1283" t="str">
            <v>SOJA</v>
          </cell>
          <cell r="E1283">
            <v>15657.63</v>
          </cell>
        </row>
        <row r="1284">
          <cell r="A1284" t="str">
            <v>MA</v>
          </cell>
          <cell r="B1284">
            <v>2007</v>
          </cell>
          <cell r="D1284" t="str">
            <v>SOJA</v>
          </cell>
          <cell r="E1284">
            <v>54.44</v>
          </cell>
        </row>
        <row r="1285">
          <cell r="A1285" t="str">
            <v>MA</v>
          </cell>
          <cell r="B1285">
            <v>2007</v>
          </cell>
          <cell r="D1285" t="str">
            <v>SOJA</v>
          </cell>
          <cell r="E1285">
            <v>79.98</v>
          </cell>
        </row>
        <row r="1286">
          <cell r="A1286" t="str">
            <v>MT</v>
          </cell>
          <cell r="B1286">
            <v>2007</v>
          </cell>
          <cell r="D1286" t="str">
            <v>MILHO</v>
          </cell>
          <cell r="E1286">
            <v>0</v>
          </cell>
        </row>
        <row r="1287">
          <cell r="A1287" t="str">
            <v>MT</v>
          </cell>
          <cell r="B1287">
            <v>2007</v>
          </cell>
          <cell r="D1287" t="str">
            <v>MILHO</v>
          </cell>
          <cell r="E1287">
            <v>0</v>
          </cell>
        </row>
        <row r="1288">
          <cell r="A1288" t="str">
            <v>MT</v>
          </cell>
          <cell r="B1288">
            <v>2007</v>
          </cell>
          <cell r="D1288" t="str">
            <v>MILHO</v>
          </cell>
          <cell r="E1288">
            <v>736.41499999999996</v>
          </cell>
        </row>
        <row r="1289">
          <cell r="A1289" t="str">
            <v>MT</v>
          </cell>
          <cell r="B1289">
            <v>2007</v>
          </cell>
          <cell r="D1289" t="str">
            <v>MILHO</v>
          </cell>
          <cell r="E1289">
            <v>6943.58</v>
          </cell>
        </row>
        <row r="1290">
          <cell r="A1290" t="str">
            <v>MT</v>
          </cell>
          <cell r="B1290">
            <v>2007</v>
          </cell>
          <cell r="D1290" t="str">
            <v>MILHO</v>
          </cell>
          <cell r="E1290">
            <v>3807.607</v>
          </cell>
        </row>
        <row r="1291">
          <cell r="A1291" t="str">
            <v>MT</v>
          </cell>
          <cell r="B1291">
            <v>2007</v>
          </cell>
          <cell r="D1291" t="str">
            <v>MILHO</v>
          </cell>
          <cell r="E1291">
            <v>0</v>
          </cell>
        </row>
        <row r="1292">
          <cell r="A1292" t="str">
            <v>MT</v>
          </cell>
          <cell r="B1292">
            <v>2007</v>
          </cell>
          <cell r="D1292" t="str">
            <v>MILHO</v>
          </cell>
          <cell r="E1292">
            <v>14.86</v>
          </cell>
        </row>
        <row r="1293">
          <cell r="A1293" t="str">
            <v>MT</v>
          </cell>
          <cell r="B1293">
            <v>2007</v>
          </cell>
          <cell r="D1293" t="str">
            <v>MILHO</v>
          </cell>
          <cell r="E1293">
            <v>110.708</v>
          </cell>
        </row>
        <row r="1294">
          <cell r="A1294" t="str">
            <v>MT</v>
          </cell>
          <cell r="B1294">
            <v>2007</v>
          </cell>
          <cell r="D1294" t="str">
            <v>MILHO</v>
          </cell>
          <cell r="E1294">
            <v>0</v>
          </cell>
        </row>
        <row r="1295">
          <cell r="A1295" t="str">
            <v>MT</v>
          </cell>
          <cell r="B1295">
            <v>2007</v>
          </cell>
          <cell r="D1295" t="str">
            <v>SOJA</v>
          </cell>
          <cell r="E1295">
            <v>4149.6769999999997</v>
          </cell>
        </row>
        <row r="1296">
          <cell r="A1296" t="str">
            <v>MT</v>
          </cell>
          <cell r="B1296">
            <v>2007</v>
          </cell>
          <cell r="D1296" t="str">
            <v>SOJA</v>
          </cell>
          <cell r="E1296">
            <v>18204.587</v>
          </cell>
        </row>
        <row r="1297">
          <cell r="A1297" t="str">
            <v>MT</v>
          </cell>
          <cell r="B1297">
            <v>2007</v>
          </cell>
          <cell r="D1297" t="str">
            <v>SOJA</v>
          </cell>
          <cell r="E1297">
            <v>14521.159</v>
          </cell>
        </row>
        <row r="1298">
          <cell r="A1298" t="str">
            <v>MT</v>
          </cell>
          <cell r="B1298">
            <v>2007</v>
          </cell>
          <cell r="D1298" t="str">
            <v>SOJA</v>
          </cell>
          <cell r="E1298">
            <v>429.10700000000003</v>
          </cell>
        </row>
        <row r="1299">
          <cell r="A1299" t="str">
            <v>MT</v>
          </cell>
          <cell r="B1299">
            <v>2007</v>
          </cell>
          <cell r="D1299" t="str">
            <v>SOJA</v>
          </cell>
          <cell r="E1299">
            <v>31.364000000000001</v>
          </cell>
        </row>
        <row r="1300">
          <cell r="A1300" t="str">
            <v>MT</v>
          </cell>
          <cell r="B1300">
            <v>2007</v>
          </cell>
          <cell r="D1300" t="str">
            <v>SOJA</v>
          </cell>
          <cell r="E1300">
            <v>18.09</v>
          </cell>
        </row>
        <row r="1301">
          <cell r="A1301" t="str">
            <v>MT</v>
          </cell>
          <cell r="B1301">
            <v>2007</v>
          </cell>
          <cell r="D1301" t="str">
            <v>SOJA</v>
          </cell>
          <cell r="E1301">
            <v>10.95</v>
          </cell>
        </row>
        <row r="1302">
          <cell r="A1302" t="str">
            <v>MT</v>
          </cell>
          <cell r="B1302">
            <v>2007</v>
          </cell>
          <cell r="D1302" t="str">
            <v>SOJA</v>
          </cell>
          <cell r="E1302">
            <v>0</v>
          </cell>
        </row>
        <row r="1303">
          <cell r="A1303" t="str">
            <v>MT</v>
          </cell>
          <cell r="B1303">
            <v>2007</v>
          </cell>
          <cell r="D1303" t="str">
            <v>SOJA</v>
          </cell>
          <cell r="E1303">
            <v>0</v>
          </cell>
        </row>
        <row r="1304">
          <cell r="A1304" t="str">
            <v>MT</v>
          </cell>
          <cell r="B1304">
            <v>2007</v>
          </cell>
          <cell r="D1304" t="str">
            <v>SOJA</v>
          </cell>
          <cell r="E1304">
            <v>0</v>
          </cell>
        </row>
        <row r="1305">
          <cell r="A1305" t="str">
            <v>PR</v>
          </cell>
          <cell r="B1305">
            <v>2007</v>
          </cell>
          <cell r="D1305" t="str">
            <v>MILHO</v>
          </cell>
          <cell r="E1305">
            <v>1965.3209999999999</v>
          </cell>
        </row>
        <row r="1306">
          <cell r="A1306" t="str">
            <v>PR</v>
          </cell>
          <cell r="B1306">
            <v>2007</v>
          </cell>
          <cell r="D1306" t="str">
            <v>MILHO</v>
          </cell>
          <cell r="E1306">
            <v>548.69600000000003</v>
          </cell>
        </row>
        <row r="1307">
          <cell r="A1307" t="str">
            <v>PR</v>
          </cell>
          <cell r="B1307">
            <v>2007</v>
          </cell>
          <cell r="D1307" t="str">
            <v>MILHO</v>
          </cell>
          <cell r="E1307">
            <v>2015.5820000000001</v>
          </cell>
        </row>
        <row r="1308">
          <cell r="A1308" t="str">
            <v>PR</v>
          </cell>
          <cell r="B1308">
            <v>2007</v>
          </cell>
          <cell r="D1308" t="str">
            <v>MILHO</v>
          </cell>
          <cell r="E1308">
            <v>10225.957</v>
          </cell>
        </row>
        <row r="1309">
          <cell r="A1309" t="str">
            <v>PR</v>
          </cell>
          <cell r="B1309">
            <v>2007</v>
          </cell>
          <cell r="D1309" t="str">
            <v>MILHO</v>
          </cell>
          <cell r="E1309">
            <v>22924.868999999999</v>
          </cell>
        </row>
        <row r="1310">
          <cell r="A1310" t="str">
            <v>PR</v>
          </cell>
          <cell r="B1310">
            <v>2007</v>
          </cell>
          <cell r="D1310" t="str">
            <v>MILHO</v>
          </cell>
          <cell r="E1310">
            <v>694.18399999999997</v>
          </cell>
        </row>
        <row r="1311">
          <cell r="A1311" t="str">
            <v>PR</v>
          </cell>
          <cell r="B1311">
            <v>2007</v>
          </cell>
          <cell r="D1311" t="str">
            <v>MILHO</v>
          </cell>
          <cell r="E1311">
            <v>0</v>
          </cell>
        </row>
        <row r="1312">
          <cell r="A1312" t="str">
            <v>PR</v>
          </cell>
          <cell r="B1312">
            <v>2007</v>
          </cell>
          <cell r="D1312" t="str">
            <v>SOJA</v>
          </cell>
          <cell r="E1312">
            <v>229.959</v>
          </cell>
        </row>
        <row r="1313">
          <cell r="A1313" t="str">
            <v>PR</v>
          </cell>
          <cell r="B1313">
            <v>2007</v>
          </cell>
          <cell r="D1313" t="str">
            <v>SOJA</v>
          </cell>
          <cell r="E1313">
            <v>19175.669000000002</v>
          </cell>
        </row>
        <row r="1314">
          <cell r="A1314" t="str">
            <v>PR</v>
          </cell>
          <cell r="B1314">
            <v>2007</v>
          </cell>
          <cell r="D1314" t="str">
            <v>SOJA</v>
          </cell>
          <cell r="E1314">
            <v>1300.204</v>
          </cell>
        </row>
        <row r="1315">
          <cell r="A1315" t="str">
            <v>MS</v>
          </cell>
          <cell r="B1315">
            <v>2007</v>
          </cell>
          <cell r="D1315" t="str">
            <v>MILHO</v>
          </cell>
          <cell r="E1315">
            <v>27.32</v>
          </cell>
        </row>
        <row r="1316">
          <cell r="A1316" t="str">
            <v>MS</v>
          </cell>
          <cell r="B1316">
            <v>2007</v>
          </cell>
          <cell r="D1316" t="str">
            <v>MILHO</v>
          </cell>
          <cell r="E1316">
            <v>98.507000000000005</v>
          </cell>
        </row>
        <row r="1317">
          <cell r="A1317" t="str">
            <v>MS</v>
          </cell>
          <cell r="B1317">
            <v>2007</v>
          </cell>
          <cell r="D1317" t="str">
            <v>MILHO</v>
          </cell>
          <cell r="E1317">
            <v>2313.1759999999999</v>
          </cell>
        </row>
        <row r="1318">
          <cell r="A1318" t="str">
            <v>MS</v>
          </cell>
          <cell r="B1318">
            <v>2007</v>
          </cell>
          <cell r="D1318" t="str">
            <v>MILHO</v>
          </cell>
          <cell r="E1318">
            <v>16568.255000000001</v>
          </cell>
        </row>
        <row r="1319">
          <cell r="A1319" t="str">
            <v>MS</v>
          </cell>
          <cell r="B1319">
            <v>2007</v>
          </cell>
          <cell r="D1319" t="str">
            <v>MILHO</v>
          </cell>
          <cell r="E1319">
            <v>22075.066999999999</v>
          </cell>
        </row>
        <row r="1320">
          <cell r="A1320" t="str">
            <v>MS</v>
          </cell>
          <cell r="B1320">
            <v>2007</v>
          </cell>
          <cell r="D1320" t="str">
            <v>MILHO</v>
          </cell>
          <cell r="E1320">
            <v>461.26100000000002</v>
          </cell>
        </row>
        <row r="1321">
          <cell r="A1321" t="str">
            <v>MS</v>
          </cell>
          <cell r="B1321">
            <v>2007</v>
          </cell>
          <cell r="D1321" t="str">
            <v>MILHO</v>
          </cell>
          <cell r="E1321">
            <v>157.41900000000001</v>
          </cell>
        </row>
        <row r="1322">
          <cell r="A1322" t="str">
            <v>MS</v>
          </cell>
          <cell r="B1322">
            <v>2007</v>
          </cell>
          <cell r="D1322" t="str">
            <v>MILHO</v>
          </cell>
          <cell r="E1322">
            <v>0</v>
          </cell>
        </row>
        <row r="1323">
          <cell r="A1323" t="str">
            <v>MS</v>
          </cell>
          <cell r="B1323">
            <v>2007</v>
          </cell>
          <cell r="D1323" t="str">
            <v>SOJA</v>
          </cell>
          <cell r="E1323">
            <v>4112.3329999999996</v>
          </cell>
        </row>
        <row r="1324">
          <cell r="A1324" t="str">
            <v>MS</v>
          </cell>
          <cell r="B1324">
            <v>2007</v>
          </cell>
          <cell r="D1324" t="str">
            <v>SOJA</v>
          </cell>
          <cell r="E1324">
            <v>23226.508999999998</v>
          </cell>
        </row>
        <row r="1325">
          <cell r="A1325" t="str">
            <v>MS</v>
          </cell>
          <cell r="B1325">
            <v>2007</v>
          </cell>
          <cell r="D1325" t="str">
            <v>SOJA</v>
          </cell>
          <cell r="E1325">
            <v>626.97299999999996</v>
          </cell>
        </row>
        <row r="1326">
          <cell r="A1326" t="str">
            <v>MS</v>
          </cell>
          <cell r="B1326">
            <v>2007</v>
          </cell>
          <cell r="D1326" t="str">
            <v>SOJA</v>
          </cell>
          <cell r="E1326">
            <v>2212.2420000000002</v>
          </cell>
        </row>
        <row r="1327">
          <cell r="A1327" t="str">
            <v>MS</v>
          </cell>
          <cell r="B1327">
            <v>2007</v>
          </cell>
          <cell r="D1327" t="str">
            <v>SOJA</v>
          </cell>
          <cell r="E1327">
            <v>2406.81</v>
          </cell>
        </row>
        <row r="1328">
          <cell r="A1328" t="str">
            <v>MS</v>
          </cell>
          <cell r="B1328">
            <v>2007</v>
          </cell>
          <cell r="D1328" t="str">
            <v>SOJA</v>
          </cell>
          <cell r="E1328">
            <v>1098.489</v>
          </cell>
        </row>
        <row r="1329">
          <cell r="A1329" t="str">
            <v>MS</v>
          </cell>
          <cell r="B1329">
            <v>2007</v>
          </cell>
          <cell r="D1329" t="str">
            <v>SOJA</v>
          </cell>
          <cell r="E1329">
            <v>0</v>
          </cell>
        </row>
        <row r="1330">
          <cell r="A1330" t="str">
            <v>MS</v>
          </cell>
          <cell r="B1330">
            <v>2007</v>
          </cell>
          <cell r="D1330" t="str">
            <v>SOJA</v>
          </cell>
          <cell r="E1330">
            <v>0</v>
          </cell>
        </row>
        <row r="1331">
          <cell r="A1331" t="str">
            <v>MS</v>
          </cell>
          <cell r="B1331">
            <v>2007</v>
          </cell>
          <cell r="D1331" t="str">
            <v>SOJA</v>
          </cell>
          <cell r="E1331">
            <v>0</v>
          </cell>
        </row>
        <row r="1332">
          <cell r="A1332" t="str">
            <v>MS</v>
          </cell>
          <cell r="B1332">
            <v>2007</v>
          </cell>
          <cell r="D1332" t="str">
            <v>SOJA</v>
          </cell>
          <cell r="E1332">
            <v>0</v>
          </cell>
        </row>
        <row r="1333">
          <cell r="A1333" t="str">
            <v>GO</v>
          </cell>
          <cell r="B1333">
            <v>2007</v>
          </cell>
          <cell r="D1333" t="str">
            <v>SOJA</v>
          </cell>
          <cell r="E1333">
            <v>33.741999999999997</v>
          </cell>
        </row>
        <row r="1334">
          <cell r="A1334" t="str">
            <v>GO</v>
          </cell>
          <cell r="B1334">
            <v>2007</v>
          </cell>
          <cell r="D1334" t="str">
            <v>SOJA</v>
          </cell>
          <cell r="E1334">
            <v>19820.013999999999</v>
          </cell>
        </row>
        <row r="1335">
          <cell r="A1335" t="str">
            <v>GO</v>
          </cell>
          <cell r="B1335">
            <v>2007</v>
          </cell>
          <cell r="D1335" t="str">
            <v>SOJA</v>
          </cell>
          <cell r="E1335">
            <v>12342.848</v>
          </cell>
        </row>
        <row r="1336">
          <cell r="A1336" t="str">
            <v>GO</v>
          </cell>
          <cell r="B1336">
            <v>2007</v>
          </cell>
          <cell r="D1336" t="str">
            <v>SOJA</v>
          </cell>
          <cell r="E1336">
            <v>445.00599999999997</v>
          </cell>
        </row>
        <row r="1337">
          <cell r="A1337" t="str">
            <v>GO</v>
          </cell>
          <cell r="B1337">
            <v>2007</v>
          </cell>
          <cell r="D1337" t="str">
            <v>SOJA</v>
          </cell>
          <cell r="E1337">
            <v>10.24</v>
          </cell>
        </row>
        <row r="1338">
          <cell r="A1338" t="str">
            <v>MT</v>
          </cell>
          <cell r="B1338">
            <v>2007</v>
          </cell>
          <cell r="D1338" t="str">
            <v>MILHO</v>
          </cell>
          <cell r="E1338">
            <v>0</v>
          </cell>
        </row>
        <row r="1339">
          <cell r="A1339" t="str">
            <v>MT</v>
          </cell>
          <cell r="B1339">
            <v>2007</v>
          </cell>
          <cell r="D1339" t="str">
            <v>MILHO</v>
          </cell>
          <cell r="E1339">
            <v>0</v>
          </cell>
        </row>
        <row r="1340">
          <cell r="A1340" t="str">
            <v>MT</v>
          </cell>
          <cell r="B1340">
            <v>2007</v>
          </cell>
          <cell r="D1340" t="str">
            <v>MILHO</v>
          </cell>
          <cell r="E1340">
            <v>0</v>
          </cell>
        </row>
        <row r="1341">
          <cell r="A1341" t="str">
            <v>MT</v>
          </cell>
          <cell r="B1341">
            <v>2007</v>
          </cell>
          <cell r="D1341" t="str">
            <v>MILHO</v>
          </cell>
          <cell r="E1341">
            <v>0</v>
          </cell>
        </row>
        <row r="1342">
          <cell r="A1342" t="str">
            <v>MT</v>
          </cell>
          <cell r="B1342">
            <v>2007</v>
          </cell>
          <cell r="D1342" t="str">
            <v>MILHO</v>
          </cell>
          <cell r="E1342">
            <v>0</v>
          </cell>
        </row>
        <row r="1343">
          <cell r="A1343" t="str">
            <v>MT</v>
          </cell>
          <cell r="B1343">
            <v>2007</v>
          </cell>
          <cell r="D1343" t="str">
            <v>SOJA</v>
          </cell>
          <cell r="E1343">
            <v>180.32</v>
          </cell>
        </row>
        <row r="1344">
          <cell r="A1344" t="str">
            <v>MT</v>
          </cell>
          <cell r="B1344">
            <v>2007</v>
          </cell>
          <cell r="D1344" t="str">
            <v>SOJA</v>
          </cell>
          <cell r="E1344">
            <v>4865.4690000000001</v>
          </cell>
        </row>
        <row r="1345">
          <cell r="A1345" t="str">
            <v>MT</v>
          </cell>
          <cell r="B1345">
            <v>2007</v>
          </cell>
          <cell r="D1345" t="str">
            <v>SOJA</v>
          </cell>
          <cell r="E1345">
            <v>2785.8789999999999</v>
          </cell>
        </row>
        <row r="1346">
          <cell r="A1346" t="str">
            <v>MT</v>
          </cell>
          <cell r="B1346">
            <v>2007</v>
          </cell>
          <cell r="D1346" t="str">
            <v>SOJA</v>
          </cell>
          <cell r="E1346">
            <v>278.80700000000002</v>
          </cell>
        </row>
        <row r="1347">
          <cell r="A1347" t="str">
            <v>MT</v>
          </cell>
          <cell r="B1347">
            <v>2007</v>
          </cell>
          <cell r="D1347" t="str">
            <v>SOJA</v>
          </cell>
          <cell r="E1347">
            <v>0</v>
          </cell>
        </row>
        <row r="1348">
          <cell r="A1348" t="str">
            <v>MS</v>
          </cell>
          <cell r="B1348">
            <v>2007</v>
          </cell>
          <cell r="D1348" t="str">
            <v>MILHO</v>
          </cell>
          <cell r="E1348">
            <v>1211.164</v>
          </cell>
        </row>
        <row r="1349">
          <cell r="A1349" t="str">
            <v>MS</v>
          </cell>
          <cell r="B1349">
            <v>2007</v>
          </cell>
          <cell r="D1349" t="str">
            <v>MILHO</v>
          </cell>
          <cell r="E1349">
            <v>4906.1229999999996</v>
          </cell>
        </row>
        <row r="1350">
          <cell r="A1350" t="str">
            <v>MS</v>
          </cell>
          <cell r="B1350">
            <v>2007</v>
          </cell>
          <cell r="D1350" t="str">
            <v>MILHO</v>
          </cell>
          <cell r="E1350">
            <v>73.430999999999997</v>
          </cell>
        </row>
        <row r="1351">
          <cell r="A1351" t="str">
            <v>MS</v>
          </cell>
          <cell r="B1351">
            <v>2007</v>
          </cell>
          <cell r="D1351" t="str">
            <v>MILHO</v>
          </cell>
          <cell r="E1351">
            <v>18.027000000000001</v>
          </cell>
        </row>
        <row r="1352">
          <cell r="A1352" t="str">
            <v>MS</v>
          </cell>
          <cell r="B1352">
            <v>2007</v>
          </cell>
          <cell r="D1352" t="str">
            <v>SOJA</v>
          </cell>
          <cell r="E1352">
            <v>1072.2360000000001</v>
          </cell>
        </row>
        <row r="1353">
          <cell r="A1353" t="str">
            <v>MS</v>
          </cell>
          <cell r="B1353">
            <v>2007</v>
          </cell>
          <cell r="D1353" t="str">
            <v>SOJA</v>
          </cell>
          <cell r="E1353">
            <v>6443.5789999999997</v>
          </cell>
        </row>
        <row r="1354">
          <cell r="A1354" t="str">
            <v>MS</v>
          </cell>
          <cell r="B1354">
            <v>2007</v>
          </cell>
          <cell r="D1354" t="str">
            <v>SOJA</v>
          </cell>
          <cell r="E1354">
            <v>1293.498</v>
          </cell>
        </row>
        <row r="1355">
          <cell r="A1355" t="str">
            <v>MS</v>
          </cell>
          <cell r="B1355">
            <v>2007</v>
          </cell>
          <cell r="D1355" t="str">
            <v>SOJA</v>
          </cell>
          <cell r="E1355">
            <v>0</v>
          </cell>
        </row>
        <row r="1356">
          <cell r="A1356" t="str">
            <v>MS</v>
          </cell>
          <cell r="B1356">
            <v>2007</v>
          </cell>
          <cell r="D1356" t="str">
            <v>SOJA</v>
          </cell>
          <cell r="E1356">
            <v>0</v>
          </cell>
        </row>
        <row r="1357">
          <cell r="A1357" t="str">
            <v>MS</v>
          </cell>
          <cell r="B1357">
            <v>2007</v>
          </cell>
          <cell r="D1357" t="str">
            <v>SOJA</v>
          </cell>
          <cell r="E1357">
            <v>0</v>
          </cell>
        </row>
        <row r="1358">
          <cell r="A1358" t="str">
            <v>MS</v>
          </cell>
          <cell r="B1358">
            <v>2007</v>
          </cell>
          <cell r="D1358" t="str">
            <v>SOJA</v>
          </cell>
          <cell r="E1358">
            <v>0</v>
          </cell>
        </row>
        <row r="1359">
          <cell r="A1359" t="str">
            <v>MT</v>
          </cell>
          <cell r="B1359">
            <v>2007</v>
          </cell>
          <cell r="D1359" t="str">
            <v>MILHO</v>
          </cell>
          <cell r="E1359">
            <v>361.12099999999998</v>
          </cell>
        </row>
        <row r="1360">
          <cell r="A1360" t="str">
            <v>MT</v>
          </cell>
          <cell r="B1360">
            <v>2007</v>
          </cell>
          <cell r="D1360" t="str">
            <v>MILHO</v>
          </cell>
          <cell r="E1360">
            <v>7795.9449999999997</v>
          </cell>
        </row>
        <row r="1361">
          <cell r="A1361" t="str">
            <v>MT</v>
          </cell>
          <cell r="B1361">
            <v>2007</v>
          </cell>
          <cell r="D1361" t="str">
            <v>MILHO</v>
          </cell>
          <cell r="E1361">
            <v>6386.3950000000004</v>
          </cell>
        </row>
        <row r="1362">
          <cell r="A1362" t="str">
            <v>MT</v>
          </cell>
          <cell r="B1362">
            <v>2007</v>
          </cell>
          <cell r="D1362" t="str">
            <v>MILHO</v>
          </cell>
          <cell r="E1362">
            <v>14396.816000000001</v>
          </cell>
        </row>
        <row r="1363">
          <cell r="A1363" t="str">
            <v>MT</v>
          </cell>
          <cell r="B1363">
            <v>2007</v>
          </cell>
          <cell r="D1363" t="str">
            <v>MILHO</v>
          </cell>
          <cell r="E1363">
            <v>266.83499999999998</v>
          </cell>
        </row>
        <row r="1364">
          <cell r="A1364" t="str">
            <v>MT</v>
          </cell>
          <cell r="B1364">
            <v>2007</v>
          </cell>
          <cell r="D1364" t="str">
            <v>MILHO</v>
          </cell>
          <cell r="E1364">
            <v>1207.2070000000001</v>
          </cell>
        </row>
        <row r="1365">
          <cell r="A1365" t="str">
            <v>MT</v>
          </cell>
          <cell r="B1365">
            <v>2007</v>
          </cell>
          <cell r="D1365" t="str">
            <v>SOJA</v>
          </cell>
          <cell r="E1365">
            <v>6372.17</v>
          </cell>
        </row>
        <row r="1366">
          <cell r="A1366" t="str">
            <v>MT</v>
          </cell>
          <cell r="B1366">
            <v>2007</v>
          </cell>
          <cell r="D1366" t="str">
            <v>SOJA</v>
          </cell>
          <cell r="E1366">
            <v>22364.721000000001</v>
          </cell>
        </row>
        <row r="1367">
          <cell r="A1367" t="str">
            <v>MT</v>
          </cell>
          <cell r="B1367">
            <v>2007</v>
          </cell>
          <cell r="D1367" t="str">
            <v>SOJA</v>
          </cell>
          <cell r="E1367">
            <v>9854.77</v>
          </cell>
        </row>
        <row r="1368">
          <cell r="A1368" t="str">
            <v>MT</v>
          </cell>
          <cell r="B1368">
            <v>2007</v>
          </cell>
          <cell r="D1368" t="str">
            <v>SOJA</v>
          </cell>
          <cell r="E1368">
            <v>107.468</v>
          </cell>
        </row>
        <row r="1369">
          <cell r="A1369" t="str">
            <v>MT</v>
          </cell>
          <cell r="B1369">
            <v>2007</v>
          </cell>
          <cell r="D1369" t="str">
            <v>SOJA</v>
          </cell>
          <cell r="E1369">
            <v>15.06</v>
          </cell>
        </row>
        <row r="1370">
          <cell r="A1370" t="str">
            <v>MT</v>
          </cell>
          <cell r="B1370">
            <v>2007</v>
          </cell>
          <cell r="D1370" t="str">
            <v>MILHO</v>
          </cell>
          <cell r="E1370">
            <v>10287.231</v>
          </cell>
        </row>
        <row r="1371">
          <cell r="A1371" t="str">
            <v>MT</v>
          </cell>
          <cell r="B1371">
            <v>2007</v>
          </cell>
          <cell r="D1371" t="str">
            <v>MILHO</v>
          </cell>
          <cell r="E1371">
            <v>30103.832999999999</v>
          </cell>
        </row>
        <row r="1372">
          <cell r="A1372" t="str">
            <v>MT</v>
          </cell>
          <cell r="B1372">
            <v>2007</v>
          </cell>
          <cell r="D1372" t="str">
            <v>MILHO</v>
          </cell>
          <cell r="E1372">
            <v>6879.9690000000001</v>
          </cell>
        </row>
        <row r="1373">
          <cell r="A1373" t="str">
            <v>MT</v>
          </cell>
          <cell r="B1373">
            <v>2007</v>
          </cell>
          <cell r="D1373" t="str">
            <v>MILHO</v>
          </cell>
          <cell r="E1373">
            <v>33.475000000000001</v>
          </cell>
        </row>
        <row r="1374">
          <cell r="A1374" t="str">
            <v>MT</v>
          </cell>
          <cell r="B1374">
            <v>2007</v>
          </cell>
          <cell r="D1374" t="str">
            <v>MILHO</v>
          </cell>
          <cell r="E1374">
            <v>0</v>
          </cell>
        </row>
        <row r="1375">
          <cell r="A1375" t="str">
            <v>MT</v>
          </cell>
          <cell r="B1375">
            <v>2007</v>
          </cell>
          <cell r="D1375" t="str">
            <v>MILHO</v>
          </cell>
          <cell r="E1375">
            <v>50.465000000000003</v>
          </cell>
        </row>
        <row r="1376">
          <cell r="A1376" t="str">
            <v>MT</v>
          </cell>
          <cell r="B1376">
            <v>2007</v>
          </cell>
          <cell r="D1376" t="str">
            <v>SOJA</v>
          </cell>
          <cell r="E1376">
            <v>4259.7359999999999</v>
          </cell>
        </row>
        <row r="1377">
          <cell r="A1377" t="str">
            <v>MT</v>
          </cell>
          <cell r="B1377">
            <v>2007</v>
          </cell>
          <cell r="D1377" t="str">
            <v>SOJA</v>
          </cell>
          <cell r="E1377">
            <v>21244.352999999999</v>
          </cell>
        </row>
        <row r="1378">
          <cell r="A1378" t="str">
            <v>MT</v>
          </cell>
          <cell r="B1378">
            <v>2007</v>
          </cell>
          <cell r="D1378" t="str">
            <v>SOJA</v>
          </cell>
          <cell r="E1378">
            <v>21696.014999999999</v>
          </cell>
        </row>
        <row r="1379">
          <cell r="A1379" t="str">
            <v>MT</v>
          </cell>
          <cell r="B1379">
            <v>2007</v>
          </cell>
          <cell r="D1379" t="str">
            <v>SOJA</v>
          </cell>
          <cell r="E1379">
            <v>1092.4639999999999</v>
          </cell>
        </row>
        <row r="1380">
          <cell r="A1380" t="str">
            <v>MT</v>
          </cell>
          <cell r="B1380">
            <v>2007</v>
          </cell>
          <cell r="D1380" t="str">
            <v>SOJA</v>
          </cell>
          <cell r="E1380">
            <v>2.1800000000000002</v>
          </cell>
        </row>
        <row r="1381">
          <cell r="A1381" t="str">
            <v>MT</v>
          </cell>
          <cell r="B1381">
            <v>2007</v>
          </cell>
          <cell r="D1381" t="str">
            <v>SOJA</v>
          </cell>
          <cell r="E1381">
            <v>48.93</v>
          </cell>
        </row>
        <row r="1382">
          <cell r="A1382" t="str">
            <v>MT</v>
          </cell>
          <cell r="B1382">
            <v>2007</v>
          </cell>
          <cell r="D1382" t="str">
            <v>SOJA</v>
          </cell>
          <cell r="E1382">
            <v>144.72800000000001</v>
          </cell>
        </row>
        <row r="1383">
          <cell r="A1383" t="str">
            <v>MT</v>
          </cell>
          <cell r="B1383">
            <v>2007</v>
          </cell>
          <cell r="D1383" t="str">
            <v>MILHO</v>
          </cell>
          <cell r="E1383">
            <v>304.93</v>
          </cell>
        </row>
        <row r="1384">
          <cell r="A1384" t="str">
            <v>MT</v>
          </cell>
          <cell r="B1384">
            <v>2007</v>
          </cell>
          <cell r="D1384" t="str">
            <v>MILHO</v>
          </cell>
          <cell r="E1384">
            <v>20333.511999999999</v>
          </cell>
        </row>
        <row r="1385">
          <cell r="A1385" t="str">
            <v>MT</v>
          </cell>
          <cell r="B1385">
            <v>2007</v>
          </cell>
          <cell r="D1385" t="str">
            <v>MILHO</v>
          </cell>
          <cell r="E1385">
            <v>24534.429</v>
          </cell>
        </row>
        <row r="1386">
          <cell r="A1386" t="str">
            <v>MT</v>
          </cell>
          <cell r="B1386">
            <v>2007</v>
          </cell>
          <cell r="D1386" t="str">
            <v>MILHO</v>
          </cell>
          <cell r="E1386">
            <v>4366.7719999999999</v>
          </cell>
        </row>
        <row r="1387">
          <cell r="A1387" t="str">
            <v>MT</v>
          </cell>
          <cell r="B1387">
            <v>2007</v>
          </cell>
          <cell r="D1387" t="str">
            <v>MILHO</v>
          </cell>
          <cell r="E1387">
            <v>1581.5940000000001</v>
          </cell>
        </row>
        <row r="1388">
          <cell r="A1388" t="str">
            <v>MT</v>
          </cell>
          <cell r="B1388">
            <v>2007</v>
          </cell>
          <cell r="D1388" t="str">
            <v>MILHO</v>
          </cell>
          <cell r="E1388">
            <v>56.655000000000001</v>
          </cell>
        </row>
        <row r="1389">
          <cell r="A1389" t="str">
            <v>MT</v>
          </cell>
          <cell r="B1389">
            <v>2007</v>
          </cell>
          <cell r="D1389" t="str">
            <v>MILHO</v>
          </cell>
          <cell r="E1389">
            <v>1020.2140000000001</v>
          </cell>
        </row>
        <row r="1390">
          <cell r="A1390" t="str">
            <v>MT</v>
          </cell>
          <cell r="B1390">
            <v>2007</v>
          </cell>
          <cell r="D1390" t="str">
            <v>MILHO</v>
          </cell>
          <cell r="E1390">
            <v>85.912000000000006</v>
          </cell>
        </row>
        <row r="1391">
          <cell r="A1391" t="str">
            <v>MT</v>
          </cell>
          <cell r="B1391">
            <v>2007</v>
          </cell>
          <cell r="D1391" t="str">
            <v>SOJA</v>
          </cell>
          <cell r="E1391">
            <v>7090.6940000000004</v>
          </cell>
        </row>
        <row r="1392">
          <cell r="A1392" t="str">
            <v>MT</v>
          </cell>
          <cell r="B1392">
            <v>2007</v>
          </cell>
          <cell r="D1392" t="str">
            <v>SOJA</v>
          </cell>
          <cell r="E1392">
            <v>21895.317999999999</v>
          </cell>
        </row>
        <row r="1393">
          <cell r="A1393" t="str">
            <v>MT</v>
          </cell>
          <cell r="B1393">
            <v>2007</v>
          </cell>
          <cell r="D1393" t="str">
            <v>SOJA</v>
          </cell>
          <cell r="E1393">
            <v>12390.036</v>
          </cell>
        </row>
        <row r="1394">
          <cell r="A1394" t="str">
            <v>MT</v>
          </cell>
          <cell r="B1394">
            <v>2007</v>
          </cell>
          <cell r="D1394" t="str">
            <v>SOJA</v>
          </cell>
          <cell r="E1394">
            <v>785.125</v>
          </cell>
        </row>
        <row r="1395">
          <cell r="A1395" t="str">
            <v>MT</v>
          </cell>
          <cell r="B1395">
            <v>2007</v>
          </cell>
          <cell r="D1395" t="str">
            <v>SOJA</v>
          </cell>
          <cell r="E1395">
            <v>0</v>
          </cell>
        </row>
        <row r="1396">
          <cell r="A1396" t="str">
            <v>MT</v>
          </cell>
          <cell r="B1396">
            <v>2007</v>
          </cell>
          <cell r="D1396" t="str">
            <v>SOJA</v>
          </cell>
          <cell r="E1396">
            <v>0</v>
          </cell>
        </row>
        <row r="1397">
          <cell r="A1397" t="str">
            <v>MT</v>
          </cell>
          <cell r="B1397">
            <v>2007</v>
          </cell>
          <cell r="D1397" t="str">
            <v>SOJA</v>
          </cell>
          <cell r="E1397">
            <v>0</v>
          </cell>
        </row>
        <row r="1398">
          <cell r="A1398" t="str">
            <v>MT</v>
          </cell>
          <cell r="B1398">
            <v>2007</v>
          </cell>
          <cell r="D1398" t="str">
            <v>SOJA</v>
          </cell>
          <cell r="E1398">
            <v>0</v>
          </cell>
        </row>
        <row r="1399">
          <cell r="A1399" t="str">
            <v>MT</v>
          </cell>
          <cell r="B1399">
            <v>2007</v>
          </cell>
          <cell r="D1399" t="str">
            <v>SOJA</v>
          </cell>
          <cell r="E1399">
            <v>0</v>
          </cell>
        </row>
        <row r="1400">
          <cell r="A1400" t="str">
            <v>MT</v>
          </cell>
          <cell r="B1400">
            <v>2007</v>
          </cell>
          <cell r="D1400" t="str">
            <v>SOJA</v>
          </cell>
          <cell r="E1400">
            <v>0</v>
          </cell>
        </row>
        <row r="1401">
          <cell r="A1401" t="str">
            <v>MT</v>
          </cell>
          <cell r="B1401">
            <v>2007</v>
          </cell>
          <cell r="D1401" t="str">
            <v>SOJA</v>
          </cell>
          <cell r="E1401">
            <v>0</v>
          </cell>
        </row>
        <row r="1402">
          <cell r="A1402" t="str">
            <v>MT</v>
          </cell>
          <cell r="B1402">
            <v>2007</v>
          </cell>
          <cell r="D1402" t="str">
            <v>SOJA</v>
          </cell>
          <cell r="E1402">
            <v>0</v>
          </cell>
        </row>
        <row r="1403">
          <cell r="A1403" t="str">
            <v>MT</v>
          </cell>
          <cell r="B1403">
            <v>2007</v>
          </cell>
          <cell r="D1403" t="str">
            <v>MILHO</v>
          </cell>
          <cell r="E1403">
            <v>0</v>
          </cell>
        </row>
        <row r="1404">
          <cell r="A1404" t="str">
            <v>MT</v>
          </cell>
          <cell r="B1404">
            <v>2007</v>
          </cell>
          <cell r="D1404" t="str">
            <v>MILHO</v>
          </cell>
          <cell r="E1404">
            <v>16558.656999999999</v>
          </cell>
        </row>
        <row r="1405">
          <cell r="A1405" t="str">
            <v>MT</v>
          </cell>
          <cell r="B1405">
            <v>2007</v>
          </cell>
          <cell r="D1405" t="str">
            <v>MILHO</v>
          </cell>
          <cell r="E1405">
            <v>19718.597000000002</v>
          </cell>
        </row>
        <row r="1406">
          <cell r="A1406" t="str">
            <v>MT</v>
          </cell>
          <cell r="B1406">
            <v>2007</v>
          </cell>
          <cell r="D1406" t="str">
            <v>MILHO</v>
          </cell>
          <cell r="E1406">
            <v>8629.81</v>
          </cell>
        </row>
        <row r="1407">
          <cell r="A1407" t="str">
            <v>MT</v>
          </cell>
          <cell r="B1407">
            <v>2007</v>
          </cell>
          <cell r="D1407" t="str">
            <v>MILHO</v>
          </cell>
          <cell r="E1407">
            <v>53.207999999999998</v>
          </cell>
        </row>
        <row r="1408">
          <cell r="A1408" t="str">
            <v>MT</v>
          </cell>
          <cell r="B1408">
            <v>2007</v>
          </cell>
          <cell r="D1408" t="str">
            <v>MILHO</v>
          </cell>
          <cell r="E1408">
            <v>0.315</v>
          </cell>
        </row>
        <row r="1409">
          <cell r="A1409" t="str">
            <v>MT</v>
          </cell>
          <cell r="B1409">
            <v>2007</v>
          </cell>
          <cell r="D1409" t="str">
            <v>SOJA</v>
          </cell>
          <cell r="E1409">
            <v>6823.5140000000001</v>
          </cell>
        </row>
        <row r="1410">
          <cell r="A1410" t="str">
            <v>MT</v>
          </cell>
          <cell r="B1410">
            <v>2007</v>
          </cell>
          <cell r="D1410" t="str">
            <v>SOJA</v>
          </cell>
          <cell r="E1410">
            <v>17281.260999999999</v>
          </cell>
        </row>
        <row r="1411">
          <cell r="A1411" t="str">
            <v>MT</v>
          </cell>
          <cell r="B1411">
            <v>2007</v>
          </cell>
          <cell r="D1411" t="str">
            <v>SOJA</v>
          </cell>
          <cell r="E1411">
            <v>7386.9949999999999</v>
          </cell>
        </row>
        <row r="1412">
          <cell r="A1412" t="str">
            <v>MT</v>
          </cell>
          <cell r="B1412">
            <v>2007</v>
          </cell>
          <cell r="D1412" t="str">
            <v>SOJA</v>
          </cell>
          <cell r="E1412">
            <v>38.340000000000003</v>
          </cell>
        </row>
        <row r="1413">
          <cell r="A1413" t="str">
            <v>MT</v>
          </cell>
          <cell r="B1413">
            <v>2007</v>
          </cell>
          <cell r="D1413" t="str">
            <v>SOJA</v>
          </cell>
          <cell r="E1413">
            <v>38.795000000000002</v>
          </cell>
        </row>
        <row r="1414">
          <cell r="A1414" t="str">
            <v>MT</v>
          </cell>
          <cell r="B1414">
            <v>2007</v>
          </cell>
          <cell r="D1414" t="str">
            <v>SOJA</v>
          </cell>
          <cell r="E1414">
            <v>7037.7889999999998</v>
          </cell>
        </row>
        <row r="1415">
          <cell r="A1415" t="str">
            <v>MT</v>
          </cell>
          <cell r="B1415">
            <v>2007</v>
          </cell>
          <cell r="D1415" t="str">
            <v>SOJA</v>
          </cell>
          <cell r="E1415">
            <v>30936.478999999999</v>
          </cell>
        </row>
        <row r="1416">
          <cell r="A1416" t="str">
            <v>MT</v>
          </cell>
          <cell r="B1416">
            <v>2007</v>
          </cell>
          <cell r="D1416" t="str">
            <v>SOJA</v>
          </cell>
          <cell r="E1416">
            <v>17465.874</v>
          </cell>
        </row>
        <row r="1417">
          <cell r="A1417" t="str">
            <v>MT</v>
          </cell>
          <cell r="B1417">
            <v>2007</v>
          </cell>
          <cell r="D1417" t="str">
            <v>SOJA</v>
          </cell>
          <cell r="E1417">
            <v>921.03899999999999</v>
          </cell>
        </row>
        <row r="1418">
          <cell r="A1418" t="str">
            <v>MT</v>
          </cell>
          <cell r="B1418">
            <v>2007</v>
          </cell>
          <cell r="D1418" t="str">
            <v>SOJA</v>
          </cell>
          <cell r="E1418">
            <v>6308.49</v>
          </cell>
        </row>
        <row r="1419">
          <cell r="A1419" t="str">
            <v>MT</v>
          </cell>
          <cell r="B1419">
            <v>2007</v>
          </cell>
          <cell r="D1419" t="str">
            <v>SOJA</v>
          </cell>
          <cell r="E1419">
            <v>585.74099999999999</v>
          </cell>
        </row>
        <row r="1420">
          <cell r="A1420" t="str">
            <v>MT</v>
          </cell>
          <cell r="B1420">
            <v>2007</v>
          </cell>
          <cell r="D1420" t="str">
            <v>SOJA</v>
          </cell>
          <cell r="E1420">
            <v>1740.5319999999999</v>
          </cell>
        </row>
        <row r="1421">
          <cell r="A1421" t="str">
            <v>MT</v>
          </cell>
          <cell r="B1421">
            <v>2007</v>
          </cell>
          <cell r="D1421" t="str">
            <v>SOJA</v>
          </cell>
          <cell r="E1421">
            <v>86.72</v>
          </cell>
        </row>
        <row r="1422">
          <cell r="A1422" t="str">
            <v>MT</v>
          </cell>
          <cell r="B1422">
            <v>2007</v>
          </cell>
          <cell r="D1422" t="str">
            <v>SOJA</v>
          </cell>
          <cell r="E1422">
            <v>185.608</v>
          </cell>
        </row>
        <row r="1423">
          <cell r="A1423" t="str">
            <v>MT</v>
          </cell>
          <cell r="B1423">
            <v>2007</v>
          </cell>
          <cell r="D1423" t="str">
            <v>SOJA</v>
          </cell>
          <cell r="E1423">
            <v>60</v>
          </cell>
        </row>
        <row r="1424">
          <cell r="A1424" t="str">
            <v>MT</v>
          </cell>
          <cell r="B1424">
            <v>2007</v>
          </cell>
          <cell r="D1424" t="str">
            <v>SOJA</v>
          </cell>
          <cell r="E1424">
            <v>120</v>
          </cell>
        </row>
        <row r="1425">
          <cell r="A1425" t="str">
            <v>MT</v>
          </cell>
          <cell r="B1425">
            <v>2007</v>
          </cell>
          <cell r="D1425" t="str">
            <v>MILHO</v>
          </cell>
          <cell r="E1425">
            <v>255.387</v>
          </cell>
        </row>
        <row r="1426">
          <cell r="A1426" t="str">
            <v>MT</v>
          </cell>
          <cell r="B1426">
            <v>2007</v>
          </cell>
          <cell r="D1426" t="str">
            <v>MILHO</v>
          </cell>
          <cell r="E1426">
            <v>4730.6090000000004</v>
          </cell>
        </row>
        <row r="1427">
          <cell r="A1427" t="str">
            <v>MT</v>
          </cell>
          <cell r="B1427">
            <v>2007</v>
          </cell>
          <cell r="D1427" t="str">
            <v>MILHO</v>
          </cell>
          <cell r="E1427">
            <v>7087.3360000000002</v>
          </cell>
        </row>
        <row r="1428">
          <cell r="A1428" t="str">
            <v>MT</v>
          </cell>
          <cell r="B1428">
            <v>2007</v>
          </cell>
          <cell r="D1428" t="str">
            <v>MILHO</v>
          </cell>
          <cell r="E1428">
            <v>2061.9679999999998</v>
          </cell>
        </row>
        <row r="1429">
          <cell r="A1429" t="str">
            <v>MT</v>
          </cell>
          <cell r="B1429">
            <v>2007</v>
          </cell>
          <cell r="D1429" t="str">
            <v>MILHO</v>
          </cell>
          <cell r="E1429">
            <v>0</v>
          </cell>
        </row>
        <row r="1430">
          <cell r="A1430" t="str">
            <v>MT</v>
          </cell>
          <cell r="B1430">
            <v>2007</v>
          </cell>
          <cell r="D1430" t="str">
            <v>SOJA</v>
          </cell>
          <cell r="E1430">
            <v>257.22199999999998</v>
          </cell>
        </row>
        <row r="1431">
          <cell r="A1431" t="str">
            <v>MT</v>
          </cell>
          <cell r="B1431">
            <v>2007</v>
          </cell>
          <cell r="D1431" t="str">
            <v>SOJA</v>
          </cell>
          <cell r="E1431">
            <v>16239.311</v>
          </cell>
        </row>
        <row r="1432">
          <cell r="A1432" t="str">
            <v>MT</v>
          </cell>
          <cell r="B1432">
            <v>2007</v>
          </cell>
          <cell r="D1432" t="str">
            <v>SOJA</v>
          </cell>
          <cell r="E1432">
            <v>19535.893</v>
          </cell>
        </row>
        <row r="1433">
          <cell r="A1433" t="str">
            <v>MT</v>
          </cell>
          <cell r="B1433">
            <v>2007</v>
          </cell>
          <cell r="D1433" t="str">
            <v>SOJA</v>
          </cell>
          <cell r="E1433">
            <v>549.38199999999995</v>
          </cell>
        </row>
        <row r="1434">
          <cell r="A1434" t="str">
            <v>MT</v>
          </cell>
          <cell r="B1434">
            <v>2007</v>
          </cell>
          <cell r="D1434" t="str">
            <v>SOJA</v>
          </cell>
          <cell r="E1434">
            <v>99.492000000000004</v>
          </cell>
        </row>
        <row r="1435">
          <cell r="A1435" t="str">
            <v>MT</v>
          </cell>
          <cell r="B1435">
            <v>2007</v>
          </cell>
          <cell r="D1435" t="str">
            <v>SOJA</v>
          </cell>
          <cell r="E1435">
            <v>0</v>
          </cell>
        </row>
        <row r="1436">
          <cell r="A1436" t="str">
            <v>MT</v>
          </cell>
          <cell r="B1436">
            <v>2007</v>
          </cell>
          <cell r="D1436" t="str">
            <v>SOJA</v>
          </cell>
          <cell r="E1436">
            <v>0</v>
          </cell>
        </row>
        <row r="1437">
          <cell r="A1437" t="str">
            <v>MT</v>
          </cell>
          <cell r="B1437">
            <v>2007</v>
          </cell>
          <cell r="D1437" t="str">
            <v>SOJA</v>
          </cell>
          <cell r="E1437">
            <v>0</v>
          </cell>
        </row>
        <row r="1438">
          <cell r="A1438" t="str">
            <v>RS</v>
          </cell>
          <cell r="B1438">
            <v>2007</v>
          </cell>
          <cell r="D1438" t="str">
            <v>MILHO</v>
          </cell>
          <cell r="E1438">
            <v>802.94</v>
          </cell>
        </row>
        <row r="1439">
          <cell r="A1439" t="str">
            <v>RS</v>
          </cell>
          <cell r="B1439">
            <v>2007</v>
          </cell>
          <cell r="D1439" t="str">
            <v>MILHO</v>
          </cell>
          <cell r="E1439">
            <v>4732.4889999999996</v>
          </cell>
        </row>
        <row r="1440">
          <cell r="A1440" t="str">
            <v>RS</v>
          </cell>
          <cell r="B1440">
            <v>2007</v>
          </cell>
          <cell r="D1440" t="str">
            <v>MILHO</v>
          </cell>
          <cell r="E1440">
            <v>4626.2860000000001</v>
          </cell>
        </row>
        <row r="1441">
          <cell r="A1441" t="str">
            <v>RS</v>
          </cell>
          <cell r="B1441">
            <v>2007</v>
          </cell>
          <cell r="D1441" t="str">
            <v>MILHO</v>
          </cell>
          <cell r="E1441">
            <v>0</v>
          </cell>
        </row>
        <row r="1442">
          <cell r="A1442" t="str">
            <v>RS</v>
          </cell>
          <cell r="B1442">
            <v>2007</v>
          </cell>
          <cell r="D1442" t="str">
            <v>MILHO</v>
          </cell>
          <cell r="E1442">
            <v>0</v>
          </cell>
        </row>
        <row r="1443">
          <cell r="A1443" t="str">
            <v>RS</v>
          </cell>
          <cell r="B1443">
            <v>2007</v>
          </cell>
          <cell r="D1443" t="str">
            <v>SOJA</v>
          </cell>
          <cell r="E1443">
            <v>0</v>
          </cell>
        </row>
        <row r="1444">
          <cell r="A1444" t="str">
            <v>RS</v>
          </cell>
          <cell r="B1444">
            <v>2007</v>
          </cell>
          <cell r="D1444" t="str">
            <v>SOJA</v>
          </cell>
          <cell r="E1444">
            <v>0</v>
          </cell>
        </row>
        <row r="1445">
          <cell r="A1445" t="str">
            <v>RS</v>
          </cell>
          <cell r="B1445">
            <v>2007</v>
          </cell>
          <cell r="D1445" t="str">
            <v>SOJA</v>
          </cell>
          <cell r="E1445">
            <v>9127.2029999999995</v>
          </cell>
        </row>
        <row r="1446">
          <cell r="A1446" t="str">
            <v>RS</v>
          </cell>
          <cell r="B1446">
            <v>2007</v>
          </cell>
          <cell r="D1446" t="str">
            <v>SOJA</v>
          </cell>
          <cell r="E1446">
            <v>13744.102999999999</v>
          </cell>
        </row>
        <row r="1447">
          <cell r="A1447" t="str">
            <v>RS</v>
          </cell>
          <cell r="B1447">
            <v>2007</v>
          </cell>
          <cell r="D1447" t="str">
            <v>SOJA</v>
          </cell>
          <cell r="E1447">
            <v>780.60799999999995</v>
          </cell>
        </row>
        <row r="1448">
          <cell r="A1448" t="str">
            <v>RS</v>
          </cell>
          <cell r="B1448">
            <v>2007</v>
          </cell>
          <cell r="D1448" t="str">
            <v>SOJA</v>
          </cell>
          <cell r="E1448">
            <v>0</v>
          </cell>
        </row>
        <row r="1449">
          <cell r="A1449" t="str">
            <v>RS</v>
          </cell>
          <cell r="B1449">
            <v>2007</v>
          </cell>
          <cell r="D1449" t="str">
            <v>SOJA</v>
          </cell>
          <cell r="E1449">
            <v>109.23099999999999</v>
          </cell>
        </row>
        <row r="1450">
          <cell r="A1450" t="str">
            <v>RS</v>
          </cell>
          <cell r="B1450">
            <v>2007</v>
          </cell>
          <cell r="D1450" t="str">
            <v>SOJA</v>
          </cell>
          <cell r="E1450">
            <v>398.01799999999997</v>
          </cell>
        </row>
        <row r="1451">
          <cell r="A1451" t="str">
            <v>RS</v>
          </cell>
          <cell r="B1451">
            <v>2007</v>
          </cell>
          <cell r="D1451" t="str">
            <v>SOJA</v>
          </cell>
          <cell r="E1451">
            <v>0</v>
          </cell>
        </row>
        <row r="1452">
          <cell r="A1452" t="str">
            <v>RS</v>
          </cell>
          <cell r="B1452">
            <v>2007</v>
          </cell>
          <cell r="D1452" t="str">
            <v>SOJA</v>
          </cell>
          <cell r="E1452">
            <v>0</v>
          </cell>
        </row>
        <row r="1453">
          <cell r="A1453" t="str">
            <v>RS</v>
          </cell>
          <cell r="B1453">
            <v>2007</v>
          </cell>
          <cell r="D1453" t="str">
            <v>SOJA</v>
          </cell>
          <cell r="E1453">
            <v>0</v>
          </cell>
        </row>
        <row r="1454">
          <cell r="A1454" t="str">
            <v>RS</v>
          </cell>
          <cell r="B1454">
            <v>2007</v>
          </cell>
          <cell r="D1454" t="str">
            <v>SOJA</v>
          </cell>
          <cell r="E1454">
            <v>0</v>
          </cell>
        </row>
        <row r="1455">
          <cell r="A1455" t="str">
            <v>MT</v>
          </cell>
          <cell r="B1455">
            <v>2007</v>
          </cell>
          <cell r="D1455" t="str">
            <v>SOJA</v>
          </cell>
          <cell r="E1455">
            <v>1130.3399999999999</v>
          </cell>
        </row>
        <row r="1456">
          <cell r="A1456" t="str">
            <v>MT</v>
          </cell>
          <cell r="B1456">
            <v>2007</v>
          </cell>
          <cell r="D1456" t="str">
            <v>SOJA</v>
          </cell>
          <cell r="E1456">
            <v>4577.3810000000003</v>
          </cell>
        </row>
        <row r="1457">
          <cell r="A1457" t="str">
            <v>MT</v>
          </cell>
          <cell r="B1457">
            <v>2007</v>
          </cell>
          <cell r="D1457" t="str">
            <v>SOJA</v>
          </cell>
          <cell r="E1457">
            <v>10552.225</v>
          </cell>
        </row>
        <row r="1458">
          <cell r="A1458" t="str">
            <v>MT</v>
          </cell>
          <cell r="B1458">
            <v>2007</v>
          </cell>
          <cell r="D1458" t="str">
            <v>SOJA</v>
          </cell>
          <cell r="E1458">
            <v>907.50699999999995</v>
          </cell>
        </row>
        <row r="1459">
          <cell r="A1459" t="str">
            <v>MT</v>
          </cell>
          <cell r="B1459">
            <v>2007</v>
          </cell>
          <cell r="D1459" t="str">
            <v>SOJA</v>
          </cell>
          <cell r="E1459">
            <v>0</v>
          </cell>
        </row>
        <row r="1460">
          <cell r="A1460" t="str">
            <v>MT</v>
          </cell>
          <cell r="B1460">
            <v>2007</v>
          </cell>
          <cell r="D1460" t="str">
            <v>SOJA</v>
          </cell>
          <cell r="E1460">
            <v>81.122</v>
          </cell>
        </row>
        <row r="1461">
          <cell r="A1461" t="str">
            <v>MT</v>
          </cell>
          <cell r="B1461">
            <v>2007</v>
          </cell>
          <cell r="D1461" t="str">
            <v>MILHO</v>
          </cell>
          <cell r="E1461">
            <v>8311.5869999999995</v>
          </cell>
        </row>
        <row r="1462">
          <cell r="A1462" t="str">
            <v>MT</v>
          </cell>
          <cell r="B1462">
            <v>2007</v>
          </cell>
          <cell r="D1462" t="str">
            <v>MILHO</v>
          </cell>
          <cell r="E1462">
            <v>11952.246999999999</v>
          </cell>
        </row>
        <row r="1463">
          <cell r="A1463" t="str">
            <v>MT</v>
          </cell>
          <cell r="B1463">
            <v>2007</v>
          </cell>
          <cell r="D1463" t="str">
            <v>MILHO</v>
          </cell>
          <cell r="E1463">
            <v>7389.8940000000002</v>
          </cell>
        </row>
        <row r="1464">
          <cell r="A1464" t="str">
            <v>MT</v>
          </cell>
          <cell r="B1464">
            <v>2007</v>
          </cell>
          <cell r="D1464" t="str">
            <v>MILHO</v>
          </cell>
          <cell r="E1464">
            <v>1186.1279999999999</v>
          </cell>
        </row>
        <row r="1465">
          <cell r="A1465" t="str">
            <v>MT</v>
          </cell>
          <cell r="B1465">
            <v>2007</v>
          </cell>
          <cell r="D1465" t="str">
            <v>MILHO</v>
          </cell>
          <cell r="E1465">
            <v>1581.54</v>
          </cell>
        </row>
        <row r="1466">
          <cell r="A1466" t="str">
            <v>MT</v>
          </cell>
          <cell r="B1466">
            <v>2007</v>
          </cell>
          <cell r="D1466" t="str">
            <v>MILHO</v>
          </cell>
          <cell r="E1466">
            <v>291.40300000000002</v>
          </cell>
        </row>
        <row r="1467">
          <cell r="A1467" t="str">
            <v>MT</v>
          </cell>
          <cell r="B1467">
            <v>2007</v>
          </cell>
          <cell r="D1467" t="str">
            <v>MILHO</v>
          </cell>
          <cell r="E1467">
            <v>27.6</v>
          </cell>
        </row>
        <row r="1468">
          <cell r="A1468" t="str">
            <v>MT</v>
          </cell>
          <cell r="B1468">
            <v>2007</v>
          </cell>
          <cell r="D1468" t="str">
            <v>SOJA</v>
          </cell>
          <cell r="E1468">
            <v>389.19299999999998</v>
          </cell>
        </row>
        <row r="1469">
          <cell r="A1469" t="str">
            <v>MT</v>
          </cell>
          <cell r="B1469">
            <v>2007</v>
          </cell>
          <cell r="D1469" t="str">
            <v>SOJA</v>
          </cell>
          <cell r="E1469">
            <v>21066.016</v>
          </cell>
        </row>
        <row r="1470">
          <cell r="A1470" t="str">
            <v>MT</v>
          </cell>
          <cell r="B1470">
            <v>2007</v>
          </cell>
          <cell r="D1470" t="str">
            <v>SOJA</v>
          </cell>
          <cell r="E1470">
            <v>24381.083999999999</v>
          </cell>
        </row>
        <row r="1471">
          <cell r="A1471" t="str">
            <v>MT</v>
          </cell>
          <cell r="B1471">
            <v>2007</v>
          </cell>
          <cell r="D1471" t="str">
            <v>SOJA</v>
          </cell>
          <cell r="E1471">
            <v>2529.127</v>
          </cell>
        </row>
        <row r="1472">
          <cell r="A1472" t="str">
            <v>MT</v>
          </cell>
          <cell r="B1472">
            <v>2007</v>
          </cell>
          <cell r="D1472" t="str">
            <v>SOJA</v>
          </cell>
          <cell r="E1472">
            <v>0</v>
          </cell>
        </row>
        <row r="1473">
          <cell r="A1473" t="str">
            <v>MT</v>
          </cell>
          <cell r="B1473">
            <v>2007</v>
          </cell>
          <cell r="D1473" t="str">
            <v>SOJA</v>
          </cell>
          <cell r="E1473">
            <v>0</v>
          </cell>
        </row>
        <row r="1474">
          <cell r="A1474" t="str">
            <v>MT</v>
          </cell>
          <cell r="B1474">
            <v>2007</v>
          </cell>
          <cell r="D1474" t="str">
            <v>SOJA</v>
          </cell>
          <cell r="E1474">
            <v>33.631</v>
          </cell>
        </row>
        <row r="1475">
          <cell r="A1475" t="str">
            <v>MT</v>
          </cell>
          <cell r="B1475">
            <v>2007</v>
          </cell>
          <cell r="D1475" t="str">
            <v>SOJA</v>
          </cell>
          <cell r="E1475">
            <v>0</v>
          </cell>
        </row>
        <row r="1476">
          <cell r="A1476" t="str">
            <v>MT</v>
          </cell>
          <cell r="B1476">
            <v>2007</v>
          </cell>
          <cell r="D1476" t="str">
            <v>SOJA</v>
          </cell>
          <cell r="E1476">
            <v>0</v>
          </cell>
        </row>
        <row r="1477">
          <cell r="A1477" t="str">
            <v>MT</v>
          </cell>
          <cell r="B1477">
            <v>2007</v>
          </cell>
          <cell r="D1477" t="str">
            <v>SOJA</v>
          </cell>
          <cell r="E1477">
            <v>2.2000000000000002</v>
          </cell>
        </row>
        <row r="1478">
          <cell r="A1478" t="str">
            <v>MT</v>
          </cell>
          <cell r="B1478">
            <v>2007</v>
          </cell>
          <cell r="D1478" t="str">
            <v>SOJA</v>
          </cell>
          <cell r="E1478">
            <v>8.36</v>
          </cell>
        </row>
        <row r="1479">
          <cell r="A1479" t="str">
            <v>MT</v>
          </cell>
          <cell r="B1479">
            <v>2007</v>
          </cell>
          <cell r="D1479" t="str">
            <v>MILHO</v>
          </cell>
          <cell r="E1479">
            <v>933.74400000000003</v>
          </cell>
        </row>
        <row r="1480">
          <cell r="A1480" t="str">
            <v>MT</v>
          </cell>
          <cell r="B1480">
            <v>2007</v>
          </cell>
          <cell r="D1480" t="str">
            <v>MILHO</v>
          </cell>
          <cell r="E1480">
            <v>2087.6350000000002</v>
          </cell>
        </row>
        <row r="1481">
          <cell r="A1481" t="str">
            <v>MT</v>
          </cell>
          <cell r="B1481">
            <v>2007</v>
          </cell>
          <cell r="D1481" t="str">
            <v>MILHO</v>
          </cell>
          <cell r="E1481">
            <v>1341.9349999999999</v>
          </cell>
        </row>
        <row r="1482">
          <cell r="A1482" t="str">
            <v>MT</v>
          </cell>
          <cell r="B1482">
            <v>2007</v>
          </cell>
          <cell r="D1482" t="str">
            <v>MILHO</v>
          </cell>
          <cell r="E1482">
            <v>33.051000000000002</v>
          </cell>
        </row>
        <row r="1483">
          <cell r="A1483" t="str">
            <v>MT</v>
          </cell>
          <cell r="B1483">
            <v>2007</v>
          </cell>
          <cell r="D1483" t="str">
            <v>SOJA</v>
          </cell>
          <cell r="E1483">
            <v>2180.7060000000001</v>
          </cell>
        </row>
        <row r="1484">
          <cell r="A1484" t="str">
            <v>MT</v>
          </cell>
          <cell r="B1484">
            <v>2007</v>
          </cell>
          <cell r="D1484" t="str">
            <v>SOJA</v>
          </cell>
          <cell r="E1484">
            <v>5453.6689999999999</v>
          </cell>
        </row>
        <row r="1485">
          <cell r="A1485" t="str">
            <v>MT</v>
          </cell>
          <cell r="B1485">
            <v>2007</v>
          </cell>
          <cell r="D1485" t="str">
            <v>SOJA</v>
          </cell>
          <cell r="E1485">
            <v>462.13799999999998</v>
          </cell>
        </row>
        <row r="1486">
          <cell r="A1486" t="str">
            <v>MT</v>
          </cell>
          <cell r="B1486">
            <v>2007</v>
          </cell>
          <cell r="D1486" t="str">
            <v>MILHO</v>
          </cell>
          <cell r="E1486">
            <v>4894.7979999999998</v>
          </cell>
        </row>
        <row r="1487">
          <cell r="A1487" t="str">
            <v>MT</v>
          </cell>
          <cell r="B1487">
            <v>2007</v>
          </cell>
          <cell r="D1487" t="str">
            <v>MILHO</v>
          </cell>
          <cell r="E1487">
            <v>14043.924000000001</v>
          </cell>
        </row>
        <row r="1488">
          <cell r="A1488" t="str">
            <v>MT</v>
          </cell>
          <cell r="B1488">
            <v>2007</v>
          </cell>
          <cell r="D1488" t="str">
            <v>MILHO</v>
          </cell>
          <cell r="E1488">
            <v>22910.951000000001</v>
          </cell>
        </row>
        <row r="1489">
          <cell r="A1489" t="str">
            <v>MT</v>
          </cell>
          <cell r="B1489">
            <v>2007</v>
          </cell>
          <cell r="D1489" t="str">
            <v>MILHO</v>
          </cell>
          <cell r="E1489">
            <v>560.94899999999996</v>
          </cell>
        </row>
        <row r="1490">
          <cell r="A1490" t="str">
            <v>MT</v>
          </cell>
          <cell r="B1490">
            <v>2007</v>
          </cell>
          <cell r="D1490" t="str">
            <v>MILHO</v>
          </cell>
          <cell r="E1490">
            <v>99.98</v>
          </cell>
        </row>
        <row r="1491">
          <cell r="A1491" t="str">
            <v>MT</v>
          </cell>
          <cell r="B1491">
            <v>2007</v>
          </cell>
          <cell r="D1491" t="str">
            <v>MILHO</v>
          </cell>
          <cell r="E1491">
            <v>96.632999999999996</v>
          </cell>
        </row>
        <row r="1492">
          <cell r="A1492" t="str">
            <v>MT</v>
          </cell>
          <cell r="B1492">
            <v>2007</v>
          </cell>
          <cell r="D1492" t="str">
            <v>MILHO</v>
          </cell>
          <cell r="E1492">
            <v>54.097000000000001</v>
          </cell>
        </row>
        <row r="1493">
          <cell r="A1493" t="str">
            <v>MT</v>
          </cell>
          <cell r="B1493">
            <v>2007</v>
          </cell>
          <cell r="D1493" t="str">
            <v>SOJA</v>
          </cell>
          <cell r="E1493">
            <v>864.80799999999999</v>
          </cell>
        </row>
        <row r="1494">
          <cell r="A1494" t="str">
            <v>MT</v>
          </cell>
          <cell r="B1494">
            <v>2007</v>
          </cell>
          <cell r="D1494" t="str">
            <v>SOJA</v>
          </cell>
          <cell r="E1494">
            <v>9193.3989999999994</v>
          </cell>
        </row>
        <row r="1495">
          <cell r="A1495" t="str">
            <v>MT</v>
          </cell>
          <cell r="B1495">
            <v>2007</v>
          </cell>
          <cell r="D1495" t="str">
            <v>SOJA</v>
          </cell>
          <cell r="E1495">
            <v>16490.094000000001</v>
          </cell>
        </row>
        <row r="1496">
          <cell r="A1496" t="str">
            <v>MT</v>
          </cell>
          <cell r="B1496">
            <v>2007</v>
          </cell>
          <cell r="D1496" t="str">
            <v>SOJA</v>
          </cell>
          <cell r="E1496">
            <v>125.325</v>
          </cell>
        </row>
        <row r="1497">
          <cell r="A1497" t="str">
            <v>MT</v>
          </cell>
          <cell r="B1497">
            <v>2007</v>
          </cell>
          <cell r="D1497" t="str">
            <v>SOJA</v>
          </cell>
          <cell r="E1497">
            <v>0</v>
          </cell>
        </row>
        <row r="1498">
          <cell r="A1498" t="str">
            <v>MT</v>
          </cell>
          <cell r="B1498">
            <v>2007</v>
          </cell>
          <cell r="D1498" t="str">
            <v>SOJA</v>
          </cell>
          <cell r="E1498">
            <v>0</v>
          </cell>
        </row>
        <row r="1499">
          <cell r="A1499" t="str">
            <v>MT</v>
          </cell>
          <cell r="B1499">
            <v>2007</v>
          </cell>
          <cell r="D1499" t="str">
            <v>MILHO</v>
          </cell>
          <cell r="E1499">
            <v>0</v>
          </cell>
        </row>
        <row r="1500">
          <cell r="A1500" t="str">
            <v>MT</v>
          </cell>
          <cell r="B1500">
            <v>2007</v>
          </cell>
          <cell r="D1500" t="str">
            <v>MILHO</v>
          </cell>
          <cell r="E1500">
            <v>923.447</v>
          </cell>
        </row>
        <row r="1501">
          <cell r="A1501" t="str">
            <v>MT</v>
          </cell>
          <cell r="B1501">
            <v>2007</v>
          </cell>
          <cell r="D1501" t="str">
            <v>MILHO</v>
          </cell>
          <cell r="E1501">
            <v>3125.509</v>
          </cell>
        </row>
        <row r="1502">
          <cell r="A1502" t="str">
            <v>MT</v>
          </cell>
          <cell r="B1502">
            <v>2007</v>
          </cell>
          <cell r="D1502" t="str">
            <v>MILHO</v>
          </cell>
          <cell r="E1502">
            <v>832.94399999999996</v>
          </cell>
        </row>
        <row r="1503">
          <cell r="A1503" t="str">
            <v>MT</v>
          </cell>
          <cell r="B1503">
            <v>2007</v>
          </cell>
          <cell r="D1503" t="str">
            <v>MILHO</v>
          </cell>
          <cell r="E1503">
            <v>223.87899999999999</v>
          </cell>
        </row>
        <row r="1504">
          <cell r="A1504" t="str">
            <v>MT</v>
          </cell>
          <cell r="B1504">
            <v>2007</v>
          </cell>
          <cell r="D1504" t="str">
            <v>MILHO</v>
          </cell>
          <cell r="E1504">
            <v>0</v>
          </cell>
        </row>
        <row r="1505">
          <cell r="A1505" t="str">
            <v>MT</v>
          </cell>
          <cell r="B1505">
            <v>2007</v>
          </cell>
          <cell r="D1505" t="str">
            <v>SOJA</v>
          </cell>
          <cell r="E1505">
            <v>0</v>
          </cell>
        </row>
        <row r="1506">
          <cell r="A1506" t="str">
            <v>MT</v>
          </cell>
          <cell r="B1506">
            <v>2007</v>
          </cell>
          <cell r="D1506" t="str">
            <v>SOJA</v>
          </cell>
          <cell r="E1506">
            <v>7185.473</v>
          </cell>
        </row>
        <row r="1507">
          <cell r="A1507" t="str">
            <v>MT</v>
          </cell>
          <cell r="B1507">
            <v>2007</v>
          </cell>
          <cell r="D1507" t="str">
            <v>SOJA</v>
          </cell>
          <cell r="E1507">
            <v>10275.746999999999</v>
          </cell>
        </row>
        <row r="1508">
          <cell r="A1508" t="str">
            <v>MT</v>
          </cell>
          <cell r="B1508">
            <v>2007</v>
          </cell>
          <cell r="D1508" t="str">
            <v>SOJA</v>
          </cell>
          <cell r="E1508">
            <v>41.31</v>
          </cell>
        </row>
        <row r="1509">
          <cell r="A1509" t="str">
            <v>MT</v>
          </cell>
          <cell r="B1509">
            <v>2007</v>
          </cell>
          <cell r="D1509" t="str">
            <v>SOJA</v>
          </cell>
          <cell r="E1509">
            <v>0</v>
          </cell>
        </row>
        <row r="1510">
          <cell r="A1510" t="str">
            <v>MA</v>
          </cell>
          <cell r="B1510">
            <v>2007</v>
          </cell>
          <cell r="D1510" t="str">
            <v>SOJA</v>
          </cell>
          <cell r="E1510">
            <v>826.447</v>
          </cell>
        </row>
        <row r="1511">
          <cell r="A1511" t="str">
            <v>MA</v>
          </cell>
          <cell r="B1511">
            <v>2007</v>
          </cell>
          <cell r="D1511" t="str">
            <v>SOJA</v>
          </cell>
          <cell r="E1511">
            <v>31277.671999999999</v>
          </cell>
        </row>
        <row r="1512">
          <cell r="A1512" t="str">
            <v>MA</v>
          </cell>
          <cell r="B1512">
            <v>2007</v>
          </cell>
          <cell r="D1512" t="str">
            <v>SOJA</v>
          </cell>
          <cell r="E1512">
            <v>41656.46</v>
          </cell>
        </row>
        <row r="1513">
          <cell r="A1513" t="str">
            <v>MA</v>
          </cell>
          <cell r="B1513">
            <v>2007</v>
          </cell>
          <cell r="D1513" t="str">
            <v>SOJA</v>
          </cell>
          <cell r="E1513">
            <v>4317.2169999999996</v>
          </cell>
        </row>
        <row r="1514">
          <cell r="A1514" t="str">
            <v>MA</v>
          </cell>
          <cell r="B1514">
            <v>2007</v>
          </cell>
          <cell r="D1514" t="str">
            <v>SOJA</v>
          </cell>
          <cell r="E1514">
            <v>182.18700000000001</v>
          </cell>
        </row>
        <row r="1515">
          <cell r="A1515" t="str">
            <v>MA</v>
          </cell>
          <cell r="B1515">
            <v>2007</v>
          </cell>
          <cell r="D1515" t="str">
            <v>SOJA</v>
          </cell>
          <cell r="E1515">
            <v>25.96</v>
          </cell>
        </row>
        <row r="1516">
          <cell r="A1516" t="str">
            <v>MA</v>
          </cell>
          <cell r="B1516">
            <v>2007</v>
          </cell>
          <cell r="D1516" t="str">
            <v>SOJA</v>
          </cell>
          <cell r="E1516">
            <v>10.62</v>
          </cell>
        </row>
        <row r="1517">
          <cell r="A1517" t="str">
            <v>MA</v>
          </cell>
          <cell r="B1517">
            <v>2007</v>
          </cell>
          <cell r="D1517" t="str">
            <v>SOJA</v>
          </cell>
          <cell r="E1517">
            <v>28.489000000000001</v>
          </cell>
        </row>
        <row r="1518">
          <cell r="A1518" t="str">
            <v>MA</v>
          </cell>
          <cell r="B1518">
            <v>2007</v>
          </cell>
          <cell r="D1518" t="str">
            <v>SOJA</v>
          </cell>
          <cell r="E1518">
            <v>7.4020000000000001</v>
          </cell>
        </row>
        <row r="1519">
          <cell r="A1519" t="str">
            <v>PR</v>
          </cell>
          <cell r="B1519">
            <v>2007</v>
          </cell>
          <cell r="D1519" t="str">
            <v>MILHO</v>
          </cell>
          <cell r="E1519">
            <v>33.927</v>
          </cell>
        </row>
        <row r="1520">
          <cell r="A1520" t="str">
            <v>PR</v>
          </cell>
          <cell r="B1520">
            <v>2007</v>
          </cell>
          <cell r="D1520" t="str">
            <v>MILHO</v>
          </cell>
          <cell r="E1520">
            <v>2622.7950000000001</v>
          </cell>
        </row>
        <row r="1521">
          <cell r="A1521" t="str">
            <v>PR</v>
          </cell>
          <cell r="B1521">
            <v>2007</v>
          </cell>
          <cell r="D1521" t="str">
            <v>MILHO</v>
          </cell>
          <cell r="E1521">
            <v>5233.9210000000003</v>
          </cell>
        </row>
        <row r="1522">
          <cell r="A1522" t="str">
            <v>PR</v>
          </cell>
          <cell r="B1522">
            <v>2007</v>
          </cell>
          <cell r="D1522" t="str">
            <v>MILHO</v>
          </cell>
          <cell r="E1522">
            <v>1074.1379999999999</v>
          </cell>
        </row>
        <row r="1523">
          <cell r="A1523" t="str">
            <v>PR</v>
          </cell>
          <cell r="B1523">
            <v>2007</v>
          </cell>
          <cell r="D1523" t="str">
            <v>MILHO</v>
          </cell>
          <cell r="E1523">
            <v>581.12599999999998</v>
          </cell>
        </row>
        <row r="1524">
          <cell r="A1524" t="str">
            <v>PR</v>
          </cell>
          <cell r="B1524">
            <v>2007</v>
          </cell>
          <cell r="D1524" t="str">
            <v>MILHO</v>
          </cell>
          <cell r="E1524">
            <v>507.68900000000002</v>
          </cell>
        </row>
        <row r="1525">
          <cell r="A1525" t="str">
            <v>PR</v>
          </cell>
          <cell r="B1525">
            <v>2007</v>
          </cell>
          <cell r="D1525" t="str">
            <v>MILHO</v>
          </cell>
          <cell r="E1525">
            <v>183.76</v>
          </cell>
        </row>
        <row r="1526">
          <cell r="A1526" t="str">
            <v>PR</v>
          </cell>
          <cell r="B1526">
            <v>2007</v>
          </cell>
          <cell r="D1526" t="str">
            <v>MILHO</v>
          </cell>
          <cell r="E1526">
            <v>166.13399999999999</v>
          </cell>
        </row>
        <row r="1527">
          <cell r="A1527" t="str">
            <v>PR</v>
          </cell>
          <cell r="B1527">
            <v>2007</v>
          </cell>
          <cell r="D1527" t="str">
            <v>MILHO</v>
          </cell>
          <cell r="E1527">
            <v>10.028</v>
          </cell>
        </row>
        <row r="1528">
          <cell r="A1528" t="str">
            <v>PR</v>
          </cell>
          <cell r="B1528">
            <v>2007</v>
          </cell>
          <cell r="D1528" t="str">
            <v>SOJA</v>
          </cell>
          <cell r="E1528">
            <v>312.42099999999999</v>
          </cell>
        </row>
        <row r="1529">
          <cell r="A1529" t="str">
            <v>PR</v>
          </cell>
          <cell r="B1529">
            <v>2007</v>
          </cell>
          <cell r="D1529" t="str">
            <v>SOJA</v>
          </cell>
          <cell r="E1529">
            <v>11609.361999999999</v>
          </cell>
        </row>
        <row r="1530">
          <cell r="A1530" t="str">
            <v>PR</v>
          </cell>
          <cell r="B1530">
            <v>2007</v>
          </cell>
          <cell r="D1530" t="str">
            <v>SOJA</v>
          </cell>
          <cell r="E1530">
            <v>5679.6869999999999</v>
          </cell>
        </row>
        <row r="1531">
          <cell r="A1531" t="str">
            <v>PR</v>
          </cell>
          <cell r="B1531">
            <v>2007</v>
          </cell>
          <cell r="D1531" t="str">
            <v>SOJA</v>
          </cell>
          <cell r="E1531">
            <v>152.01499999999999</v>
          </cell>
        </row>
        <row r="1532">
          <cell r="A1532" t="str">
            <v>PR</v>
          </cell>
          <cell r="B1532">
            <v>2007</v>
          </cell>
          <cell r="D1532" t="str">
            <v>SOJA</v>
          </cell>
          <cell r="E1532">
            <v>0</v>
          </cell>
        </row>
        <row r="1533">
          <cell r="A1533" t="str">
            <v>PR</v>
          </cell>
          <cell r="B1533">
            <v>2007</v>
          </cell>
          <cell r="D1533" t="str">
            <v>SOJA</v>
          </cell>
          <cell r="E1533">
            <v>0</v>
          </cell>
        </row>
        <row r="1534">
          <cell r="A1534" t="str">
            <v>RS</v>
          </cell>
          <cell r="B1534">
            <v>2007</v>
          </cell>
          <cell r="D1534" t="str">
            <v>MILHO</v>
          </cell>
          <cell r="E1534">
            <v>1140.5889999999999</v>
          </cell>
        </row>
        <row r="1535">
          <cell r="A1535" t="str">
            <v>RS</v>
          </cell>
          <cell r="B1535">
            <v>2007</v>
          </cell>
          <cell r="D1535" t="str">
            <v>MILHO</v>
          </cell>
          <cell r="E1535">
            <v>2113.8809999999999</v>
          </cell>
        </row>
        <row r="1536">
          <cell r="A1536" t="str">
            <v>RS</v>
          </cell>
          <cell r="B1536">
            <v>2007</v>
          </cell>
          <cell r="D1536" t="str">
            <v>MILHO</v>
          </cell>
          <cell r="E1536">
            <v>235.797</v>
          </cell>
        </row>
        <row r="1537">
          <cell r="A1537" t="str">
            <v>RS</v>
          </cell>
          <cell r="B1537">
            <v>2007</v>
          </cell>
          <cell r="D1537" t="str">
            <v>SOJA</v>
          </cell>
          <cell r="E1537">
            <v>72.72</v>
          </cell>
        </row>
        <row r="1538">
          <cell r="A1538" t="str">
            <v>RS</v>
          </cell>
          <cell r="B1538">
            <v>2007</v>
          </cell>
          <cell r="D1538" t="str">
            <v>SOJA</v>
          </cell>
          <cell r="E1538">
            <v>2045.3009999999999</v>
          </cell>
        </row>
        <row r="1539">
          <cell r="A1539" t="str">
            <v>RS</v>
          </cell>
          <cell r="B1539">
            <v>2007</v>
          </cell>
          <cell r="D1539" t="str">
            <v>SOJA</v>
          </cell>
          <cell r="E1539">
            <v>26274.477999999999</v>
          </cell>
        </row>
        <row r="1540">
          <cell r="A1540" t="str">
            <v>RS</v>
          </cell>
          <cell r="B1540">
            <v>2007</v>
          </cell>
          <cell r="D1540" t="str">
            <v>SOJA</v>
          </cell>
          <cell r="E1540">
            <v>6323.8270000000002</v>
          </cell>
        </row>
        <row r="1541">
          <cell r="A1541" t="str">
            <v>RS</v>
          </cell>
          <cell r="B1541">
            <v>2007</v>
          </cell>
          <cell r="D1541" t="str">
            <v>SOJA</v>
          </cell>
          <cell r="E1541">
            <v>296.03300000000002</v>
          </cell>
        </row>
        <row r="1542">
          <cell r="A1542" t="str">
            <v>RS</v>
          </cell>
          <cell r="B1542">
            <v>2007</v>
          </cell>
          <cell r="D1542" t="str">
            <v>SOJA</v>
          </cell>
          <cell r="E1542">
            <v>192.012</v>
          </cell>
        </row>
        <row r="1543">
          <cell r="A1543" t="str">
            <v>RS</v>
          </cell>
          <cell r="B1543">
            <v>2007</v>
          </cell>
          <cell r="D1543" t="str">
            <v>SOJA</v>
          </cell>
          <cell r="E1543">
            <v>401.32900000000001</v>
          </cell>
        </row>
        <row r="1544">
          <cell r="A1544" t="str">
            <v>RS</v>
          </cell>
          <cell r="B1544">
            <v>2007</v>
          </cell>
          <cell r="D1544" t="str">
            <v>SOJA</v>
          </cell>
          <cell r="E1544">
            <v>67.58</v>
          </cell>
        </row>
        <row r="1545">
          <cell r="A1545" t="str">
            <v>RS</v>
          </cell>
          <cell r="B1545">
            <v>2007</v>
          </cell>
          <cell r="D1545" t="str">
            <v>SOJA</v>
          </cell>
          <cell r="E1545">
            <v>23.2</v>
          </cell>
        </row>
        <row r="1546">
          <cell r="A1546" t="str">
            <v>RS</v>
          </cell>
          <cell r="B1546">
            <v>2007</v>
          </cell>
          <cell r="D1546" t="str">
            <v>SOJA</v>
          </cell>
          <cell r="E1546">
            <v>2.4700000000000002</v>
          </cell>
        </row>
        <row r="1547">
          <cell r="A1547" t="str">
            <v>RS</v>
          </cell>
          <cell r="B1547">
            <v>2007</v>
          </cell>
          <cell r="D1547" t="str">
            <v>SOJA</v>
          </cell>
          <cell r="E1547">
            <v>175.05</v>
          </cell>
        </row>
        <row r="1548">
          <cell r="A1548" t="str">
            <v>PI</v>
          </cell>
          <cell r="B1548">
            <v>2007</v>
          </cell>
          <cell r="D1548" t="str">
            <v>SOJA</v>
          </cell>
          <cell r="E1548">
            <v>4855.6040000000003</v>
          </cell>
        </row>
        <row r="1549">
          <cell r="A1549" t="str">
            <v>PI</v>
          </cell>
          <cell r="B1549">
            <v>2007</v>
          </cell>
          <cell r="D1549" t="str">
            <v>SOJA</v>
          </cell>
          <cell r="E1549">
            <v>41911.103000000003</v>
          </cell>
        </row>
        <row r="1550">
          <cell r="A1550" t="str">
            <v>PI</v>
          </cell>
          <cell r="B1550">
            <v>2007</v>
          </cell>
          <cell r="D1550" t="str">
            <v>SOJA</v>
          </cell>
          <cell r="E1550">
            <v>11180.112999999999</v>
          </cell>
        </row>
        <row r="1551">
          <cell r="A1551" t="str">
            <v>PI</v>
          </cell>
          <cell r="B1551">
            <v>2007</v>
          </cell>
          <cell r="D1551" t="str">
            <v>SOJA</v>
          </cell>
          <cell r="E1551">
            <v>197.542</v>
          </cell>
        </row>
        <row r="1552">
          <cell r="A1552" t="str">
            <v>PI</v>
          </cell>
          <cell r="B1552">
            <v>2007</v>
          </cell>
          <cell r="D1552" t="str">
            <v>SOJA</v>
          </cell>
          <cell r="E1552">
            <v>0</v>
          </cell>
        </row>
        <row r="1553">
          <cell r="A1553" t="str">
            <v>PI</v>
          </cell>
          <cell r="B1553">
            <v>2007</v>
          </cell>
          <cell r="D1553" t="str">
            <v>SOJA</v>
          </cell>
          <cell r="E1553">
            <v>0.98</v>
          </cell>
        </row>
        <row r="1554">
          <cell r="A1554" t="str">
            <v>PI</v>
          </cell>
          <cell r="B1554">
            <v>2007</v>
          </cell>
          <cell r="D1554" t="str">
            <v>SOJA</v>
          </cell>
          <cell r="E1554">
            <v>286.12</v>
          </cell>
        </row>
        <row r="1555">
          <cell r="A1555" t="str">
            <v>PI</v>
          </cell>
          <cell r="B1555">
            <v>2007</v>
          </cell>
          <cell r="D1555" t="str">
            <v>SOJA</v>
          </cell>
          <cell r="E1555">
            <v>60.49</v>
          </cell>
        </row>
        <row r="1556">
          <cell r="A1556" t="str">
            <v>PI</v>
          </cell>
          <cell r="B1556">
            <v>2007</v>
          </cell>
          <cell r="D1556" t="str">
            <v>SOJA</v>
          </cell>
          <cell r="E1556">
            <v>198.35499999999999</v>
          </cell>
        </row>
        <row r="1557">
          <cell r="A1557" t="str">
            <v>PI</v>
          </cell>
          <cell r="B1557">
            <v>2007</v>
          </cell>
          <cell r="D1557" t="str">
            <v>SOJA</v>
          </cell>
          <cell r="E1557">
            <v>4633.8459999999995</v>
          </cell>
        </row>
        <row r="1558">
          <cell r="A1558" t="str">
            <v>PI</v>
          </cell>
          <cell r="B1558">
            <v>2007</v>
          </cell>
          <cell r="D1558" t="str">
            <v>SOJA</v>
          </cell>
          <cell r="E1558">
            <v>30786.582999999999</v>
          </cell>
        </row>
        <row r="1559">
          <cell r="A1559" t="str">
            <v>PI</v>
          </cell>
          <cell r="B1559">
            <v>2007</v>
          </cell>
          <cell r="D1559" t="str">
            <v>SOJA</v>
          </cell>
          <cell r="E1559">
            <v>1833.8810000000001</v>
          </cell>
        </row>
        <row r="1560">
          <cell r="A1560" t="str">
            <v>PI</v>
          </cell>
          <cell r="B1560">
            <v>2007</v>
          </cell>
          <cell r="D1560" t="str">
            <v>SOJA</v>
          </cell>
          <cell r="E1560">
            <v>30.69</v>
          </cell>
        </row>
        <row r="1561">
          <cell r="A1561" t="str">
            <v>PI</v>
          </cell>
          <cell r="B1561">
            <v>2007</v>
          </cell>
          <cell r="D1561" t="str">
            <v>SOJA</v>
          </cell>
          <cell r="E1561">
            <v>10.26</v>
          </cell>
        </row>
        <row r="1562">
          <cell r="A1562" t="str">
            <v>PI</v>
          </cell>
          <cell r="B1562">
            <v>2007</v>
          </cell>
          <cell r="D1562" t="str">
            <v>SOJA</v>
          </cell>
          <cell r="E1562">
            <v>7.06</v>
          </cell>
        </row>
        <row r="1563">
          <cell r="A1563" t="str">
            <v>GO</v>
          </cell>
          <cell r="B1563">
            <v>2007</v>
          </cell>
          <cell r="D1563" t="str">
            <v>MILHO</v>
          </cell>
          <cell r="E1563">
            <v>893.56600000000003</v>
          </cell>
        </row>
        <row r="1564">
          <cell r="A1564" t="str">
            <v>GO</v>
          </cell>
          <cell r="B1564">
            <v>2007</v>
          </cell>
          <cell r="D1564" t="str">
            <v>MILHO</v>
          </cell>
          <cell r="E1564">
            <v>1678.114</v>
          </cell>
        </row>
        <row r="1565">
          <cell r="A1565" t="str">
            <v>GO</v>
          </cell>
          <cell r="B1565">
            <v>2007</v>
          </cell>
          <cell r="D1565" t="str">
            <v>SOJA</v>
          </cell>
          <cell r="E1565">
            <v>1.89</v>
          </cell>
        </row>
        <row r="1566">
          <cell r="A1566" t="str">
            <v>GO</v>
          </cell>
          <cell r="B1566">
            <v>2007</v>
          </cell>
          <cell r="D1566" t="str">
            <v>SOJA</v>
          </cell>
          <cell r="E1566">
            <v>33.695</v>
          </cell>
        </row>
        <row r="1567">
          <cell r="A1567" t="str">
            <v>GO</v>
          </cell>
          <cell r="B1567">
            <v>2007</v>
          </cell>
          <cell r="D1567" t="str">
            <v>SOJA</v>
          </cell>
          <cell r="E1567">
            <v>24191.123</v>
          </cell>
        </row>
        <row r="1568">
          <cell r="A1568" t="str">
            <v>GO</v>
          </cell>
          <cell r="B1568">
            <v>2007</v>
          </cell>
          <cell r="D1568" t="str">
            <v>SOJA</v>
          </cell>
          <cell r="E1568">
            <v>32061.859</v>
          </cell>
        </row>
        <row r="1569">
          <cell r="A1569" t="str">
            <v>GO</v>
          </cell>
          <cell r="B1569">
            <v>2007</v>
          </cell>
          <cell r="D1569" t="str">
            <v>SOJA</v>
          </cell>
          <cell r="E1569">
            <v>785.52800000000002</v>
          </cell>
        </row>
        <row r="1570">
          <cell r="A1570" t="str">
            <v>GO</v>
          </cell>
          <cell r="B1570">
            <v>2007</v>
          </cell>
          <cell r="D1570" t="str">
            <v>SOJA</v>
          </cell>
          <cell r="E1570">
            <v>30412.879000000001</v>
          </cell>
        </row>
        <row r="1571">
          <cell r="A1571" t="str">
            <v>GO</v>
          </cell>
          <cell r="B1571">
            <v>2007</v>
          </cell>
          <cell r="D1571" t="str">
            <v>SOJA</v>
          </cell>
          <cell r="E1571">
            <v>7046.1180000000004</v>
          </cell>
        </row>
        <row r="1572">
          <cell r="A1572" t="str">
            <v>GO</v>
          </cell>
          <cell r="B1572">
            <v>2007</v>
          </cell>
          <cell r="D1572" t="str">
            <v>SOJA</v>
          </cell>
          <cell r="E1572">
            <v>4148.59</v>
          </cell>
        </row>
        <row r="1573">
          <cell r="A1573" t="str">
            <v>GO</v>
          </cell>
          <cell r="B1573">
            <v>2007</v>
          </cell>
          <cell r="D1573" t="str">
            <v>SOJA</v>
          </cell>
          <cell r="E1573">
            <v>1583.18</v>
          </cell>
        </row>
        <row r="1574">
          <cell r="A1574" t="str">
            <v>GO</v>
          </cell>
          <cell r="B1574">
            <v>2007</v>
          </cell>
          <cell r="D1574" t="str">
            <v>SOJA</v>
          </cell>
          <cell r="E1574">
            <v>8547.7070000000003</v>
          </cell>
        </row>
        <row r="1575">
          <cell r="A1575" t="str">
            <v>GO</v>
          </cell>
          <cell r="B1575">
            <v>2007</v>
          </cell>
          <cell r="D1575" t="str">
            <v>SOJA</v>
          </cell>
          <cell r="E1575">
            <v>2589.0590000000002</v>
          </cell>
        </row>
        <row r="1576">
          <cell r="A1576" t="str">
            <v>GO</v>
          </cell>
          <cell r="B1576">
            <v>2007</v>
          </cell>
          <cell r="D1576" t="str">
            <v>SOJA</v>
          </cell>
          <cell r="E1576">
            <v>309.81</v>
          </cell>
        </row>
        <row r="1577">
          <cell r="A1577" t="str">
            <v>MT</v>
          </cell>
          <cell r="B1577">
            <v>2007</v>
          </cell>
          <cell r="D1577" t="str">
            <v>SOJA</v>
          </cell>
          <cell r="E1577">
            <v>556.91999999999996</v>
          </cell>
        </row>
        <row r="1578">
          <cell r="A1578" t="str">
            <v>MT</v>
          </cell>
          <cell r="B1578">
            <v>2007</v>
          </cell>
          <cell r="D1578" t="str">
            <v>SOJA</v>
          </cell>
          <cell r="E1578">
            <v>1612.4159999999999</v>
          </cell>
        </row>
        <row r="1579">
          <cell r="A1579" t="str">
            <v>MT</v>
          </cell>
          <cell r="B1579">
            <v>2007</v>
          </cell>
          <cell r="D1579" t="str">
            <v>SOJA</v>
          </cell>
          <cell r="E1579">
            <v>1950.8879999999999</v>
          </cell>
        </row>
        <row r="1580">
          <cell r="A1580" t="str">
            <v>MT</v>
          </cell>
          <cell r="B1580">
            <v>2007</v>
          </cell>
          <cell r="D1580" t="str">
            <v>SOJA</v>
          </cell>
          <cell r="E1580">
            <v>303.71499999999997</v>
          </cell>
        </row>
        <row r="1581">
          <cell r="A1581" t="str">
            <v>MT</v>
          </cell>
          <cell r="B1581">
            <v>2007</v>
          </cell>
          <cell r="D1581" t="str">
            <v>SOJA</v>
          </cell>
          <cell r="E1581">
            <v>470.29199999999997</v>
          </cell>
        </row>
        <row r="1582">
          <cell r="A1582" t="str">
            <v>MT</v>
          </cell>
          <cell r="B1582">
            <v>2007</v>
          </cell>
          <cell r="D1582" t="str">
            <v>SOJA</v>
          </cell>
          <cell r="E1582">
            <v>180</v>
          </cell>
        </row>
        <row r="1583">
          <cell r="A1583" t="str">
            <v>MT</v>
          </cell>
          <cell r="B1583">
            <v>2007</v>
          </cell>
          <cell r="D1583" t="str">
            <v>SOJA</v>
          </cell>
          <cell r="E1583">
            <v>295.31</v>
          </cell>
        </row>
        <row r="1584">
          <cell r="A1584" t="str">
            <v>MT</v>
          </cell>
          <cell r="B1584">
            <v>2007</v>
          </cell>
          <cell r="D1584" t="str">
            <v>SOJA</v>
          </cell>
          <cell r="E1584">
            <v>300.637</v>
          </cell>
        </row>
        <row r="1585">
          <cell r="A1585" t="str">
            <v>MT</v>
          </cell>
          <cell r="B1585">
            <v>2009</v>
          </cell>
          <cell r="D1585" t="str">
            <v>SOJA</v>
          </cell>
          <cell r="E1585">
            <v>4010</v>
          </cell>
        </row>
        <row r="1586">
          <cell r="A1586" t="str">
            <v>RS</v>
          </cell>
          <cell r="B1586">
            <v>2009</v>
          </cell>
          <cell r="D1586" t="str">
            <v>MILHO</v>
          </cell>
          <cell r="E1586">
            <v>0</v>
          </cell>
        </row>
        <row r="1587">
          <cell r="A1587" t="str">
            <v>MT</v>
          </cell>
          <cell r="B1587">
            <v>2009</v>
          </cell>
          <cell r="D1587" t="str">
            <v>SOJA</v>
          </cell>
          <cell r="E1587">
            <v>4530</v>
          </cell>
        </row>
        <row r="1588">
          <cell r="A1588" t="str">
            <v>RS</v>
          </cell>
          <cell r="B1588">
            <v>2009</v>
          </cell>
          <cell r="D1588" t="str">
            <v>MILHO</v>
          </cell>
          <cell r="E1588">
            <v>0</v>
          </cell>
        </row>
        <row r="1589">
          <cell r="A1589" t="str">
            <v>RS</v>
          </cell>
          <cell r="B1589">
            <v>2009</v>
          </cell>
          <cell r="D1589" t="str">
            <v>SOJA</v>
          </cell>
          <cell r="E1589">
            <v>1020</v>
          </cell>
        </row>
        <row r="1590">
          <cell r="A1590" t="str">
            <v>RS</v>
          </cell>
          <cell r="B1590">
            <v>2009</v>
          </cell>
          <cell r="D1590" t="str">
            <v>MILHO</v>
          </cell>
          <cell r="E1590">
            <v>2090</v>
          </cell>
        </row>
        <row r="1591">
          <cell r="A1591" t="str">
            <v>RS</v>
          </cell>
          <cell r="B1591">
            <v>2009</v>
          </cell>
          <cell r="D1591" t="str">
            <v>MILHO</v>
          </cell>
          <cell r="E1591">
            <v>0</v>
          </cell>
        </row>
        <row r="1592">
          <cell r="A1592" t="str">
            <v>RS</v>
          </cell>
          <cell r="B1592">
            <v>2009</v>
          </cell>
          <cell r="D1592" t="str">
            <v>MILHO</v>
          </cell>
          <cell r="E1592">
            <v>0</v>
          </cell>
        </row>
        <row r="1593">
          <cell r="A1593" t="str">
            <v>PR</v>
          </cell>
          <cell r="B1593">
            <v>2009</v>
          </cell>
          <cell r="D1593" t="str">
            <v>MILHO</v>
          </cell>
          <cell r="E1593">
            <v>0</v>
          </cell>
        </row>
        <row r="1594">
          <cell r="A1594" t="str">
            <v>MT</v>
          </cell>
          <cell r="B1594">
            <v>2009</v>
          </cell>
          <cell r="D1594" t="str">
            <v>SOJA</v>
          </cell>
          <cell r="E1594">
            <v>2410</v>
          </cell>
        </row>
        <row r="1595">
          <cell r="A1595" t="str">
            <v>MT</v>
          </cell>
          <cell r="B1595">
            <v>2009</v>
          </cell>
          <cell r="D1595" t="str">
            <v>SOJA</v>
          </cell>
          <cell r="E1595">
            <v>0</v>
          </cell>
        </row>
        <row r="1596">
          <cell r="A1596" t="str">
            <v>MT</v>
          </cell>
          <cell r="B1596">
            <v>2009</v>
          </cell>
          <cell r="D1596" t="str">
            <v>SOJA</v>
          </cell>
          <cell r="E1596">
            <v>0</v>
          </cell>
        </row>
        <row r="1597">
          <cell r="A1597" t="str">
            <v>MT</v>
          </cell>
          <cell r="B1597">
            <v>2009</v>
          </cell>
          <cell r="D1597" t="str">
            <v>SOJA</v>
          </cell>
          <cell r="E1597">
            <v>4010</v>
          </cell>
        </row>
        <row r="1598">
          <cell r="A1598" t="str">
            <v>MT</v>
          </cell>
          <cell r="B1598">
            <v>2009</v>
          </cell>
          <cell r="D1598" t="str">
            <v>SOJA</v>
          </cell>
          <cell r="E1598">
            <v>0</v>
          </cell>
        </row>
        <row r="1599">
          <cell r="A1599" t="str">
            <v>MT</v>
          </cell>
          <cell r="B1599">
            <v>2009</v>
          </cell>
          <cell r="D1599" t="str">
            <v>SOJA</v>
          </cell>
          <cell r="E1599">
            <v>0</v>
          </cell>
        </row>
        <row r="1600">
          <cell r="A1600" t="str">
            <v>MT</v>
          </cell>
          <cell r="B1600">
            <v>2009</v>
          </cell>
          <cell r="D1600" t="str">
            <v>SOJA</v>
          </cell>
          <cell r="E1600">
            <v>0</v>
          </cell>
        </row>
        <row r="1601">
          <cell r="A1601" t="str">
            <v>MT</v>
          </cell>
          <cell r="B1601">
            <v>2009</v>
          </cell>
          <cell r="D1601" t="str">
            <v>SOJA</v>
          </cell>
          <cell r="E1601">
            <v>36260</v>
          </cell>
        </row>
        <row r="1602">
          <cell r="A1602" t="str">
            <v>MT</v>
          </cell>
          <cell r="B1602">
            <v>2009</v>
          </cell>
          <cell r="D1602" t="str">
            <v>SOJA</v>
          </cell>
          <cell r="E1602">
            <v>0</v>
          </cell>
        </row>
        <row r="1603">
          <cell r="A1603" t="str">
            <v>MT</v>
          </cell>
          <cell r="B1603">
            <v>2009</v>
          </cell>
          <cell r="D1603" t="str">
            <v>SOJA</v>
          </cell>
          <cell r="E1603">
            <v>2650</v>
          </cell>
        </row>
        <row r="1604">
          <cell r="A1604" t="str">
            <v>MT</v>
          </cell>
          <cell r="B1604">
            <v>2009</v>
          </cell>
          <cell r="D1604" t="str">
            <v>SOJA</v>
          </cell>
          <cell r="E1604">
            <v>0</v>
          </cell>
        </row>
        <row r="1605">
          <cell r="A1605" t="str">
            <v>MT</v>
          </cell>
          <cell r="B1605">
            <v>2009</v>
          </cell>
          <cell r="D1605" t="str">
            <v>SOJA</v>
          </cell>
          <cell r="E1605">
            <v>4810</v>
          </cell>
        </row>
        <row r="1606">
          <cell r="A1606" t="str">
            <v>MT</v>
          </cell>
          <cell r="B1606">
            <v>2009</v>
          </cell>
          <cell r="D1606" t="str">
            <v>SOJA</v>
          </cell>
          <cell r="E1606">
            <v>8020</v>
          </cell>
        </row>
        <row r="1607">
          <cell r="A1607" t="str">
            <v>MT</v>
          </cell>
          <cell r="B1607">
            <v>2009</v>
          </cell>
          <cell r="D1607" t="str">
            <v>SOJA</v>
          </cell>
          <cell r="E1607">
            <v>4530</v>
          </cell>
        </row>
        <row r="1608">
          <cell r="A1608" t="str">
            <v>MT</v>
          </cell>
          <cell r="B1608">
            <v>2009</v>
          </cell>
          <cell r="D1608" t="str">
            <v>SOJA</v>
          </cell>
          <cell r="E1608">
            <v>1320</v>
          </cell>
        </row>
        <row r="1609">
          <cell r="A1609" t="str">
            <v>MT</v>
          </cell>
          <cell r="B1609">
            <v>2009</v>
          </cell>
          <cell r="D1609" t="str">
            <v>SOJA</v>
          </cell>
          <cell r="E1609">
            <v>6170</v>
          </cell>
        </row>
        <row r="1610">
          <cell r="A1610" t="str">
            <v>MT</v>
          </cell>
          <cell r="B1610">
            <v>2009</v>
          </cell>
          <cell r="D1610" t="str">
            <v>SOJA</v>
          </cell>
          <cell r="E1610">
            <v>4530</v>
          </cell>
        </row>
        <row r="1611">
          <cell r="A1611" t="str">
            <v>RS</v>
          </cell>
          <cell r="B1611">
            <v>2009</v>
          </cell>
          <cell r="D1611" t="str">
            <v>MILHO</v>
          </cell>
          <cell r="E1611">
            <v>0</v>
          </cell>
        </row>
        <row r="1612">
          <cell r="A1612" t="str">
            <v>RS</v>
          </cell>
          <cell r="B1612">
            <v>2009</v>
          </cell>
          <cell r="D1612" t="str">
            <v>MILHO</v>
          </cell>
          <cell r="E1612">
            <v>1560</v>
          </cell>
        </row>
        <row r="1613">
          <cell r="A1613" t="str">
            <v>RS</v>
          </cell>
          <cell r="B1613">
            <v>2009</v>
          </cell>
          <cell r="D1613" t="str">
            <v>MILHO</v>
          </cell>
          <cell r="E1613">
            <v>520</v>
          </cell>
        </row>
        <row r="1614">
          <cell r="A1614" t="str">
            <v>RS</v>
          </cell>
          <cell r="B1614">
            <v>2009</v>
          </cell>
          <cell r="D1614" t="str">
            <v>SOJA</v>
          </cell>
          <cell r="E1614">
            <v>1020</v>
          </cell>
        </row>
        <row r="1615">
          <cell r="A1615" t="str">
            <v>MT</v>
          </cell>
          <cell r="B1615">
            <v>2009</v>
          </cell>
          <cell r="D1615" t="str">
            <v>SOJA</v>
          </cell>
          <cell r="E1615">
            <v>4530</v>
          </cell>
        </row>
        <row r="1616">
          <cell r="A1616" t="str">
            <v>RS</v>
          </cell>
          <cell r="B1616">
            <v>2009</v>
          </cell>
          <cell r="D1616" t="str">
            <v>MILHO</v>
          </cell>
          <cell r="E1616">
            <v>520</v>
          </cell>
        </row>
        <row r="1617">
          <cell r="A1617" t="str">
            <v>RS</v>
          </cell>
          <cell r="B1617">
            <v>2009</v>
          </cell>
          <cell r="D1617" t="str">
            <v>MILHO</v>
          </cell>
          <cell r="E1617">
            <v>1050</v>
          </cell>
        </row>
        <row r="1618">
          <cell r="A1618" t="str">
            <v>RS</v>
          </cell>
          <cell r="B1618">
            <v>2009</v>
          </cell>
          <cell r="D1618" t="str">
            <v>SOJA</v>
          </cell>
          <cell r="E1618">
            <v>1020</v>
          </cell>
        </row>
        <row r="1619">
          <cell r="A1619" t="str">
            <v>MT</v>
          </cell>
          <cell r="B1619">
            <v>2009</v>
          </cell>
          <cell r="D1619" t="str">
            <v>SOJA</v>
          </cell>
          <cell r="E1619">
            <v>0</v>
          </cell>
        </row>
        <row r="1620">
          <cell r="A1620" t="str">
            <v>MT</v>
          </cell>
          <cell r="B1620">
            <v>2009</v>
          </cell>
          <cell r="D1620" t="str">
            <v>SOJA</v>
          </cell>
          <cell r="E1620">
            <v>22450</v>
          </cell>
        </row>
        <row r="1621">
          <cell r="A1621" t="str">
            <v>MT</v>
          </cell>
          <cell r="B1621">
            <v>2009</v>
          </cell>
          <cell r="D1621" t="str">
            <v>SOJA</v>
          </cell>
          <cell r="E1621">
            <v>0</v>
          </cell>
        </row>
        <row r="1622">
          <cell r="A1622" t="str">
            <v>MT</v>
          </cell>
          <cell r="B1622">
            <v>2009</v>
          </cell>
          <cell r="D1622" t="str">
            <v>SOJA</v>
          </cell>
          <cell r="E1622">
            <v>16040</v>
          </cell>
        </row>
        <row r="1623">
          <cell r="A1623" t="str">
            <v>MT</v>
          </cell>
          <cell r="B1623">
            <v>2009</v>
          </cell>
          <cell r="D1623" t="str">
            <v>SOJA</v>
          </cell>
          <cell r="E1623">
            <v>9040</v>
          </cell>
        </row>
        <row r="1624">
          <cell r="A1624" t="str">
            <v>RS</v>
          </cell>
          <cell r="B1624">
            <v>2009</v>
          </cell>
          <cell r="D1624" t="str">
            <v>MILHO</v>
          </cell>
          <cell r="E1624">
            <v>0</v>
          </cell>
        </row>
        <row r="1625">
          <cell r="A1625" t="str">
            <v>RS</v>
          </cell>
          <cell r="B1625">
            <v>2009</v>
          </cell>
          <cell r="D1625" t="str">
            <v>SOJA</v>
          </cell>
          <cell r="E1625">
            <v>1020</v>
          </cell>
        </row>
        <row r="1626">
          <cell r="A1626" t="str">
            <v>MT</v>
          </cell>
          <cell r="B1626">
            <v>2009</v>
          </cell>
          <cell r="D1626" t="str">
            <v>SOJA</v>
          </cell>
          <cell r="E1626">
            <v>9520</v>
          </cell>
        </row>
        <row r="1627">
          <cell r="A1627" t="str">
            <v>MT</v>
          </cell>
          <cell r="B1627">
            <v>2009</v>
          </cell>
          <cell r="D1627" t="str">
            <v>SOJA</v>
          </cell>
          <cell r="E1627">
            <v>4530</v>
          </cell>
        </row>
        <row r="1628">
          <cell r="A1628" t="str">
            <v>MT</v>
          </cell>
          <cell r="B1628">
            <v>2009</v>
          </cell>
          <cell r="D1628" t="str">
            <v>SOJA</v>
          </cell>
          <cell r="E1628">
            <v>4410</v>
          </cell>
        </row>
        <row r="1629">
          <cell r="A1629" t="str">
            <v>MT</v>
          </cell>
          <cell r="B1629">
            <v>2009</v>
          </cell>
          <cell r="D1629" t="str">
            <v>SOJA</v>
          </cell>
          <cell r="E1629">
            <v>7000</v>
          </cell>
        </row>
        <row r="1630">
          <cell r="A1630" t="str">
            <v>GO</v>
          </cell>
          <cell r="B1630">
            <v>2009</v>
          </cell>
          <cell r="D1630" t="str">
            <v>SOJA</v>
          </cell>
          <cell r="E1630">
            <v>11720</v>
          </cell>
        </row>
        <row r="1631">
          <cell r="A1631" t="str">
            <v>GO</v>
          </cell>
          <cell r="B1631">
            <v>2009</v>
          </cell>
          <cell r="D1631" t="str">
            <v>SOJA</v>
          </cell>
          <cell r="E1631">
            <v>840</v>
          </cell>
        </row>
        <row r="1632">
          <cell r="A1632" t="str">
            <v>GO</v>
          </cell>
          <cell r="B1632">
            <v>2009</v>
          </cell>
          <cell r="D1632" t="str">
            <v>SOJA</v>
          </cell>
          <cell r="E1632">
            <v>0</v>
          </cell>
        </row>
        <row r="1633">
          <cell r="A1633" t="str">
            <v>PR</v>
          </cell>
          <cell r="B1633">
            <v>2009</v>
          </cell>
          <cell r="D1633" t="str">
            <v>MILHO</v>
          </cell>
          <cell r="E1633">
            <v>0</v>
          </cell>
        </row>
        <row r="1634">
          <cell r="A1634" t="str">
            <v>PR</v>
          </cell>
          <cell r="B1634">
            <v>2009</v>
          </cell>
          <cell r="D1634" t="str">
            <v>SOJA</v>
          </cell>
          <cell r="E1634">
            <v>0</v>
          </cell>
        </row>
        <row r="1635">
          <cell r="A1635" t="str">
            <v>TO</v>
          </cell>
          <cell r="B1635">
            <v>2009</v>
          </cell>
          <cell r="D1635" t="str">
            <v>SOJA</v>
          </cell>
          <cell r="E1635">
            <v>90</v>
          </cell>
        </row>
        <row r="1636">
          <cell r="A1636" t="str">
            <v>PR</v>
          </cell>
          <cell r="B1636">
            <v>2009</v>
          </cell>
          <cell r="D1636" t="str">
            <v>MILHO</v>
          </cell>
          <cell r="E1636">
            <v>0</v>
          </cell>
        </row>
        <row r="1637">
          <cell r="A1637" t="str">
            <v>PR</v>
          </cell>
          <cell r="B1637">
            <v>2009</v>
          </cell>
          <cell r="D1637" t="str">
            <v>MILHO</v>
          </cell>
          <cell r="E1637">
            <v>2400</v>
          </cell>
        </row>
        <row r="1638">
          <cell r="A1638" t="str">
            <v>PR</v>
          </cell>
          <cell r="B1638">
            <v>2009</v>
          </cell>
          <cell r="D1638" t="str">
            <v>SOJA</v>
          </cell>
          <cell r="E1638">
            <v>860</v>
          </cell>
        </row>
        <row r="1639">
          <cell r="A1639" t="str">
            <v>PR</v>
          </cell>
          <cell r="B1639">
            <v>2009</v>
          </cell>
          <cell r="D1639" t="str">
            <v>MILHO</v>
          </cell>
          <cell r="E1639">
            <v>1600</v>
          </cell>
        </row>
        <row r="1640">
          <cell r="A1640" t="str">
            <v>PR</v>
          </cell>
          <cell r="B1640">
            <v>2009</v>
          </cell>
          <cell r="D1640" t="str">
            <v>SOJA</v>
          </cell>
          <cell r="E1640">
            <v>430</v>
          </cell>
        </row>
        <row r="1641">
          <cell r="A1641" t="str">
            <v>PR</v>
          </cell>
          <cell r="B1641">
            <v>2009</v>
          </cell>
          <cell r="D1641" t="str">
            <v>MILHO</v>
          </cell>
          <cell r="E1641">
            <v>400</v>
          </cell>
        </row>
        <row r="1642">
          <cell r="A1642" t="str">
            <v>PR</v>
          </cell>
          <cell r="B1642">
            <v>2009</v>
          </cell>
          <cell r="D1642" t="str">
            <v>MILHO</v>
          </cell>
          <cell r="E1642">
            <v>0</v>
          </cell>
        </row>
        <row r="1643">
          <cell r="A1643" t="str">
            <v>PR</v>
          </cell>
          <cell r="B1643">
            <v>2009</v>
          </cell>
          <cell r="D1643" t="str">
            <v>MILHO</v>
          </cell>
          <cell r="E1643">
            <v>14370</v>
          </cell>
        </row>
        <row r="1644">
          <cell r="A1644" t="str">
            <v>PR</v>
          </cell>
          <cell r="B1644">
            <v>2009</v>
          </cell>
          <cell r="D1644" t="str">
            <v>SOJA</v>
          </cell>
          <cell r="E1644">
            <v>0</v>
          </cell>
        </row>
        <row r="1645">
          <cell r="A1645" t="str">
            <v>PR</v>
          </cell>
          <cell r="B1645">
            <v>2009</v>
          </cell>
          <cell r="D1645" t="str">
            <v>SOJA</v>
          </cell>
          <cell r="E1645">
            <v>27520</v>
          </cell>
        </row>
        <row r="1646">
          <cell r="A1646" t="str">
            <v>PR</v>
          </cell>
          <cell r="B1646">
            <v>2009</v>
          </cell>
          <cell r="D1646" t="str">
            <v>SOJA</v>
          </cell>
          <cell r="E1646">
            <v>0</v>
          </cell>
        </row>
        <row r="1647">
          <cell r="A1647" t="str">
            <v>PR</v>
          </cell>
          <cell r="B1647">
            <v>2009</v>
          </cell>
          <cell r="D1647" t="str">
            <v>MILHO</v>
          </cell>
          <cell r="E1647">
            <v>0</v>
          </cell>
        </row>
        <row r="1648">
          <cell r="A1648" t="str">
            <v>PR</v>
          </cell>
          <cell r="B1648">
            <v>2009</v>
          </cell>
          <cell r="D1648" t="str">
            <v>MILHO</v>
          </cell>
          <cell r="E1648">
            <v>2400</v>
          </cell>
        </row>
        <row r="1649">
          <cell r="A1649" t="str">
            <v>PR</v>
          </cell>
          <cell r="B1649">
            <v>2009</v>
          </cell>
          <cell r="D1649" t="str">
            <v>SOJA</v>
          </cell>
          <cell r="E1649">
            <v>1720</v>
          </cell>
        </row>
        <row r="1650">
          <cell r="A1650" t="str">
            <v>PR</v>
          </cell>
          <cell r="B1650">
            <v>2009</v>
          </cell>
          <cell r="D1650" t="str">
            <v>MILHO</v>
          </cell>
          <cell r="E1650">
            <v>1600</v>
          </cell>
        </row>
        <row r="1651">
          <cell r="A1651" t="str">
            <v>RS</v>
          </cell>
          <cell r="B1651">
            <v>2009</v>
          </cell>
          <cell r="D1651" t="str">
            <v>MILHO</v>
          </cell>
          <cell r="E1651">
            <v>0</v>
          </cell>
        </row>
        <row r="1652">
          <cell r="A1652" t="str">
            <v>PR</v>
          </cell>
          <cell r="B1652">
            <v>2009</v>
          </cell>
          <cell r="D1652" t="str">
            <v>MILHO</v>
          </cell>
          <cell r="E1652">
            <v>0</v>
          </cell>
        </row>
        <row r="1653">
          <cell r="A1653" t="str">
            <v>MT</v>
          </cell>
          <cell r="B1653">
            <v>2009</v>
          </cell>
          <cell r="D1653" t="str">
            <v>SOJA</v>
          </cell>
          <cell r="E1653">
            <v>9040</v>
          </cell>
        </row>
        <row r="1654">
          <cell r="A1654" t="str">
            <v>MT</v>
          </cell>
          <cell r="B1654">
            <v>2009</v>
          </cell>
          <cell r="D1654" t="str">
            <v>SOJA</v>
          </cell>
          <cell r="E1654">
            <v>23810</v>
          </cell>
        </row>
        <row r="1655">
          <cell r="A1655" t="str">
            <v>MT</v>
          </cell>
          <cell r="B1655">
            <v>2009</v>
          </cell>
          <cell r="D1655" t="str">
            <v>SOJA</v>
          </cell>
          <cell r="E1655">
            <v>27190</v>
          </cell>
        </row>
        <row r="1656">
          <cell r="A1656" t="str">
            <v>MT</v>
          </cell>
          <cell r="B1656">
            <v>2009</v>
          </cell>
          <cell r="D1656" t="str">
            <v>SOJA</v>
          </cell>
          <cell r="E1656">
            <v>0</v>
          </cell>
        </row>
        <row r="1657">
          <cell r="A1657" t="str">
            <v>RS</v>
          </cell>
          <cell r="B1657">
            <v>2009</v>
          </cell>
          <cell r="D1657" t="str">
            <v>MILHO</v>
          </cell>
          <cell r="E1657">
            <v>0</v>
          </cell>
        </row>
        <row r="1658">
          <cell r="A1658" t="str">
            <v>RS</v>
          </cell>
          <cell r="B1658">
            <v>2009</v>
          </cell>
          <cell r="D1658" t="str">
            <v>SOJA</v>
          </cell>
          <cell r="E1658">
            <v>2040</v>
          </cell>
        </row>
        <row r="1659">
          <cell r="A1659" t="str">
            <v>RS</v>
          </cell>
          <cell r="B1659">
            <v>2009</v>
          </cell>
          <cell r="D1659" t="str">
            <v>MILHO</v>
          </cell>
          <cell r="E1659">
            <v>0</v>
          </cell>
        </row>
        <row r="1660">
          <cell r="A1660" t="str">
            <v>RS</v>
          </cell>
          <cell r="B1660">
            <v>2009</v>
          </cell>
          <cell r="D1660" t="str">
            <v>MILHO</v>
          </cell>
          <cell r="E1660">
            <v>10460</v>
          </cell>
        </row>
        <row r="1661">
          <cell r="A1661" t="str">
            <v>RS</v>
          </cell>
          <cell r="B1661">
            <v>2009</v>
          </cell>
          <cell r="D1661" t="str">
            <v>SOJA</v>
          </cell>
          <cell r="E1661">
            <v>1020</v>
          </cell>
        </row>
        <row r="1662">
          <cell r="A1662" t="str">
            <v>RS</v>
          </cell>
          <cell r="B1662">
            <v>2009</v>
          </cell>
          <cell r="D1662" t="str">
            <v>MILHO</v>
          </cell>
          <cell r="E1662">
            <v>0</v>
          </cell>
        </row>
        <row r="1663">
          <cell r="A1663" t="str">
            <v>RS</v>
          </cell>
          <cell r="B1663">
            <v>2009</v>
          </cell>
          <cell r="D1663" t="str">
            <v>SOJA</v>
          </cell>
          <cell r="E1663">
            <v>1020</v>
          </cell>
        </row>
        <row r="1664">
          <cell r="A1664" t="str">
            <v>RS</v>
          </cell>
          <cell r="B1664">
            <v>2009</v>
          </cell>
          <cell r="D1664" t="str">
            <v>SOJA</v>
          </cell>
          <cell r="E1664">
            <v>0</v>
          </cell>
        </row>
        <row r="1665">
          <cell r="A1665" t="str">
            <v>PR</v>
          </cell>
          <cell r="B1665">
            <v>2009</v>
          </cell>
          <cell r="D1665" t="str">
            <v>MILHO</v>
          </cell>
          <cell r="E1665">
            <v>800</v>
          </cell>
        </row>
        <row r="1666">
          <cell r="A1666" t="str">
            <v>PR</v>
          </cell>
          <cell r="B1666">
            <v>2009</v>
          </cell>
          <cell r="D1666" t="str">
            <v>SOJA</v>
          </cell>
          <cell r="E1666">
            <v>870</v>
          </cell>
        </row>
        <row r="1667">
          <cell r="A1667" t="str">
            <v>PR</v>
          </cell>
          <cell r="B1667">
            <v>2009</v>
          </cell>
          <cell r="D1667" t="str">
            <v>SOJA</v>
          </cell>
          <cell r="E1667">
            <v>1750</v>
          </cell>
        </row>
        <row r="1668">
          <cell r="A1668" t="str">
            <v>PR</v>
          </cell>
          <cell r="B1668">
            <v>2009</v>
          </cell>
          <cell r="D1668" t="str">
            <v>MILHO</v>
          </cell>
          <cell r="E1668">
            <v>2390</v>
          </cell>
        </row>
        <row r="1669">
          <cell r="A1669" t="str">
            <v>PR</v>
          </cell>
          <cell r="B1669">
            <v>2009</v>
          </cell>
          <cell r="D1669" t="str">
            <v>MILHO</v>
          </cell>
          <cell r="E1669">
            <v>0</v>
          </cell>
        </row>
        <row r="1670">
          <cell r="A1670" t="str">
            <v>PR</v>
          </cell>
          <cell r="B1670">
            <v>2009</v>
          </cell>
          <cell r="D1670" t="str">
            <v>SOJA</v>
          </cell>
          <cell r="E1670">
            <v>1750</v>
          </cell>
        </row>
        <row r="1671">
          <cell r="A1671" t="str">
            <v>PR</v>
          </cell>
          <cell r="B1671">
            <v>2009</v>
          </cell>
          <cell r="D1671" t="str">
            <v>MILHO</v>
          </cell>
          <cell r="E1671">
            <v>2390</v>
          </cell>
        </row>
        <row r="1672">
          <cell r="A1672" t="str">
            <v>PR</v>
          </cell>
          <cell r="B1672">
            <v>2009</v>
          </cell>
          <cell r="D1672" t="str">
            <v>MILHO</v>
          </cell>
          <cell r="E1672">
            <v>0</v>
          </cell>
        </row>
        <row r="1673">
          <cell r="A1673" t="str">
            <v>PR</v>
          </cell>
          <cell r="B1673">
            <v>2009</v>
          </cell>
          <cell r="D1673" t="str">
            <v>SOJA</v>
          </cell>
          <cell r="E1673">
            <v>1750</v>
          </cell>
        </row>
        <row r="1674">
          <cell r="A1674" t="str">
            <v>SP</v>
          </cell>
          <cell r="B1674">
            <v>2009</v>
          </cell>
          <cell r="D1674" t="str">
            <v>MILHO</v>
          </cell>
          <cell r="E1674">
            <v>1600</v>
          </cell>
        </row>
        <row r="1675">
          <cell r="A1675" t="str">
            <v>SP</v>
          </cell>
          <cell r="B1675">
            <v>2009</v>
          </cell>
          <cell r="D1675" t="str">
            <v>MILHO</v>
          </cell>
          <cell r="E1675">
            <v>0</v>
          </cell>
        </row>
        <row r="1676">
          <cell r="A1676" t="str">
            <v>PR</v>
          </cell>
          <cell r="B1676">
            <v>2009</v>
          </cell>
          <cell r="D1676" t="str">
            <v>MILHO</v>
          </cell>
          <cell r="E1676">
            <v>1600</v>
          </cell>
        </row>
        <row r="1677">
          <cell r="A1677" t="str">
            <v>PR</v>
          </cell>
          <cell r="B1677">
            <v>2009</v>
          </cell>
          <cell r="D1677" t="str">
            <v>MILHO</v>
          </cell>
          <cell r="E1677">
            <v>0</v>
          </cell>
        </row>
        <row r="1678">
          <cell r="A1678" t="str">
            <v>PR</v>
          </cell>
          <cell r="B1678">
            <v>2009</v>
          </cell>
          <cell r="D1678" t="str">
            <v>SOJA</v>
          </cell>
          <cell r="E1678">
            <v>6990</v>
          </cell>
        </row>
        <row r="1679">
          <cell r="A1679" t="str">
            <v>PR</v>
          </cell>
          <cell r="B1679">
            <v>2009</v>
          </cell>
          <cell r="D1679" t="str">
            <v>SOJA</v>
          </cell>
          <cell r="E1679">
            <v>0</v>
          </cell>
        </row>
        <row r="1680">
          <cell r="A1680" t="str">
            <v>MT</v>
          </cell>
          <cell r="B1680">
            <v>2009</v>
          </cell>
          <cell r="D1680" t="str">
            <v>SOJA</v>
          </cell>
          <cell r="E1680">
            <v>0</v>
          </cell>
        </row>
        <row r="1681">
          <cell r="A1681" t="str">
            <v>MT</v>
          </cell>
          <cell r="B1681">
            <v>2009</v>
          </cell>
          <cell r="D1681" t="str">
            <v>SOJA</v>
          </cell>
          <cell r="E1681">
            <v>44100</v>
          </cell>
        </row>
        <row r="1682">
          <cell r="A1682" t="str">
            <v>MT</v>
          </cell>
          <cell r="B1682">
            <v>2009</v>
          </cell>
          <cell r="D1682" t="str">
            <v>SOJA</v>
          </cell>
          <cell r="E1682">
            <v>0</v>
          </cell>
        </row>
        <row r="1683">
          <cell r="A1683" t="str">
            <v>MT</v>
          </cell>
          <cell r="B1683">
            <v>2009</v>
          </cell>
          <cell r="D1683" t="str">
            <v>SOJA</v>
          </cell>
          <cell r="E1683">
            <v>33680</v>
          </cell>
        </row>
        <row r="1684">
          <cell r="A1684" t="str">
            <v>MT</v>
          </cell>
          <cell r="B1684">
            <v>2009</v>
          </cell>
          <cell r="D1684" t="str">
            <v>SOJA</v>
          </cell>
          <cell r="E1684">
            <v>0</v>
          </cell>
        </row>
        <row r="1685">
          <cell r="A1685" t="str">
            <v>MT</v>
          </cell>
          <cell r="B1685">
            <v>2009</v>
          </cell>
          <cell r="D1685" t="str">
            <v>SOJA</v>
          </cell>
          <cell r="E1685">
            <v>17640</v>
          </cell>
        </row>
        <row r="1686">
          <cell r="A1686" t="str">
            <v>MS</v>
          </cell>
          <cell r="B1686">
            <v>2009</v>
          </cell>
          <cell r="D1686" t="str">
            <v>SOJA</v>
          </cell>
          <cell r="E1686">
            <v>0</v>
          </cell>
        </row>
        <row r="1687">
          <cell r="A1687" t="str">
            <v>MS</v>
          </cell>
          <cell r="B1687">
            <v>2009</v>
          </cell>
          <cell r="D1687" t="str">
            <v>SOJA</v>
          </cell>
          <cell r="E1687">
            <v>5470</v>
          </cell>
        </row>
        <row r="1688">
          <cell r="A1688" t="str">
            <v>PR</v>
          </cell>
          <cell r="B1688">
            <v>2009</v>
          </cell>
          <cell r="D1688" t="str">
            <v>MILHO</v>
          </cell>
          <cell r="E1688">
            <v>0</v>
          </cell>
        </row>
        <row r="1689">
          <cell r="A1689" t="str">
            <v>PR</v>
          </cell>
          <cell r="B1689">
            <v>2009</v>
          </cell>
          <cell r="D1689" t="str">
            <v>MILHO</v>
          </cell>
          <cell r="E1689">
            <v>6390</v>
          </cell>
        </row>
        <row r="1690">
          <cell r="A1690" t="str">
            <v>PR</v>
          </cell>
          <cell r="B1690">
            <v>2009</v>
          </cell>
          <cell r="D1690" t="str">
            <v>MILHO</v>
          </cell>
          <cell r="E1690">
            <v>3190</v>
          </cell>
        </row>
        <row r="1691">
          <cell r="A1691" t="str">
            <v>PR</v>
          </cell>
          <cell r="B1691">
            <v>2009</v>
          </cell>
          <cell r="D1691" t="str">
            <v>MILHO</v>
          </cell>
          <cell r="E1691">
            <v>2400</v>
          </cell>
        </row>
        <row r="1692">
          <cell r="A1692" t="str">
            <v>PR</v>
          </cell>
          <cell r="B1692">
            <v>2009</v>
          </cell>
          <cell r="D1692" t="str">
            <v>SOJA</v>
          </cell>
          <cell r="E1692">
            <v>8600</v>
          </cell>
        </row>
        <row r="1693">
          <cell r="A1693" t="str">
            <v>PR</v>
          </cell>
          <cell r="B1693">
            <v>2009</v>
          </cell>
          <cell r="D1693" t="str">
            <v>SOJA</v>
          </cell>
          <cell r="E1693">
            <v>0</v>
          </cell>
        </row>
        <row r="1694">
          <cell r="A1694" t="str">
            <v>MT</v>
          </cell>
          <cell r="B1694">
            <v>2009</v>
          </cell>
          <cell r="D1694" t="str">
            <v>SOJA</v>
          </cell>
          <cell r="E1694">
            <v>0</v>
          </cell>
        </row>
        <row r="1695">
          <cell r="A1695" t="str">
            <v>MT</v>
          </cell>
          <cell r="B1695">
            <v>2009</v>
          </cell>
          <cell r="D1695" t="str">
            <v>SOJA</v>
          </cell>
          <cell r="E1695">
            <v>0</v>
          </cell>
        </row>
        <row r="1696">
          <cell r="A1696" t="str">
            <v>MT</v>
          </cell>
          <cell r="B1696">
            <v>2009</v>
          </cell>
          <cell r="D1696" t="str">
            <v>SOJA</v>
          </cell>
          <cell r="E1696">
            <v>13550</v>
          </cell>
        </row>
        <row r="1697">
          <cell r="A1697" t="str">
            <v>MT</v>
          </cell>
          <cell r="B1697">
            <v>2009</v>
          </cell>
          <cell r="D1697" t="str">
            <v>SOJA</v>
          </cell>
          <cell r="E1697">
            <v>0</v>
          </cell>
        </row>
        <row r="1698">
          <cell r="A1698" t="str">
            <v>MT</v>
          </cell>
          <cell r="B1698">
            <v>2009</v>
          </cell>
          <cell r="D1698" t="str">
            <v>SOJA</v>
          </cell>
          <cell r="E1698">
            <v>18070</v>
          </cell>
        </row>
        <row r="1699">
          <cell r="A1699" t="str">
            <v>MT</v>
          </cell>
          <cell r="B1699">
            <v>2009</v>
          </cell>
          <cell r="D1699" t="str">
            <v>SOJA</v>
          </cell>
          <cell r="E1699">
            <v>0</v>
          </cell>
        </row>
        <row r="1700">
          <cell r="A1700" t="str">
            <v>BA</v>
          </cell>
          <cell r="B1700">
            <v>2009</v>
          </cell>
          <cell r="D1700" t="str">
            <v>MILHO</v>
          </cell>
          <cell r="E1700">
            <v>11470</v>
          </cell>
        </row>
        <row r="1701">
          <cell r="A1701" t="str">
            <v>GO</v>
          </cell>
          <cell r="B1701">
            <v>2009</v>
          </cell>
          <cell r="D1701" t="str">
            <v>SOJA</v>
          </cell>
          <cell r="E1701">
            <v>0</v>
          </cell>
        </row>
        <row r="1702">
          <cell r="A1702" t="str">
            <v>GO</v>
          </cell>
          <cell r="B1702">
            <v>2009</v>
          </cell>
          <cell r="D1702" t="str">
            <v>SOJA</v>
          </cell>
          <cell r="E1702">
            <v>7250</v>
          </cell>
        </row>
        <row r="1703">
          <cell r="A1703" t="str">
            <v>GO</v>
          </cell>
          <cell r="B1703">
            <v>2009</v>
          </cell>
          <cell r="D1703" t="str">
            <v>SOJA</v>
          </cell>
          <cell r="E1703">
            <v>0</v>
          </cell>
        </row>
        <row r="1704">
          <cell r="A1704" t="str">
            <v>GO</v>
          </cell>
          <cell r="B1704">
            <v>2009</v>
          </cell>
          <cell r="D1704" t="str">
            <v>SOJA</v>
          </cell>
          <cell r="E1704">
            <v>2680</v>
          </cell>
        </row>
        <row r="1705">
          <cell r="A1705" t="str">
            <v>GO</v>
          </cell>
          <cell r="B1705">
            <v>2009</v>
          </cell>
          <cell r="D1705" t="str">
            <v>SOJA</v>
          </cell>
          <cell r="E1705">
            <v>1420</v>
          </cell>
        </row>
        <row r="1706">
          <cell r="A1706" t="str">
            <v>GO</v>
          </cell>
          <cell r="B1706">
            <v>2009</v>
          </cell>
          <cell r="D1706" t="str">
            <v>SOJA</v>
          </cell>
          <cell r="E1706">
            <v>0</v>
          </cell>
        </row>
        <row r="1707">
          <cell r="A1707" t="str">
            <v>MT</v>
          </cell>
          <cell r="B1707">
            <v>2009</v>
          </cell>
          <cell r="D1707" t="str">
            <v>SOJA</v>
          </cell>
          <cell r="E1707">
            <v>3910</v>
          </cell>
        </row>
        <row r="1708">
          <cell r="A1708" t="str">
            <v>GO</v>
          </cell>
          <cell r="B1708">
            <v>2009</v>
          </cell>
          <cell r="D1708" t="str">
            <v>SOJA</v>
          </cell>
          <cell r="E1708">
            <v>4690</v>
          </cell>
        </row>
        <row r="1709">
          <cell r="A1709" t="str">
            <v>SP</v>
          </cell>
          <cell r="B1709">
            <v>2009</v>
          </cell>
          <cell r="D1709" t="str">
            <v>SOJA</v>
          </cell>
          <cell r="E1709">
            <v>4370</v>
          </cell>
        </row>
        <row r="1710">
          <cell r="A1710" t="str">
            <v>MT</v>
          </cell>
          <cell r="B1710">
            <v>2009</v>
          </cell>
          <cell r="D1710" t="str">
            <v>SOJA</v>
          </cell>
          <cell r="E1710">
            <v>0</v>
          </cell>
        </row>
        <row r="1711">
          <cell r="A1711" t="str">
            <v>MT</v>
          </cell>
          <cell r="B1711">
            <v>2009</v>
          </cell>
          <cell r="D1711" t="str">
            <v>SOJA</v>
          </cell>
          <cell r="E1711">
            <v>108770</v>
          </cell>
        </row>
        <row r="1712">
          <cell r="A1712" t="str">
            <v>MT</v>
          </cell>
          <cell r="B1712">
            <v>2009</v>
          </cell>
          <cell r="D1712" t="str">
            <v>SOJA</v>
          </cell>
          <cell r="E1712">
            <v>13230</v>
          </cell>
        </row>
        <row r="1713">
          <cell r="A1713" t="str">
            <v>MT</v>
          </cell>
          <cell r="B1713">
            <v>2009</v>
          </cell>
          <cell r="D1713" t="str">
            <v>SOJA</v>
          </cell>
          <cell r="E1713">
            <v>9060</v>
          </cell>
        </row>
        <row r="1714">
          <cell r="A1714" t="str">
            <v>MT</v>
          </cell>
          <cell r="B1714">
            <v>2009</v>
          </cell>
          <cell r="D1714" t="str">
            <v>SOJA</v>
          </cell>
          <cell r="E1714">
            <v>0</v>
          </cell>
        </row>
        <row r="1715">
          <cell r="A1715" t="str">
            <v>MA</v>
          </cell>
          <cell r="B1715">
            <v>2009</v>
          </cell>
          <cell r="D1715" t="str">
            <v>SOJA</v>
          </cell>
          <cell r="E1715">
            <v>0</v>
          </cell>
        </row>
        <row r="1716">
          <cell r="A1716" t="str">
            <v>MT</v>
          </cell>
          <cell r="B1716">
            <v>2009</v>
          </cell>
          <cell r="D1716" t="str">
            <v>SOJA</v>
          </cell>
          <cell r="E1716">
            <v>0</v>
          </cell>
        </row>
        <row r="1717">
          <cell r="A1717" t="str">
            <v>MT</v>
          </cell>
          <cell r="B1717">
            <v>2009</v>
          </cell>
          <cell r="D1717" t="str">
            <v>SOJA</v>
          </cell>
          <cell r="E1717">
            <v>15230</v>
          </cell>
        </row>
        <row r="1718">
          <cell r="A1718" t="str">
            <v>MT</v>
          </cell>
          <cell r="B1718">
            <v>2009</v>
          </cell>
          <cell r="D1718" t="str">
            <v>SOJA</v>
          </cell>
          <cell r="E1718">
            <v>0</v>
          </cell>
        </row>
        <row r="1719">
          <cell r="A1719" t="str">
            <v>MT</v>
          </cell>
          <cell r="B1719">
            <v>2009</v>
          </cell>
          <cell r="D1719" t="str">
            <v>SOJA</v>
          </cell>
          <cell r="E1719">
            <v>24050</v>
          </cell>
        </row>
        <row r="1720">
          <cell r="A1720" t="str">
            <v>MT</v>
          </cell>
          <cell r="B1720">
            <v>2009</v>
          </cell>
          <cell r="D1720" t="str">
            <v>SOJA</v>
          </cell>
          <cell r="E1720">
            <v>0</v>
          </cell>
        </row>
        <row r="1721">
          <cell r="A1721" t="str">
            <v>MT</v>
          </cell>
          <cell r="B1721">
            <v>2009</v>
          </cell>
          <cell r="D1721" t="str">
            <v>SOJA</v>
          </cell>
          <cell r="E1721">
            <v>27190</v>
          </cell>
        </row>
        <row r="1722">
          <cell r="A1722" t="str">
            <v>MT</v>
          </cell>
          <cell r="B1722">
            <v>2009</v>
          </cell>
          <cell r="D1722" t="str">
            <v>SOJA</v>
          </cell>
          <cell r="E1722">
            <v>0</v>
          </cell>
        </row>
        <row r="1723">
          <cell r="A1723" t="str">
            <v>MT</v>
          </cell>
          <cell r="B1723">
            <v>2009</v>
          </cell>
          <cell r="D1723" t="str">
            <v>SOJA</v>
          </cell>
          <cell r="E1723">
            <v>27110</v>
          </cell>
        </row>
        <row r="1724">
          <cell r="A1724" t="str">
            <v>TO</v>
          </cell>
          <cell r="B1724">
            <v>2009</v>
          </cell>
          <cell r="D1724" t="str">
            <v>SOJA</v>
          </cell>
          <cell r="E1724">
            <v>90</v>
          </cell>
        </row>
        <row r="1725">
          <cell r="A1725" t="str">
            <v>GO</v>
          </cell>
          <cell r="B1725">
            <v>2009</v>
          </cell>
          <cell r="D1725" t="str">
            <v>SOJA</v>
          </cell>
          <cell r="E1725">
            <v>3130</v>
          </cell>
        </row>
        <row r="1726">
          <cell r="A1726" t="str">
            <v>GO</v>
          </cell>
          <cell r="B1726">
            <v>2009</v>
          </cell>
          <cell r="D1726" t="str">
            <v>SOJA</v>
          </cell>
          <cell r="E1726">
            <v>840</v>
          </cell>
        </row>
        <row r="1727">
          <cell r="A1727" t="str">
            <v>MS</v>
          </cell>
          <cell r="B1727">
            <v>2009</v>
          </cell>
          <cell r="D1727" t="str">
            <v>SOJA</v>
          </cell>
          <cell r="E1727">
            <v>1930</v>
          </cell>
        </row>
        <row r="1728">
          <cell r="A1728" t="str">
            <v>MS</v>
          </cell>
          <cell r="B1728">
            <v>2009</v>
          </cell>
          <cell r="D1728" t="str">
            <v>SOJA</v>
          </cell>
          <cell r="E1728">
            <v>0</v>
          </cell>
        </row>
        <row r="1729">
          <cell r="A1729" t="str">
            <v>PR</v>
          </cell>
          <cell r="B1729">
            <v>2009</v>
          </cell>
          <cell r="D1729" t="str">
            <v>MILHO</v>
          </cell>
          <cell r="E1729">
            <v>1600</v>
          </cell>
        </row>
        <row r="1730">
          <cell r="A1730" t="str">
            <v>PR</v>
          </cell>
          <cell r="B1730">
            <v>2009</v>
          </cell>
          <cell r="D1730" t="str">
            <v>MILHO</v>
          </cell>
          <cell r="E1730">
            <v>0</v>
          </cell>
        </row>
        <row r="1731">
          <cell r="A1731" t="str">
            <v>PR</v>
          </cell>
          <cell r="B1731">
            <v>2009</v>
          </cell>
          <cell r="D1731" t="str">
            <v>SOJA</v>
          </cell>
          <cell r="E1731">
            <v>0</v>
          </cell>
        </row>
        <row r="1732">
          <cell r="A1732" t="str">
            <v>MT</v>
          </cell>
          <cell r="B1732">
            <v>2009</v>
          </cell>
          <cell r="D1732" t="str">
            <v>SOJA</v>
          </cell>
          <cell r="E1732">
            <v>26460</v>
          </cell>
        </row>
        <row r="1733">
          <cell r="A1733" t="str">
            <v>MT</v>
          </cell>
          <cell r="B1733">
            <v>2009</v>
          </cell>
          <cell r="D1733" t="str">
            <v>SOJA</v>
          </cell>
          <cell r="E1733">
            <v>0</v>
          </cell>
        </row>
        <row r="1734">
          <cell r="A1734" t="str">
            <v>MT</v>
          </cell>
          <cell r="B1734">
            <v>2009</v>
          </cell>
          <cell r="D1734" t="str">
            <v>SOJA</v>
          </cell>
          <cell r="E1734">
            <v>9060</v>
          </cell>
        </row>
        <row r="1735">
          <cell r="A1735" t="str">
            <v>MT</v>
          </cell>
          <cell r="B1735">
            <v>2009</v>
          </cell>
          <cell r="D1735" t="str">
            <v>SOJA</v>
          </cell>
          <cell r="E1735">
            <v>26460</v>
          </cell>
        </row>
        <row r="1736">
          <cell r="A1736" t="str">
            <v>MT</v>
          </cell>
          <cell r="B1736">
            <v>2009</v>
          </cell>
          <cell r="D1736" t="str">
            <v>SOJA</v>
          </cell>
          <cell r="E1736">
            <v>18130</v>
          </cell>
        </row>
        <row r="1737">
          <cell r="A1737" t="str">
            <v>BA</v>
          </cell>
          <cell r="B1737">
            <v>2009</v>
          </cell>
          <cell r="D1737" t="str">
            <v>MILHO</v>
          </cell>
          <cell r="E1737">
            <v>3060</v>
          </cell>
        </row>
        <row r="1738">
          <cell r="A1738" t="str">
            <v>RS</v>
          </cell>
          <cell r="B1738">
            <v>2009</v>
          </cell>
          <cell r="D1738" t="str">
            <v>MILHO</v>
          </cell>
          <cell r="E1738">
            <v>0</v>
          </cell>
        </row>
        <row r="1739">
          <cell r="A1739" t="str">
            <v>RS</v>
          </cell>
          <cell r="B1739">
            <v>2009</v>
          </cell>
          <cell r="D1739" t="str">
            <v>MILHO</v>
          </cell>
          <cell r="E1739">
            <v>10400</v>
          </cell>
        </row>
        <row r="1740">
          <cell r="A1740" t="str">
            <v>MS</v>
          </cell>
          <cell r="B1740">
            <v>2009</v>
          </cell>
          <cell r="D1740" t="str">
            <v>SOJA</v>
          </cell>
          <cell r="E1740">
            <v>0</v>
          </cell>
        </row>
        <row r="1741">
          <cell r="A1741" t="str">
            <v>MS</v>
          </cell>
          <cell r="B1741">
            <v>2009</v>
          </cell>
          <cell r="D1741" t="str">
            <v>SOJA</v>
          </cell>
          <cell r="E1741">
            <v>6430</v>
          </cell>
        </row>
        <row r="1742">
          <cell r="A1742" t="str">
            <v>MS</v>
          </cell>
          <cell r="B1742">
            <v>2009</v>
          </cell>
          <cell r="D1742" t="str">
            <v>SOJA</v>
          </cell>
          <cell r="E1742">
            <v>3860</v>
          </cell>
        </row>
        <row r="1743">
          <cell r="A1743" t="str">
            <v>MS</v>
          </cell>
          <cell r="B1743">
            <v>2009</v>
          </cell>
          <cell r="D1743" t="str">
            <v>SOJA</v>
          </cell>
          <cell r="E1743">
            <v>0</v>
          </cell>
        </row>
        <row r="1744">
          <cell r="A1744" t="str">
            <v>MS</v>
          </cell>
          <cell r="B1744">
            <v>2009</v>
          </cell>
          <cell r="D1744" t="str">
            <v>SOJA</v>
          </cell>
          <cell r="E1744">
            <v>3220</v>
          </cell>
        </row>
        <row r="1745">
          <cell r="A1745" t="str">
            <v>GO</v>
          </cell>
          <cell r="B1745">
            <v>2009</v>
          </cell>
          <cell r="D1745" t="str">
            <v>SOJA</v>
          </cell>
          <cell r="E1745">
            <v>840</v>
          </cell>
        </row>
        <row r="1746">
          <cell r="A1746" t="str">
            <v>MT</v>
          </cell>
          <cell r="B1746">
            <v>2009</v>
          </cell>
          <cell r="D1746" t="str">
            <v>SOJA</v>
          </cell>
          <cell r="E1746">
            <v>9060</v>
          </cell>
        </row>
        <row r="1747">
          <cell r="A1747" t="str">
            <v>MT</v>
          </cell>
          <cell r="B1747">
            <v>2009</v>
          </cell>
          <cell r="D1747" t="str">
            <v>SOJA</v>
          </cell>
          <cell r="E1747">
            <v>0</v>
          </cell>
        </row>
        <row r="1748">
          <cell r="A1748" t="str">
            <v>RS</v>
          </cell>
          <cell r="B1748">
            <v>2009</v>
          </cell>
          <cell r="D1748" t="str">
            <v>MILHO</v>
          </cell>
          <cell r="E1748">
            <v>0</v>
          </cell>
        </row>
        <row r="1749">
          <cell r="A1749" t="str">
            <v>RS</v>
          </cell>
          <cell r="B1749">
            <v>2009</v>
          </cell>
          <cell r="D1749" t="str">
            <v>MILHO</v>
          </cell>
          <cell r="E1749">
            <v>5230</v>
          </cell>
        </row>
        <row r="1750">
          <cell r="A1750" t="str">
            <v>RS</v>
          </cell>
          <cell r="B1750">
            <v>2009</v>
          </cell>
          <cell r="D1750" t="str">
            <v>SOJA</v>
          </cell>
          <cell r="E1750">
            <v>4070.0000000000005</v>
          </cell>
        </row>
        <row r="1751">
          <cell r="A1751" t="str">
            <v>MT</v>
          </cell>
          <cell r="B1751">
            <v>2009</v>
          </cell>
          <cell r="D1751" t="str">
            <v>SOJA</v>
          </cell>
          <cell r="E1751">
            <v>0</v>
          </cell>
        </row>
        <row r="1752">
          <cell r="A1752" t="str">
            <v>MT</v>
          </cell>
          <cell r="B1752">
            <v>2009</v>
          </cell>
          <cell r="D1752" t="str">
            <v>SOJA</v>
          </cell>
          <cell r="E1752">
            <v>27190</v>
          </cell>
        </row>
        <row r="1753">
          <cell r="A1753" t="str">
            <v>RS</v>
          </cell>
          <cell r="B1753">
            <v>2009</v>
          </cell>
          <cell r="D1753" t="str">
            <v>MILHO</v>
          </cell>
          <cell r="E1753">
            <v>3640</v>
          </cell>
        </row>
        <row r="1754">
          <cell r="A1754" t="str">
            <v>RS</v>
          </cell>
          <cell r="B1754">
            <v>2009</v>
          </cell>
          <cell r="D1754" t="str">
            <v>MILHO</v>
          </cell>
          <cell r="E1754">
            <v>4180</v>
          </cell>
        </row>
        <row r="1755">
          <cell r="A1755" t="str">
            <v>RS</v>
          </cell>
          <cell r="B1755">
            <v>2009</v>
          </cell>
          <cell r="D1755" t="str">
            <v>MILHO</v>
          </cell>
          <cell r="E1755">
            <v>0</v>
          </cell>
        </row>
        <row r="1756">
          <cell r="A1756" t="str">
            <v>RS</v>
          </cell>
          <cell r="B1756">
            <v>2009</v>
          </cell>
          <cell r="D1756" t="str">
            <v>SOJA</v>
          </cell>
          <cell r="E1756">
            <v>1020</v>
          </cell>
        </row>
        <row r="1757">
          <cell r="A1757" t="str">
            <v>RS</v>
          </cell>
          <cell r="B1757">
            <v>2009</v>
          </cell>
          <cell r="D1757" t="str">
            <v>SOJA</v>
          </cell>
          <cell r="E1757">
            <v>0</v>
          </cell>
        </row>
        <row r="1758">
          <cell r="A1758" t="str">
            <v>MS</v>
          </cell>
          <cell r="B1758">
            <v>2009</v>
          </cell>
          <cell r="D1758" t="str">
            <v>SOJA</v>
          </cell>
          <cell r="E1758">
            <v>3860</v>
          </cell>
        </row>
        <row r="1759">
          <cell r="A1759" t="str">
            <v>MS</v>
          </cell>
          <cell r="B1759">
            <v>2009</v>
          </cell>
          <cell r="D1759" t="str">
            <v>SOJA</v>
          </cell>
          <cell r="E1759">
            <v>1290</v>
          </cell>
        </row>
        <row r="1760">
          <cell r="A1760" t="str">
            <v>MS</v>
          </cell>
          <cell r="B1760">
            <v>2009</v>
          </cell>
          <cell r="D1760" t="str">
            <v>SOJA</v>
          </cell>
          <cell r="E1760">
            <v>1930</v>
          </cell>
        </row>
        <row r="1761">
          <cell r="A1761" t="str">
            <v>MS</v>
          </cell>
          <cell r="B1761">
            <v>2009</v>
          </cell>
          <cell r="D1761" t="str">
            <v>SOJA</v>
          </cell>
          <cell r="E1761">
            <v>0</v>
          </cell>
        </row>
        <row r="1762">
          <cell r="A1762" t="str">
            <v>SC</v>
          </cell>
          <cell r="B1762">
            <v>2009</v>
          </cell>
          <cell r="D1762" t="str">
            <v>MILHO</v>
          </cell>
          <cell r="E1762">
            <v>3820</v>
          </cell>
        </row>
        <row r="1763">
          <cell r="A1763" t="str">
            <v>MT</v>
          </cell>
          <cell r="B1763">
            <v>2009</v>
          </cell>
          <cell r="D1763" t="str">
            <v>SOJA</v>
          </cell>
          <cell r="E1763">
            <v>0</v>
          </cell>
        </row>
        <row r="1764">
          <cell r="A1764" t="str">
            <v>MT</v>
          </cell>
          <cell r="B1764">
            <v>2009</v>
          </cell>
          <cell r="D1764" t="str">
            <v>SOJA</v>
          </cell>
          <cell r="E1764">
            <v>13630</v>
          </cell>
        </row>
        <row r="1765">
          <cell r="A1765" t="str">
            <v>MT</v>
          </cell>
          <cell r="B1765">
            <v>2009</v>
          </cell>
          <cell r="D1765" t="str">
            <v>SOJA</v>
          </cell>
          <cell r="E1765">
            <v>0</v>
          </cell>
        </row>
        <row r="1766">
          <cell r="A1766" t="str">
            <v>MT</v>
          </cell>
          <cell r="B1766">
            <v>2009</v>
          </cell>
          <cell r="D1766" t="str">
            <v>SOJA</v>
          </cell>
          <cell r="E1766">
            <v>12030</v>
          </cell>
        </row>
        <row r="1767">
          <cell r="A1767" t="str">
            <v>PI</v>
          </cell>
          <cell r="B1767">
            <v>2009</v>
          </cell>
          <cell r="D1767" t="str">
            <v>SOJA</v>
          </cell>
          <cell r="E1767">
            <v>90</v>
          </cell>
        </row>
        <row r="1768">
          <cell r="A1768" t="str">
            <v>MT</v>
          </cell>
          <cell r="B1768">
            <v>2009</v>
          </cell>
          <cell r="D1768" t="str">
            <v>SOJA</v>
          </cell>
          <cell r="E1768">
            <v>27110</v>
          </cell>
        </row>
        <row r="1769">
          <cell r="A1769" t="str">
            <v>MT</v>
          </cell>
          <cell r="B1769">
            <v>2009</v>
          </cell>
          <cell r="D1769" t="str">
            <v>SOJA</v>
          </cell>
          <cell r="E1769">
            <v>7620</v>
          </cell>
        </row>
        <row r="1770">
          <cell r="A1770" t="str">
            <v>TO</v>
          </cell>
          <cell r="B1770">
            <v>2009</v>
          </cell>
          <cell r="D1770" t="str">
            <v>SOJA</v>
          </cell>
          <cell r="E1770">
            <v>9040</v>
          </cell>
        </row>
        <row r="1771">
          <cell r="A1771" t="str">
            <v>MA</v>
          </cell>
          <cell r="B1771">
            <v>2009</v>
          </cell>
          <cell r="D1771" t="str">
            <v>SOJA</v>
          </cell>
          <cell r="E1771">
            <v>3610</v>
          </cell>
        </row>
        <row r="1772">
          <cell r="A1772" t="str">
            <v>RS</v>
          </cell>
          <cell r="B1772">
            <v>2009</v>
          </cell>
          <cell r="D1772" t="str">
            <v>MILHO</v>
          </cell>
          <cell r="E1772">
            <v>0</v>
          </cell>
        </row>
        <row r="1773">
          <cell r="A1773" t="str">
            <v>RS</v>
          </cell>
          <cell r="B1773">
            <v>2009</v>
          </cell>
          <cell r="D1773" t="str">
            <v>SOJA</v>
          </cell>
          <cell r="E1773">
            <v>5090</v>
          </cell>
        </row>
        <row r="1774">
          <cell r="A1774" t="str">
            <v>RS</v>
          </cell>
          <cell r="B1774">
            <v>2009</v>
          </cell>
          <cell r="D1774" t="str">
            <v>SOJA</v>
          </cell>
          <cell r="E1774">
            <v>10180</v>
          </cell>
        </row>
        <row r="1775">
          <cell r="A1775" t="str">
            <v>RS</v>
          </cell>
          <cell r="B1775">
            <v>2009</v>
          </cell>
          <cell r="D1775" t="str">
            <v>SOJA</v>
          </cell>
          <cell r="E1775">
            <v>0</v>
          </cell>
        </row>
        <row r="1776">
          <cell r="A1776" t="str">
            <v>MT</v>
          </cell>
          <cell r="B1776">
            <v>2009</v>
          </cell>
          <cell r="D1776" t="str">
            <v>SOJA</v>
          </cell>
          <cell r="E1776">
            <v>23810</v>
          </cell>
        </row>
        <row r="1777">
          <cell r="A1777" t="str">
            <v>MT</v>
          </cell>
          <cell r="B1777">
            <v>2009</v>
          </cell>
          <cell r="D1777" t="str">
            <v>SOJA</v>
          </cell>
          <cell r="E1777">
            <v>13600</v>
          </cell>
        </row>
        <row r="1778">
          <cell r="A1778" t="str">
            <v>MT</v>
          </cell>
          <cell r="B1778">
            <v>2009</v>
          </cell>
          <cell r="D1778" t="str">
            <v>SOJA</v>
          </cell>
          <cell r="E1778">
            <v>10580</v>
          </cell>
        </row>
        <row r="1779">
          <cell r="A1779" t="str">
            <v>MT</v>
          </cell>
          <cell r="B1779">
            <v>2009</v>
          </cell>
          <cell r="D1779" t="str">
            <v>SOJA</v>
          </cell>
          <cell r="E1779">
            <v>28570</v>
          </cell>
        </row>
        <row r="1780">
          <cell r="A1780" t="str">
            <v>BA</v>
          </cell>
          <cell r="B1780">
            <v>2009</v>
          </cell>
          <cell r="D1780" t="str">
            <v>SOJA</v>
          </cell>
          <cell r="E1780">
            <v>7700</v>
          </cell>
        </row>
        <row r="1781">
          <cell r="A1781" t="str">
            <v>PI</v>
          </cell>
          <cell r="B1781">
            <v>2009</v>
          </cell>
          <cell r="D1781" t="str">
            <v>SOJA</v>
          </cell>
          <cell r="E1781">
            <v>40</v>
          </cell>
        </row>
        <row r="1782">
          <cell r="A1782" t="str">
            <v>GO</v>
          </cell>
          <cell r="B1782">
            <v>2009</v>
          </cell>
          <cell r="D1782" t="str">
            <v>SOJA</v>
          </cell>
          <cell r="E1782">
            <v>0</v>
          </cell>
        </row>
        <row r="1783">
          <cell r="A1783" t="str">
            <v>GO</v>
          </cell>
          <cell r="B1783">
            <v>2009</v>
          </cell>
          <cell r="D1783" t="str">
            <v>SOJA</v>
          </cell>
          <cell r="E1783">
            <v>31270</v>
          </cell>
        </row>
        <row r="1784">
          <cell r="A1784" t="str">
            <v>TO</v>
          </cell>
          <cell r="B1784">
            <v>2009</v>
          </cell>
          <cell r="D1784" t="str">
            <v>SOJA</v>
          </cell>
          <cell r="E1784">
            <v>0</v>
          </cell>
        </row>
        <row r="1785">
          <cell r="A1785" t="str">
            <v>TO</v>
          </cell>
          <cell r="B1785">
            <v>2009</v>
          </cell>
          <cell r="D1785" t="str">
            <v>SOJA</v>
          </cell>
          <cell r="E1785">
            <v>10840</v>
          </cell>
        </row>
        <row r="1786">
          <cell r="A1786" t="str">
            <v>MA</v>
          </cell>
          <cell r="B1786">
            <v>2009</v>
          </cell>
          <cell r="D1786" t="str">
            <v>SOJA</v>
          </cell>
          <cell r="E1786">
            <v>450</v>
          </cell>
        </row>
        <row r="1787">
          <cell r="A1787" t="str">
            <v>GO</v>
          </cell>
          <cell r="B1787">
            <v>2009</v>
          </cell>
          <cell r="D1787" t="str">
            <v>SOJA</v>
          </cell>
          <cell r="E1787">
            <v>5880</v>
          </cell>
        </row>
        <row r="1788">
          <cell r="A1788" t="str">
            <v>GO</v>
          </cell>
          <cell r="B1788">
            <v>2009</v>
          </cell>
          <cell r="D1788" t="str">
            <v>SOJA</v>
          </cell>
          <cell r="E1788">
            <v>0</v>
          </cell>
        </row>
        <row r="1789">
          <cell r="A1789" t="str">
            <v>GO</v>
          </cell>
          <cell r="B1789">
            <v>2009</v>
          </cell>
          <cell r="D1789" t="str">
            <v>SOJA</v>
          </cell>
          <cell r="E1789">
            <v>6710</v>
          </cell>
        </row>
        <row r="1790">
          <cell r="A1790" t="str">
            <v>MA</v>
          </cell>
          <cell r="B1790">
            <v>2009</v>
          </cell>
          <cell r="D1790" t="str">
            <v>SOJA</v>
          </cell>
          <cell r="E1790">
            <v>1810</v>
          </cell>
        </row>
        <row r="1791">
          <cell r="A1791" t="str">
            <v>PR</v>
          </cell>
          <cell r="B1791">
            <v>2009</v>
          </cell>
          <cell r="D1791" t="str">
            <v>MILHO</v>
          </cell>
          <cell r="E1791">
            <v>5590</v>
          </cell>
        </row>
        <row r="1792">
          <cell r="A1792" t="str">
            <v>PR</v>
          </cell>
          <cell r="B1792">
            <v>2009</v>
          </cell>
          <cell r="D1792" t="str">
            <v>MILHO</v>
          </cell>
          <cell r="E1792">
            <v>0</v>
          </cell>
        </row>
        <row r="1793">
          <cell r="A1793" t="str">
            <v>PR</v>
          </cell>
          <cell r="B1793">
            <v>2009</v>
          </cell>
          <cell r="D1793" t="str">
            <v>SOJA</v>
          </cell>
          <cell r="E1793">
            <v>8600</v>
          </cell>
        </row>
        <row r="1794">
          <cell r="A1794" t="str">
            <v>PR</v>
          </cell>
          <cell r="B1794">
            <v>2009</v>
          </cell>
          <cell r="D1794" t="str">
            <v>SOJA</v>
          </cell>
          <cell r="E1794">
            <v>0</v>
          </cell>
        </row>
        <row r="1795">
          <cell r="A1795" t="str">
            <v>TO</v>
          </cell>
          <cell r="B1795">
            <v>2009</v>
          </cell>
          <cell r="D1795" t="str">
            <v>SOJA</v>
          </cell>
          <cell r="E1795">
            <v>9040</v>
          </cell>
        </row>
        <row r="1796">
          <cell r="A1796" t="str">
            <v>PI</v>
          </cell>
          <cell r="B1796">
            <v>2009</v>
          </cell>
          <cell r="D1796" t="str">
            <v>SOJA</v>
          </cell>
          <cell r="E1796">
            <v>90</v>
          </cell>
        </row>
        <row r="1797">
          <cell r="A1797" t="str">
            <v>MA</v>
          </cell>
          <cell r="B1797">
            <v>2009</v>
          </cell>
          <cell r="D1797" t="str">
            <v>SOJA</v>
          </cell>
          <cell r="E1797">
            <v>2710</v>
          </cell>
        </row>
        <row r="1798">
          <cell r="A1798" t="str">
            <v>MA</v>
          </cell>
          <cell r="B1798">
            <v>2009</v>
          </cell>
          <cell r="D1798" t="str">
            <v>SOJA</v>
          </cell>
          <cell r="E1798">
            <v>4520</v>
          </cell>
        </row>
        <row r="1799">
          <cell r="A1799" t="str">
            <v>PR</v>
          </cell>
          <cell r="B1799">
            <v>2009</v>
          </cell>
          <cell r="D1799" t="str">
            <v>MILHO</v>
          </cell>
          <cell r="E1799">
            <v>7190</v>
          </cell>
        </row>
        <row r="1800">
          <cell r="A1800" t="str">
            <v>PR</v>
          </cell>
          <cell r="B1800">
            <v>2009</v>
          </cell>
          <cell r="D1800" t="str">
            <v>MILHO</v>
          </cell>
          <cell r="E1800">
            <v>0</v>
          </cell>
        </row>
        <row r="1801">
          <cell r="A1801" t="str">
            <v>PR</v>
          </cell>
          <cell r="B1801">
            <v>2009</v>
          </cell>
          <cell r="D1801" t="str">
            <v>SOJA</v>
          </cell>
          <cell r="E1801">
            <v>6450</v>
          </cell>
        </row>
        <row r="1802">
          <cell r="A1802" t="str">
            <v>PR</v>
          </cell>
          <cell r="B1802">
            <v>2009</v>
          </cell>
          <cell r="D1802" t="str">
            <v>MILHO</v>
          </cell>
          <cell r="E1802">
            <v>0</v>
          </cell>
        </row>
        <row r="1803">
          <cell r="A1803" t="str">
            <v>PR</v>
          </cell>
          <cell r="B1803">
            <v>2009</v>
          </cell>
          <cell r="D1803" t="str">
            <v>MILHO</v>
          </cell>
          <cell r="E1803">
            <v>3990</v>
          </cell>
        </row>
        <row r="1804">
          <cell r="A1804" t="str">
            <v>PR</v>
          </cell>
          <cell r="B1804">
            <v>2009</v>
          </cell>
          <cell r="D1804" t="str">
            <v>SOJA</v>
          </cell>
          <cell r="E1804">
            <v>4730</v>
          </cell>
        </row>
        <row r="1805">
          <cell r="A1805" t="str">
            <v>PR</v>
          </cell>
          <cell r="B1805">
            <v>2009</v>
          </cell>
          <cell r="D1805" t="str">
            <v>MILHO</v>
          </cell>
          <cell r="E1805">
            <v>0</v>
          </cell>
        </row>
        <row r="1806">
          <cell r="A1806" t="str">
            <v>PR</v>
          </cell>
          <cell r="B1806">
            <v>2009</v>
          </cell>
          <cell r="D1806" t="str">
            <v>MILHO</v>
          </cell>
          <cell r="E1806">
            <v>5190</v>
          </cell>
        </row>
        <row r="1807">
          <cell r="A1807" t="str">
            <v>PR</v>
          </cell>
          <cell r="B1807">
            <v>2009</v>
          </cell>
          <cell r="D1807" t="str">
            <v>SOJA</v>
          </cell>
          <cell r="E1807">
            <v>2580</v>
          </cell>
        </row>
        <row r="1808">
          <cell r="A1808" t="str">
            <v>MG</v>
          </cell>
          <cell r="B1808">
            <v>2009</v>
          </cell>
          <cell r="D1808" t="str">
            <v>MILHO</v>
          </cell>
          <cell r="E1808">
            <v>820</v>
          </cell>
        </row>
        <row r="1809">
          <cell r="A1809" t="str">
            <v>MG</v>
          </cell>
          <cell r="B1809">
            <v>2009</v>
          </cell>
          <cell r="D1809" t="str">
            <v>MILHO</v>
          </cell>
          <cell r="E1809">
            <v>820</v>
          </cell>
        </row>
        <row r="1810">
          <cell r="A1810" t="str">
            <v>MG</v>
          </cell>
          <cell r="B1810">
            <v>2009</v>
          </cell>
          <cell r="D1810" t="str">
            <v>MILHO</v>
          </cell>
          <cell r="E1810">
            <v>1640</v>
          </cell>
        </row>
        <row r="1811">
          <cell r="A1811" t="str">
            <v>MG</v>
          </cell>
          <cell r="B1811">
            <v>2009</v>
          </cell>
          <cell r="D1811" t="str">
            <v>MILHO</v>
          </cell>
          <cell r="E1811">
            <v>4100</v>
          </cell>
        </row>
        <row r="1812">
          <cell r="A1812" t="str">
            <v>MG</v>
          </cell>
          <cell r="B1812">
            <v>2009</v>
          </cell>
          <cell r="D1812" t="str">
            <v>MILHO</v>
          </cell>
          <cell r="E1812">
            <v>8200</v>
          </cell>
        </row>
        <row r="1813">
          <cell r="A1813" t="str">
            <v>MG</v>
          </cell>
          <cell r="B1813">
            <v>2009</v>
          </cell>
          <cell r="D1813" t="str">
            <v>SOJA</v>
          </cell>
          <cell r="E1813">
            <v>790</v>
          </cell>
        </row>
        <row r="1814">
          <cell r="A1814" t="str">
            <v>MG</v>
          </cell>
          <cell r="B1814">
            <v>2009</v>
          </cell>
          <cell r="D1814" t="str">
            <v>SOJA</v>
          </cell>
          <cell r="E1814">
            <v>1570</v>
          </cell>
        </row>
        <row r="1815">
          <cell r="A1815" t="str">
            <v>MG</v>
          </cell>
          <cell r="B1815">
            <v>2009</v>
          </cell>
          <cell r="D1815" t="str">
            <v>SOJA</v>
          </cell>
          <cell r="E1815">
            <v>1570</v>
          </cell>
        </row>
        <row r="1816">
          <cell r="A1816" t="str">
            <v>MG</v>
          </cell>
          <cell r="B1816">
            <v>2009</v>
          </cell>
          <cell r="D1816" t="str">
            <v>SOJA</v>
          </cell>
          <cell r="E1816">
            <v>1570</v>
          </cell>
        </row>
        <row r="1817">
          <cell r="A1817" t="str">
            <v>MG</v>
          </cell>
          <cell r="B1817">
            <v>2009</v>
          </cell>
          <cell r="D1817" t="str">
            <v>SOJA</v>
          </cell>
          <cell r="E1817">
            <v>1570</v>
          </cell>
        </row>
        <row r="1818">
          <cell r="A1818" t="str">
            <v>MG</v>
          </cell>
          <cell r="B1818">
            <v>2009</v>
          </cell>
          <cell r="D1818" t="str">
            <v>SOJA</v>
          </cell>
          <cell r="E1818">
            <v>15730</v>
          </cell>
        </row>
        <row r="1819">
          <cell r="A1819" t="str">
            <v>MG</v>
          </cell>
          <cell r="B1819">
            <v>2009</v>
          </cell>
          <cell r="D1819" t="str">
            <v>SOJA</v>
          </cell>
          <cell r="E1819">
            <v>1000</v>
          </cell>
        </row>
        <row r="1820">
          <cell r="A1820" t="str">
            <v>GO</v>
          </cell>
          <cell r="B1820">
            <v>2009</v>
          </cell>
          <cell r="D1820" t="str">
            <v>MILHO</v>
          </cell>
          <cell r="E1820">
            <v>0</v>
          </cell>
        </row>
        <row r="1821">
          <cell r="A1821" t="str">
            <v>GO</v>
          </cell>
          <cell r="B1821">
            <v>2009</v>
          </cell>
          <cell r="D1821" t="str">
            <v>SOJA</v>
          </cell>
          <cell r="E1821">
            <v>7820</v>
          </cell>
        </row>
        <row r="1822">
          <cell r="A1822" t="str">
            <v>PR</v>
          </cell>
          <cell r="B1822">
            <v>2009</v>
          </cell>
          <cell r="D1822" t="str">
            <v>MILHO</v>
          </cell>
          <cell r="E1822">
            <v>24750</v>
          </cell>
        </row>
        <row r="1823">
          <cell r="A1823" t="str">
            <v>PR</v>
          </cell>
          <cell r="B1823">
            <v>2009</v>
          </cell>
          <cell r="D1823" t="str">
            <v>MILHO</v>
          </cell>
          <cell r="E1823">
            <v>0</v>
          </cell>
        </row>
        <row r="1824">
          <cell r="A1824" t="str">
            <v>PR</v>
          </cell>
          <cell r="B1824">
            <v>2009</v>
          </cell>
          <cell r="D1824" t="str">
            <v>SOJA</v>
          </cell>
          <cell r="E1824">
            <v>0</v>
          </cell>
        </row>
        <row r="1825">
          <cell r="A1825" t="str">
            <v>PR</v>
          </cell>
          <cell r="B1825">
            <v>2009</v>
          </cell>
          <cell r="D1825" t="str">
            <v>SOJA</v>
          </cell>
          <cell r="E1825">
            <v>52460</v>
          </cell>
        </row>
        <row r="1826">
          <cell r="A1826" t="str">
            <v>PR</v>
          </cell>
          <cell r="B1826">
            <v>2009</v>
          </cell>
          <cell r="D1826" t="str">
            <v>MILHO</v>
          </cell>
          <cell r="E1826">
            <v>6390</v>
          </cell>
        </row>
        <row r="1827">
          <cell r="A1827" t="str">
            <v>PR</v>
          </cell>
          <cell r="B1827">
            <v>2009</v>
          </cell>
          <cell r="D1827" t="str">
            <v>MILHO</v>
          </cell>
          <cell r="E1827">
            <v>0</v>
          </cell>
        </row>
        <row r="1828">
          <cell r="A1828" t="str">
            <v>PR</v>
          </cell>
          <cell r="B1828">
            <v>2009</v>
          </cell>
          <cell r="D1828" t="str">
            <v>SOJA</v>
          </cell>
          <cell r="E1828">
            <v>0</v>
          </cell>
        </row>
        <row r="1829">
          <cell r="A1829" t="str">
            <v>PR</v>
          </cell>
          <cell r="B1829">
            <v>2009</v>
          </cell>
          <cell r="D1829" t="str">
            <v>SOJA</v>
          </cell>
          <cell r="E1829">
            <v>8600</v>
          </cell>
        </row>
        <row r="1830">
          <cell r="A1830" t="str">
            <v>PR</v>
          </cell>
          <cell r="B1830">
            <v>2009</v>
          </cell>
          <cell r="D1830" t="str">
            <v>MILHO</v>
          </cell>
          <cell r="E1830">
            <v>7980</v>
          </cell>
        </row>
        <row r="1831">
          <cell r="A1831" t="str">
            <v>PR</v>
          </cell>
          <cell r="B1831">
            <v>2009</v>
          </cell>
          <cell r="D1831" t="str">
            <v>MILHO</v>
          </cell>
          <cell r="E1831">
            <v>0</v>
          </cell>
        </row>
        <row r="1832">
          <cell r="A1832" t="str">
            <v>PR</v>
          </cell>
          <cell r="B1832">
            <v>2009</v>
          </cell>
          <cell r="D1832" t="str">
            <v>SOJA</v>
          </cell>
          <cell r="E1832">
            <v>17200</v>
          </cell>
        </row>
        <row r="1833">
          <cell r="A1833" t="str">
            <v>PR</v>
          </cell>
          <cell r="B1833">
            <v>2009</v>
          </cell>
          <cell r="D1833" t="str">
            <v>MILHO</v>
          </cell>
          <cell r="E1833">
            <v>0</v>
          </cell>
        </row>
        <row r="1834">
          <cell r="A1834" t="str">
            <v>PR</v>
          </cell>
          <cell r="B1834">
            <v>2009</v>
          </cell>
          <cell r="D1834" t="str">
            <v>MILHO</v>
          </cell>
          <cell r="E1834">
            <v>7980</v>
          </cell>
        </row>
        <row r="1835">
          <cell r="A1835" t="str">
            <v>PR</v>
          </cell>
          <cell r="B1835">
            <v>2009</v>
          </cell>
          <cell r="D1835" t="str">
            <v>SOJA</v>
          </cell>
          <cell r="E1835">
            <v>8600</v>
          </cell>
        </row>
        <row r="1836">
          <cell r="A1836" t="str">
            <v>RS</v>
          </cell>
          <cell r="B1836">
            <v>2009</v>
          </cell>
          <cell r="D1836" t="str">
            <v>MILHO</v>
          </cell>
          <cell r="E1836">
            <v>0</v>
          </cell>
        </row>
        <row r="1837">
          <cell r="A1837" t="str">
            <v>RS</v>
          </cell>
          <cell r="B1837">
            <v>2009</v>
          </cell>
          <cell r="D1837" t="str">
            <v>SOJA</v>
          </cell>
          <cell r="E1837">
            <v>0</v>
          </cell>
        </row>
        <row r="1838">
          <cell r="A1838" t="str">
            <v>RS</v>
          </cell>
          <cell r="B1838">
            <v>2009</v>
          </cell>
          <cell r="D1838" t="str">
            <v>SOJA</v>
          </cell>
          <cell r="E1838">
            <v>0</v>
          </cell>
        </row>
        <row r="1839">
          <cell r="A1839" t="str">
            <v>PR</v>
          </cell>
          <cell r="B1839">
            <v>2009</v>
          </cell>
          <cell r="D1839" t="str">
            <v>MILHO</v>
          </cell>
          <cell r="E1839">
            <v>3990</v>
          </cell>
        </row>
        <row r="1840">
          <cell r="A1840" t="str">
            <v>PR</v>
          </cell>
          <cell r="B1840">
            <v>2009</v>
          </cell>
          <cell r="D1840" t="str">
            <v>MILHO</v>
          </cell>
          <cell r="E1840">
            <v>0</v>
          </cell>
        </row>
        <row r="1841">
          <cell r="A1841" t="str">
            <v>PR</v>
          </cell>
          <cell r="B1841">
            <v>2009</v>
          </cell>
          <cell r="D1841" t="str">
            <v>SOJA</v>
          </cell>
          <cell r="E1841">
            <v>2580</v>
          </cell>
        </row>
        <row r="1842">
          <cell r="A1842" t="str">
            <v>PR</v>
          </cell>
          <cell r="B1842">
            <v>2009</v>
          </cell>
          <cell r="D1842" t="str">
            <v>SOJA</v>
          </cell>
          <cell r="E1842">
            <v>0</v>
          </cell>
        </row>
        <row r="1843">
          <cell r="A1843" t="str">
            <v>MT</v>
          </cell>
          <cell r="B1843">
            <v>2009</v>
          </cell>
          <cell r="D1843" t="str">
            <v>SOJA</v>
          </cell>
          <cell r="E1843">
            <v>22590</v>
          </cell>
        </row>
        <row r="1844">
          <cell r="A1844" t="str">
            <v>MT</v>
          </cell>
          <cell r="B1844">
            <v>2009</v>
          </cell>
          <cell r="D1844" t="str">
            <v>SOJA</v>
          </cell>
          <cell r="E1844">
            <v>9520</v>
          </cell>
        </row>
        <row r="1845">
          <cell r="A1845" t="str">
            <v>BA</v>
          </cell>
          <cell r="B1845">
            <v>2009</v>
          </cell>
          <cell r="D1845" t="str">
            <v>SOJA</v>
          </cell>
          <cell r="E1845">
            <v>5780</v>
          </cell>
        </row>
        <row r="1846">
          <cell r="A1846" t="str">
            <v>MT</v>
          </cell>
          <cell r="B1846">
            <v>2009</v>
          </cell>
          <cell r="D1846" t="str">
            <v>SOJA</v>
          </cell>
          <cell r="E1846">
            <v>2860</v>
          </cell>
        </row>
        <row r="1847">
          <cell r="A1847" t="str">
            <v>MT</v>
          </cell>
          <cell r="B1847">
            <v>2009</v>
          </cell>
          <cell r="D1847" t="str">
            <v>SOJA</v>
          </cell>
          <cell r="E1847">
            <v>38100</v>
          </cell>
        </row>
        <row r="1848">
          <cell r="A1848" t="str">
            <v>MT</v>
          </cell>
          <cell r="B1848">
            <v>2009</v>
          </cell>
          <cell r="D1848" t="str">
            <v>SOJA</v>
          </cell>
          <cell r="E1848">
            <v>45320</v>
          </cell>
        </row>
        <row r="1849">
          <cell r="A1849" t="str">
            <v>MT</v>
          </cell>
          <cell r="B1849">
            <v>2009</v>
          </cell>
          <cell r="D1849" t="str">
            <v>SOJA</v>
          </cell>
          <cell r="E1849">
            <v>0</v>
          </cell>
        </row>
        <row r="1850">
          <cell r="A1850" t="str">
            <v>BA</v>
          </cell>
          <cell r="B1850">
            <v>2009</v>
          </cell>
          <cell r="D1850" t="str">
            <v>SOJA</v>
          </cell>
          <cell r="E1850">
            <v>9630</v>
          </cell>
        </row>
        <row r="1851">
          <cell r="A1851" t="str">
            <v>RS</v>
          </cell>
          <cell r="B1851">
            <v>2009</v>
          </cell>
          <cell r="D1851" t="str">
            <v>SOJA</v>
          </cell>
          <cell r="E1851">
            <v>510</v>
          </cell>
        </row>
        <row r="1852">
          <cell r="A1852" t="str">
            <v>RS</v>
          </cell>
          <cell r="B1852">
            <v>2009</v>
          </cell>
          <cell r="D1852" t="str">
            <v>MILHO</v>
          </cell>
          <cell r="E1852">
            <v>0</v>
          </cell>
        </row>
        <row r="1853">
          <cell r="A1853" t="str">
            <v>RS</v>
          </cell>
          <cell r="B1853">
            <v>2009</v>
          </cell>
          <cell r="D1853" t="str">
            <v>SOJA</v>
          </cell>
          <cell r="E1853">
            <v>18330</v>
          </cell>
        </row>
        <row r="1854">
          <cell r="A1854" t="str">
            <v>RS</v>
          </cell>
          <cell r="B1854">
            <v>2009</v>
          </cell>
          <cell r="D1854" t="str">
            <v>MILHO</v>
          </cell>
          <cell r="E1854">
            <v>0</v>
          </cell>
        </row>
        <row r="1855">
          <cell r="A1855" t="str">
            <v>RS</v>
          </cell>
          <cell r="B1855">
            <v>2009</v>
          </cell>
          <cell r="D1855" t="str">
            <v>MILHO</v>
          </cell>
          <cell r="E1855">
            <v>6270</v>
          </cell>
        </row>
        <row r="1856">
          <cell r="A1856" t="str">
            <v>RS</v>
          </cell>
          <cell r="B1856">
            <v>2009</v>
          </cell>
          <cell r="D1856" t="str">
            <v>SOJA</v>
          </cell>
          <cell r="E1856">
            <v>5090</v>
          </cell>
        </row>
        <row r="1857">
          <cell r="A1857" t="str">
            <v>RS</v>
          </cell>
          <cell r="B1857">
            <v>2009</v>
          </cell>
          <cell r="D1857" t="str">
            <v>SOJA</v>
          </cell>
          <cell r="E1857">
            <v>0</v>
          </cell>
        </row>
        <row r="1858">
          <cell r="A1858" t="str">
            <v>RS</v>
          </cell>
          <cell r="B1858">
            <v>2009</v>
          </cell>
          <cell r="D1858" t="str">
            <v>MILHO</v>
          </cell>
          <cell r="E1858">
            <v>0</v>
          </cell>
        </row>
        <row r="1859">
          <cell r="A1859" t="str">
            <v>RS</v>
          </cell>
          <cell r="B1859">
            <v>2009</v>
          </cell>
          <cell r="D1859" t="str">
            <v>SOJA</v>
          </cell>
          <cell r="E1859">
            <v>5090</v>
          </cell>
        </row>
        <row r="1860">
          <cell r="A1860" t="str">
            <v>RS</v>
          </cell>
          <cell r="B1860">
            <v>2009</v>
          </cell>
          <cell r="D1860" t="str">
            <v>SOJA</v>
          </cell>
          <cell r="E1860">
            <v>0</v>
          </cell>
        </row>
        <row r="1861">
          <cell r="A1861" t="str">
            <v>PR</v>
          </cell>
          <cell r="B1861">
            <v>2009</v>
          </cell>
          <cell r="D1861" t="str">
            <v>MILHO</v>
          </cell>
          <cell r="E1861">
            <v>0</v>
          </cell>
        </row>
        <row r="1862">
          <cell r="A1862" t="str">
            <v>PR</v>
          </cell>
          <cell r="B1862">
            <v>2009</v>
          </cell>
          <cell r="D1862" t="str">
            <v>SOJA</v>
          </cell>
          <cell r="E1862">
            <v>13100</v>
          </cell>
        </row>
        <row r="1863">
          <cell r="A1863" t="str">
            <v>PR</v>
          </cell>
          <cell r="B1863">
            <v>2009</v>
          </cell>
          <cell r="D1863" t="str">
            <v>MILHO</v>
          </cell>
          <cell r="E1863">
            <v>0</v>
          </cell>
        </row>
        <row r="1864">
          <cell r="A1864" t="str">
            <v>PR</v>
          </cell>
          <cell r="B1864">
            <v>2009</v>
          </cell>
          <cell r="D1864" t="str">
            <v>SOJA</v>
          </cell>
          <cell r="E1864">
            <v>15720</v>
          </cell>
        </row>
        <row r="1865">
          <cell r="A1865" t="str">
            <v>PR</v>
          </cell>
          <cell r="B1865">
            <v>2009</v>
          </cell>
          <cell r="D1865" t="str">
            <v>MILHO</v>
          </cell>
          <cell r="E1865">
            <v>0</v>
          </cell>
        </row>
        <row r="1866">
          <cell r="A1866" t="str">
            <v>PR</v>
          </cell>
          <cell r="B1866">
            <v>2009</v>
          </cell>
          <cell r="D1866" t="str">
            <v>SOJA</v>
          </cell>
          <cell r="E1866">
            <v>20970</v>
          </cell>
        </row>
        <row r="1867">
          <cell r="A1867" t="str">
            <v>PR</v>
          </cell>
          <cell r="B1867">
            <v>2009</v>
          </cell>
          <cell r="D1867" t="str">
            <v>MILHO</v>
          </cell>
          <cell r="E1867">
            <v>0</v>
          </cell>
        </row>
        <row r="1868">
          <cell r="A1868" t="str">
            <v>PR</v>
          </cell>
          <cell r="B1868">
            <v>2009</v>
          </cell>
          <cell r="D1868" t="str">
            <v>SOJA</v>
          </cell>
          <cell r="E1868">
            <v>20970</v>
          </cell>
        </row>
        <row r="1869">
          <cell r="A1869" t="str">
            <v>SP</v>
          </cell>
          <cell r="B1869">
            <v>2009</v>
          </cell>
          <cell r="D1869" t="str">
            <v>MILHO</v>
          </cell>
          <cell r="E1869">
            <v>2390</v>
          </cell>
        </row>
        <row r="1870">
          <cell r="A1870" t="str">
            <v>SP</v>
          </cell>
          <cell r="B1870">
            <v>2009</v>
          </cell>
          <cell r="D1870" t="str">
            <v>MILHO</v>
          </cell>
          <cell r="E1870">
            <v>0</v>
          </cell>
        </row>
        <row r="1871">
          <cell r="A1871" t="str">
            <v>PR</v>
          </cell>
          <cell r="B1871">
            <v>2009</v>
          </cell>
          <cell r="D1871" t="str">
            <v>MILHO</v>
          </cell>
          <cell r="E1871">
            <v>0</v>
          </cell>
        </row>
        <row r="1872">
          <cell r="A1872" t="str">
            <v>PR</v>
          </cell>
          <cell r="B1872">
            <v>2009</v>
          </cell>
          <cell r="D1872" t="str">
            <v>SOJA</v>
          </cell>
          <cell r="E1872">
            <v>13100</v>
          </cell>
        </row>
        <row r="1873">
          <cell r="A1873" t="str">
            <v>PR</v>
          </cell>
          <cell r="B1873">
            <v>2009</v>
          </cell>
          <cell r="D1873" t="str">
            <v>SOJA</v>
          </cell>
          <cell r="E1873">
            <v>30580</v>
          </cell>
        </row>
        <row r="1874">
          <cell r="A1874" t="str">
            <v>PR</v>
          </cell>
          <cell r="B1874">
            <v>2009</v>
          </cell>
          <cell r="D1874" t="str">
            <v>SOJA</v>
          </cell>
          <cell r="E1874">
            <v>0</v>
          </cell>
        </row>
        <row r="1875">
          <cell r="A1875" t="str">
            <v>MT</v>
          </cell>
          <cell r="B1875">
            <v>2009</v>
          </cell>
          <cell r="D1875" t="str">
            <v>SOJA</v>
          </cell>
          <cell r="E1875">
            <v>0</v>
          </cell>
        </row>
        <row r="1876">
          <cell r="A1876" t="str">
            <v>MT</v>
          </cell>
          <cell r="B1876">
            <v>2009</v>
          </cell>
          <cell r="D1876" t="str">
            <v>SOJA</v>
          </cell>
          <cell r="E1876">
            <v>48110</v>
          </cell>
        </row>
        <row r="1877">
          <cell r="A1877" t="str">
            <v>MT</v>
          </cell>
          <cell r="B1877">
            <v>2009</v>
          </cell>
          <cell r="D1877" t="str">
            <v>SOJA</v>
          </cell>
          <cell r="E1877">
            <v>0</v>
          </cell>
        </row>
        <row r="1878">
          <cell r="A1878" t="str">
            <v>MT</v>
          </cell>
          <cell r="B1878">
            <v>2009</v>
          </cell>
          <cell r="D1878" t="str">
            <v>SOJA</v>
          </cell>
          <cell r="E1878">
            <v>24050</v>
          </cell>
        </row>
        <row r="1879">
          <cell r="A1879" t="str">
            <v>MT</v>
          </cell>
          <cell r="B1879">
            <v>2009</v>
          </cell>
          <cell r="D1879" t="str">
            <v>SOJA</v>
          </cell>
          <cell r="E1879">
            <v>0</v>
          </cell>
        </row>
        <row r="1880">
          <cell r="A1880" t="str">
            <v>MT</v>
          </cell>
          <cell r="B1880">
            <v>2009</v>
          </cell>
          <cell r="D1880" t="str">
            <v>SOJA</v>
          </cell>
          <cell r="E1880">
            <v>15230</v>
          </cell>
        </row>
        <row r="1881">
          <cell r="A1881" t="str">
            <v>MS</v>
          </cell>
          <cell r="B1881">
            <v>2009</v>
          </cell>
          <cell r="D1881" t="str">
            <v>SOJA</v>
          </cell>
          <cell r="E1881">
            <v>11720</v>
          </cell>
        </row>
        <row r="1882">
          <cell r="A1882" t="str">
            <v>MS</v>
          </cell>
          <cell r="B1882">
            <v>2009</v>
          </cell>
          <cell r="D1882" t="str">
            <v>SOJA</v>
          </cell>
          <cell r="E1882">
            <v>0</v>
          </cell>
        </row>
        <row r="1883">
          <cell r="A1883" t="str">
            <v>PR</v>
          </cell>
          <cell r="B1883">
            <v>2009</v>
          </cell>
          <cell r="D1883" t="str">
            <v>MILHO</v>
          </cell>
          <cell r="E1883">
            <v>12770</v>
          </cell>
        </row>
        <row r="1884">
          <cell r="A1884" t="str">
            <v>PR</v>
          </cell>
          <cell r="B1884">
            <v>2009</v>
          </cell>
          <cell r="D1884" t="str">
            <v>MILHO</v>
          </cell>
          <cell r="E1884">
            <v>0</v>
          </cell>
        </row>
        <row r="1885">
          <cell r="A1885" t="str">
            <v>PR</v>
          </cell>
          <cell r="B1885">
            <v>2009</v>
          </cell>
          <cell r="D1885" t="str">
            <v>SOJA</v>
          </cell>
          <cell r="E1885">
            <v>0</v>
          </cell>
        </row>
        <row r="1886">
          <cell r="A1886" t="str">
            <v>PR</v>
          </cell>
          <cell r="B1886">
            <v>2009</v>
          </cell>
          <cell r="D1886" t="str">
            <v>SOJA</v>
          </cell>
          <cell r="E1886">
            <v>34400</v>
          </cell>
        </row>
        <row r="1887">
          <cell r="A1887" t="str">
            <v>PR</v>
          </cell>
          <cell r="B1887">
            <v>2009</v>
          </cell>
          <cell r="D1887" t="str">
            <v>MILHO</v>
          </cell>
          <cell r="E1887">
            <v>7180</v>
          </cell>
        </row>
        <row r="1888">
          <cell r="A1888" t="str">
            <v>PR</v>
          </cell>
          <cell r="B1888">
            <v>2009</v>
          </cell>
          <cell r="D1888" t="str">
            <v>MILHO</v>
          </cell>
          <cell r="E1888">
            <v>0</v>
          </cell>
        </row>
        <row r="1889">
          <cell r="A1889" t="str">
            <v>PR</v>
          </cell>
          <cell r="B1889">
            <v>2009</v>
          </cell>
          <cell r="D1889" t="str">
            <v>MILHO</v>
          </cell>
          <cell r="E1889">
            <v>7980</v>
          </cell>
        </row>
        <row r="1890">
          <cell r="A1890" t="str">
            <v>PR</v>
          </cell>
          <cell r="B1890">
            <v>2009</v>
          </cell>
          <cell r="D1890" t="str">
            <v>SOJA</v>
          </cell>
          <cell r="E1890">
            <v>0</v>
          </cell>
        </row>
        <row r="1891">
          <cell r="A1891" t="str">
            <v>PR</v>
          </cell>
          <cell r="B1891">
            <v>2009</v>
          </cell>
          <cell r="D1891" t="str">
            <v>SOJA</v>
          </cell>
          <cell r="E1891">
            <v>18920</v>
          </cell>
        </row>
        <row r="1892">
          <cell r="A1892" t="str">
            <v>BA</v>
          </cell>
          <cell r="B1892">
            <v>2009</v>
          </cell>
          <cell r="D1892" t="str">
            <v>SOJA</v>
          </cell>
          <cell r="E1892">
            <v>4810</v>
          </cell>
        </row>
        <row r="1893">
          <cell r="A1893" t="str">
            <v>BA</v>
          </cell>
          <cell r="B1893">
            <v>2009</v>
          </cell>
          <cell r="D1893" t="str">
            <v>SOJA</v>
          </cell>
          <cell r="E1893">
            <v>28890</v>
          </cell>
        </row>
        <row r="1894">
          <cell r="A1894" t="str">
            <v>BA</v>
          </cell>
          <cell r="B1894">
            <v>2009</v>
          </cell>
          <cell r="D1894" t="str">
            <v>SOJA</v>
          </cell>
          <cell r="E1894">
            <v>4810</v>
          </cell>
        </row>
        <row r="1895">
          <cell r="A1895" t="str">
            <v>MT</v>
          </cell>
          <cell r="B1895">
            <v>2009</v>
          </cell>
          <cell r="D1895" t="str">
            <v>SOJA</v>
          </cell>
          <cell r="E1895">
            <v>0</v>
          </cell>
        </row>
        <row r="1896">
          <cell r="A1896" t="str">
            <v>MT</v>
          </cell>
          <cell r="B1896">
            <v>2009</v>
          </cell>
          <cell r="D1896" t="str">
            <v>SOJA</v>
          </cell>
          <cell r="E1896">
            <v>0</v>
          </cell>
        </row>
        <row r="1897">
          <cell r="A1897" t="str">
            <v>MT</v>
          </cell>
          <cell r="B1897">
            <v>2009</v>
          </cell>
          <cell r="D1897" t="str">
            <v>SOJA</v>
          </cell>
          <cell r="E1897">
            <v>27110</v>
          </cell>
        </row>
        <row r="1898">
          <cell r="A1898" t="str">
            <v>MT</v>
          </cell>
          <cell r="B1898">
            <v>2009</v>
          </cell>
          <cell r="D1898" t="str">
            <v>SOJA</v>
          </cell>
          <cell r="E1898">
            <v>0</v>
          </cell>
        </row>
        <row r="1899">
          <cell r="A1899" t="str">
            <v>MT</v>
          </cell>
          <cell r="B1899">
            <v>2009</v>
          </cell>
          <cell r="D1899" t="str">
            <v>SOJA</v>
          </cell>
          <cell r="E1899">
            <v>0</v>
          </cell>
        </row>
        <row r="1900">
          <cell r="A1900" t="str">
            <v>MT</v>
          </cell>
          <cell r="B1900">
            <v>2009</v>
          </cell>
          <cell r="D1900" t="str">
            <v>SOJA</v>
          </cell>
          <cell r="E1900">
            <v>54220</v>
          </cell>
        </row>
        <row r="1901">
          <cell r="A1901" t="str">
            <v>TO</v>
          </cell>
          <cell r="B1901">
            <v>2009</v>
          </cell>
          <cell r="D1901" t="str">
            <v>SOJA</v>
          </cell>
          <cell r="E1901">
            <v>2710</v>
          </cell>
        </row>
        <row r="1902">
          <cell r="A1902" t="str">
            <v>TO</v>
          </cell>
          <cell r="B1902">
            <v>2009</v>
          </cell>
          <cell r="D1902" t="str">
            <v>SOJA</v>
          </cell>
          <cell r="E1902">
            <v>0</v>
          </cell>
        </row>
        <row r="1903">
          <cell r="A1903" t="str">
            <v>BA</v>
          </cell>
          <cell r="B1903">
            <v>2009</v>
          </cell>
          <cell r="D1903" t="str">
            <v>MILHO</v>
          </cell>
          <cell r="E1903">
            <v>9940</v>
          </cell>
        </row>
        <row r="1904">
          <cell r="A1904" t="str">
            <v>BA</v>
          </cell>
          <cell r="B1904">
            <v>2009</v>
          </cell>
          <cell r="D1904" t="str">
            <v>SOJA</v>
          </cell>
          <cell r="E1904">
            <v>2890</v>
          </cell>
        </row>
        <row r="1905">
          <cell r="A1905" t="str">
            <v>GO</v>
          </cell>
          <cell r="B1905">
            <v>2009</v>
          </cell>
          <cell r="D1905" t="str">
            <v>SOJA</v>
          </cell>
          <cell r="E1905">
            <v>0</v>
          </cell>
        </row>
        <row r="1906">
          <cell r="A1906" t="str">
            <v>GO</v>
          </cell>
          <cell r="B1906">
            <v>2009</v>
          </cell>
          <cell r="D1906" t="str">
            <v>SOJA</v>
          </cell>
          <cell r="E1906">
            <v>18200</v>
          </cell>
        </row>
        <row r="1907">
          <cell r="A1907" t="str">
            <v>GO</v>
          </cell>
          <cell r="B1907">
            <v>2009</v>
          </cell>
          <cell r="D1907" t="str">
            <v>SOJA</v>
          </cell>
          <cell r="E1907">
            <v>2680</v>
          </cell>
        </row>
        <row r="1908">
          <cell r="A1908" t="str">
            <v>GO</v>
          </cell>
          <cell r="B1908">
            <v>2009</v>
          </cell>
          <cell r="D1908" t="str">
            <v>SOJA</v>
          </cell>
          <cell r="E1908">
            <v>3680</v>
          </cell>
        </row>
        <row r="1909">
          <cell r="A1909" t="str">
            <v>GO</v>
          </cell>
          <cell r="B1909">
            <v>2009</v>
          </cell>
          <cell r="D1909" t="str">
            <v>SOJA</v>
          </cell>
          <cell r="E1909">
            <v>5200</v>
          </cell>
        </row>
        <row r="1910">
          <cell r="A1910" t="str">
            <v>GO</v>
          </cell>
          <cell r="B1910">
            <v>2009</v>
          </cell>
          <cell r="D1910" t="str">
            <v>SOJA</v>
          </cell>
          <cell r="E1910">
            <v>5360</v>
          </cell>
        </row>
        <row r="1911">
          <cell r="A1911" t="str">
            <v>GO</v>
          </cell>
          <cell r="B1911">
            <v>2009</v>
          </cell>
          <cell r="D1911" t="str">
            <v>SOJA</v>
          </cell>
          <cell r="E1911">
            <v>5360</v>
          </cell>
        </row>
        <row r="1912">
          <cell r="A1912" t="str">
            <v>GO</v>
          </cell>
          <cell r="B1912">
            <v>2009</v>
          </cell>
          <cell r="D1912" t="str">
            <v>SOJA</v>
          </cell>
          <cell r="E1912">
            <v>0</v>
          </cell>
        </row>
        <row r="1913">
          <cell r="A1913" t="str">
            <v>GO</v>
          </cell>
          <cell r="B1913">
            <v>2009</v>
          </cell>
          <cell r="D1913" t="str">
            <v>MILHO</v>
          </cell>
          <cell r="E1913">
            <v>0</v>
          </cell>
        </row>
        <row r="1914">
          <cell r="A1914" t="str">
            <v>GO</v>
          </cell>
          <cell r="B1914">
            <v>2009</v>
          </cell>
          <cell r="D1914" t="str">
            <v>SOJA</v>
          </cell>
          <cell r="E1914">
            <v>0</v>
          </cell>
        </row>
        <row r="1915">
          <cell r="A1915" t="str">
            <v>GO</v>
          </cell>
          <cell r="B1915">
            <v>2009</v>
          </cell>
          <cell r="D1915" t="str">
            <v>SOJA</v>
          </cell>
          <cell r="E1915">
            <v>13000</v>
          </cell>
        </row>
        <row r="1916">
          <cell r="A1916" t="str">
            <v>MT</v>
          </cell>
          <cell r="B1916">
            <v>2009</v>
          </cell>
          <cell r="D1916" t="str">
            <v>SOJA</v>
          </cell>
          <cell r="E1916">
            <v>7820</v>
          </cell>
        </row>
        <row r="1917">
          <cell r="A1917" t="str">
            <v>MT</v>
          </cell>
          <cell r="B1917">
            <v>2009</v>
          </cell>
          <cell r="D1917" t="str">
            <v>SOJA</v>
          </cell>
          <cell r="E1917">
            <v>0</v>
          </cell>
        </row>
        <row r="1918">
          <cell r="A1918" t="str">
            <v>GO</v>
          </cell>
          <cell r="B1918">
            <v>2009</v>
          </cell>
          <cell r="D1918" t="str">
            <v>SOJA</v>
          </cell>
          <cell r="E1918">
            <v>0</v>
          </cell>
        </row>
        <row r="1919">
          <cell r="A1919" t="str">
            <v>GO</v>
          </cell>
          <cell r="B1919">
            <v>2009</v>
          </cell>
          <cell r="D1919" t="str">
            <v>SOJA</v>
          </cell>
          <cell r="E1919">
            <v>6250</v>
          </cell>
        </row>
        <row r="1920">
          <cell r="A1920" t="str">
            <v>SP</v>
          </cell>
          <cell r="B1920">
            <v>2009</v>
          </cell>
          <cell r="D1920" t="str">
            <v>SOJA</v>
          </cell>
          <cell r="E1920">
            <v>0</v>
          </cell>
        </row>
        <row r="1921">
          <cell r="A1921" t="str">
            <v>SP</v>
          </cell>
          <cell r="B1921">
            <v>2009</v>
          </cell>
          <cell r="D1921" t="str">
            <v>SOJA</v>
          </cell>
          <cell r="E1921">
            <v>23000</v>
          </cell>
        </row>
        <row r="1922">
          <cell r="A1922" t="str">
            <v>MT</v>
          </cell>
          <cell r="B1922">
            <v>2009</v>
          </cell>
          <cell r="D1922" t="str">
            <v>SOJA</v>
          </cell>
          <cell r="E1922">
            <v>0</v>
          </cell>
        </row>
        <row r="1923">
          <cell r="A1923" t="str">
            <v>MT</v>
          </cell>
          <cell r="B1923">
            <v>2009</v>
          </cell>
          <cell r="D1923" t="str">
            <v>SOJA</v>
          </cell>
          <cell r="E1923">
            <v>36260</v>
          </cell>
        </row>
        <row r="1924">
          <cell r="A1924" t="str">
            <v>MT</v>
          </cell>
          <cell r="B1924">
            <v>2009</v>
          </cell>
          <cell r="D1924" t="str">
            <v>SOJA</v>
          </cell>
          <cell r="E1924">
            <v>22050</v>
          </cell>
        </row>
        <row r="1925">
          <cell r="A1925" t="str">
            <v>MT</v>
          </cell>
          <cell r="B1925">
            <v>2009</v>
          </cell>
          <cell r="D1925" t="str">
            <v>SOJA</v>
          </cell>
          <cell r="E1925">
            <v>22660</v>
          </cell>
        </row>
        <row r="1926">
          <cell r="A1926" t="str">
            <v>MT</v>
          </cell>
          <cell r="B1926">
            <v>2009</v>
          </cell>
          <cell r="D1926" t="str">
            <v>SOJA</v>
          </cell>
          <cell r="E1926">
            <v>0</v>
          </cell>
        </row>
        <row r="1927">
          <cell r="A1927" t="str">
            <v>MA</v>
          </cell>
          <cell r="B1927">
            <v>2009</v>
          </cell>
          <cell r="D1927" t="str">
            <v>SOJA</v>
          </cell>
          <cell r="E1927">
            <v>0</v>
          </cell>
        </row>
        <row r="1928">
          <cell r="A1928" t="str">
            <v>MA</v>
          </cell>
          <cell r="B1928">
            <v>2009</v>
          </cell>
          <cell r="D1928" t="str">
            <v>SOJA</v>
          </cell>
          <cell r="E1928">
            <v>10000</v>
          </cell>
        </row>
        <row r="1929">
          <cell r="A1929" t="str">
            <v>MG</v>
          </cell>
          <cell r="B1929">
            <v>2009</v>
          </cell>
          <cell r="D1929" t="str">
            <v>SOJA</v>
          </cell>
          <cell r="E1929">
            <v>7550</v>
          </cell>
        </row>
        <row r="1930">
          <cell r="A1930" t="str">
            <v>MT</v>
          </cell>
          <cell r="B1930">
            <v>2009</v>
          </cell>
          <cell r="D1930" t="str">
            <v>SOJA</v>
          </cell>
          <cell r="E1930">
            <v>0</v>
          </cell>
        </row>
        <row r="1931">
          <cell r="A1931" t="str">
            <v>MT</v>
          </cell>
          <cell r="B1931">
            <v>2009</v>
          </cell>
          <cell r="D1931" t="str">
            <v>SOJA</v>
          </cell>
          <cell r="E1931">
            <v>12030</v>
          </cell>
        </row>
        <row r="1932">
          <cell r="A1932" t="str">
            <v>MT</v>
          </cell>
          <cell r="B1932">
            <v>2009</v>
          </cell>
          <cell r="D1932" t="str">
            <v>SOJA</v>
          </cell>
          <cell r="E1932">
            <v>0</v>
          </cell>
        </row>
        <row r="1933">
          <cell r="A1933" t="str">
            <v>MT</v>
          </cell>
          <cell r="B1933">
            <v>2009</v>
          </cell>
          <cell r="D1933" t="str">
            <v>SOJA</v>
          </cell>
          <cell r="E1933">
            <v>16040</v>
          </cell>
        </row>
        <row r="1934">
          <cell r="A1934" t="str">
            <v>MT</v>
          </cell>
          <cell r="B1934">
            <v>2009</v>
          </cell>
          <cell r="D1934" t="str">
            <v>SOJA</v>
          </cell>
          <cell r="E1934">
            <v>0</v>
          </cell>
        </row>
        <row r="1935">
          <cell r="A1935" t="str">
            <v>MT</v>
          </cell>
          <cell r="B1935">
            <v>2009</v>
          </cell>
          <cell r="D1935" t="str">
            <v>SOJA</v>
          </cell>
          <cell r="E1935">
            <v>45320</v>
          </cell>
        </row>
        <row r="1936">
          <cell r="A1936" t="str">
            <v>MT</v>
          </cell>
          <cell r="B1936">
            <v>2009</v>
          </cell>
          <cell r="D1936" t="str">
            <v>SOJA</v>
          </cell>
          <cell r="E1936">
            <v>0</v>
          </cell>
        </row>
        <row r="1937">
          <cell r="A1937" t="str">
            <v>MT</v>
          </cell>
          <cell r="B1937">
            <v>2009</v>
          </cell>
          <cell r="D1937" t="str">
            <v>SOJA</v>
          </cell>
          <cell r="E1937">
            <v>45180</v>
          </cell>
        </row>
        <row r="1938">
          <cell r="A1938" t="str">
            <v>TO</v>
          </cell>
          <cell r="B1938">
            <v>2009</v>
          </cell>
          <cell r="D1938" t="str">
            <v>SOJA</v>
          </cell>
          <cell r="E1938">
            <v>0</v>
          </cell>
        </row>
        <row r="1939">
          <cell r="A1939" t="str">
            <v>TO</v>
          </cell>
          <cell r="B1939">
            <v>2009</v>
          </cell>
          <cell r="D1939" t="str">
            <v>SOJA</v>
          </cell>
          <cell r="E1939">
            <v>10840</v>
          </cell>
        </row>
        <row r="1940">
          <cell r="A1940" t="str">
            <v>GO</v>
          </cell>
          <cell r="B1940">
            <v>2009</v>
          </cell>
          <cell r="D1940" t="str">
            <v>SOJA</v>
          </cell>
          <cell r="E1940">
            <v>0</v>
          </cell>
        </row>
        <row r="1941">
          <cell r="A1941" t="str">
            <v>GO</v>
          </cell>
          <cell r="B1941">
            <v>2009</v>
          </cell>
          <cell r="D1941" t="str">
            <v>SOJA</v>
          </cell>
          <cell r="E1941">
            <v>16410</v>
          </cell>
        </row>
        <row r="1942">
          <cell r="A1942" t="str">
            <v>GO</v>
          </cell>
          <cell r="B1942">
            <v>2009</v>
          </cell>
          <cell r="D1942" t="str">
            <v>SOJA</v>
          </cell>
          <cell r="E1942">
            <v>0</v>
          </cell>
        </row>
        <row r="1943">
          <cell r="A1943" t="str">
            <v>GO</v>
          </cell>
          <cell r="B1943">
            <v>2009</v>
          </cell>
          <cell r="D1943" t="str">
            <v>SOJA</v>
          </cell>
          <cell r="E1943">
            <v>13430</v>
          </cell>
        </row>
        <row r="1944">
          <cell r="A1944" t="str">
            <v>MS</v>
          </cell>
          <cell r="B1944">
            <v>2009</v>
          </cell>
          <cell r="D1944" t="str">
            <v>SOJA</v>
          </cell>
          <cell r="E1944">
            <v>3860</v>
          </cell>
        </row>
        <row r="1945">
          <cell r="A1945" t="str">
            <v>MS</v>
          </cell>
          <cell r="B1945">
            <v>2009</v>
          </cell>
          <cell r="D1945" t="str">
            <v>SOJA</v>
          </cell>
          <cell r="E1945">
            <v>0</v>
          </cell>
        </row>
        <row r="1946">
          <cell r="A1946" t="str">
            <v>PR</v>
          </cell>
          <cell r="B1946">
            <v>2009</v>
          </cell>
          <cell r="D1946" t="str">
            <v>MILHO</v>
          </cell>
          <cell r="E1946">
            <v>4790</v>
          </cell>
        </row>
        <row r="1947">
          <cell r="A1947" t="str">
            <v>PR</v>
          </cell>
          <cell r="B1947">
            <v>2009</v>
          </cell>
          <cell r="D1947" t="str">
            <v>MILHO</v>
          </cell>
          <cell r="E1947">
            <v>0</v>
          </cell>
        </row>
        <row r="1948">
          <cell r="A1948" t="str">
            <v>PR</v>
          </cell>
          <cell r="B1948">
            <v>2009</v>
          </cell>
          <cell r="D1948" t="str">
            <v>SOJA</v>
          </cell>
          <cell r="E1948">
            <v>0</v>
          </cell>
        </row>
        <row r="1949">
          <cell r="A1949" t="str">
            <v>PR</v>
          </cell>
          <cell r="B1949">
            <v>2009</v>
          </cell>
          <cell r="D1949" t="str">
            <v>SOJA</v>
          </cell>
          <cell r="E1949">
            <v>12000</v>
          </cell>
        </row>
        <row r="1950">
          <cell r="A1950" t="str">
            <v>BA</v>
          </cell>
          <cell r="B1950">
            <v>2009</v>
          </cell>
          <cell r="D1950" t="str">
            <v>SOJA</v>
          </cell>
          <cell r="E1950">
            <v>1930</v>
          </cell>
        </row>
        <row r="1951">
          <cell r="A1951" t="str">
            <v>MT</v>
          </cell>
          <cell r="B1951">
            <v>2009</v>
          </cell>
          <cell r="D1951" t="str">
            <v>SOJA</v>
          </cell>
          <cell r="E1951">
            <v>44100</v>
          </cell>
        </row>
        <row r="1952">
          <cell r="A1952" t="str">
            <v>MT</v>
          </cell>
          <cell r="B1952">
            <v>2009</v>
          </cell>
          <cell r="D1952" t="str">
            <v>SOJA</v>
          </cell>
          <cell r="E1952">
            <v>0</v>
          </cell>
        </row>
        <row r="1953">
          <cell r="A1953" t="str">
            <v>MT</v>
          </cell>
          <cell r="B1953">
            <v>2009</v>
          </cell>
          <cell r="D1953" t="str">
            <v>SOJA</v>
          </cell>
          <cell r="E1953">
            <v>22660</v>
          </cell>
        </row>
        <row r="1954">
          <cell r="A1954" t="str">
            <v>MT</v>
          </cell>
          <cell r="B1954">
            <v>2009</v>
          </cell>
          <cell r="D1954" t="str">
            <v>SOJA</v>
          </cell>
          <cell r="E1954">
            <v>48510</v>
          </cell>
        </row>
        <row r="1955">
          <cell r="A1955" t="str">
            <v>MT</v>
          </cell>
          <cell r="B1955">
            <v>2009</v>
          </cell>
          <cell r="D1955" t="str">
            <v>SOJA</v>
          </cell>
          <cell r="E1955">
            <v>9060</v>
          </cell>
        </row>
        <row r="1956">
          <cell r="A1956" t="str">
            <v>BA</v>
          </cell>
          <cell r="B1956">
            <v>2009</v>
          </cell>
          <cell r="D1956" t="str">
            <v>SOJA</v>
          </cell>
          <cell r="E1956">
            <v>3850</v>
          </cell>
        </row>
        <row r="1957">
          <cell r="A1957" t="str">
            <v>BA</v>
          </cell>
          <cell r="B1957">
            <v>2009</v>
          </cell>
          <cell r="D1957" t="str">
            <v>MILHO</v>
          </cell>
          <cell r="E1957">
            <v>0</v>
          </cell>
        </row>
        <row r="1958">
          <cell r="A1958" t="str">
            <v>BA</v>
          </cell>
          <cell r="B1958">
            <v>2009</v>
          </cell>
          <cell r="D1958" t="str">
            <v>SOJA</v>
          </cell>
          <cell r="E1958">
            <v>3370</v>
          </cell>
        </row>
        <row r="1959">
          <cell r="A1959" t="str">
            <v>BA</v>
          </cell>
          <cell r="B1959">
            <v>2009</v>
          </cell>
          <cell r="D1959" t="str">
            <v>SOJA</v>
          </cell>
          <cell r="E1959">
            <v>4810</v>
          </cell>
        </row>
        <row r="1960">
          <cell r="A1960" t="str">
            <v>RS</v>
          </cell>
          <cell r="B1960">
            <v>2009</v>
          </cell>
          <cell r="D1960" t="str">
            <v>MILHO</v>
          </cell>
          <cell r="E1960">
            <v>1040</v>
          </cell>
        </row>
        <row r="1961">
          <cell r="A1961" t="str">
            <v>RS</v>
          </cell>
          <cell r="B1961">
            <v>2009</v>
          </cell>
          <cell r="D1961" t="str">
            <v>MILHO</v>
          </cell>
          <cell r="E1961">
            <v>0</v>
          </cell>
        </row>
        <row r="1962">
          <cell r="A1962" t="str">
            <v>RS</v>
          </cell>
          <cell r="B1962">
            <v>2009</v>
          </cell>
          <cell r="D1962" t="str">
            <v>SOJA</v>
          </cell>
          <cell r="E1962">
            <v>0</v>
          </cell>
        </row>
        <row r="1963">
          <cell r="A1963" t="str">
            <v>RS</v>
          </cell>
          <cell r="B1963">
            <v>2009</v>
          </cell>
          <cell r="D1963" t="str">
            <v>SOJA</v>
          </cell>
          <cell r="E1963">
            <v>1020</v>
          </cell>
        </row>
        <row r="1964">
          <cell r="A1964" t="str">
            <v>MS</v>
          </cell>
          <cell r="B1964">
            <v>2009</v>
          </cell>
          <cell r="D1964" t="str">
            <v>SOJA</v>
          </cell>
          <cell r="E1964">
            <v>10290</v>
          </cell>
        </row>
        <row r="1965">
          <cell r="A1965" t="str">
            <v>MS</v>
          </cell>
          <cell r="B1965">
            <v>2009</v>
          </cell>
          <cell r="D1965" t="str">
            <v>SOJA</v>
          </cell>
          <cell r="E1965">
            <v>0</v>
          </cell>
        </row>
        <row r="1966">
          <cell r="A1966" t="str">
            <v>MS</v>
          </cell>
          <cell r="B1966">
            <v>2009</v>
          </cell>
          <cell r="D1966" t="str">
            <v>SOJA</v>
          </cell>
          <cell r="E1966">
            <v>0</v>
          </cell>
        </row>
        <row r="1967">
          <cell r="A1967" t="str">
            <v>MS</v>
          </cell>
          <cell r="B1967">
            <v>2009</v>
          </cell>
          <cell r="D1967" t="str">
            <v>SOJA</v>
          </cell>
          <cell r="E1967">
            <v>12870</v>
          </cell>
        </row>
        <row r="1968">
          <cell r="A1968" t="str">
            <v>MS</v>
          </cell>
          <cell r="B1968">
            <v>2009</v>
          </cell>
          <cell r="D1968" t="str">
            <v>SOJA</v>
          </cell>
          <cell r="E1968">
            <v>0</v>
          </cell>
        </row>
        <row r="1969">
          <cell r="A1969" t="str">
            <v>MS</v>
          </cell>
          <cell r="B1969">
            <v>2009</v>
          </cell>
          <cell r="D1969" t="str">
            <v>SOJA</v>
          </cell>
          <cell r="E1969">
            <v>32159.999999999996</v>
          </cell>
        </row>
        <row r="1970">
          <cell r="A1970" t="str">
            <v>GO</v>
          </cell>
          <cell r="B1970">
            <v>2009</v>
          </cell>
          <cell r="D1970" t="str">
            <v>SOJA</v>
          </cell>
          <cell r="E1970">
            <v>8390</v>
          </cell>
        </row>
        <row r="1971">
          <cell r="A1971" t="str">
            <v>GO</v>
          </cell>
          <cell r="B1971">
            <v>2009</v>
          </cell>
          <cell r="D1971" t="str">
            <v>SOJA</v>
          </cell>
          <cell r="E1971">
            <v>8390</v>
          </cell>
        </row>
        <row r="1972">
          <cell r="A1972" t="str">
            <v>MT</v>
          </cell>
          <cell r="B1972">
            <v>2009</v>
          </cell>
          <cell r="D1972" t="str">
            <v>SOJA</v>
          </cell>
          <cell r="E1972">
            <v>22660</v>
          </cell>
        </row>
        <row r="1973">
          <cell r="A1973" t="str">
            <v>MT</v>
          </cell>
          <cell r="B1973">
            <v>2009</v>
          </cell>
          <cell r="D1973" t="str">
            <v>SOJA</v>
          </cell>
          <cell r="E1973">
            <v>0</v>
          </cell>
        </row>
        <row r="1974">
          <cell r="A1974" t="str">
            <v>RS</v>
          </cell>
          <cell r="B1974">
            <v>2009</v>
          </cell>
          <cell r="D1974" t="str">
            <v>MILHO</v>
          </cell>
          <cell r="E1974">
            <v>1570</v>
          </cell>
        </row>
        <row r="1975">
          <cell r="A1975" t="str">
            <v>RS</v>
          </cell>
          <cell r="B1975">
            <v>2009</v>
          </cell>
          <cell r="D1975" t="str">
            <v>MILHO</v>
          </cell>
          <cell r="E1975">
            <v>0</v>
          </cell>
        </row>
        <row r="1976">
          <cell r="A1976" t="str">
            <v>RS</v>
          </cell>
          <cell r="B1976">
            <v>2009</v>
          </cell>
          <cell r="D1976" t="str">
            <v>SOJA</v>
          </cell>
          <cell r="E1976">
            <v>2040</v>
          </cell>
        </row>
        <row r="1977">
          <cell r="A1977" t="str">
            <v>RS</v>
          </cell>
          <cell r="B1977">
            <v>2009</v>
          </cell>
          <cell r="D1977" t="str">
            <v>SOJA</v>
          </cell>
          <cell r="E1977">
            <v>0</v>
          </cell>
        </row>
        <row r="1978">
          <cell r="A1978" t="str">
            <v>MT</v>
          </cell>
          <cell r="B1978">
            <v>2009</v>
          </cell>
          <cell r="D1978" t="str">
            <v>SOJA</v>
          </cell>
          <cell r="E1978">
            <v>0</v>
          </cell>
        </row>
        <row r="1979">
          <cell r="A1979" t="str">
            <v>MT</v>
          </cell>
          <cell r="B1979">
            <v>2009</v>
          </cell>
          <cell r="D1979" t="str">
            <v>SOJA</v>
          </cell>
          <cell r="E1979">
            <v>13600</v>
          </cell>
        </row>
        <row r="1980">
          <cell r="A1980" t="str">
            <v>RS</v>
          </cell>
          <cell r="B1980">
            <v>2009</v>
          </cell>
          <cell r="D1980" t="str">
            <v>MILHO</v>
          </cell>
          <cell r="E1980">
            <v>1040</v>
          </cell>
        </row>
        <row r="1981">
          <cell r="A1981" t="str">
            <v>RS</v>
          </cell>
          <cell r="B1981">
            <v>2009</v>
          </cell>
          <cell r="D1981" t="str">
            <v>SOJA</v>
          </cell>
          <cell r="E1981">
            <v>1020</v>
          </cell>
        </row>
        <row r="1982">
          <cell r="A1982" t="str">
            <v>RS</v>
          </cell>
          <cell r="B1982">
            <v>2009</v>
          </cell>
          <cell r="D1982" t="str">
            <v>SOJA</v>
          </cell>
          <cell r="E1982">
            <v>510</v>
          </cell>
        </row>
        <row r="1983">
          <cell r="A1983" t="str">
            <v>RS</v>
          </cell>
          <cell r="B1983">
            <v>2009</v>
          </cell>
          <cell r="D1983" t="str">
            <v>MILHO</v>
          </cell>
          <cell r="E1983">
            <v>1570</v>
          </cell>
        </row>
        <row r="1984">
          <cell r="A1984" t="str">
            <v>RS</v>
          </cell>
          <cell r="B1984">
            <v>2009</v>
          </cell>
          <cell r="D1984" t="str">
            <v>MILHO</v>
          </cell>
          <cell r="E1984">
            <v>0</v>
          </cell>
        </row>
        <row r="1985">
          <cell r="A1985" t="str">
            <v>RS</v>
          </cell>
          <cell r="B1985">
            <v>2009</v>
          </cell>
          <cell r="D1985" t="str">
            <v>SOJA</v>
          </cell>
          <cell r="E1985">
            <v>3060</v>
          </cell>
        </row>
        <row r="1986">
          <cell r="A1986" t="str">
            <v>RS</v>
          </cell>
          <cell r="B1986">
            <v>2009</v>
          </cell>
          <cell r="D1986" t="str">
            <v>SOJA</v>
          </cell>
          <cell r="E1986">
            <v>0</v>
          </cell>
        </row>
        <row r="1987">
          <cell r="A1987" t="str">
            <v>MS</v>
          </cell>
          <cell r="B1987">
            <v>2009</v>
          </cell>
          <cell r="D1987" t="str">
            <v>SOJA</v>
          </cell>
          <cell r="E1987">
            <v>0</v>
          </cell>
        </row>
        <row r="1988">
          <cell r="A1988" t="str">
            <v>MS</v>
          </cell>
          <cell r="B1988">
            <v>2009</v>
          </cell>
          <cell r="D1988" t="str">
            <v>SOJA</v>
          </cell>
          <cell r="E1988">
            <v>12870</v>
          </cell>
        </row>
        <row r="1989">
          <cell r="A1989" t="str">
            <v>MS</v>
          </cell>
          <cell r="B1989">
            <v>2009</v>
          </cell>
          <cell r="D1989" t="str">
            <v>SOJA</v>
          </cell>
          <cell r="E1989">
            <v>10940</v>
          </cell>
        </row>
        <row r="1990">
          <cell r="A1990" t="str">
            <v>MS</v>
          </cell>
          <cell r="B1990">
            <v>2009</v>
          </cell>
          <cell r="D1990" t="str">
            <v>SOJA</v>
          </cell>
          <cell r="E1990">
            <v>0</v>
          </cell>
        </row>
        <row r="1991">
          <cell r="A1991" t="str">
            <v>MS</v>
          </cell>
          <cell r="B1991">
            <v>2009</v>
          </cell>
          <cell r="D1991" t="str">
            <v>SOJA</v>
          </cell>
          <cell r="E1991">
            <v>29590</v>
          </cell>
        </row>
        <row r="1992">
          <cell r="A1992" t="str">
            <v>MS</v>
          </cell>
          <cell r="B1992">
            <v>2009</v>
          </cell>
          <cell r="D1992" t="str">
            <v>SOJA</v>
          </cell>
          <cell r="E1992">
            <v>0</v>
          </cell>
        </row>
        <row r="1993">
          <cell r="A1993" t="str">
            <v>MS</v>
          </cell>
          <cell r="B1993">
            <v>2009</v>
          </cell>
          <cell r="D1993" t="str">
            <v>SOJA</v>
          </cell>
          <cell r="E1993">
            <v>5790</v>
          </cell>
        </row>
        <row r="1994">
          <cell r="A1994" t="str">
            <v>SC</v>
          </cell>
          <cell r="B1994">
            <v>2009</v>
          </cell>
          <cell r="D1994" t="str">
            <v>MILHO</v>
          </cell>
          <cell r="E1994">
            <v>49650</v>
          </cell>
        </row>
        <row r="1995">
          <cell r="A1995" t="str">
            <v>SC</v>
          </cell>
          <cell r="B1995">
            <v>2009</v>
          </cell>
          <cell r="D1995" t="str">
            <v>SOJA</v>
          </cell>
          <cell r="E1995">
            <v>3960</v>
          </cell>
        </row>
        <row r="1996">
          <cell r="A1996" t="str">
            <v>MT</v>
          </cell>
          <cell r="B1996">
            <v>2009</v>
          </cell>
          <cell r="D1996" t="str">
            <v>SOJA</v>
          </cell>
          <cell r="E1996">
            <v>8020</v>
          </cell>
        </row>
        <row r="1997">
          <cell r="A1997" t="str">
            <v>MT</v>
          </cell>
          <cell r="B1997">
            <v>2009</v>
          </cell>
          <cell r="D1997" t="str">
            <v>SOJA</v>
          </cell>
          <cell r="E1997">
            <v>0</v>
          </cell>
        </row>
        <row r="1998">
          <cell r="A1998" t="str">
            <v>MT</v>
          </cell>
          <cell r="B1998">
            <v>2009</v>
          </cell>
          <cell r="D1998" t="str">
            <v>SOJA</v>
          </cell>
          <cell r="E1998">
            <v>0</v>
          </cell>
        </row>
        <row r="1999">
          <cell r="A1999" t="str">
            <v>MT</v>
          </cell>
          <cell r="B1999">
            <v>2009</v>
          </cell>
          <cell r="D1999" t="str">
            <v>SOJA</v>
          </cell>
          <cell r="E1999">
            <v>4010</v>
          </cell>
        </row>
        <row r="2000">
          <cell r="A2000" t="str">
            <v>PI</v>
          </cell>
          <cell r="B2000">
            <v>2009</v>
          </cell>
          <cell r="D2000" t="str">
            <v>SOJA</v>
          </cell>
          <cell r="E2000">
            <v>0</v>
          </cell>
        </row>
        <row r="2001">
          <cell r="A2001" t="str">
            <v>PI</v>
          </cell>
          <cell r="B2001">
            <v>2009</v>
          </cell>
          <cell r="D2001" t="str">
            <v>SOJA</v>
          </cell>
          <cell r="E2001">
            <v>29890</v>
          </cell>
        </row>
        <row r="2002">
          <cell r="A2002" t="str">
            <v>PI</v>
          </cell>
          <cell r="B2002">
            <v>2009</v>
          </cell>
          <cell r="D2002" t="str">
            <v>SOJA</v>
          </cell>
          <cell r="E2002">
            <v>34160</v>
          </cell>
        </row>
        <row r="2003">
          <cell r="A2003" t="str">
            <v>GO</v>
          </cell>
          <cell r="B2003">
            <v>2009</v>
          </cell>
          <cell r="D2003" t="str">
            <v>SOJA</v>
          </cell>
          <cell r="E2003">
            <v>0</v>
          </cell>
        </row>
        <row r="2004">
          <cell r="A2004" t="str">
            <v>GO</v>
          </cell>
          <cell r="B2004">
            <v>2009</v>
          </cell>
          <cell r="D2004" t="str">
            <v>SOJA</v>
          </cell>
          <cell r="E2004">
            <v>21820</v>
          </cell>
        </row>
        <row r="2005">
          <cell r="A2005" t="str">
            <v>MT</v>
          </cell>
          <cell r="B2005">
            <v>2009</v>
          </cell>
          <cell r="D2005" t="str">
            <v>SOJA</v>
          </cell>
          <cell r="E2005">
            <v>9040</v>
          </cell>
        </row>
        <row r="2006">
          <cell r="A2006" t="str">
            <v>TO</v>
          </cell>
          <cell r="B2006">
            <v>2009</v>
          </cell>
          <cell r="D2006" t="str">
            <v>SOJA</v>
          </cell>
          <cell r="E2006">
            <v>0</v>
          </cell>
        </row>
        <row r="2007">
          <cell r="A2007" t="str">
            <v>TO</v>
          </cell>
          <cell r="B2007">
            <v>2009</v>
          </cell>
          <cell r="D2007" t="str">
            <v>SOJA</v>
          </cell>
          <cell r="E2007">
            <v>25300</v>
          </cell>
        </row>
        <row r="2008">
          <cell r="A2008" t="str">
            <v>MA</v>
          </cell>
          <cell r="B2008">
            <v>2009</v>
          </cell>
          <cell r="D2008" t="str">
            <v>SOJA</v>
          </cell>
          <cell r="E2008">
            <v>0</v>
          </cell>
        </row>
        <row r="2009">
          <cell r="A2009" t="str">
            <v>MA</v>
          </cell>
          <cell r="B2009">
            <v>2009</v>
          </cell>
          <cell r="D2009" t="str">
            <v>SOJA</v>
          </cell>
          <cell r="E2009">
            <v>37950</v>
          </cell>
        </row>
        <row r="2010">
          <cell r="A2010" t="str">
            <v>RS</v>
          </cell>
          <cell r="B2010">
            <v>2009</v>
          </cell>
          <cell r="D2010" t="str">
            <v>MILHO</v>
          </cell>
          <cell r="E2010">
            <v>0</v>
          </cell>
        </row>
        <row r="2011">
          <cell r="A2011" t="str">
            <v>RS</v>
          </cell>
          <cell r="B2011">
            <v>2009</v>
          </cell>
          <cell r="D2011" t="str">
            <v>SOJA</v>
          </cell>
          <cell r="E2011">
            <v>3060</v>
          </cell>
        </row>
        <row r="2012">
          <cell r="A2012" t="str">
            <v>RS</v>
          </cell>
          <cell r="B2012">
            <v>2009</v>
          </cell>
          <cell r="D2012" t="str">
            <v>SOJA</v>
          </cell>
          <cell r="E2012">
            <v>16290</v>
          </cell>
        </row>
        <row r="2013">
          <cell r="A2013" t="str">
            <v>RS</v>
          </cell>
          <cell r="B2013">
            <v>2009</v>
          </cell>
          <cell r="D2013" t="str">
            <v>SOJA</v>
          </cell>
          <cell r="E2013">
            <v>0</v>
          </cell>
        </row>
        <row r="2014">
          <cell r="A2014" t="str">
            <v>MT</v>
          </cell>
          <cell r="B2014">
            <v>2009</v>
          </cell>
          <cell r="D2014" t="str">
            <v>SOJA</v>
          </cell>
          <cell r="E2014">
            <v>4760</v>
          </cell>
        </row>
        <row r="2015">
          <cell r="A2015" t="str">
            <v>MT</v>
          </cell>
          <cell r="B2015">
            <v>2009</v>
          </cell>
          <cell r="D2015" t="str">
            <v>SOJA</v>
          </cell>
          <cell r="E2015">
            <v>0</v>
          </cell>
        </row>
        <row r="2016">
          <cell r="A2016" t="str">
            <v>MT</v>
          </cell>
          <cell r="B2016">
            <v>2009</v>
          </cell>
          <cell r="D2016" t="str">
            <v>SOJA</v>
          </cell>
          <cell r="E2016">
            <v>19050</v>
          </cell>
        </row>
        <row r="2017">
          <cell r="A2017" t="str">
            <v>MT</v>
          </cell>
          <cell r="B2017">
            <v>2009</v>
          </cell>
          <cell r="D2017" t="str">
            <v>SOJA</v>
          </cell>
          <cell r="E2017">
            <v>11470</v>
          </cell>
        </row>
        <row r="2018">
          <cell r="A2018" t="str">
            <v>MT</v>
          </cell>
          <cell r="B2018">
            <v>2009</v>
          </cell>
          <cell r="D2018" t="str">
            <v>SOJA</v>
          </cell>
          <cell r="E2018">
            <v>19050</v>
          </cell>
        </row>
        <row r="2019">
          <cell r="A2019" t="str">
            <v>BA</v>
          </cell>
          <cell r="B2019">
            <v>2009</v>
          </cell>
          <cell r="D2019" t="str">
            <v>SOJA</v>
          </cell>
          <cell r="E2019">
            <v>86660</v>
          </cell>
        </row>
        <row r="2020">
          <cell r="A2020" t="str">
            <v>PI</v>
          </cell>
          <cell r="B2020">
            <v>2009</v>
          </cell>
          <cell r="D2020" t="str">
            <v>SOJA</v>
          </cell>
          <cell r="E2020">
            <v>0</v>
          </cell>
        </row>
        <row r="2021">
          <cell r="A2021" t="str">
            <v>PI</v>
          </cell>
          <cell r="B2021">
            <v>2009</v>
          </cell>
          <cell r="D2021" t="str">
            <v>SOJA</v>
          </cell>
          <cell r="E2021">
            <v>30740</v>
          </cell>
        </row>
        <row r="2022">
          <cell r="A2022" t="str">
            <v>GO</v>
          </cell>
          <cell r="B2022">
            <v>2009</v>
          </cell>
          <cell r="D2022" t="str">
            <v>MILHO</v>
          </cell>
          <cell r="E2022">
            <v>2390</v>
          </cell>
        </row>
        <row r="2023">
          <cell r="A2023" t="str">
            <v>GO</v>
          </cell>
          <cell r="B2023">
            <v>2009</v>
          </cell>
          <cell r="D2023" t="str">
            <v>SOJA</v>
          </cell>
          <cell r="E2023">
            <v>0</v>
          </cell>
        </row>
        <row r="2024">
          <cell r="A2024" t="str">
            <v>GO</v>
          </cell>
          <cell r="B2024">
            <v>2009</v>
          </cell>
          <cell r="D2024" t="str">
            <v>SOJA</v>
          </cell>
          <cell r="E2024">
            <v>19540</v>
          </cell>
        </row>
        <row r="2025">
          <cell r="A2025" t="str">
            <v>TO</v>
          </cell>
          <cell r="B2025">
            <v>2009</v>
          </cell>
          <cell r="D2025" t="str">
            <v>SOJA</v>
          </cell>
          <cell r="E2025">
            <v>0</v>
          </cell>
        </row>
        <row r="2026">
          <cell r="A2026" t="str">
            <v>TO</v>
          </cell>
          <cell r="B2026">
            <v>2009</v>
          </cell>
          <cell r="D2026" t="str">
            <v>SOJA</v>
          </cell>
          <cell r="E2026">
            <v>27110</v>
          </cell>
        </row>
        <row r="2027">
          <cell r="A2027" t="str">
            <v>MA</v>
          </cell>
          <cell r="B2027">
            <v>2009</v>
          </cell>
          <cell r="D2027" t="str">
            <v>SOJA</v>
          </cell>
          <cell r="E2027">
            <v>0</v>
          </cell>
        </row>
        <row r="2028">
          <cell r="A2028" t="str">
            <v>MA</v>
          </cell>
          <cell r="B2028">
            <v>2009</v>
          </cell>
          <cell r="D2028" t="str">
            <v>SOJA</v>
          </cell>
          <cell r="E2028">
            <v>27110</v>
          </cell>
        </row>
        <row r="2029">
          <cell r="A2029" t="str">
            <v>GO</v>
          </cell>
          <cell r="B2029">
            <v>2009</v>
          </cell>
          <cell r="D2029" t="str">
            <v>SOJA</v>
          </cell>
          <cell r="E2029">
            <v>5040</v>
          </cell>
        </row>
        <row r="2030">
          <cell r="A2030" t="str">
            <v>GO</v>
          </cell>
          <cell r="B2030">
            <v>2009</v>
          </cell>
          <cell r="D2030" t="str">
            <v>SOJA</v>
          </cell>
          <cell r="E2030">
            <v>0</v>
          </cell>
        </row>
        <row r="2031">
          <cell r="A2031" t="str">
            <v>GO</v>
          </cell>
          <cell r="B2031">
            <v>2009</v>
          </cell>
          <cell r="D2031" t="str">
            <v>SOJA</v>
          </cell>
          <cell r="E2031">
            <v>11750</v>
          </cell>
        </row>
        <row r="2032">
          <cell r="A2032" t="str">
            <v>MA</v>
          </cell>
          <cell r="B2032">
            <v>2009</v>
          </cell>
          <cell r="D2032" t="str">
            <v>SOJA</v>
          </cell>
          <cell r="E2032">
            <v>0</v>
          </cell>
        </row>
        <row r="2033">
          <cell r="A2033" t="str">
            <v>MA</v>
          </cell>
          <cell r="B2033">
            <v>2009</v>
          </cell>
          <cell r="D2033" t="str">
            <v>SOJA</v>
          </cell>
          <cell r="E2033">
            <v>22590</v>
          </cell>
        </row>
        <row r="2034">
          <cell r="A2034" t="str">
            <v>PR</v>
          </cell>
          <cell r="B2034">
            <v>2009</v>
          </cell>
          <cell r="D2034" t="str">
            <v>MILHO</v>
          </cell>
          <cell r="E2034">
            <v>7980</v>
          </cell>
        </row>
        <row r="2035">
          <cell r="A2035" t="str">
            <v>PR</v>
          </cell>
          <cell r="B2035">
            <v>2009</v>
          </cell>
          <cell r="D2035" t="str">
            <v>MILHO</v>
          </cell>
          <cell r="E2035">
            <v>0</v>
          </cell>
        </row>
        <row r="2036">
          <cell r="A2036" t="str">
            <v>PR</v>
          </cell>
          <cell r="B2036">
            <v>2009</v>
          </cell>
          <cell r="D2036" t="str">
            <v>SOJA</v>
          </cell>
          <cell r="E2036">
            <v>21500</v>
          </cell>
        </row>
        <row r="2037">
          <cell r="A2037" t="str">
            <v>PR</v>
          </cell>
          <cell r="B2037">
            <v>2009</v>
          </cell>
          <cell r="D2037" t="str">
            <v>SOJA</v>
          </cell>
          <cell r="E2037">
            <v>0</v>
          </cell>
        </row>
        <row r="2038">
          <cell r="A2038" t="str">
            <v>TO</v>
          </cell>
          <cell r="B2038">
            <v>2009</v>
          </cell>
          <cell r="D2038" t="str">
            <v>SOJA</v>
          </cell>
          <cell r="E2038">
            <v>0</v>
          </cell>
        </row>
        <row r="2039">
          <cell r="A2039" t="str">
            <v>TO</v>
          </cell>
          <cell r="B2039">
            <v>2009</v>
          </cell>
          <cell r="D2039" t="str">
            <v>SOJA</v>
          </cell>
          <cell r="E2039">
            <v>22590</v>
          </cell>
        </row>
        <row r="2040">
          <cell r="A2040" t="str">
            <v>PI</v>
          </cell>
          <cell r="B2040">
            <v>2009</v>
          </cell>
          <cell r="D2040" t="str">
            <v>SOJA</v>
          </cell>
          <cell r="E2040">
            <v>0</v>
          </cell>
        </row>
        <row r="2041">
          <cell r="A2041" t="str">
            <v>PI</v>
          </cell>
          <cell r="B2041">
            <v>2009</v>
          </cell>
          <cell r="D2041" t="str">
            <v>SOJA</v>
          </cell>
          <cell r="E2041">
            <v>29890</v>
          </cell>
        </row>
        <row r="2042">
          <cell r="A2042" t="str">
            <v>MA</v>
          </cell>
          <cell r="B2042">
            <v>2009</v>
          </cell>
          <cell r="D2042" t="str">
            <v>SOJA</v>
          </cell>
          <cell r="E2042">
            <v>22590</v>
          </cell>
        </row>
        <row r="2043">
          <cell r="A2043" t="str">
            <v>MA</v>
          </cell>
          <cell r="B2043">
            <v>2009</v>
          </cell>
          <cell r="D2043" t="str">
            <v>SOJA</v>
          </cell>
          <cell r="E2043">
            <v>13550</v>
          </cell>
        </row>
        <row r="2044">
          <cell r="A2044" t="str">
            <v>PR</v>
          </cell>
          <cell r="B2044">
            <v>2009</v>
          </cell>
          <cell r="D2044" t="str">
            <v>MILHO</v>
          </cell>
          <cell r="E2044">
            <v>3190</v>
          </cell>
        </row>
        <row r="2045">
          <cell r="A2045" t="str">
            <v>PR</v>
          </cell>
          <cell r="B2045">
            <v>2009</v>
          </cell>
          <cell r="D2045" t="str">
            <v>MILHO</v>
          </cell>
          <cell r="E2045">
            <v>0</v>
          </cell>
        </row>
        <row r="2046">
          <cell r="A2046" t="str">
            <v>PR</v>
          </cell>
          <cell r="B2046">
            <v>2009</v>
          </cell>
          <cell r="D2046" t="str">
            <v>SOJA</v>
          </cell>
          <cell r="E2046">
            <v>0</v>
          </cell>
        </row>
        <row r="2047">
          <cell r="A2047" t="str">
            <v>PR</v>
          </cell>
          <cell r="B2047">
            <v>2009</v>
          </cell>
          <cell r="D2047" t="str">
            <v>SOJA</v>
          </cell>
          <cell r="E2047">
            <v>14620</v>
          </cell>
        </row>
        <row r="2048">
          <cell r="A2048" t="str">
            <v>PR</v>
          </cell>
          <cell r="B2048">
            <v>2009</v>
          </cell>
          <cell r="D2048" t="str">
            <v>MILHO</v>
          </cell>
          <cell r="E2048">
            <v>800</v>
          </cell>
        </row>
        <row r="2049">
          <cell r="A2049" t="str">
            <v>PR</v>
          </cell>
          <cell r="B2049">
            <v>2009</v>
          </cell>
          <cell r="D2049" t="str">
            <v>SOJA</v>
          </cell>
          <cell r="E2049">
            <v>6880</v>
          </cell>
        </row>
        <row r="2050">
          <cell r="A2050" t="str">
            <v>PR</v>
          </cell>
          <cell r="B2050">
            <v>2009</v>
          </cell>
          <cell r="D2050" t="str">
            <v>MILHO</v>
          </cell>
          <cell r="E2050">
            <v>3990</v>
          </cell>
        </row>
        <row r="2051">
          <cell r="A2051" t="str">
            <v>PR</v>
          </cell>
          <cell r="B2051">
            <v>2009</v>
          </cell>
          <cell r="D2051" t="str">
            <v>MILHO</v>
          </cell>
          <cell r="E2051">
            <v>0</v>
          </cell>
        </row>
        <row r="2052">
          <cell r="A2052" t="str">
            <v>PR</v>
          </cell>
          <cell r="B2052">
            <v>2009</v>
          </cell>
          <cell r="D2052" t="str">
            <v>SOJA</v>
          </cell>
          <cell r="E2052">
            <v>0</v>
          </cell>
        </row>
        <row r="2053">
          <cell r="A2053" t="str">
            <v>PR</v>
          </cell>
          <cell r="B2053">
            <v>2009</v>
          </cell>
          <cell r="D2053" t="str">
            <v>SOJA</v>
          </cell>
          <cell r="E2053">
            <v>10320</v>
          </cell>
        </row>
        <row r="2054">
          <cell r="A2054" t="str">
            <v>MG</v>
          </cell>
          <cell r="B2054">
            <v>2009</v>
          </cell>
          <cell r="D2054" t="str">
            <v>MILHO</v>
          </cell>
          <cell r="E2054">
            <v>820</v>
          </cell>
        </row>
        <row r="2055">
          <cell r="A2055" t="str">
            <v>MG</v>
          </cell>
          <cell r="B2055">
            <v>2009</v>
          </cell>
          <cell r="D2055" t="str">
            <v>MILHO</v>
          </cell>
          <cell r="E2055">
            <v>820</v>
          </cell>
        </row>
        <row r="2056">
          <cell r="A2056" t="str">
            <v>MG</v>
          </cell>
          <cell r="B2056">
            <v>2009</v>
          </cell>
          <cell r="D2056" t="str">
            <v>MILHO</v>
          </cell>
          <cell r="E2056">
            <v>820</v>
          </cell>
        </row>
        <row r="2057">
          <cell r="A2057" t="str">
            <v>MG</v>
          </cell>
          <cell r="B2057">
            <v>2009</v>
          </cell>
          <cell r="D2057" t="str">
            <v>MILHO</v>
          </cell>
          <cell r="E2057">
            <v>820</v>
          </cell>
        </row>
        <row r="2058">
          <cell r="A2058" t="str">
            <v>MG</v>
          </cell>
          <cell r="B2058">
            <v>2009</v>
          </cell>
          <cell r="D2058" t="str">
            <v>MILHO</v>
          </cell>
          <cell r="E2058">
            <v>820</v>
          </cell>
        </row>
        <row r="2059">
          <cell r="A2059" t="str">
            <v>MG</v>
          </cell>
          <cell r="B2059">
            <v>2009</v>
          </cell>
          <cell r="D2059" t="str">
            <v>MILHO</v>
          </cell>
          <cell r="E2059">
            <v>820</v>
          </cell>
        </row>
        <row r="2060">
          <cell r="A2060" t="str">
            <v>MG</v>
          </cell>
          <cell r="B2060">
            <v>2009</v>
          </cell>
          <cell r="D2060" t="str">
            <v>MILHO</v>
          </cell>
          <cell r="E2060">
            <v>820</v>
          </cell>
        </row>
        <row r="2061">
          <cell r="A2061" t="str">
            <v>MG</v>
          </cell>
          <cell r="B2061">
            <v>2009</v>
          </cell>
          <cell r="D2061" t="str">
            <v>MILHO</v>
          </cell>
          <cell r="E2061">
            <v>820</v>
          </cell>
        </row>
        <row r="2062">
          <cell r="A2062" t="str">
            <v>MG</v>
          </cell>
          <cell r="B2062">
            <v>2009</v>
          </cell>
          <cell r="D2062" t="str">
            <v>MILHO</v>
          </cell>
          <cell r="E2062">
            <v>820</v>
          </cell>
        </row>
        <row r="2063">
          <cell r="A2063" t="str">
            <v>MG</v>
          </cell>
          <cell r="B2063">
            <v>2009</v>
          </cell>
          <cell r="D2063" t="str">
            <v>MILHO</v>
          </cell>
          <cell r="E2063">
            <v>820</v>
          </cell>
        </row>
        <row r="2064">
          <cell r="A2064" t="str">
            <v>MG</v>
          </cell>
          <cell r="B2064">
            <v>2009</v>
          </cell>
          <cell r="D2064" t="str">
            <v>MILHO</v>
          </cell>
          <cell r="E2064">
            <v>820</v>
          </cell>
        </row>
        <row r="2065">
          <cell r="A2065" t="str">
            <v>MG</v>
          </cell>
          <cell r="B2065">
            <v>2009</v>
          </cell>
          <cell r="D2065" t="str">
            <v>MILHO</v>
          </cell>
          <cell r="E2065">
            <v>820</v>
          </cell>
        </row>
        <row r="2066">
          <cell r="A2066" t="str">
            <v>MG</v>
          </cell>
          <cell r="B2066">
            <v>2009</v>
          </cell>
          <cell r="D2066" t="str">
            <v>MILHO</v>
          </cell>
          <cell r="E2066">
            <v>820</v>
          </cell>
        </row>
        <row r="2067">
          <cell r="A2067" t="str">
            <v>MG</v>
          </cell>
          <cell r="B2067">
            <v>2009</v>
          </cell>
          <cell r="D2067" t="str">
            <v>MILHO</v>
          </cell>
          <cell r="E2067">
            <v>820</v>
          </cell>
        </row>
        <row r="2068">
          <cell r="A2068" t="str">
            <v>MG</v>
          </cell>
          <cell r="B2068">
            <v>2009</v>
          </cell>
          <cell r="D2068" t="str">
            <v>MILHO</v>
          </cell>
          <cell r="E2068">
            <v>820</v>
          </cell>
        </row>
        <row r="2069">
          <cell r="A2069" t="str">
            <v>MG</v>
          </cell>
          <cell r="B2069">
            <v>2009</v>
          </cell>
          <cell r="D2069" t="str">
            <v>MILHO</v>
          </cell>
          <cell r="E2069">
            <v>820</v>
          </cell>
        </row>
        <row r="2070">
          <cell r="A2070" t="str">
            <v>MG</v>
          </cell>
          <cell r="B2070">
            <v>2009</v>
          </cell>
          <cell r="D2070" t="str">
            <v>MILHO</v>
          </cell>
          <cell r="E2070">
            <v>820</v>
          </cell>
        </row>
        <row r="2071">
          <cell r="A2071" t="str">
            <v>MG</v>
          </cell>
          <cell r="B2071">
            <v>2009</v>
          </cell>
          <cell r="D2071" t="str">
            <v>MILHO</v>
          </cell>
          <cell r="E2071">
            <v>820</v>
          </cell>
        </row>
        <row r="2072">
          <cell r="A2072" t="str">
            <v>MG</v>
          </cell>
          <cell r="B2072">
            <v>2009</v>
          </cell>
          <cell r="D2072" t="str">
            <v>MILHO</v>
          </cell>
          <cell r="E2072">
            <v>820</v>
          </cell>
        </row>
        <row r="2073">
          <cell r="A2073" t="str">
            <v>MG</v>
          </cell>
          <cell r="B2073">
            <v>2009</v>
          </cell>
          <cell r="D2073" t="str">
            <v>MILHO</v>
          </cell>
          <cell r="E2073">
            <v>1640</v>
          </cell>
        </row>
        <row r="2074">
          <cell r="A2074" t="str">
            <v>MG</v>
          </cell>
          <cell r="B2074">
            <v>2009</v>
          </cell>
          <cell r="D2074" t="str">
            <v>MILHO</v>
          </cell>
          <cell r="E2074">
            <v>1640</v>
          </cell>
        </row>
        <row r="2075">
          <cell r="A2075" t="str">
            <v>MG</v>
          </cell>
          <cell r="B2075">
            <v>2009</v>
          </cell>
          <cell r="D2075" t="str">
            <v>MILHO</v>
          </cell>
          <cell r="E2075">
            <v>1640</v>
          </cell>
        </row>
        <row r="2076">
          <cell r="A2076" t="str">
            <v>MG</v>
          </cell>
          <cell r="B2076">
            <v>2009</v>
          </cell>
          <cell r="D2076" t="str">
            <v>MILHO</v>
          </cell>
          <cell r="E2076">
            <v>1640</v>
          </cell>
        </row>
        <row r="2077">
          <cell r="A2077" t="str">
            <v>MG</v>
          </cell>
          <cell r="B2077">
            <v>2009</v>
          </cell>
          <cell r="D2077" t="str">
            <v>MILHO</v>
          </cell>
          <cell r="E2077">
            <v>1640</v>
          </cell>
        </row>
        <row r="2078">
          <cell r="A2078" t="str">
            <v>MG</v>
          </cell>
          <cell r="B2078">
            <v>2009</v>
          </cell>
          <cell r="D2078" t="str">
            <v>MILHO</v>
          </cell>
          <cell r="E2078">
            <v>1640</v>
          </cell>
        </row>
        <row r="2079">
          <cell r="A2079" t="str">
            <v>MG</v>
          </cell>
          <cell r="B2079">
            <v>2009</v>
          </cell>
          <cell r="D2079" t="str">
            <v>MILHO</v>
          </cell>
          <cell r="E2079">
            <v>1640</v>
          </cell>
        </row>
        <row r="2080">
          <cell r="A2080" t="str">
            <v>MG</v>
          </cell>
          <cell r="B2080">
            <v>2009</v>
          </cell>
          <cell r="D2080" t="str">
            <v>MILHO</v>
          </cell>
          <cell r="E2080">
            <v>1640</v>
          </cell>
        </row>
        <row r="2081">
          <cell r="A2081" t="str">
            <v>MG</v>
          </cell>
          <cell r="B2081">
            <v>2009</v>
          </cell>
          <cell r="D2081" t="str">
            <v>MILHO</v>
          </cell>
          <cell r="E2081">
            <v>1640</v>
          </cell>
        </row>
        <row r="2082">
          <cell r="A2082" t="str">
            <v>MG</v>
          </cell>
          <cell r="B2082">
            <v>2009</v>
          </cell>
          <cell r="D2082" t="str">
            <v>MILHO</v>
          </cell>
          <cell r="E2082">
            <v>2460</v>
          </cell>
        </row>
        <row r="2083">
          <cell r="A2083" t="str">
            <v>MG</v>
          </cell>
          <cell r="B2083">
            <v>2009</v>
          </cell>
          <cell r="D2083" t="str">
            <v>MILHO</v>
          </cell>
          <cell r="E2083">
            <v>2460</v>
          </cell>
        </row>
        <row r="2084">
          <cell r="A2084" t="str">
            <v>MG</v>
          </cell>
          <cell r="B2084">
            <v>2009</v>
          </cell>
          <cell r="D2084" t="str">
            <v>MILHO</v>
          </cell>
          <cell r="E2084">
            <v>2460</v>
          </cell>
        </row>
        <row r="2085">
          <cell r="A2085" t="str">
            <v>MG</v>
          </cell>
          <cell r="B2085">
            <v>2009</v>
          </cell>
          <cell r="D2085" t="str">
            <v>MILHO</v>
          </cell>
          <cell r="E2085">
            <v>3280</v>
          </cell>
        </row>
        <row r="2086">
          <cell r="A2086" t="str">
            <v>MG</v>
          </cell>
          <cell r="B2086">
            <v>2009</v>
          </cell>
          <cell r="D2086" t="str">
            <v>MILHO</v>
          </cell>
          <cell r="E2086">
            <v>5740</v>
          </cell>
        </row>
        <row r="2087">
          <cell r="A2087" t="str">
            <v>MG</v>
          </cell>
          <cell r="B2087">
            <v>2009</v>
          </cell>
          <cell r="D2087" t="str">
            <v>MILHO</v>
          </cell>
          <cell r="E2087">
            <v>8200</v>
          </cell>
        </row>
        <row r="2088">
          <cell r="A2088" t="str">
            <v>MG</v>
          </cell>
          <cell r="B2088">
            <v>2009</v>
          </cell>
          <cell r="D2088" t="str">
            <v>MILHO</v>
          </cell>
          <cell r="E2088">
            <v>8200</v>
          </cell>
        </row>
        <row r="2089">
          <cell r="A2089" t="str">
            <v>MG</v>
          </cell>
          <cell r="B2089">
            <v>2009</v>
          </cell>
          <cell r="D2089" t="str">
            <v>MILHO</v>
          </cell>
          <cell r="E2089">
            <v>0</v>
          </cell>
        </row>
        <row r="2090">
          <cell r="A2090" t="str">
            <v>MG</v>
          </cell>
          <cell r="B2090">
            <v>2009</v>
          </cell>
          <cell r="D2090" t="str">
            <v>SOJA</v>
          </cell>
          <cell r="E2090">
            <v>790</v>
          </cell>
        </row>
        <row r="2091">
          <cell r="A2091" t="str">
            <v>MG</v>
          </cell>
          <cell r="B2091">
            <v>2009</v>
          </cell>
          <cell r="D2091" t="str">
            <v>SOJA</v>
          </cell>
          <cell r="E2091">
            <v>790</v>
          </cell>
        </row>
        <row r="2092">
          <cell r="A2092" t="str">
            <v>MG</v>
          </cell>
          <cell r="B2092">
            <v>2009</v>
          </cell>
          <cell r="D2092" t="str">
            <v>SOJA</v>
          </cell>
          <cell r="E2092">
            <v>790</v>
          </cell>
        </row>
        <row r="2093">
          <cell r="A2093" t="str">
            <v>MG</v>
          </cell>
          <cell r="B2093">
            <v>2009</v>
          </cell>
          <cell r="D2093" t="str">
            <v>SOJA</v>
          </cell>
          <cell r="E2093">
            <v>790</v>
          </cell>
        </row>
        <row r="2094">
          <cell r="A2094" t="str">
            <v>MG</v>
          </cell>
          <cell r="B2094">
            <v>2009</v>
          </cell>
          <cell r="D2094" t="str">
            <v>SOJA</v>
          </cell>
          <cell r="E2094">
            <v>1570</v>
          </cell>
        </row>
        <row r="2095">
          <cell r="A2095" t="str">
            <v>MG</v>
          </cell>
          <cell r="B2095">
            <v>2009</v>
          </cell>
          <cell r="D2095" t="str">
            <v>SOJA</v>
          </cell>
          <cell r="E2095">
            <v>1570</v>
          </cell>
        </row>
        <row r="2096">
          <cell r="A2096" t="str">
            <v>MG</v>
          </cell>
          <cell r="B2096">
            <v>2009</v>
          </cell>
          <cell r="D2096" t="str">
            <v>SOJA</v>
          </cell>
          <cell r="E2096">
            <v>1570</v>
          </cell>
        </row>
        <row r="2097">
          <cell r="A2097" t="str">
            <v>MG</v>
          </cell>
          <cell r="B2097">
            <v>2009</v>
          </cell>
          <cell r="D2097" t="str">
            <v>SOJA</v>
          </cell>
          <cell r="E2097">
            <v>0</v>
          </cell>
        </row>
        <row r="2098">
          <cell r="A2098" t="str">
            <v>MG</v>
          </cell>
          <cell r="B2098">
            <v>2009</v>
          </cell>
          <cell r="D2098" t="str">
            <v>SOJA</v>
          </cell>
          <cell r="E2098">
            <v>15730</v>
          </cell>
        </row>
        <row r="2099">
          <cell r="A2099" t="str">
            <v>GO</v>
          </cell>
          <cell r="B2099">
            <v>2009</v>
          </cell>
          <cell r="D2099" t="str">
            <v>MILHO</v>
          </cell>
          <cell r="E2099">
            <v>800</v>
          </cell>
        </row>
        <row r="2100">
          <cell r="A2100" t="str">
            <v>GO</v>
          </cell>
          <cell r="B2100">
            <v>2009</v>
          </cell>
          <cell r="D2100" t="str">
            <v>MILHO</v>
          </cell>
          <cell r="E2100">
            <v>0</v>
          </cell>
        </row>
        <row r="2101">
          <cell r="A2101" t="str">
            <v>GO</v>
          </cell>
          <cell r="B2101">
            <v>2009</v>
          </cell>
          <cell r="D2101" t="str">
            <v>SOJA</v>
          </cell>
          <cell r="E2101">
            <v>0</v>
          </cell>
        </row>
        <row r="2102">
          <cell r="A2102" t="str">
            <v>GO</v>
          </cell>
          <cell r="B2102">
            <v>2009</v>
          </cell>
          <cell r="D2102" t="str">
            <v>SOJA</v>
          </cell>
          <cell r="E2102">
            <v>11720</v>
          </cell>
        </row>
        <row r="2103">
          <cell r="A2103" t="str">
            <v>PR</v>
          </cell>
          <cell r="B2103">
            <v>2009</v>
          </cell>
          <cell r="D2103" t="str">
            <v>MILHO</v>
          </cell>
          <cell r="E2103">
            <v>18360</v>
          </cell>
        </row>
        <row r="2104">
          <cell r="A2104" t="str">
            <v>PR</v>
          </cell>
          <cell r="B2104">
            <v>2009</v>
          </cell>
          <cell r="D2104" t="str">
            <v>MILHO</v>
          </cell>
          <cell r="E2104">
            <v>0</v>
          </cell>
        </row>
        <row r="2105">
          <cell r="A2105" t="str">
            <v>PR</v>
          </cell>
          <cell r="B2105">
            <v>2009</v>
          </cell>
          <cell r="D2105" t="str">
            <v>SOJA</v>
          </cell>
          <cell r="E2105">
            <v>33540</v>
          </cell>
        </row>
        <row r="2106">
          <cell r="A2106" t="str">
            <v>PR</v>
          </cell>
          <cell r="B2106">
            <v>2009</v>
          </cell>
          <cell r="D2106" t="str">
            <v>SOJA</v>
          </cell>
          <cell r="E2106">
            <v>0</v>
          </cell>
        </row>
        <row r="2107">
          <cell r="A2107" t="str">
            <v>PR</v>
          </cell>
          <cell r="B2107">
            <v>2009</v>
          </cell>
          <cell r="D2107" t="str">
            <v>MILHO</v>
          </cell>
          <cell r="E2107">
            <v>0</v>
          </cell>
        </row>
        <row r="2108">
          <cell r="A2108" t="str">
            <v>PR</v>
          </cell>
          <cell r="B2108">
            <v>2009</v>
          </cell>
          <cell r="D2108" t="str">
            <v>MILHO</v>
          </cell>
          <cell r="E2108">
            <v>7980</v>
          </cell>
        </row>
        <row r="2109">
          <cell r="A2109" t="str">
            <v>PR</v>
          </cell>
          <cell r="B2109">
            <v>2009</v>
          </cell>
          <cell r="D2109" t="str">
            <v>SOJA</v>
          </cell>
          <cell r="E2109">
            <v>17200</v>
          </cell>
        </row>
        <row r="2110">
          <cell r="A2110" t="str">
            <v>PR</v>
          </cell>
          <cell r="B2110">
            <v>2009</v>
          </cell>
          <cell r="D2110" t="str">
            <v>SOJA</v>
          </cell>
          <cell r="E2110">
            <v>0</v>
          </cell>
        </row>
        <row r="2111">
          <cell r="A2111" t="str">
            <v>PR</v>
          </cell>
          <cell r="B2111">
            <v>2009</v>
          </cell>
          <cell r="D2111" t="str">
            <v>MILHO</v>
          </cell>
          <cell r="E2111">
            <v>3990</v>
          </cell>
        </row>
        <row r="2112">
          <cell r="A2112" t="str">
            <v>PR</v>
          </cell>
          <cell r="B2112">
            <v>2009</v>
          </cell>
          <cell r="D2112" t="str">
            <v>MILHO</v>
          </cell>
          <cell r="E2112">
            <v>0</v>
          </cell>
        </row>
        <row r="2113">
          <cell r="A2113" t="str">
            <v>PR</v>
          </cell>
          <cell r="B2113">
            <v>2009</v>
          </cell>
          <cell r="D2113" t="str">
            <v>SOJA</v>
          </cell>
          <cell r="E2113">
            <v>0</v>
          </cell>
        </row>
        <row r="2114">
          <cell r="A2114" t="str">
            <v>PR</v>
          </cell>
          <cell r="B2114">
            <v>2009</v>
          </cell>
          <cell r="D2114" t="str">
            <v>SOJA</v>
          </cell>
          <cell r="E2114">
            <v>21500</v>
          </cell>
        </row>
        <row r="2115">
          <cell r="A2115" t="str">
            <v>PR</v>
          </cell>
          <cell r="B2115">
            <v>2009</v>
          </cell>
          <cell r="D2115" t="str">
            <v>MILHO</v>
          </cell>
          <cell r="E2115">
            <v>0</v>
          </cell>
        </row>
        <row r="2116">
          <cell r="A2116" t="str">
            <v>PR</v>
          </cell>
          <cell r="B2116">
            <v>2009</v>
          </cell>
          <cell r="D2116" t="str">
            <v>MILHO</v>
          </cell>
          <cell r="E2116">
            <v>3990</v>
          </cell>
        </row>
        <row r="2117">
          <cell r="A2117" t="str">
            <v>PR</v>
          </cell>
          <cell r="B2117">
            <v>2009</v>
          </cell>
          <cell r="D2117" t="str">
            <v>SOJA</v>
          </cell>
          <cell r="E2117">
            <v>0</v>
          </cell>
        </row>
        <row r="2118">
          <cell r="A2118" t="str">
            <v>PR</v>
          </cell>
          <cell r="B2118">
            <v>2009</v>
          </cell>
          <cell r="D2118" t="str">
            <v>SOJA</v>
          </cell>
          <cell r="E2118">
            <v>12900</v>
          </cell>
        </row>
        <row r="2119">
          <cell r="A2119" t="str">
            <v>RS</v>
          </cell>
          <cell r="B2119">
            <v>2009</v>
          </cell>
          <cell r="D2119" t="str">
            <v>SOJA</v>
          </cell>
          <cell r="E2119">
            <v>0</v>
          </cell>
        </row>
        <row r="2120">
          <cell r="A2120" t="str">
            <v>RS</v>
          </cell>
          <cell r="B2120">
            <v>2009</v>
          </cell>
          <cell r="D2120" t="str">
            <v>SOJA</v>
          </cell>
          <cell r="E2120">
            <v>0</v>
          </cell>
        </row>
        <row r="2121">
          <cell r="A2121" t="str">
            <v>PR</v>
          </cell>
          <cell r="B2121">
            <v>2009</v>
          </cell>
          <cell r="D2121" t="str">
            <v>MILHO</v>
          </cell>
          <cell r="E2121">
            <v>7980</v>
          </cell>
        </row>
        <row r="2122">
          <cell r="A2122" t="str">
            <v>PR</v>
          </cell>
          <cell r="B2122">
            <v>2009</v>
          </cell>
          <cell r="D2122" t="str">
            <v>MILHO</v>
          </cell>
          <cell r="E2122">
            <v>0</v>
          </cell>
        </row>
        <row r="2123">
          <cell r="A2123" t="str">
            <v>PR</v>
          </cell>
          <cell r="B2123">
            <v>2009</v>
          </cell>
          <cell r="D2123" t="str">
            <v>SOJA</v>
          </cell>
          <cell r="E2123">
            <v>10320</v>
          </cell>
        </row>
        <row r="2124">
          <cell r="A2124" t="str">
            <v>PR</v>
          </cell>
          <cell r="B2124">
            <v>2009</v>
          </cell>
          <cell r="D2124" t="str">
            <v>SOJA</v>
          </cell>
          <cell r="E2124">
            <v>0</v>
          </cell>
        </row>
        <row r="2125">
          <cell r="A2125" t="str">
            <v>MT</v>
          </cell>
          <cell r="B2125">
            <v>2009</v>
          </cell>
          <cell r="D2125" t="str">
            <v>SOJA</v>
          </cell>
          <cell r="E2125">
            <v>4520</v>
          </cell>
        </row>
        <row r="2126">
          <cell r="A2126" t="str">
            <v>MT</v>
          </cell>
          <cell r="B2126">
            <v>2009</v>
          </cell>
          <cell r="D2126" t="str">
            <v>SOJA</v>
          </cell>
          <cell r="E2126">
            <v>14290</v>
          </cell>
        </row>
        <row r="2127">
          <cell r="A2127" t="str">
            <v>BA</v>
          </cell>
          <cell r="B2127">
            <v>2009</v>
          </cell>
          <cell r="D2127" t="str">
            <v>SOJA</v>
          </cell>
          <cell r="E2127">
            <v>16370.000000000002</v>
          </cell>
        </row>
        <row r="2128">
          <cell r="A2128" t="str">
            <v>MT</v>
          </cell>
          <cell r="B2128">
            <v>2009</v>
          </cell>
          <cell r="D2128" t="str">
            <v>SOJA</v>
          </cell>
          <cell r="E2128">
            <v>6670</v>
          </cell>
        </row>
        <row r="2129">
          <cell r="A2129" t="str">
            <v>MT</v>
          </cell>
          <cell r="B2129">
            <v>2009</v>
          </cell>
          <cell r="D2129" t="str">
            <v>SOJA</v>
          </cell>
          <cell r="E2129">
            <v>0</v>
          </cell>
        </row>
        <row r="2130">
          <cell r="A2130" t="str">
            <v>MT</v>
          </cell>
          <cell r="B2130">
            <v>2009</v>
          </cell>
          <cell r="D2130" t="str">
            <v>SOJA</v>
          </cell>
          <cell r="E2130">
            <v>0</v>
          </cell>
        </row>
        <row r="2131">
          <cell r="A2131" t="str">
            <v>MT</v>
          </cell>
          <cell r="B2131">
            <v>2009</v>
          </cell>
          <cell r="D2131" t="str">
            <v>SOJA</v>
          </cell>
          <cell r="E2131">
            <v>33330</v>
          </cell>
        </row>
        <row r="2132">
          <cell r="A2132" t="str">
            <v>MT</v>
          </cell>
          <cell r="B2132">
            <v>2009</v>
          </cell>
          <cell r="D2132" t="str">
            <v>SOJA</v>
          </cell>
          <cell r="E2132">
            <v>4530</v>
          </cell>
        </row>
        <row r="2133">
          <cell r="A2133" t="str">
            <v>MT</v>
          </cell>
          <cell r="B2133">
            <v>2009</v>
          </cell>
          <cell r="D2133" t="str">
            <v>SOJA</v>
          </cell>
          <cell r="E2133">
            <v>0</v>
          </cell>
        </row>
        <row r="2134">
          <cell r="A2134" t="str">
            <v>BA</v>
          </cell>
          <cell r="B2134">
            <v>2009</v>
          </cell>
          <cell r="D2134" t="str">
            <v>SOJA</v>
          </cell>
          <cell r="E2134">
            <v>77030</v>
          </cell>
        </row>
        <row r="2135">
          <cell r="A2135" t="str">
            <v>RS</v>
          </cell>
          <cell r="B2135">
            <v>2009</v>
          </cell>
          <cell r="D2135" t="str">
            <v>SOJA</v>
          </cell>
          <cell r="E2135">
            <v>3050</v>
          </cell>
        </row>
        <row r="2136">
          <cell r="A2136" t="str">
            <v>RS</v>
          </cell>
          <cell r="B2136">
            <v>2009</v>
          </cell>
          <cell r="D2136" t="str">
            <v>SOJA</v>
          </cell>
          <cell r="E2136">
            <v>5090</v>
          </cell>
        </row>
        <row r="2137">
          <cell r="A2137" t="str">
            <v>RS</v>
          </cell>
          <cell r="B2137">
            <v>2009</v>
          </cell>
          <cell r="D2137" t="str">
            <v>SOJA</v>
          </cell>
          <cell r="E2137">
            <v>13240</v>
          </cell>
        </row>
        <row r="2138">
          <cell r="A2138" t="str">
            <v>RS</v>
          </cell>
          <cell r="B2138">
            <v>2009</v>
          </cell>
          <cell r="D2138" t="str">
            <v>SOJA</v>
          </cell>
          <cell r="E2138">
            <v>62120</v>
          </cell>
        </row>
        <row r="2139">
          <cell r="A2139" t="str">
            <v>RS</v>
          </cell>
          <cell r="B2139">
            <v>2009</v>
          </cell>
          <cell r="D2139" t="str">
            <v>MILHO</v>
          </cell>
          <cell r="E2139">
            <v>1050</v>
          </cell>
        </row>
        <row r="2140">
          <cell r="A2140" t="str">
            <v>RS</v>
          </cell>
          <cell r="B2140">
            <v>2009</v>
          </cell>
          <cell r="D2140" t="str">
            <v>MILHO</v>
          </cell>
          <cell r="E2140">
            <v>0</v>
          </cell>
        </row>
        <row r="2141">
          <cell r="A2141" t="str">
            <v>RS</v>
          </cell>
          <cell r="B2141">
            <v>2009</v>
          </cell>
          <cell r="D2141" t="str">
            <v>SOJA</v>
          </cell>
          <cell r="E2141">
            <v>6110</v>
          </cell>
        </row>
        <row r="2142">
          <cell r="A2142" t="str">
            <v>RS</v>
          </cell>
          <cell r="B2142">
            <v>2009</v>
          </cell>
          <cell r="D2142" t="str">
            <v>SOJA</v>
          </cell>
          <cell r="E2142">
            <v>0</v>
          </cell>
        </row>
        <row r="2143">
          <cell r="A2143" t="str">
            <v>RS</v>
          </cell>
          <cell r="B2143">
            <v>2009</v>
          </cell>
          <cell r="D2143" t="str">
            <v>MILHO</v>
          </cell>
          <cell r="E2143">
            <v>0</v>
          </cell>
        </row>
        <row r="2144">
          <cell r="A2144" t="str">
            <v>RS</v>
          </cell>
          <cell r="B2144">
            <v>2009</v>
          </cell>
          <cell r="D2144" t="str">
            <v>SOJA</v>
          </cell>
          <cell r="E2144">
            <v>25460</v>
          </cell>
        </row>
        <row r="2145">
          <cell r="A2145" t="str">
            <v>RS</v>
          </cell>
          <cell r="B2145">
            <v>2009</v>
          </cell>
          <cell r="D2145" t="str">
            <v>SOJA</v>
          </cell>
          <cell r="E2145">
            <v>0</v>
          </cell>
        </row>
        <row r="2146">
          <cell r="A2146" t="str">
            <v>PR</v>
          </cell>
          <cell r="B2146">
            <v>2009</v>
          </cell>
          <cell r="D2146" t="str">
            <v>MILHO</v>
          </cell>
          <cell r="E2146">
            <v>0</v>
          </cell>
        </row>
        <row r="2147">
          <cell r="A2147" t="str">
            <v>PR</v>
          </cell>
          <cell r="B2147">
            <v>2009</v>
          </cell>
          <cell r="D2147" t="str">
            <v>SOJA</v>
          </cell>
          <cell r="E2147">
            <v>0</v>
          </cell>
        </row>
        <row r="2148">
          <cell r="A2148" t="str">
            <v>PR</v>
          </cell>
          <cell r="B2148">
            <v>2009</v>
          </cell>
          <cell r="D2148" t="str">
            <v>SOJA</v>
          </cell>
          <cell r="E2148">
            <v>3490</v>
          </cell>
        </row>
        <row r="2149">
          <cell r="A2149" t="str">
            <v>PR</v>
          </cell>
          <cell r="B2149">
            <v>2009</v>
          </cell>
          <cell r="D2149" t="str">
            <v>MILHO</v>
          </cell>
          <cell r="E2149">
            <v>0</v>
          </cell>
        </row>
        <row r="2150">
          <cell r="A2150" t="str">
            <v>PR</v>
          </cell>
          <cell r="B2150">
            <v>2009</v>
          </cell>
          <cell r="D2150" t="str">
            <v>SOJA</v>
          </cell>
          <cell r="E2150">
            <v>2620</v>
          </cell>
        </row>
        <row r="2151">
          <cell r="A2151" t="str">
            <v>PR</v>
          </cell>
          <cell r="B2151">
            <v>2009</v>
          </cell>
          <cell r="D2151" t="str">
            <v>SOJA</v>
          </cell>
          <cell r="E2151">
            <v>0</v>
          </cell>
        </row>
        <row r="2152">
          <cell r="A2152" t="str">
            <v>PR</v>
          </cell>
          <cell r="B2152">
            <v>2009</v>
          </cell>
          <cell r="D2152" t="str">
            <v>MILHO</v>
          </cell>
          <cell r="E2152">
            <v>0</v>
          </cell>
        </row>
        <row r="2153">
          <cell r="A2153" t="str">
            <v>PR</v>
          </cell>
          <cell r="B2153">
            <v>2009</v>
          </cell>
          <cell r="D2153" t="str">
            <v>SOJA</v>
          </cell>
          <cell r="E2153">
            <v>0</v>
          </cell>
        </row>
        <row r="2154">
          <cell r="A2154" t="str">
            <v>PR</v>
          </cell>
          <cell r="B2154">
            <v>2009</v>
          </cell>
          <cell r="D2154" t="str">
            <v>SOJA</v>
          </cell>
          <cell r="E2154">
            <v>3490</v>
          </cell>
        </row>
        <row r="2155">
          <cell r="A2155" t="str">
            <v>PR</v>
          </cell>
          <cell r="B2155">
            <v>2009</v>
          </cell>
          <cell r="D2155" t="str">
            <v>MILHO</v>
          </cell>
          <cell r="E2155">
            <v>0</v>
          </cell>
        </row>
        <row r="2156">
          <cell r="A2156" t="str">
            <v>PR</v>
          </cell>
          <cell r="B2156">
            <v>2009</v>
          </cell>
          <cell r="D2156" t="str">
            <v>SOJA</v>
          </cell>
          <cell r="E2156">
            <v>0</v>
          </cell>
        </row>
        <row r="2157">
          <cell r="A2157" t="str">
            <v>PR</v>
          </cell>
          <cell r="B2157">
            <v>2009</v>
          </cell>
          <cell r="D2157" t="str">
            <v>SOJA</v>
          </cell>
          <cell r="E2157">
            <v>3490</v>
          </cell>
        </row>
        <row r="2158">
          <cell r="A2158" t="str">
            <v>SP</v>
          </cell>
          <cell r="B2158">
            <v>2009</v>
          </cell>
          <cell r="D2158" t="str">
            <v>MILHO</v>
          </cell>
          <cell r="E2158">
            <v>6390</v>
          </cell>
        </row>
        <row r="2159">
          <cell r="A2159" t="str">
            <v>SP</v>
          </cell>
          <cell r="B2159">
            <v>2009</v>
          </cell>
          <cell r="D2159" t="str">
            <v>MILHO</v>
          </cell>
          <cell r="E2159">
            <v>0</v>
          </cell>
        </row>
        <row r="2160">
          <cell r="A2160" t="str">
            <v>PR</v>
          </cell>
          <cell r="B2160">
            <v>2009</v>
          </cell>
          <cell r="D2160" t="str">
            <v>MILHO</v>
          </cell>
          <cell r="E2160">
            <v>0</v>
          </cell>
        </row>
        <row r="2161">
          <cell r="A2161" t="str">
            <v>PR</v>
          </cell>
          <cell r="B2161">
            <v>2009</v>
          </cell>
          <cell r="D2161" t="str">
            <v>SOJA</v>
          </cell>
          <cell r="E2161">
            <v>2620</v>
          </cell>
        </row>
        <row r="2162">
          <cell r="A2162" t="str">
            <v>PR</v>
          </cell>
          <cell r="B2162">
            <v>2009</v>
          </cell>
          <cell r="D2162" t="str">
            <v>SOJA</v>
          </cell>
          <cell r="E2162">
            <v>8740</v>
          </cell>
        </row>
        <row r="2163">
          <cell r="A2163" t="str">
            <v>PR</v>
          </cell>
          <cell r="B2163">
            <v>2009</v>
          </cell>
          <cell r="D2163" t="str">
            <v>SOJA</v>
          </cell>
          <cell r="E2163">
            <v>0</v>
          </cell>
        </row>
        <row r="2164">
          <cell r="A2164" t="str">
            <v>MT</v>
          </cell>
          <cell r="B2164">
            <v>2009</v>
          </cell>
          <cell r="D2164" t="str">
            <v>SOJA</v>
          </cell>
          <cell r="E2164">
            <v>0</v>
          </cell>
        </row>
        <row r="2165">
          <cell r="A2165" t="str">
            <v>MT</v>
          </cell>
          <cell r="B2165">
            <v>2009</v>
          </cell>
          <cell r="D2165" t="str">
            <v>SOJA</v>
          </cell>
          <cell r="E2165">
            <v>28060</v>
          </cell>
        </row>
        <row r="2166">
          <cell r="A2166" t="str">
            <v>MT</v>
          </cell>
          <cell r="B2166">
            <v>2009</v>
          </cell>
          <cell r="D2166" t="str">
            <v>SOJA</v>
          </cell>
          <cell r="E2166">
            <v>0</v>
          </cell>
        </row>
        <row r="2167">
          <cell r="A2167" t="str">
            <v>MT</v>
          </cell>
          <cell r="B2167">
            <v>2009</v>
          </cell>
          <cell r="D2167" t="str">
            <v>SOJA</v>
          </cell>
          <cell r="E2167">
            <v>0</v>
          </cell>
        </row>
        <row r="2168">
          <cell r="A2168" t="str">
            <v>MT</v>
          </cell>
          <cell r="B2168">
            <v>2009</v>
          </cell>
          <cell r="D2168" t="str">
            <v>SOJA</v>
          </cell>
          <cell r="E2168">
            <v>3210</v>
          </cell>
        </row>
        <row r="2169">
          <cell r="A2169" t="str">
            <v>MS</v>
          </cell>
          <cell r="B2169">
            <v>2009</v>
          </cell>
          <cell r="D2169" t="str">
            <v>MILHO</v>
          </cell>
          <cell r="E2169">
            <v>800</v>
          </cell>
        </row>
        <row r="2170">
          <cell r="A2170" t="str">
            <v>MS</v>
          </cell>
          <cell r="B2170">
            <v>2009</v>
          </cell>
          <cell r="D2170" t="str">
            <v>SOJA</v>
          </cell>
          <cell r="E2170">
            <v>0</v>
          </cell>
        </row>
        <row r="2171">
          <cell r="A2171" t="str">
            <v>MS</v>
          </cell>
          <cell r="B2171">
            <v>2009</v>
          </cell>
          <cell r="D2171" t="str">
            <v>SOJA</v>
          </cell>
          <cell r="E2171">
            <v>10160</v>
          </cell>
        </row>
        <row r="2172">
          <cell r="A2172" t="str">
            <v>PR</v>
          </cell>
          <cell r="B2172">
            <v>2009</v>
          </cell>
          <cell r="D2172" t="str">
            <v>MILHO</v>
          </cell>
          <cell r="E2172">
            <v>11580</v>
          </cell>
        </row>
        <row r="2173">
          <cell r="A2173" t="str">
            <v>PR</v>
          </cell>
          <cell r="B2173">
            <v>2009</v>
          </cell>
          <cell r="D2173" t="str">
            <v>MILHO</v>
          </cell>
          <cell r="E2173">
            <v>0</v>
          </cell>
        </row>
        <row r="2174">
          <cell r="A2174" t="str">
            <v>PR</v>
          </cell>
          <cell r="B2174">
            <v>2009</v>
          </cell>
          <cell r="D2174" t="str">
            <v>SOJA</v>
          </cell>
          <cell r="E2174">
            <v>0</v>
          </cell>
        </row>
        <row r="2175">
          <cell r="A2175" t="str">
            <v>PR</v>
          </cell>
          <cell r="B2175">
            <v>2009</v>
          </cell>
          <cell r="D2175" t="str">
            <v>SOJA</v>
          </cell>
          <cell r="E2175">
            <v>51600</v>
          </cell>
        </row>
        <row r="2176">
          <cell r="A2176" t="str">
            <v>PR</v>
          </cell>
          <cell r="B2176">
            <v>2009</v>
          </cell>
          <cell r="D2176" t="str">
            <v>MILHO</v>
          </cell>
          <cell r="E2176">
            <v>7180</v>
          </cell>
        </row>
        <row r="2177">
          <cell r="A2177" t="str">
            <v>PR</v>
          </cell>
          <cell r="B2177">
            <v>2009</v>
          </cell>
          <cell r="D2177" t="str">
            <v>MILHO</v>
          </cell>
          <cell r="E2177">
            <v>3990</v>
          </cell>
        </row>
        <row r="2178">
          <cell r="A2178" t="str">
            <v>PR</v>
          </cell>
          <cell r="B2178">
            <v>2009</v>
          </cell>
          <cell r="D2178" t="str">
            <v>MILHO</v>
          </cell>
          <cell r="E2178">
            <v>0</v>
          </cell>
        </row>
        <row r="2179">
          <cell r="A2179" t="str">
            <v>PR</v>
          </cell>
          <cell r="B2179">
            <v>2009</v>
          </cell>
          <cell r="D2179" t="str">
            <v>SOJA</v>
          </cell>
          <cell r="E2179">
            <v>0</v>
          </cell>
        </row>
        <row r="2180">
          <cell r="A2180" t="str">
            <v>BA</v>
          </cell>
          <cell r="B2180">
            <v>2009</v>
          </cell>
          <cell r="D2180" t="str">
            <v>SOJA</v>
          </cell>
          <cell r="E2180">
            <v>38520</v>
          </cell>
        </row>
        <row r="2181">
          <cell r="A2181" t="str">
            <v>BA</v>
          </cell>
          <cell r="B2181">
            <v>2009</v>
          </cell>
          <cell r="D2181" t="str">
            <v>SOJA</v>
          </cell>
          <cell r="E2181">
            <v>163690</v>
          </cell>
        </row>
        <row r="2182">
          <cell r="A2182" t="str">
            <v>BA</v>
          </cell>
          <cell r="B2182">
            <v>2009</v>
          </cell>
          <cell r="D2182" t="str">
            <v>SOJA</v>
          </cell>
          <cell r="E2182">
            <v>28890</v>
          </cell>
        </row>
        <row r="2183">
          <cell r="A2183" t="str">
            <v>BA</v>
          </cell>
          <cell r="B2183">
            <v>2009</v>
          </cell>
          <cell r="D2183" t="str">
            <v>SOJA</v>
          </cell>
          <cell r="E2183">
            <v>26960</v>
          </cell>
        </row>
        <row r="2184">
          <cell r="A2184" t="str">
            <v>MT</v>
          </cell>
          <cell r="B2184">
            <v>2009</v>
          </cell>
          <cell r="D2184" t="str">
            <v>SOJA</v>
          </cell>
          <cell r="E2184">
            <v>0</v>
          </cell>
        </row>
        <row r="2185">
          <cell r="A2185" t="str">
            <v>MT</v>
          </cell>
          <cell r="B2185">
            <v>2009</v>
          </cell>
          <cell r="D2185" t="str">
            <v>SOJA</v>
          </cell>
          <cell r="E2185">
            <v>4520</v>
          </cell>
        </row>
        <row r="2186">
          <cell r="A2186" t="str">
            <v>MT</v>
          </cell>
          <cell r="B2186">
            <v>2009</v>
          </cell>
          <cell r="D2186" t="str">
            <v>SOJA</v>
          </cell>
          <cell r="E2186">
            <v>0</v>
          </cell>
        </row>
        <row r="2187">
          <cell r="A2187" t="str">
            <v>MT</v>
          </cell>
          <cell r="B2187">
            <v>2009</v>
          </cell>
          <cell r="D2187" t="str">
            <v>SOJA</v>
          </cell>
          <cell r="E2187">
            <v>0</v>
          </cell>
        </row>
        <row r="2188">
          <cell r="A2188" t="str">
            <v>MT</v>
          </cell>
          <cell r="B2188">
            <v>2009</v>
          </cell>
          <cell r="D2188" t="str">
            <v>SOJA</v>
          </cell>
          <cell r="E2188">
            <v>0</v>
          </cell>
        </row>
        <row r="2189">
          <cell r="A2189" t="str">
            <v>MT</v>
          </cell>
          <cell r="B2189">
            <v>2009</v>
          </cell>
          <cell r="D2189" t="str">
            <v>SOJA</v>
          </cell>
          <cell r="E2189">
            <v>9040</v>
          </cell>
        </row>
        <row r="2190">
          <cell r="A2190" t="str">
            <v>TO</v>
          </cell>
          <cell r="B2190">
            <v>2009</v>
          </cell>
          <cell r="D2190" t="str">
            <v>SOJA</v>
          </cell>
          <cell r="E2190">
            <v>0</v>
          </cell>
        </row>
        <row r="2191">
          <cell r="A2191" t="str">
            <v>TO</v>
          </cell>
          <cell r="B2191">
            <v>2009</v>
          </cell>
          <cell r="D2191" t="str">
            <v>SOJA</v>
          </cell>
          <cell r="E2191">
            <v>11300</v>
          </cell>
        </row>
        <row r="2192">
          <cell r="A2192" t="str">
            <v>BA</v>
          </cell>
          <cell r="B2192">
            <v>2009</v>
          </cell>
          <cell r="D2192" t="str">
            <v>MILHO</v>
          </cell>
          <cell r="E2192">
            <v>2290</v>
          </cell>
        </row>
        <row r="2193">
          <cell r="A2193" t="str">
            <v>BA</v>
          </cell>
          <cell r="B2193">
            <v>2009</v>
          </cell>
          <cell r="D2193" t="str">
            <v>SOJA</v>
          </cell>
          <cell r="E2193">
            <v>16370.000000000002</v>
          </cell>
        </row>
        <row r="2194">
          <cell r="A2194" t="str">
            <v>GO</v>
          </cell>
          <cell r="B2194">
            <v>2009</v>
          </cell>
          <cell r="D2194" t="str">
            <v>MILHO</v>
          </cell>
          <cell r="E2194">
            <v>1590</v>
          </cell>
        </row>
        <row r="2195">
          <cell r="A2195" t="str">
            <v>GO</v>
          </cell>
          <cell r="B2195">
            <v>2009</v>
          </cell>
          <cell r="D2195" t="str">
            <v>MILHO</v>
          </cell>
          <cell r="E2195">
            <v>0</v>
          </cell>
        </row>
        <row r="2196">
          <cell r="A2196" t="str">
            <v>GO</v>
          </cell>
          <cell r="B2196">
            <v>2009</v>
          </cell>
          <cell r="D2196" t="str">
            <v>SOJA</v>
          </cell>
          <cell r="E2196">
            <v>0</v>
          </cell>
        </row>
        <row r="2197">
          <cell r="A2197" t="str">
            <v>GO</v>
          </cell>
          <cell r="B2197">
            <v>2009</v>
          </cell>
          <cell r="D2197" t="str">
            <v>SOJA</v>
          </cell>
          <cell r="E2197">
            <v>7250</v>
          </cell>
        </row>
        <row r="2198">
          <cell r="A2198" t="str">
            <v>GO</v>
          </cell>
          <cell r="B2198">
            <v>2009</v>
          </cell>
          <cell r="D2198" t="str">
            <v>SOJA</v>
          </cell>
          <cell r="E2198">
            <v>2680</v>
          </cell>
        </row>
        <row r="2199">
          <cell r="A2199" t="str">
            <v>GO</v>
          </cell>
          <cell r="B2199">
            <v>2009</v>
          </cell>
          <cell r="D2199" t="str">
            <v>SOJA</v>
          </cell>
          <cell r="E2199">
            <v>4360</v>
          </cell>
        </row>
        <row r="2200">
          <cell r="A2200" t="str">
            <v>GO</v>
          </cell>
          <cell r="B2200">
            <v>2009</v>
          </cell>
          <cell r="D2200" t="str">
            <v>SOJA</v>
          </cell>
          <cell r="E2200">
            <v>0</v>
          </cell>
        </row>
        <row r="2201">
          <cell r="A2201" t="str">
            <v>GO</v>
          </cell>
          <cell r="B2201">
            <v>2009</v>
          </cell>
          <cell r="D2201" t="str">
            <v>SOJA</v>
          </cell>
          <cell r="E2201">
            <v>7040</v>
          </cell>
        </row>
        <row r="2202">
          <cell r="A2202" t="str">
            <v>GO</v>
          </cell>
          <cell r="B2202">
            <v>2009</v>
          </cell>
          <cell r="D2202" t="str">
            <v>SOJA</v>
          </cell>
          <cell r="E2202">
            <v>7040</v>
          </cell>
        </row>
        <row r="2203">
          <cell r="A2203" t="str">
            <v>GO</v>
          </cell>
          <cell r="B2203">
            <v>2009</v>
          </cell>
          <cell r="D2203" t="str">
            <v>SOJA</v>
          </cell>
          <cell r="E2203">
            <v>8550</v>
          </cell>
        </row>
        <row r="2204">
          <cell r="A2204" t="str">
            <v>GO</v>
          </cell>
          <cell r="B2204">
            <v>2009</v>
          </cell>
          <cell r="D2204" t="str">
            <v>MILHO</v>
          </cell>
          <cell r="E2204">
            <v>0</v>
          </cell>
        </row>
        <row r="2205">
          <cell r="A2205" t="str">
            <v>GO</v>
          </cell>
          <cell r="B2205">
            <v>2009</v>
          </cell>
          <cell r="D2205" t="str">
            <v>SOJA</v>
          </cell>
          <cell r="E2205">
            <v>0</v>
          </cell>
        </row>
        <row r="2206">
          <cell r="A2206" t="str">
            <v>GO</v>
          </cell>
          <cell r="B2206">
            <v>2009</v>
          </cell>
          <cell r="D2206" t="str">
            <v>SOJA</v>
          </cell>
          <cell r="E2206">
            <v>16000</v>
          </cell>
        </row>
        <row r="2207">
          <cell r="A2207" t="str">
            <v>MT</v>
          </cell>
          <cell r="B2207">
            <v>2009</v>
          </cell>
          <cell r="D2207" t="str">
            <v>SOJA</v>
          </cell>
          <cell r="E2207">
            <v>3910</v>
          </cell>
        </row>
        <row r="2208">
          <cell r="A2208" t="str">
            <v>MT</v>
          </cell>
          <cell r="B2208">
            <v>2009</v>
          </cell>
          <cell r="D2208" t="str">
            <v>SOJA</v>
          </cell>
          <cell r="E2208">
            <v>0</v>
          </cell>
        </row>
        <row r="2209">
          <cell r="A2209" t="str">
            <v>GO</v>
          </cell>
          <cell r="B2209">
            <v>2009</v>
          </cell>
          <cell r="D2209" t="str">
            <v>MILHO</v>
          </cell>
          <cell r="E2209">
            <v>0</v>
          </cell>
        </row>
        <row r="2210">
          <cell r="A2210" t="str">
            <v>GO</v>
          </cell>
          <cell r="B2210">
            <v>2009</v>
          </cell>
          <cell r="D2210" t="str">
            <v>MILHO</v>
          </cell>
          <cell r="E2210">
            <v>5580</v>
          </cell>
        </row>
        <row r="2211">
          <cell r="A2211" t="str">
            <v>GO</v>
          </cell>
          <cell r="B2211">
            <v>2009</v>
          </cell>
          <cell r="D2211" t="str">
            <v>SOJA</v>
          </cell>
          <cell r="E2211">
            <v>0</v>
          </cell>
        </row>
        <row r="2212">
          <cell r="A2212" t="str">
            <v>GO</v>
          </cell>
          <cell r="B2212">
            <v>2009</v>
          </cell>
          <cell r="D2212" t="str">
            <v>SOJA</v>
          </cell>
          <cell r="E2212">
            <v>2340</v>
          </cell>
        </row>
        <row r="2213">
          <cell r="A2213" t="str">
            <v>SP</v>
          </cell>
          <cell r="B2213">
            <v>2009</v>
          </cell>
          <cell r="D2213" t="str">
            <v>SOJA</v>
          </cell>
          <cell r="E2213">
            <v>0</v>
          </cell>
        </row>
        <row r="2214">
          <cell r="A2214" t="str">
            <v>SP</v>
          </cell>
          <cell r="B2214">
            <v>2009</v>
          </cell>
          <cell r="D2214" t="str">
            <v>SOJA</v>
          </cell>
          <cell r="E2214">
            <v>17000</v>
          </cell>
        </row>
        <row r="2215">
          <cell r="A2215" t="str">
            <v>MT</v>
          </cell>
          <cell r="B2215">
            <v>2009</v>
          </cell>
          <cell r="D2215" t="str">
            <v>SOJA</v>
          </cell>
          <cell r="E2215">
            <v>0</v>
          </cell>
        </row>
        <row r="2216">
          <cell r="A2216" t="str">
            <v>MT</v>
          </cell>
          <cell r="B2216">
            <v>2009</v>
          </cell>
          <cell r="D2216" t="str">
            <v>SOJA</v>
          </cell>
          <cell r="E2216">
            <v>10580</v>
          </cell>
        </row>
        <row r="2217">
          <cell r="A2217" t="str">
            <v>MT</v>
          </cell>
          <cell r="B2217">
            <v>2009</v>
          </cell>
          <cell r="D2217" t="str">
            <v>SOJA</v>
          </cell>
          <cell r="E2217">
            <v>13600</v>
          </cell>
        </row>
        <row r="2218">
          <cell r="A2218" t="str">
            <v>MT</v>
          </cell>
          <cell r="B2218">
            <v>2009</v>
          </cell>
          <cell r="D2218" t="str">
            <v>SOJA</v>
          </cell>
          <cell r="E2218">
            <v>0</v>
          </cell>
        </row>
        <row r="2219">
          <cell r="A2219" t="str">
            <v>MA</v>
          </cell>
          <cell r="B2219">
            <v>2009</v>
          </cell>
          <cell r="D2219" t="str">
            <v>SOJA</v>
          </cell>
          <cell r="E2219">
            <v>0</v>
          </cell>
        </row>
        <row r="2220">
          <cell r="A2220" t="str">
            <v>MA</v>
          </cell>
          <cell r="B2220">
            <v>2009</v>
          </cell>
          <cell r="D2220" t="str">
            <v>SOJA</v>
          </cell>
          <cell r="E2220">
            <v>30000</v>
          </cell>
        </row>
        <row r="2221">
          <cell r="A2221" t="str">
            <v>MG</v>
          </cell>
          <cell r="B2221">
            <v>2009</v>
          </cell>
          <cell r="D2221" t="str">
            <v>SOJA</v>
          </cell>
          <cell r="E2221">
            <v>0</v>
          </cell>
        </row>
        <row r="2222">
          <cell r="A2222" t="str">
            <v>MG</v>
          </cell>
          <cell r="B2222">
            <v>2009</v>
          </cell>
          <cell r="D2222" t="str">
            <v>SOJA</v>
          </cell>
          <cell r="E2222">
            <v>11750</v>
          </cell>
        </row>
        <row r="2223">
          <cell r="A2223" t="str">
            <v>MT</v>
          </cell>
          <cell r="B2223">
            <v>2009</v>
          </cell>
          <cell r="D2223" t="str">
            <v>SOJA</v>
          </cell>
          <cell r="E2223">
            <v>0</v>
          </cell>
        </row>
        <row r="2224">
          <cell r="A2224" t="str">
            <v>MT</v>
          </cell>
          <cell r="B2224">
            <v>2009</v>
          </cell>
          <cell r="D2224" t="str">
            <v>SOJA</v>
          </cell>
          <cell r="E2224">
            <v>0</v>
          </cell>
        </row>
        <row r="2225">
          <cell r="A2225" t="str">
            <v>MT</v>
          </cell>
          <cell r="B2225">
            <v>2009</v>
          </cell>
          <cell r="D2225" t="str">
            <v>SOJA</v>
          </cell>
          <cell r="E2225">
            <v>0</v>
          </cell>
        </row>
        <row r="2226">
          <cell r="A2226" t="str">
            <v>MT</v>
          </cell>
          <cell r="B2226">
            <v>2009</v>
          </cell>
          <cell r="D2226" t="str">
            <v>SOJA</v>
          </cell>
          <cell r="E2226">
            <v>18070</v>
          </cell>
        </row>
        <row r="2227">
          <cell r="A2227" t="str">
            <v>MT</v>
          </cell>
          <cell r="B2227">
            <v>2009</v>
          </cell>
          <cell r="D2227" t="str">
            <v>SOJA</v>
          </cell>
          <cell r="E2227">
            <v>0</v>
          </cell>
        </row>
        <row r="2228">
          <cell r="A2228" t="str">
            <v>TO</v>
          </cell>
          <cell r="B2228">
            <v>2009</v>
          </cell>
          <cell r="D2228" t="str">
            <v>SOJA</v>
          </cell>
          <cell r="E2228">
            <v>0</v>
          </cell>
        </row>
        <row r="2229">
          <cell r="A2229" t="str">
            <v>TO</v>
          </cell>
          <cell r="B2229">
            <v>2009</v>
          </cell>
          <cell r="D2229" t="str">
            <v>SOJA</v>
          </cell>
          <cell r="E2229">
            <v>13550</v>
          </cell>
        </row>
        <row r="2230">
          <cell r="A2230" t="str">
            <v>GO</v>
          </cell>
          <cell r="B2230">
            <v>2009</v>
          </cell>
          <cell r="D2230" t="str">
            <v>SOJA</v>
          </cell>
          <cell r="E2230">
            <v>0</v>
          </cell>
        </row>
        <row r="2231">
          <cell r="A2231" t="str">
            <v>GO</v>
          </cell>
          <cell r="B2231">
            <v>2009</v>
          </cell>
          <cell r="D2231" t="str">
            <v>SOJA</v>
          </cell>
          <cell r="E2231">
            <v>12510</v>
          </cell>
        </row>
        <row r="2232">
          <cell r="A2232" t="str">
            <v>GO</v>
          </cell>
          <cell r="B2232">
            <v>2009</v>
          </cell>
          <cell r="D2232" t="str">
            <v>SOJA</v>
          </cell>
          <cell r="E2232">
            <v>0</v>
          </cell>
        </row>
        <row r="2233">
          <cell r="A2233" t="str">
            <v>MS</v>
          </cell>
          <cell r="B2233">
            <v>2009</v>
          </cell>
          <cell r="D2233" t="str">
            <v>SOJA</v>
          </cell>
          <cell r="E2233">
            <v>3860</v>
          </cell>
        </row>
        <row r="2234">
          <cell r="A2234" t="str">
            <v>MS</v>
          </cell>
          <cell r="B2234">
            <v>2009</v>
          </cell>
          <cell r="D2234" t="str">
            <v>SOJA</v>
          </cell>
          <cell r="E2234">
            <v>0</v>
          </cell>
        </row>
        <row r="2235">
          <cell r="A2235" t="str">
            <v>PR</v>
          </cell>
          <cell r="B2235">
            <v>2009</v>
          </cell>
          <cell r="D2235" t="str">
            <v>MILHO</v>
          </cell>
          <cell r="E2235">
            <v>3990</v>
          </cell>
        </row>
        <row r="2236">
          <cell r="A2236" t="str">
            <v>PR</v>
          </cell>
          <cell r="B2236">
            <v>2009</v>
          </cell>
          <cell r="D2236" t="str">
            <v>MILHO</v>
          </cell>
          <cell r="E2236">
            <v>0</v>
          </cell>
        </row>
        <row r="2237">
          <cell r="A2237" t="str">
            <v>PR</v>
          </cell>
          <cell r="B2237">
            <v>2009</v>
          </cell>
          <cell r="D2237" t="str">
            <v>SOJA</v>
          </cell>
          <cell r="E2237">
            <v>6000</v>
          </cell>
        </row>
        <row r="2238">
          <cell r="A2238" t="str">
            <v>PR</v>
          </cell>
          <cell r="B2238">
            <v>2009</v>
          </cell>
          <cell r="D2238" t="str">
            <v>SOJA</v>
          </cell>
          <cell r="E2238">
            <v>0</v>
          </cell>
        </row>
        <row r="2239">
          <cell r="A2239" t="str">
            <v>BA</v>
          </cell>
          <cell r="B2239">
            <v>2009</v>
          </cell>
          <cell r="D2239" t="str">
            <v>SOJA</v>
          </cell>
          <cell r="E2239">
            <v>9630</v>
          </cell>
        </row>
        <row r="2240">
          <cell r="A2240" t="str">
            <v>MT</v>
          </cell>
          <cell r="B2240">
            <v>2009</v>
          </cell>
          <cell r="D2240" t="str">
            <v>SOJA</v>
          </cell>
          <cell r="E2240">
            <v>26020</v>
          </cell>
        </row>
        <row r="2241">
          <cell r="A2241" t="str">
            <v>MT</v>
          </cell>
          <cell r="B2241">
            <v>2009</v>
          </cell>
          <cell r="D2241" t="str">
            <v>SOJA</v>
          </cell>
          <cell r="E2241">
            <v>0</v>
          </cell>
        </row>
        <row r="2242">
          <cell r="A2242" t="str">
            <v>MT</v>
          </cell>
          <cell r="B2242">
            <v>2009</v>
          </cell>
          <cell r="D2242" t="str">
            <v>SOJA</v>
          </cell>
          <cell r="E2242">
            <v>13600</v>
          </cell>
        </row>
        <row r="2243">
          <cell r="A2243" t="str">
            <v>MT</v>
          </cell>
          <cell r="B2243">
            <v>2009</v>
          </cell>
          <cell r="D2243" t="str">
            <v>MILHO</v>
          </cell>
          <cell r="E2243">
            <v>0</v>
          </cell>
        </row>
        <row r="2244">
          <cell r="A2244" t="str">
            <v>MT</v>
          </cell>
          <cell r="B2244">
            <v>2009</v>
          </cell>
          <cell r="D2244" t="str">
            <v>SOJA</v>
          </cell>
          <cell r="E2244">
            <v>17640</v>
          </cell>
        </row>
        <row r="2245">
          <cell r="A2245" t="str">
            <v>MT</v>
          </cell>
          <cell r="B2245">
            <v>2009</v>
          </cell>
          <cell r="D2245" t="str">
            <v>SOJA</v>
          </cell>
          <cell r="E2245">
            <v>4530</v>
          </cell>
        </row>
        <row r="2246">
          <cell r="A2246" t="str">
            <v>BA</v>
          </cell>
          <cell r="B2246">
            <v>2009</v>
          </cell>
          <cell r="D2246" t="str">
            <v>SOJA</v>
          </cell>
          <cell r="E2246">
            <v>67400</v>
          </cell>
        </row>
        <row r="2247">
          <cell r="A2247" t="str">
            <v>BA</v>
          </cell>
          <cell r="B2247">
            <v>2009</v>
          </cell>
          <cell r="D2247" t="str">
            <v>MILHO</v>
          </cell>
          <cell r="E2247">
            <v>0</v>
          </cell>
        </row>
        <row r="2248">
          <cell r="A2248" t="str">
            <v>BA</v>
          </cell>
          <cell r="B2248">
            <v>2009</v>
          </cell>
          <cell r="D2248" t="str">
            <v>SOJA</v>
          </cell>
          <cell r="E2248">
            <v>36590</v>
          </cell>
        </row>
        <row r="2249">
          <cell r="A2249" t="str">
            <v>BA</v>
          </cell>
          <cell r="B2249">
            <v>2009</v>
          </cell>
          <cell r="D2249" t="str">
            <v>SOJA</v>
          </cell>
          <cell r="E2249">
            <v>21180</v>
          </cell>
        </row>
        <row r="2250">
          <cell r="A2250" t="str">
            <v>RS</v>
          </cell>
          <cell r="B2250">
            <v>2009</v>
          </cell>
          <cell r="D2250" t="str">
            <v>SOJA</v>
          </cell>
          <cell r="E2250">
            <v>2040</v>
          </cell>
        </row>
        <row r="2251">
          <cell r="A2251" t="str">
            <v>RS</v>
          </cell>
          <cell r="B2251">
            <v>2009</v>
          </cell>
          <cell r="D2251" t="str">
            <v>SOJA</v>
          </cell>
          <cell r="E2251">
            <v>3050</v>
          </cell>
        </row>
        <row r="2252">
          <cell r="A2252" t="str">
            <v>RS</v>
          </cell>
          <cell r="B2252">
            <v>2009</v>
          </cell>
          <cell r="D2252" t="str">
            <v>SOJA</v>
          </cell>
          <cell r="E2252">
            <v>3050</v>
          </cell>
        </row>
        <row r="2253">
          <cell r="A2253" t="str">
            <v>RS</v>
          </cell>
          <cell r="B2253">
            <v>2009</v>
          </cell>
          <cell r="D2253" t="str">
            <v>SOJA</v>
          </cell>
          <cell r="E2253">
            <v>15270</v>
          </cell>
        </row>
        <row r="2254">
          <cell r="A2254" t="str">
            <v>RS</v>
          </cell>
          <cell r="B2254">
            <v>2009</v>
          </cell>
          <cell r="D2254" t="str">
            <v>SOJA</v>
          </cell>
          <cell r="E2254">
            <v>0</v>
          </cell>
        </row>
        <row r="2255">
          <cell r="A2255" t="str">
            <v>MS</v>
          </cell>
          <cell r="B2255">
            <v>2009</v>
          </cell>
          <cell r="D2255" t="str">
            <v>SOJA</v>
          </cell>
          <cell r="E2255">
            <v>7720</v>
          </cell>
        </row>
        <row r="2256">
          <cell r="A2256" t="str">
            <v>MS</v>
          </cell>
          <cell r="B2256">
            <v>2009</v>
          </cell>
          <cell r="D2256" t="str">
            <v>SOJA</v>
          </cell>
          <cell r="E2256">
            <v>0</v>
          </cell>
        </row>
        <row r="2257">
          <cell r="A2257" t="str">
            <v>MS</v>
          </cell>
          <cell r="B2257">
            <v>2009</v>
          </cell>
          <cell r="D2257" t="str">
            <v>SOJA</v>
          </cell>
          <cell r="E2257">
            <v>6430</v>
          </cell>
        </row>
        <row r="2258">
          <cell r="A2258" t="str">
            <v>MS</v>
          </cell>
          <cell r="B2258">
            <v>2009</v>
          </cell>
          <cell r="D2258" t="str">
            <v>SOJA</v>
          </cell>
          <cell r="E2258">
            <v>0</v>
          </cell>
        </row>
        <row r="2259">
          <cell r="A2259" t="str">
            <v>MS</v>
          </cell>
          <cell r="B2259">
            <v>2009</v>
          </cell>
          <cell r="D2259" t="str">
            <v>SOJA</v>
          </cell>
          <cell r="E2259">
            <v>0</v>
          </cell>
        </row>
        <row r="2260">
          <cell r="A2260" t="str">
            <v>MS</v>
          </cell>
          <cell r="B2260">
            <v>2009</v>
          </cell>
          <cell r="D2260" t="str">
            <v>SOJA</v>
          </cell>
          <cell r="E2260">
            <v>19300</v>
          </cell>
        </row>
        <row r="2261">
          <cell r="A2261" t="str">
            <v>GO</v>
          </cell>
          <cell r="B2261">
            <v>2009</v>
          </cell>
          <cell r="D2261" t="str">
            <v>SOJA</v>
          </cell>
          <cell r="E2261">
            <v>8390</v>
          </cell>
        </row>
        <row r="2262">
          <cell r="A2262" t="str">
            <v>GO</v>
          </cell>
          <cell r="B2262">
            <v>2009</v>
          </cell>
          <cell r="D2262" t="str">
            <v>SOJA</v>
          </cell>
          <cell r="E2262">
            <v>10910</v>
          </cell>
        </row>
        <row r="2263">
          <cell r="A2263" t="str">
            <v>MT</v>
          </cell>
          <cell r="B2263">
            <v>2009</v>
          </cell>
          <cell r="D2263" t="str">
            <v>SOJA</v>
          </cell>
          <cell r="E2263">
            <v>13600</v>
          </cell>
        </row>
        <row r="2264">
          <cell r="A2264" t="str">
            <v>MT</v>
          </cell>
          <cell r="B2264">
            <v>2009</v>
          </cell>
          <cell r="D2264" t="str">
            <v>SOJA</v>
          </cell>
          <cell r="E2264">
            <v>0</v>
          </cell>
        </row>
        <row r="2265">
          <cell r="A2265" t="str">
            <v>RS</v>
          </cell>
          <cell r="B2265">
            <v>2009</v>
          </cell>
          <cell r="D2265" t="str">
            <v>MILHO</v>
          </cell>
          <cell r="E2265">
            <v>520</v>
          </cell>
        </row>
        <row r="2266">
          <cell r="A2266" t="str">
            <v>RS</v>
          </cell>
          <cell r="B2266">
            <v>2009</v>
          </cell>
          <cell r="D2266" t="str">
            <v>MILHO</v>
          </cell>
          <cell r="E2266">
            <v>0</v>
          </cell>
        </row>
        <row r="2267">
          <cell r="A2267" t="str">
            <v>RS</v>
          </cell>
          <cell r="B2267">
            <v>2009</v>
          </cell>
          <cell r="D2267" t="str">
            <v>SOJA</v>
          </cell>
          <cell r="E2267">
            <v>2040</v>
          </cell>
        </row>
        <row r="2268">
          <cell r="A2268" t="str">
            <v>RS</v>
          </cell>
          <cell r="B2268">
            <v>2009</v>
          </cell>
          <cell r="D2268" t="str">
            <v>SOJA</v>
          </cell>
          <cell r="E2268">
            <v>0</v>
          </cell>
        </row>
        <row r="2269">
          <cell r="A2269" t="str">
            <v>MT</v>
          </cell>
          <cell r="B2269">
            <v>2009</v>
          </cell>
          <cell r="D2269" t="str">
            <v>SOJA</v>
          </cell>
          <cell r="E2269">
            <v>0</v>
          </cell>
        </row>
        <row r="2270">
          <cell r="A2270" t="str">
            <v>RS</v>
          </cell>
          <cell r="B2270">
            <v>2009</v>
          </cell>
          <cell r="D2270" t="str">
            <v>SOJA</v>
          </cell>
          <cell r="E2270">
            <v>7130</v>
          </cell>
        </row>
        <row r="2271">
          <cell r="A2271" t="str">
            <v>RS</v>
          </cell>
          <cell r="B2271">
            <v>2009</v>
          </cell>
          <cell r="D2271" t="str">
            <v>SOJA</v>
          </cell>
          <cell r="E2271">
            <v>10690</v>
          </cell>
        </row>
        <row r="2272">
          <cell r="A2272" t="str">
            <v>RS</v>
          </cell>
          <cell r="B2272">
            <v>2009</v>
          </cell>
          <cell r="D2272" t="str">
            <v>SOJA</v>
          </cell>
          <cell r="E2272">
            <v>5090</v>
          </cell>
        </row>
        <row r="2273">
          <cell r="A2273" t="str">
            <v>RS</v>
          </cell>
          <cell r="B2273">
            <v>2009</v>
          </cell>
          <cell r="D2273" t="str">
            <v>SOJA</v>
          </cell>
          <cell r="E2273">
            <v>8150</v>
          </cell>
        </row>
        <row r="2274">
          <cell r="A2274" t="str">
            <v>RS</v>
          </cell>
          <cell r="B2274">
            <v>2009</v>
          </cell>
          <cell r="D2274" t="str">
            <v>MILHO</v>
          </cell>
          <cell r="E2274">
            <v>1050</v>
          </cell>
        </row>
        <row r="2275">
          <cell r="A2275" t="str">
            <v>RS</v>
          </cell>
          <cell r="B2275">
            <v>2009</v>
          </cell>
          <cell r="D2275" t="str">
            <v>MILHO</v>
          </cell>
          <cell r="E2275">
            <v>0</v>
          </cell>
        </row>
        <row r="2276">
          <cell r="A2276" t="str">
            <v>RS</v>
          </cell>
          <cell r="B2276">
            <v>2009</v>
          </cell>
          <cell r="D2276" t="str">
            <v>SOJA</v>
          </cell>
          <cell r="E2276">
            <v>8150</v>
          </cell>
        </row>
        <row r="2277">
          <cell r="A2277" t="str">
            <v>RS</v>
          </cell>
          <cell r="B2277">
            <v>2009</v>
          </cell>
          <cell r="D2277" t="str">
            <v>SOJA</v>
          </cell>
          <cell r="E2277">
            <v>0</v>
          </cell>
        </row>
        <row r="2278">
          <cell r="A2278" t="str">
            <v>MS</v>
          </cell>
          <cell r="B2278">
            <v>2009</v>
          </cell>
          <cell r="D2278" t="str">
            <v>SOJA</v>
          </cell>
          <cell r="E2278">
            <v>0</v>
          </cell>
        </row>
        <row r="2279">
          <cell r="A2279" t="str">
            <v>MS</v>
          </cell>
          <cell r="B2279">
            <v>2009</v>
          </cell>
          <cell r="D2279" t="str">
            <v>SOJA</v>
          </cell>
          <cell r="E2279">
            <v>9650</v>
          </cell>
        </row>
        <row r="2280">
          <cell r="A2280" t="str">
            <v>MS</v>
          </cell>
          <cell r="B2280">
            <v>2009</v>
          </cell>
          <cell r="D2280" t="str">
            <v>SOJA</v>
          </cell>
          <cell r="E2280">
            <v>7720</v>
          </cell>
        </row>
        <row r="2281">
          <cell r="A2281" t="str">
            <v>MS</v>
          </cell>
          <cell r="B2281">
            <v>2009</v>
          </cell>
          <cell r="D2281" t="str">
            <v>SOJA</v>
          </cell>
          <cell r="E2281">
            <v>22510</v>
          </cell>
        </row>
        <row r="2282">
          <cell r="A2282" t="str">
            <v>MS</v>
          </cell>
          <cell r="B2282">
            <v>2009</v>
          </cell>
          <cell r="D2282" t="str">
            <v>SOJA</v>
          </cell>
          <cell r="E2282">
            <v>0</v>
          </cell>
        </row>
        <row r="2283">
          <cell r="A2283" t="str">
            <v>MS</v>
          </cell>
          <cell r="B2283">
            <v>2009</v>
          </cell>
          <cell r="D2283" t="str">
            <v>SOJA</v>
          </cell>
          <cell r="E2283">
            <v>0</v>
          </cell>
        </row>
        <row r="2284">
          <cell r="A2284" t="str">
            <v>MS</v>
          </cell>
          <cell r="B2284">
            <v>2009</v>
          </cell>
          <cell r="D2284" t="str">
            <v>SOJA</v>
          </cell>
          <cell r="E2284">
            <v>5150</v>
          </cell>
        </row>
        <row r="2285">
          <cell r="A2285" t="str">
            <v>SC</v>
          </cell>
          <cell r="B2285">
            <v>2009</v>
          </cell>
          <cell r="D2285" t="str">
            <v>MILHO</v>
          </cell>
          <cell r="E2285">
            <v>26730</v>
          </cell>
        </row>
        <row r="2286">
          <cell r="A2286" t="str">
            <v>SC</v>
          </cell>
          <cell r="B2286">
            <v>2009</v>
          </cell>
          <cell r="D2286" t="str">
            <v>SOJA</v>
          </cell>
          <cell r="E2286">
            <v>58630</v>
          </cell>
        </row>
        <row r="2287">
          <cell r="A2287" t="str">
            <v>MT</v>
          </cell>
          <cell r="B2287">
            <v>2009</v>
          </cell>
          <cell r="D2287" t="str">
            <v>SOJA</v>
          </cell>
          <cell r="E2287">
            <v>0</v>
          </cell>
        </row>
        <row r="2288">
          <cell r="A2288" t="str">
            <v>PI</v>
          </cell>
          <cell r="B2288">
            <v>2009</v>
          </cell>
          <cell r="D2288" t="str">
            <v>SOJA</v>
          </cell>
          <cell r="E2288">
            <v>18790</v>
          </cell>
        </row>
        <row r="2289">
          <cell r="A2289" t="str">
            <v>PI</v>
          </cell>
          <cell r="B2289">
            <v>2009</v>
          </cell>
          <cell r="D2289" t="str">
            <v>SOJA</v>
          </cell>
          <cell r="E2289">
            <v>0</v>
          </cell>
        </row>
        <row r="2290">
          <cell r="A2290" t="str">
            <v>PI</v>
          </cell>
          <cell r="B2290">
            <v>2009</v>
          </cell>
          <cell r="D2290" t="str">
            <v>SOJA</v>
          </cell>
          <cell r="E2290">
            <v>0</v>
          </cell>
        </row>
        <row r="2291">
          <cell r="A2291" t="str">
            <v>PI</v>
          </cell>
          <cell r="B2291">
            <v>2009</v>
          </cell>
          <cell r="D2291" t="str">
            <v>SOJA</v>
          </cell>
          <cell r="E2291">
            <v>18790</v>
          </cell>
        </row>
        <row r="2292">
          <cell r="A2292" t="str">
            <v>GO</v>
          </cell>
          <cell r="B2292">
            <v>2009</v>
          </cell>
          <cell r="D2292" t="str">
            <v>SOJA</v>
          </cell>
          <cell r="E2292">
            <v>0</v>
          </cell>
        </row>
        <row r="2293">
          <cell r="A2293" t="str">
            <v>GO</v>
          </cell>
          <cell r="B2293">
            <v>2009</v>
          </cell>
          <cell r="D2293" t="str">
            <v>SOJA</v>
          </cell>
          <cell r="E2293">
            <v>4200</v>
          </cell>
        </row>
        <row r="2294">
          <cell r="A2294" t="str">
            <v>MT</v>
          </cell>
          <cell r="B2294">
            <v>2009</v>
          </cell>
          <cell r="D2294" t="str">
            <v>SOJA</v>
          </cell>
          <cell r="E2294">
            <v>0</v>
          </cell>
        </row>
        <row r="2295">
          <cell r="A2295" t="str">
            <v>TO</v>
          </cell>
          <cell r="B2295">
            <v>2009</v>
          </cell>
          <cell r="D2295" t="str">
            <v>SOJA</v>
          </cell>
          <cell r="E2295">
            <v>0</v>
          </cell>
        </row>
        <row r="2296">
          <cell r="A2296" t="str">
            <v>TO</v>
          </cell>
          <cell r="B2296">
            <v>2009</v>
          </cell>
          <cell r="D2296" t="str">
            <v>SOJA</v>
          </cell>
          <cell r="E2296">
            <v>10840</v>
          </cell>
        </row>
        <row r="2297">
          <cell r="A2297" t="str">
            <v>MA</v>
          </cell>
          <cell r="B2297">
            <v>2009</v>
          </cell>
          <cell r="D2297" t="str">
            <v>SOJA</v>
          </cell>
          <cell r="E2297">
            <v>0</v>
          </cell>
        </row>
        <row r="2298">
          <cell r="A2298" t="str">
            <v>MA</v>
          </cell>
          <cell r="B2298">
            <v>2009</v>
          </cell>
          <cell r="D2298" t="str">
            <v>SOJA</v>
          </cell>
          <cell r="E2298">
            <v>12650</v>
          </cell>
        </row>
        <row r="2299">
          <cell r="A2299" t="str">
            <v>RS</v>
          </cell>
          <cell r="B2299">
            <v>2009</v>
          </cell>
          <cell r="D2299" t="str">
            <v>MILHO</v>
          </cell>
          <cell r="E2299">
            <v>0</v>
          </cell>
        </row>
        <row r="2300">
          <cell r="A2300" t="str">
            <v>RS</v>
          </cell>
          <cell r="B2300">
            <v>2009</v>
          </cell>
          <cell r="D2300" t="str">
            <v>SOJA</v>
          </cell>
          <cell r="E2300">
            <v>2040</v>
          </cell>
        </row>
        <row r="2301">
          <cell r="A2301" t="str">
            <v>RS</v>
          </cell>
          <cell r="B2301">
            <v>2009</v>
          </cell>
          <cell r="D2301" t="str">
            <v>SOJA</v>
          </cell>
          <cell r="E2301">
            <v>15280</v>
          </cell>
        </row>
        <row r="2302">
          <cell r="A2302" t="str">
            <v>RS</v>
          </cell>
          <cell r="B2302">
            <v>2009</v>
          </cell>
          <cell r="D2302" t="str">
            <v>SOJA</v>
          </cell>
          <cell r="E2302">
            <v>0</v>
          </cell>
        </row>
        <row r="2303">
          <cell r="A2303" t="str">
            <v>MT</v>
          </cell>
          <cell r="B2303">
            <v>2009</v>
          </cell>
          <cell r="D2303" t="str">
            <v>SOJA</v>
          </cell>
          <cell r="E2303">
            <v>1900</v>
          </cell>
        </row>
        <row r="2304">
          <cell r="A2304" t="str">
            <v>MT</v>
          </cell>
          <cell r="B2304">
            <v>2009</v>
          </cell>
          <cell r="D2304" t="str">
            <v>SOJA</v>
          </cell>
          <cell r="E2304">
            <v>0</v>
          </cell>
        </row>
        <row r="2305">
          <cell r="A2305" t="str">
            <v>MT</v>
          </cell>
          <cell r="B2305">
            <v>2009</v>
          </cell>
          <cell r="D2305" t="str">
            <v>SOJA</v>
          </cell>
          <cell r="E2305">
            <v>0</v>
          </cell>
        </row>
        <row r="2306">
          <cell r="A2306" t="str">
            <v>BA</v>
          </cell>
          <cell r="B2306">
            <v>2009</v>
          </cell>
          <cell r="D2306" t="str">
            <v>SOJA</v>
          </cell>
          <cell r="E2306">
            <v>28890</v>
          </cell>
        </row>
        <row r="2307">
          <cell r="A2307" t="str">
            <v>PI</v>
          </cell>
          <cell r="B2307">
            <v>2009</v>
          </cell>
          <cell r="D2307" t="str">
            <v>SOJA</v>
          </cell>
          <cell r="E2307">
            <v>1710</v>
          </cell>
        </row>
        <row r="2308">
          <cell r="A2308" t="str">
            <v>PI</v>
          </cell>
          <cell r="B2308">
            <v>2009</v>
          </cell>
          <cell r="D2308" t="str">
            <v>SOJA</v>
          </cell>
          <cell r="E2308">
            <v>0</v>
          </cell>
        </row>
        <row r="2309">
          <cell r="A2309" t="str">
            <v>PI</v>
          </cell>
          <cell r="B2309">
            <v>2009</v>
          </cell>
          <cell r="D2309" t="str">
            <v>SOJA</v>
          </cell>
          <cell r="E2309">
            <v>18790</v>
          </cell>
        </row>
        <row r="2310">
          <cell r="A2310" t="str">
            <v>PI</v>
          </cell>
          <cell r="B2310">
            <v>2009</v>
          </cell>
          <cell r="D2310" t="str">
            <v>SOJA</v>
          </cell>
          <cell r="E2310">
            <v>0</v>
          </cell>
        </row>
        <row r="2311">
          <cell r="A2311" t="str">
            <v>GO</v>
          </cell>
          <cell r="B2311">
            <v>2009</v>
          </cell>
          <cell r="D2311" t="str">
            <v>MILHO</v>
          </cell>
          <cell r="E2311">
            <v>3980</v>
          </cell>
        </row>
        <row r="2312">
          <cell r="A2312" t="str">
            <v>GO</v>
          </cell>
          <cell r="B2312">
            <v>2009</v>
          </cell>
          <cell r="D2312" t="str">
            <v>SOJA</v>
          </cell>
          <cell r="E2312">
            <v>0</v>
          </cell>
        </row>
        <row r="2313">
          <cell r="A2313" t="str">
            <v>TO</v>
          </cell>
          <cell r="B2313">
            <v>2009</v>
          </cell>
          <cell r="D2313" t="str">
            <v>SOJA</v>
          </cell>
          <cell r="E2313">
            <v>0</v>
          </cell>
        </row>
        <row r="2314">
          <cell r="A2314" t="str">
            <v>TO</v>
          </cell>
          <cell r="B2314">
            <v>2009</v>
          </cell>
          <cell r="D2314" t="str">
            <v>SOJA</v>
          </cell>
          <cell r="E2314">
            <v>7230</v>
          </cell>
        </row>
        <row r="2315">
          <cell r="A2315" t="str">
            <v>MA</v>
          </cell>
          <cell r="B2315">
            <v>2009</v>
          </cell>
          <cell r="D2315" t="str">
            <v>SOJA</v>
          </cell>
          <cell r="E2315">
            <v>10840</v>
          </cell>
        </row>
        <row r="2316">
          <cell r="A2316" t="str">
            <v>MA</v>
          </cell>
          <cell r="B2316">
            <v>2009</v>
          </cell>
          <cell r="D2316" t="str">
            <v>SOJA</v>
          </cell>
          <cell r="E2316">
            <v>0</v>
          </cell>
        </row>
        <row r="2317">
          <cell r="A2317" t="str">
            <v>GO</v>
          </cell>
          <cell r="B2317">
            <v>2009</v>
          </cell>
          <cell r="D2317" t="str">
            <v>SOJA</v>
          </cell>
          <cell r="E2317">
            <v>840</v>
          </cell>
        </row>
        <row r="2318">
          <cell r="A2318" t="str">
            <v>GO</v>
          </cell>
          <cell r="B2318">
            <v>2009</v>
          </cell>
          <cell r="D2318" t="str">
            <v>SOJA</v>
          </cell>
          <cell r="E2318">
            <v>2520</v>
          </cell>
        </row>
        <row r="2319">
          <cell r="A2319" t="str">
            <v>GO</v>
          </cell>
          <cell r="B2319">
            <v>2009</v>
          </cell>
          <cell r="D2319" t="str">
            <v>SOJA</v>
          </cell>
          <cell r="E2319">
            <v>0</v>
          </cell>
        </row>
        <row r="2320">
          <cell r="A2320" t="str">
            <v>MA</v>
          </cell>
          <cell r="B2320">
            <v>2009</v>
          </cell>
          <cell r="D2320" t="str">
            <v>SOJA</v>
          </cell>
          <cell r="E2320">
            <v>0</v>
          </cell>
        </row>
        <row r="2321">
          <cell r="A2321" t="str">
            <v>MA</v>
          </cell>
          <cell r="B2321">
            <v>2009</v>
          </cell>
          <cell r="D2321" t="str">
            <v>SOJA</v>
          </cell>
          <cell r="E2321">
            <v>10840</v>
          </cell>
        </row>
        <row r="2322">
          <cell r="A2322" t="str">
            <v>PR</v>
          </cell>
          <cell r="B2322">
            <v>2009</v>
          </cell>
          <cell r="D2322" t="str">
            <v>MILHO</v>
          </cell>
          <cell r="E2322">
            <v>2400</v>
          </cell>
        </row>
        <row r="2323">
          <cell r="A2323" t="str">
            <v>PR</v>
          </cell>
          <cell r="B2323">
            <v>2009</v>
          </cell>
          <cell r="D2323" t="str">
            <v>MILHO</v>
          </cell>
          <cell r="E2323">
            <v>0</v>
          </cell>
        </row>
        <row r="2324">
          <cell r="A2324" t="str">
            <v>PR</v>
          </cell>
          <cell r="B2324">
            <v>2009</v>
          </cell>
          <cell r="D2324" t="str">
            <v>SOJA</v>
          </cell>
          <cell r="E2324">
            <v>8600</v>
          </cell>
        </row>
        <row r="2325">
          <cell r="A2325" t="str">
            <v>PR</v>
          </cell>
          <cell r="B2325">
            <v>2009</v>
          </cell>
          <cell r="D2325" t="str">
            <v>SOJA</v>
          </cell>
          <cell r="E2325">
            <v>0</v>
          </cell>
        </row>
        <row r="2326">
          <cell r="A2326" t="str">
            <v>TO</v>
          </cell>
          <cell r="B2326">
            <v>2009</v>
          </cell>
          <cell r="D2326" t="str">
            <v>SOJA</v>
          </cell>
          <cell r="E2326">
            <v>5330</v>
          </cell>
        </row>
        <row r="2327">
          <cell r="A2327" t="str">
            <v>TO</v>
          </cell>
          <cell r="B2327">
            <v>2009</v>
          </cell>
          <cell r="D2327" t="str">
            <v>SOJA</v>
          </cell>
          <cell r="E2327">
            <v>0</v>
          </cell>
        </row>
        <row r="2328">
          <cell r="A2328" t="str">
            <v>PI</v>
          </cell>
          <cell r="B2328">
            <v>2009</v>
          </cell>
          <cell r="D2328" t="str">
            <v>SOJA</v>
          </cell>
          <cell r="E2328">
            <v>0</v>
          </cell>
        </row>
        <row r="2329">
          <cell r="A2329" t="str">
            <v>PI</v>
          </cell>
          <cell r="B2329">
            <v>2009</v>
          </cell>
          <cell r="D2329" t="str">
            <v>SOJA</v>
          </cell>
          <cell r="E2329">
            <v>16140</v>
          </cell>
        </row>
        <row r="2330">
          <cell r="A2330" t="str">
            <v>MA</v>
          </cell>
          <cell r="B2330">
            <v>2009</v>
          </cell>
          <cell r="D2330" t="str">
            <v>SOJA</v>
          </cell>
          <cell r="E2330">
            <v>0</v>
          </cell>
        </row>
        <row r="2331">
          <cell r="A2331" t="str">
            <v>MA</v>
          </cell>
          <cell r="B2331">
            <v>2009</v>
          </cell>
          <cell r="D2331" t="str">
            <v>SOJA</v>
          </cell>
          <cell r="E2331">
            <v>7230</v>
          </cell>
        </row>
        <row r="2332">
          <cell r="A2332" t="str">
            <v>MA</v>
          </cell>
          <cell r="B2332">
            <v>2009</v>
          </cell>
          <cell r="D2332" t="str">
            <v>SOJA</v>
          </cell>
          <cell r="E2332">
            <v>0</v>
          </cell>
        </row>
        <row r="2333">
          <cell r="A2333" t="str">
            <v>MA</v>
          </cell>
          <cell r="B2333">
            <v>2009</v>
          </cell>
          <cell r="D2333" t="str">
            <v>SOJA</v>
          </cell>
          <cell r="E2333">
            <v>2710</v>
          </cell>
        </row>
        <row r="2334">
          <cell r="A2334" t="str">
            <v>PR</v>
          </cell>
          <cell r="B2334">
            <v>2009</v>
          </cell>
          <cell r="D2334" t="str">
            <v>MILHO</v>
          </cell>
          <cell r="E2334">
            <v>0</v>
          </cell>
        </row>
        <row r="2335">
          <cell r="A2335" t="str">
            <v>PR</v>
          </cell>
          <cell r="B2335">
            <v>2009</v>
          </cell>
          <cell r="D2335" t="str">
            <v>MILHO</v>
          </cell>
          <cell r="E2335">
            <v>3190</v>
          </cell>
        </row>
        <row r="2336">
          <cell r="A2336" t="str">
            <v>PR</v>
          </cell>
          <cell r="B2336">
            <v>2009</v>
          </cell>
          <cell r="D2336" t="str">
            <v>SOJA</v>
          </cell>
          <cell r="E2336">
            <v>0</v>
          </cell>
        </row>
        <row r="2337">
          <cell r="A2337" t="str">
            <v>PR</v>
          </cell>
          <cell r="B2337">
            <v>2009</v>
          </cell>
          <cell r="D2337" t="str">
            <v>SOJA</v>
          </cell>
          <cell r="E2337">
            <v>4300</v>
          </cell>
        </row>
        <row r="2338">
          <cell r="A2338" t="str">
            <v>PR</v>
          </cell>
          <cell r="B2338">
            <v>2009</v>
          </cell>
          <cell r="D2338" t="str">
            <v>MILHO</v>
          </cell>
          <cell r="E2338">
            <v>1600</v>
          </cell>
        </row>
        <row r="2339">
          <cell r="A2339" t="str">
            <v>PR</v>
          </cell>
          <cell r="B2339">
            <v>2009</v>
          </cell>
          <cell r="D2339" t="str">
            <v>SOJA</v>
          </cell>
          <cell r="E2339">
            <v>0</v>
          </cell>
        </row>
        <row r="2340">
          <cell r="A2340" t="str">
            <v>PR</v>
          </cell>
          <cell r="B2340">
            <v>2009</v>
          </cell>
          <cell r="D2340" t="str">
            <v>SOJA</v>
          </cell>
          <cell r="E2340">
            <v>5160</v>
          </cell>
        </row>
        <row r="2341">
          <cell r="A2341" t="str">
            <v>PR</v>
          </cell>
          <cell r="B2341">
            <v>2009</v>
          </cell>
          <cell r="D2341" t="str">
            <v>MILHO</v>
          </cell>
          <cell r="E2341">
            <v>800</v>
          </cell>
        </row>
        <row r="2342">
          <cell r="A2342" t="str">
            <v>PR</v>
          </cell>
          <cell r="B2342">
            <v>2009</v>
          </cell>
          <cell r="D2342" t="str">
            <v>MILHO</v>
          </cell>
          <cell r="E2342">
            <v>0</v>
          </cell>
        </row>
        <row r="2343">
          <cell r="A2343" t="str">
            <v>PR</v>
          </cell>
          <cell r="B2343">
            <v>2009</v>
          </cell>
          <cell r="D2343" t="str">
            <v>SOJA</v>
          </cell>
          <cell r="E2343">
            <v>4300</v>
          </cell>
        </row>
        <row r="2344">
          <cell r="A2344" t="str">
            <v>PR</v>
          </cell>
          <cell r="B2344">
            <v>2009</v>
          </cell>
          <cell r="D2344" t="str">
            <v>SOJA</v>
          </cell>
          <cell r="E2344">
            <v>0</v>
          </cell>
        </row>
        <row r="2345">
          <cell r="A2345" t="str">
            <v>MG</v>
          </cell>
          <cell r="B2345">
            <v>2009</v>
          </cell>
          <cell r="D2345" t="str">
            <v>MILHO</v>
          </cell>
          <cell r="E2345">
            <v>820</v>
          </cell>
        </row>
        <row r="2346">
          <cell r="A2346" t="str">
            <v>MG</v>
          </cell>
          <cell r="B2346">
            <v>2009</v>
          </cell>
          <cell r="D2346" t="str">
            <v>MILHO</v>
          </cell>
          <cell r="E2346">
            <v>820</v>
          </cell>
        </row>
        <row r="2347">
          <cell r="A2347" t="str">
            <v>MG</v>
          </cell>
          <cell r="B2347">
            <v>2009</v>
          </cell>
          <cell r="D2347" t="str">
            <v>MILHO</v>
          </cell>
          <cell r="E2347">
            <v>820</v>
          </cell>
        </row>
        <row r="2348">
          <cell r="A2348" t="str">
            <v>MG</v>
          </cell>
          <cell r="B2348">
            <v>2009</v>
          </cell>
          <cell r="D2348" t="str">
            <v>MILHO</v>
          </cell>
          <cell r="E2348">
            <v>820</v>
          </cell>
        </row>
        <row r="2349">
          <cell r="A2349" t="str">
            <v>MG</v>
          </cell>
          <cell r="B2349">
            <v>2009</v>
          </cell>
          <cell r="D2349" t="str">
            <v>MILHO</v>
          </cell>
          <cell r="E2349">
            <v>820</v>
          </cell>
        </row>
        <row r="2350">
          <cell r="A2350" t="str">
            <v>MG</v>
          </cell>
          <cell r="B2350">
            <v>2009</v>
          </cell>
          <cell r="D2350" t="str">
            <v>MILHO</v>
          </cell>
          <cell r="E2350">
            <v>820</v>
          </cell>
        </row>
        <row r="2351">
          <cell r="A2351" t="str">
            <v>MG</v>
          </cell>
          <cell r="B2351">
            <v>2009</v>
          </cell>
          <cell r="D2351" t="str">
            <v>MILHO</v>
          </cell>
          <cell r="E2351">
            <v>820</v>
          </cell>
        </row>
        <row r="2352">
          <cell r="A2352" t="str">
            <v>MG</v>
          </cell>
          <cell r="B2352">
            <v>2009</v>
          </cell>
          <cell r="D2352" t="str">
            <v>MILHO</v>
          </cell>
          <cell r="E2352">
            <v>820</v>
          </cell>
        </row>
        <row r="2353">
          <cell r="A2353" t="str">
            <v>MG</v>
          </cell>
          <cell r="B2353">
            <v>2009</v>
          </cell>
          <cell r="D2353" t="str">
            <v>MILHO</v>
          </cell>
          <cell r="E2353">
            <v>820</v>
          </cell>
        </row>
        <row r="2354">
          <cell r="A2354" t="str">
            <v>MG</v>
          </cell>
          <cell r="B2354">
            <v>2009</v>
          </cell>
          <cell r="D2354" t="str">
            <v>MILHO</v>
          </cell>
          <cell r="E2354">
            <v>820</v>
          </cell>
        </row>
        <row r="2355">
          <cell r="A2355" t="str">
            <v>MG</v>
          </cell>
          <cell r="B2355">
            <v>2009</v>
          </cell>
          <cell r="D2355" t="str">
            <v>MILHO</v>
          </cell>
          <cell r="E2355">
            <v>820</v>
          </cell>
        </row>
        <row r="2356">
          <cell r="A2356" t="str">
            <v>MG</v>
          </cell>
          <cell r="B2356">
            <v>2009</v>
          </cell>
          <cell r="D2356" t="str">
            <v>MILHO</v>
          </cell>
          <cell r="E2356">
            <v>820</v>
          </cell>
        </row>
        <row r="2357">
          <cell r="A2357" t="str">
            <v>MG</v>
          </cell>
          <cell r="B2357">
            <v>2009</v>
          </cell>
          <cell r="D2357" t="str">
            <v>MILHO</v>
          </cell>
          <cell r="E2357">
            <v>820</v>
          </cell>
        </row>
        <row r="2358">
          <cell r="A2358" t="str">
            <v>MG</v>
          </cell>
          <cell r="B2358">
            <v>2009</v>
          </cell>
          <cell r="D2358" t="str">
            <v>MILHO</v>
          </cell>
          <cell r="E2358">
            <v>820</v>
          </cell>
        </row>
        <row r="2359">
          <cell r="A2359" t="str">
            <v>MG</v>
          </cell>
          <cell r="B2359">
            <v>2009</v>
          </cell>
          <cell r="D2359" t="str">
            <v>MILHO</v>
          </cell>
          <cell r="E2359">
            <v>820</v>
          </cell>
        </row>
        <row r="2360">
          <cell r="A2360" t="str">
            <v>MG</v>
          </cell>
          <cell r="B2360">
            <v>2009</v>
          </cell>
          <cell r="D2360" t="str">
            <v>MILHO</v>
          </cell>
          <cell r="E2360">
            <v>1640</v>
          </cell>
        </row>
        <row r="2361">
          <cell r="A2361" t="str">
            <v>MG</v>
          </cell>
          <cell r="B2361">
            <v>2009</v>
          </cell>
          <cell r="D2361" t="str">
            <v>MILHO</v>
          </cell>
          <cell r="E2361">
            <v>1640</v>
          </cell>
        </row>
        <row r="2362">
          <cell r="A2362" t="str">
            <v>MG</v>
          </cell>
          <cell r="B2362">
            <v>2009</v>
          </cell>
          <cell r="D2362" t="str">
            <v>MILHO</v>
          </cell>
          <cell r="E2362">
            <v>1640</v>
          </cell>
        </row>
        <row r="2363">
          <cell r="A2363" t="str">
            <v>MG</v>
          </cell>
          <cell r="B2363">
            <v>2009</v>
          </cell>
          <cell r="D2363" t="str">
            <v>MILHO</v>
          </cell>
          <cell r="E2363">
            <v>1640</v>
          </cell>
        </row>
        <row r="2364">
          <cell r="A2364" t="str">
            <v>MG</v>
          </cell>
          <cell r="B2364">
            <v>2009</v>
          </cell>
          <cell r="D2364" t="str">
            <v>MILHO</v>
          </cell>
          <cell r="E2364">
            <v>1640</v>
          </cell>
        </row>
        <row r="2365">
          <cell r="A2365" t="str">
            <v>MG</v>
          </cell>
          <cell r="B2365">
            <v>2009</v>
          </cell>
          <cell r="D2365" t="str">
            <v>MILHO</v>
          </cell>
          <cell r="E2365">
            <v>1640</v>
          </cell>
        </row>
        <row r="2366">
          <cell r="A2366" t="str">
            <v>MG</v>
          </cell>
          <cell r="B2366">
            <v>2009</v>
          </cell>
          <cell r="D2366" t="str">
            <v>MILHO</v>
          </cell>
          <cell r="E2366">
            <v>1640</v>
          </cell>
        </row>
        <row r="2367">
          <cell r="A2367" t="str">
            <v>MG</v>
          </cell>
          <cell r="B2367">
            <v>2009</v>
          </cell>
          <cell r="D2367" t="str">
            <v>MILHO</v>
          </cell>
          <cell r="E2367">
            <v>1640</v>
          </cell>
        </row>
        <row r="2368">
          <cell r="A2368" t="str">
            <v>MG</v>
          </cell>
          <cell r="B2368">
            <v>2009</v>
          </cell>
          <cell r="D2368" t="str">
            <v>MILHO</v>
          </cell>
          <cell r="E2368">
            <v>1640</v>
          </cell>
        </row>
        <row r="2369">
          <cell r="A2369" t="str">
            <v>MG</v>
          </cell>
          <cell r="B2369">
            <v>2009</v>
          </cell>
          <cell r="D2369" t="str">
            <v>MILHO</v>
          </cell>
          <cell r="E2369">
            <v>1640</v>
          </cell>
        </row>
        <row r="2370">
          <cell r="A2370" t="str">
            <v>MG</v>
          </cell>
          <cell r="B2370">
            <v>2009</v>
          </cell>
          <cell r="D2370" t="str">
            <v>MILHO</v>
          </cell>
          <cell r="E2370">
            <v>2460</v>
          </cell>
        </row>
        <row r="2371">
          <cell r="A2371" t="str">
            <v>MG</v>
          </cell>
          <cell r="B2371">
            <v>2009</v>
          </cell>
          <cell r="D2371" t="str">
            <v>MILHO</v>
          </cell>
          <cell r="E2371">
            <v>2460</v>
          </cell>
        </row>
        <row r="2372">
          <cell r="A2372" t="str">
            <v>MG</v>
          </cell>
          <cell r="B2372">
            <v>2009</v>
          </cell>
          <cell r="D2372" t="str">
            <v>MILHO</v>
          </cell>
          <cell r="E2372">
            <v>2460</v>
          </cell>
        </row>
        <row r="2373">
          <cell r="A2373" t="str">
            <v>MG</v>
          </cell>
          <cell r="B2373">
            <v>2009</v>
          </cell>
          <cell r="D2373" t="str">
            <v>MILHO</v>
          </cell>
          <cell r="E2373">
            <v>2460</v>
          </cell>
        </row>
        <row r="2374">
          <cell r="A2374" t="str">
            <v>MG</v>
          </cell>
          <cell r="B2374">
            <v>2009</v>
          </cell>
          <cell r="D2374" t="str">
            <v>MILHO</v>
          </cell>
          <cell r="E2374">
            <v>2460</v>
          </cell>
        </row>
        <row r="2375">
          <cell r="A2375" t="str">
            <v>MG</v>
          </cell>
          <cell r="B2375">
            <v>2009</v>
          </cell>
          <cell r="D2375" t="str">
            <v>MILHO</v>
          </cell>
          <cell r="E2375">
            <v>2460</v>
          </cell>
        </row>
        <row r="2376">
          <cell r="A2376" t="str">
            <v>MG</v>
          </cell>
          <cell r="B2376">
            <v>2009</v>
          </cell>
          <cell r="D2376" t="str">
            <v>MILHO</v>
          </cell>
          <cell r="E2376">
            <v>2460</v>
          </cell>
        </row>
        <row r="2377">
          <cell r="A2377" t="str">
            <v>MG</v>
          </cell>
          <cell r="B2377">
            <v>2009</v>
          </cell>
          <cell r="D2377" t="str">
            <v>MILHO</v>
          </cell>
          <cell r="E2377">
            <v>2460</v>
          </cell>
        </row>
        <row r="2378">
          <cell r="A2378" t="str">
            <v>MG</v>
          </cell>
          <cell r="B2378">
            <v>2009</v>
          </cell>
          <cell r="D2378" t="str">
            <v>MILHO</v>
          </cell>
          <cell r="E2378">
            <v>3280</v>
          </cell>
        </row>
        <row r="2379">
          <cell r="A2379" t="str">
            <v>MG</v>
          </cell>
          <cell r="B2379">
            <v>2009</v>
          </cell>
          <cell r="D2379" t="str">
            <v>MILHO</v>
          </cell>
          <cell r="E2379">
            <v>3280</v>
          </cell>
        </row>
        <row r="2380">
          <cell r="A2380" t="str">
            <v>MG</v>
          </cell>
          <cell r="B2380">
            <v>2009</v>
          </cell>
          <cell r="D2380" t="str">
            <v>MILHO</v>
          </cell>
          <cell r="E2380">
            <v>4100</v>
          </cell>
        </row>
        <row r="2381">
          <cell r="A2381" t="str">
            <v>MG</v>
          </cell>
          <cell r="B2381">
            <v>2009</v>
          </cell>
          <cell r="D2381" t="str">
            <v>MILHO</v>
          </cell>
          <cell r="E2381">
            <v>4100</v>
          </cell>
        </row>
        <row r="2382">
          <cell r="A2382" t="str">
            <v>MG</v>
          </cell>
          <cell r="B2382">
            <v>2009</v>
          </cell>
          <cell r="D2382" t="str">
            <v>MILHO</v>
          </cell>
          <cell r="E2382">
            <v>4920</v>
          </cell>
        </row>
        <row r="2383">
          <cell r="A2383" t="str">
            <v>MG</v>
          </cell>
          <cell r="B2383">
            <v>2009</v>
          </cell>
          <cell r="D2383" t="str">
            <v>MILHO</v>
          </cell>
          <cell r="E2383">
            <v>7380</v>
          </cell>
        </row>
        <row r="2384">
          <cell r="A2384" t="str">
            <v>MG</v>
          </cell>
          <cell r="B2384">
            <v>2009</v>
          </cell>
          <cell r="D2384" t="str">
            <v>MILHO</v>
          </cell>
          <cell r="E2384">
            <v>10660</v>
          </cell>
        </row>
        <row r="2385">
          <cell r="A2385" t="str">
            <v>MG</v>
          </cell>
          <cell r="B2385">
            <v>2009</v>
          </cell>
          <cell r="D2385" t="str">
            <v>MILHO</v>
          </cell>
          <cell r="E2385">
            <v>12300</v>
          </cell>
        </row>
        <row r="2386">
          <cell r="A2386" t="str">
            <v>MG</v>
          </cell>
          <cell r="B2386">
            <v>2009</v>
          </cell>
          <cell r="D2386" t="str">
            <v>MILHO</v>
          </cell>
          <cell r="E2386">
            <v>16400</v>
          </cell>
        </row>
        <row r="2387">
          <cell r="A2387" t="str">
            <v>MG</v>
          </cell>
          <cell r="B2387">
            <v>2009</v>
          </cell>
          <cell r="D2387" t="str">
            <v>MILHO</v>
          </cell>
          <cell r="E2387">
            <v>0</v>
          </cell>
        </row>
        <row r="2388">
          <cell r="A2388" t="str">
            <v>MG</v>
          </cell>
          <cell r="B2388">
            <v>2009</v>
          </cell>
          <cell r="D2388" t="str">
            <v>SOJA</v>
          </cell>
          <cell r="E2388">
            <v>790</v>
          </cell>
        </row>
        <row r="2389">
          <cell r="A2389" t="str">
            <v>MG</v>
          </cell>
          <cell r="B2389">
            <v>2009</v>
          </cell>
          <cell r="D2389" t="str">
            <v>SOJA</v>
          </cell>
          <cell r="E2389">
            <v>790</v>
          </cell>
        </row>
        <row r="2390">
          <cell r="A2390" t="str">
            <v>MG</v>
          </cell>
          <cell r="B2390">
            <v>2009</v>
          </cell>
          <cell r="D2390" t="str">
            <v>SOJA</v>
          </cell>
          <cell r="E2390">
            <v>1000</v>
          </cell>
        </row>
        <row r="2391">
          <cell r="A2391" t="str">
            <v>MG</v>
          </cell>
          <cell r="B2391">
            <v>2009</v>
          </cell>
          <cell r="D2391" t="str">
            <v>SOJA</v>
          </cell>
          <cell r="E2391">
            <v>1570</v>
          </cell>
        </row>
        <row r="2392">
          <cell r="A2392" t="str">
            <v>MG</v>
          </cell>
          <cell r="B2392">
            <v>2009</v>
          </cell>
          <cell r="D2392" t="str">
            <v>SOJA</v>
          </cell>
          <cell r="E2392">
            <v>1570</v>
          </cell>
        </row>
        <row r="2393">
          <cell r="A2393" t="str">
            <v>MG</v>
          </cell>
          <cell r="B2393">
            <v>2009</v>
          </cell>
          <cell r="D2393" t="str">
            <v>SOJA</v>
          </cell>
          <cell r="E2393">
            <v>1570</v>
          </cell>
        </row>
        <row r="2394">
          <cell r="A2394" t="str">
            <v>MG</v>
          </cell>
          <cell r="B2394">
            <v>2009</v>
          </cell>
          <cell r="D2394" t="str">
            <v>SOJA</v>
          </cell>
          <cell r="E2394">
            <v>1570</v>
          </cell>
        </row>
        <row r="2395">
          <cell r="A2395" t="str">
            <v>MG</v>
          </cell>
          <cell r="B2395">
            <v>2009</v>
          </cell>
          <cell r="D2395" t="str">
            <v>SOJA</v>
          </cell>
          <cell r="E2395">
            <v>1570</v>
          </cell>
        </row>
        <row r="2396">
          <cell r="A2396" t="str">
            <v>MG</v>
          </cell>
          <cell r="B2396">
            <v>2009</v>
          </cell>
          <cell r="D2396" t="str">
            <v>SOJA</v>
          </cell>
          <cell r="E2396">
            <v>0</v>
          </cell>
        </row>
        <row r="2397">
          <cell r="A2397" t="str">
            <v>MG</v>
          </cell>
          <cell r="B2397">
            <v>2009</v>
          </cell>
          <cell r="D2397" t="str">
            <v>SOJA</v>
          </cell>
          <cell r="E2397">
            <v>7870</v>
          </cell>
        </row>
        <row r="2398">
          <cell r="A2398" t="str">
            <v>GO</v>
          </cell>
          <cell r="B2398">
            <v>2009</v>
          </cell>
          <cell r="D2398" t="str">
            <v>MILHO</v>
          </cell>
          <cell r="E2398">
            <v>800</v>
          </cell>
        </row>
        <row r="2399">
          <cell r="A2399" t="str">
            <v>GO</v>
          </cell>
          <cell r="B2399">
            <v>2009</v>
          </cell>
          <cell r="D2399" t="str">
            <v>MILHO</v>
          </cell>
          <cell r="E2399">
            <v>0</v>
          </cell>
        </row>
        <row r="2400">
          <cell r="A2400" t="str">
            <v>GO</v>
          </cell>
          <cell r="B2400">
            <v>2009</v>
          </cell>
          <cell r="D2400" t="str">
            <v>SOJA</v>
          </cell>
          <cell r="E2400">
            <v>0</v>
          </cell>
        </row>
        <row r="2401">
          <cell r="A2401" t="str">
            <v>GO</v>
          </cell>
          <cell r="B2401">
            <v>2009</v>
          </cell>
          <cell r="D2401" t="str">
            <v>SOJA</v>
          </cell>
          <cell r="E2401">
            <v>9380</v>
          </cell>
        </row>
        <row r="2402">
          <cell r="A2402" t="str">
            <v>PR</v>
          </cell>
          <cell r="B2402">
            <v>2009</v>
          </cell>
          <cell r="D2402" t="str">
            <v>MILHO</v>
          </cell>
          <cell r="E2402">
            <v>0</v>
          </cell>
        </row>
        <row r="2403">
          <cell r="A2403" t="str">
            <v>PR</v>
          </cell>
          <cell r="B2403">
            <v>2009</v>
          </cell>
          <cell r="D2403" t="str">
            <v>SOJA</v>
          </cell>
          <cell r="E2403">
            <v>21500</v>
          </cell>
        </row>
        <row r="2404">
          <cell r="A2404" t="str">
            <v>PR</v>
          </cell>
          <cell r="B2404">
            <v>2009</v>
          </cell>
          <cell r="D2404" t="str">
            <v>SOJA</v>
          </cell>
          <cell r="E2404">
            <v>0</v>
          </cell>
        </row>
        <row r="2405">
          <cell r="A2405" t="str">
            <v>PR</v>
          </cell>
          <cell r="B2405">
            <v>2009</v>
          </cell>
          <cell r="D2405" t="str">
            <v>MILHO</v>
          </cell>
          <cell r="E2405">
            <v>1600</v>
          </cell>
        </row>
        <row r="2406">
          <cell r="A2406" t="str">
            <v>PR</v>
          </cell>
          <cell r="B2406">
            <v>2009</v>
          </cell>
          <cell r="D2406" t="str">
            <v>MILHO</v>
          </cell>
          <cell r="E2406">
            <v>0</v>
          </cell>
        </row>
        <row r="2407">
          <cell r="A2407" t="str">
            <v>PR</v>
          </cell>
          <cell r="B2407">
            <v>2009</v>
          </cell>
          <cell r="D2407" t="str">
            <v>SOJA</v>
          </cell>
          <cell r="E2407">
            <v>0</v>
          </cell>
        </row>
        <row r="2408">
          <cell r="A2408" t="str">
            <v>PR</v>
          </cell>
          <cell r="B2408">
            <v>2009</v>
          </cell>
          <cell r="D2408" t="str">
            <v>SOJA</v>
          </cell>
          <cell r="E2408">
            <v>4300</v>
          </cell>
        </row>
        <row r="2409">
          <cell r="A2409" t="str">
            <v>PR</v>
          </cell>
          <cell r="B2409">
            <v>2009</v>
          </cell>
          <cell r="D2409" t="str">
            <v>MILHO</v>
          </cell>
          <cell r="E2409">
            <v>1600</v>
          </cell>
        </row>
        <row r="2410">
          <cell r="A2410" t="str">
            <v>PR</v>
          </cell>
          <cell r="B2410">
            <v>2009</v>
          </cell>
          <cell r="D2410" t="str">
            <v>MILHO</v>
          </cell>
          <cell r="E2410">
            <v>0</v>
          </cell>
        </row>
        <row r="2411">
          <cell r="A2411" t="str">
            <v>PR</v>
          </cell>
          <cell r="B2411">
            <v>2009</v>
          </cell>
          <cell r="D2411" t="str">
            <v>SOJA</v>
          </cell>
          <cell r="E2411">
            <v>0</v>
          </cell>
        </row>
        <row r="2412">
          <cell r="A2412" t="str">
            <v>PR</v>
          </cell>
          <cell r="B2412">
            <v>2009</v>
          </cell>
          <cell r="D2412" t="str">
            <v>SOJA</v>
          </cell>
          <cell r="E2412">
            <v>11180</v>
          </cell>
        </row>
        <row r="2413">
          <cell r="A2413" t="str">
            <v>PR</v>
          </cell>
          <cell r="B2413">
            <v>2009</v>
          </cell>
          <cell r="D2413" t="str">
            <v>MILHO</v>
          </cell>
          <cell r="E2413">
            <v>2400</v>
          </cell>
        </row>
        <row r="2414">
          <cell r="A2414" t="str">
            <v>PR</v>
          </cell>
          <cell r="B2414">
            <v>2009</v>
          </cell>
          <cell r="D2414" t="str">
            <v>MILHO</v>
          </cell>
          <cell r="E2414">
            <v>0</v>
          </cell>
        </row>
        <row r="2415">
          <cell r="A2415" t="str">
            <v>PR</v>
          </cell>
          <cell r="B2415">
            <v>2009</v>
          </cell>
          <cell r="D2415" t="str">
            <v>SOJA</v>
          </cell>
          <cell r="E2415">
            <v>0</v>
          </cell>
        </row>
        <row r="2416">
          <cell r="A2416" t="str">
            <v>PR</v>
          </cell>
          <cell r="B2416">
            <v>2009</v>
          </cell>
          <cell r="D2416" t="str">
            <v>SOJA</v>
          </cell>
          <cell r="E2416">
            <v>4300</v>
          </cell>
        </row>
        <row r="2417">
          <cell r="A2417" t="str">
            <v>RS</v>
          </cell>
          <cell r="B2417">
            <v>2009</v>
          </cell>
          <cell r="D2417" t="str">
            <v>SOJA</v>
          </cell>
          <cell r="E2417">
            <v>0</v>
          </cell>
        </row>
        <row r="2418">
          <cell r="A2418" t="str">
            <v>RS</v>
          </cell>
          <cell r="B2418">
            <v>2009</v>
          </cell>
          <cell r="D2418" t="str">
            <v>SOJA</v>
          </cell>
          <cell r="E2418">
            <v>0</v>
          </cell>
        </row>
        <row r="2419">
          <cell r="A2419" t="str">
            <v>PR</v>
          </cell>
          <cell r="B2419">
            <v>2009</v>
          </cell>
          <cell r="D2419" t="str">
            <v>MILHO</v>
          </cell>
          <cell r="E2419">
            <v>3990</v>
          </cell>
        </row>
        <row r="2420">
          <cell r="A2420" t="str">
            <v>PR</v>
          </cell>
          <cell r="B2420">
            <v>2009</v>
          </cell>
          <cell r="D2420" t="str">
            <v>MILHO</v>
          </cell>
          <cell r="E2420">
            <v>0</v>
          </cell>
        </row>
        <row r="2421">
          <cell r="A2421" t="str">
            <v>PR</v>
          </cell>
          <cell r="B2421">
            <v>2009</v>
          </cell>
          <cell r="D2421" t="str">
            <v>SOJA</v>
          </cell>
          <cell r="E2421">
            <v>12900</v>
          </cell>
        </row>
        <row r="2422">
          <cell r="A2422" t="str">
            <v>PR</v>
          </cell>
          <cell r="B2422">
            <v>2009</v>
          </cell>
          <cell r="D2422" t="str">
            <v>SOJA</v>
          </cell>
          <cell r="E2422">
            <v>0</v>
          </cell>
        </row>
        <row r="2423">
          <cell r="A2423" t="str">
            <v>MT</v>
          </cell>
          <cell r="B2423">
            <v>2009</v>
          </cell>
          <cell r="D2423" t="str">
            <v>SOJA</v>
          </cell>
          <cell r="E2423">
            <v>0</v>
          </cell>
        </row>
        <row r="2424">
          <cell r="A2424" t="str">
            <v>MT</v>
          </cell>
          <cell r="B2424">
            <v>2009</v>
          </cell>
          <cell r="D2424" t="str">
            <v>SOJA</v>
          </cell>
          <cell r="E2424">
            <v>0</v>
          </cell>
        </row>
        <row r="2425">
          <cell r="A2425" t="str">
            <v>BA</v>
          </cell>
          <cell r="B2425">
            <v>2009</v>
          </cell>
          <cell r="D2425" t="str">
            <v>SOJA</v>
          </cell>
          <cell r="E2425">
            <v>5780</v>
          </cell>
        </row>
        <row r="2426">
          <cell r="A2426" t="str">
            <v>MT</v>
          </cell>
          <cell r="B2426">
            <v>2009</v>
          </cell>
          <cell r="D2426" t="str">
            <v>SOJA</v>
          </cell>
          <cell r="E2426">
            <v>0</v>
          </cell>
        </row>
        <row r="2427">
          <cell r="A2427" t="str">
            <v>MT</v>
          </cell>
          <cell r="B2427">
            <v>2009</v>
          </cell>
          <cell r="D2427" t="str">
            <v>SOJA</v>
          </cell>
          <cell r="E2427">
            <v>0</v>
          </cell>
        </row>
        <row r="2428">
          <cell r="A2428" t="str">
            <v>BA</v>
          </cell>
          <cell r="B2428">
            <v>2009</v>
          </cell>
          <cell r="D2428" t="str">
            <v>SOJA</v>
          </cell>
          <cell r="E2428">
            <v>33700</v>
          </cell>
        </row>
        <row r="2429">
          <cell r="A2429" t="str">
            <v>RS</v>
          </cell>
          <cell r="B2429">
            <v>2009</v>
          </cell>
          <cell r="D2429" t="str">
            <v>SOJA</v>
          </cell>
          <cell r="E2429">
            <v>5090</v>
          </cell>
        </row>
        <row r="2430">
          <cell r="A2430" t="str">
            <v>RS</v>
          </cell>
          <cell r="B2430">
            <v>2009</v>
          </cell>
          <cell r="D2430" t="str">
            <v>SOJA</v>
          </cell>
          <cell r="E2430">
            <v>7130</v>
          </cell>
        </row>
        <row r="2431">
          <cell r="A2431" t="str">
            <v>RS</v>
          </cell>
          <cell r="B2431">
            <v>2009</v>
          </cell>
          <cell r="D2431" t="str">
            <v>SOJA</v>
          </cell>
          <cell r="E2431">
            <v>14770</v>
          </cell>
        </row>
        <row r="2432">
          <cell r="A2432" t="str">
            <v>RS</v>
          </cell>
          <cell r="B2432">
            <v>2009</v>
          </cell>
          <cell r="D2432" t="str">
            <v>SOJA</v>
          </cell>
          <cell r="E2432">
            <v>22400</v>
          </cell>
        </row>
        <row r="2433">
          <cell r="A2433" t="str">
            <v>RS</v>
          </cell>
          <cell r="B2433">
            <v>2009</v>
          </cell>
          <cell r="D2433" t="str">
            <v>SOJA</v>
          </cell>
          <cell r="E2433">
            <v>41750</v>
          </cell>
        </row>
        <row r="2434">
          <cell r="A2434" t="str">
            <v>RS</v>
          </cell>
          <cell r="B2434">
            <v>2009</v>
          </cell>
          <cell r="D2434" t="str">
            <v>MILHO</v>
          </cell>
          <cell r="E2434">
            <v>520</v>
          </cell>
        </row>
        <row r="2435">
          <cell r="A2435" t="str">
            <v>RS</v>
          </cell>
          <cell r="B2435">
            <v>2009</v>
          </cell>
          <cell r="D2435" t="str">
            <v>MILHO</v>
          </cell>
          <cell r="E2435">
            <v>0</v>
          </cell>
        </row>
        <row r="2436">
          <cell r="A2436" t="str">
            <v>RS</v>
          </cell>
          <cell r="B2436">
            <v>2009</v>
          </cell>
          <cell r="D2436" t="str">
            <v>SOJA</v>
          </cell>
          <cell r="E2436">
            <v>10180</v>
          </cell>
        </row>
        <row r="2437">
          <cell r="A2437" t="str">
            <v>RS</v>
          </cell>
          <cell r="B2437">
            <v>2009</v>
          </cell>
          <cell r="D2437" t="str">
            <v>SOJA</v>
          </cell>
          <cell r="E2437">
            <v>0</v>
          </cell>
        </row>
        <row r="2438">
          <cell r="A2438" t="str">
            <v>RS</v>
          </cell>
          <cell r="B2438">
            <v>2009</v>
          </cell>
          <cell r="D2438" t="str">
            <v>MILHO</v>
          </cell>
          <cell r="E2438">
            <v>0</v>
          </cell>
        </row>
        <row r="2439">
          <cell r="A2439" t="str">
            <v>RS</v>
          </cell>
          <cell r="B2439">
            <v>2009</v>
          </cell>
          <cell r="D2439" t="str">
            <v>SOJA</v>
          </cell>
          <cell r="E2439">
            <v>15280</v>
          </cell>
        </row>
        <row r="2440">
          <cell r="A2440" t="str">
            <v>RS</v>
          </cell>
          <cell r="B2440">
            <v>2009</v>
          </cell>
          <cell r="D2440" t="str">
            <v>SOJA</v>
          </cell>
          <cell r="E2440">
            <v>0</v>
          </cell>
        </row>
        <row r="2441">
          <cell r="A2441" t="str">
            <v>PR</v>
          </cell>
          <cell r="B2441">
            <v>2009</v>
          </cell>
          <cell r="D2441" t="str">
            <v>MILHO</v>
          </cell>
          <cell r="E2441">
            <v>0</v>
          </cell>
        </row>
        <row r="2442">
          <cell r="A2442" t="str">
            <v>PR</v>
          </cell>
          <cell r="B2442">
            <v>2009</v>
          </cell>
          <cell r="D2442" t="str">
            <v>SOJA</v>
          </cell>
          <cell r="E2442">
            <v>0</v>
          </cell>
        </row>
        <row r="2443">
          <cell r="A2443" t="str">
            <v>PR</v>
          </cell>
          <cell r="B2443">
            <v>2009</v>
          </cell>
          <cell r="D2443" t="str">
            <v>MILHO</v>
          </cell>
          <cell r="E2443">
            <v>0</v>
          </cell>
        </row>
        <row r="2444">
          <cell r="A2444" t="str">
            <v>PR</v>
          </cell>
          <cell r="B2444">
            <v>2009</v>
          </cell>
          <cell r="D2444" t="str">
            <v>SOJA</v>
          </cell>
          <cell r="E2444">
            <v>0</v>
          </cell>
        </row>
        <row r="2445">
          <cell r="A2445" t="str">
            <v>PR</v>
          </cell>
          <cell r="B2445">
            <v>2009</v>
          </cell>
          <cell r="D2445" t="str">
            <v>MILHO</v>
          </cell>
          <cell r="E2445">
            <v>0</v>
          </cell>
        </row>
        <row r="2446">
          <cell r="A2446" t="str">
            <v>PR</v>
          </cell>
          <cell r="B2446">
            <v>2009</v>
          </cell>
          <cell r="D2446" t="str">
            <v>SOJA</v>
          </cell>
          <cell r="E2446">
            <v>0</v>
          </cell>
        </row>
        <row r="2447">
          <cell r="A2447" t="str">
            <v>PR</v>
          </cell>
          <cell r="B2447">
            <v>2009</v>
          </cell>
          <cell r="D2447" t="str">
            <v>MILHO</v>
          </cell>
          <cell r="E2447">
            <v>0</v>
          </cell>
        </row>
        <row r="2448">
          <cell r="A2448" t="str">
            <v>PR</v>
          </cell>
          <cell r="B2448">
            <v>2009</v>
          </cell>
          <cell r="D2448" t="str">
            <v>SOJA</v>
          </cell>
          <cell r="E2448">
            <v>0</v>
          </cell>
        </row>
        <row r="2449">
          <cell r="A2449" t="str">
            <v>SP</v>
          </cell>
          <cell r="B2449">
            <v>2009</v>
          </cell>
          <cell r="D2449" t="str">
            <v>MILHO</v>
          </cell>
          <cell r="E2449">
            <v>0</v>
          </cell>
        </row>
        <row r="2450">
          <cell r="A2450" t="str">
            <v>SP</v>
          </cell>
          <cell r="B2450">
            <v>2009</v>
          </cell>
          <cell r="D2450" t="str">
            <v>MILHO</v>
          </cell>
          <cell r="E2450">
            <v>7980</v>
          </cell>
        </row>
        <row r="2451">
          <cell r="A2451" t="str">
            <v>PR</v>
          </cell>
          <cell r="B2451">
            <v>2009</v>
          </cell>
          <cell r="D2451" t="str">
            <v>MILHO</v>
          </cell>
          <cell r="E2451">
            <v>0</v>
          </cell>
        </row>
        <row r="2452">
          <cell r="A2452" t="str">
            <v>PR</v>
          </cell>
          <cell r="B2452">
            <v>2009</v>
          </cell>
          <cell r="D2452" t="str">
            <v>SOJA</v>
          </cell>
          <cell r="E2452">
            <v>1750</v>
          </cell>
        </row>
        <row r="2453">
          <cell r="A2453" t="str">
            <v>PR</v>
          </cell>
          <cell r="B2453">
            <v>2009</v>
          </cell>
          <cell r="D2453" t="str">
            <v>SOJA</v>
          </cell>
          <cell r="E2453">
            <v>3490</v>
          </cell>
        </row>
        <row r="2454">
          <cell r="A2454" t="str">
            <v>PR</v>
          </cell>
          <cell r="B2454">
            <v>2009</v>
          </cell>
          <cell r="D2454" t="str">
            <v>SOJA</v>
          </cell>
          <cell r="E2454">
            <v>0</v>
          </cell>
        </row>
        <row r="2455">
          <cell r="A2455" t="str">
            <v>MT</v>
          </cell>
          <cell r="B2455">
            <v>2009</v>
          </cell>
          <cell r="D2455" t="str">
            <v>SOJA</v>
          </cell>
          <cell r="E2455">
            <v>0</v>
          </cell>
        </row>
        <row r="2456">
          <cell r="A2456" t="str">
            <v>MT</v>
          </cell>
          <cell r="B2456">
            <v>2009</v>
          </cell>
          <cell r="D2456" t="str">
            <v>SOJA</v>
          </cell>
          <cell r="E2456">
            <v>0</v>
          </cell>
        </row>
        <row r="2457">
          <cell r="A2457" t="str">
            <v>MT</v>
          </cell>
          <cell r="B2457">
            <v>2009</v>
          </cell>
          <cell r="D2457" t="str">
            <v>SOJA</v>
          </cell>
          <cell r="E2457">
            <v>0</v>
          </cell>
        </row>
        <row r="2458">
          <cell r="A2458" t="str">
            <v>MS</v>
          </cell>
          <cell r="B2458">
            <v>2009</v>
          </cell>
          <cell r="D2458" t="str">
            <v>MILHO</v>
          </cell>
          <cell r="E2458">
            <v>1590</v>
          </cell>
        </row>
        <row r="2459">
          <cell r="A2459" t="str">
            <v>MS</v>
          </cell>
          <cell r="B2459">
            <v>2009</v>
          </cell>
          <cell r="D2459" t="str">
            <v>MILHO</v>
          </cell>
          <cell r="E2459">
            <v>0</v>
          </cell>
        </row>
        <row r="2460">
          <cell r="A2460" t="str">
            <v>MS</v>
          </cell>
          <cell r="B2460">
            <v>2009</v>
          </cell>
          <cell r="D2460" t="str">
            <v>SOJA</v>
          </cell>
          <cell r="E2460">
            <v>0</v>
          </cell>
        </row>
        <row r="2461">
          <cell r="A2461" t="str">
            <v>MS</v>
          </cell>
          <cell r="B2461">
            <v>2009</v>
          </cell>
          <cell r="D2461" t="str">
            <v>SOJA</v>
          </cell>
          <cell r="E2461">
            <v>3910</v>
          </cell>
        </row>
        <row r="2462">
          <cell r="A2462" t="str">
            <v>PR</v>
          </cell>
          <cell r="B2462">
            <v>2009</v>
          </cell>
          <cell r="D2462" t="str">
            <v>MILHO</v>
          </cell>
          <cell r="E2462">
            <v>5190</v>
          </cell>
        </row>
        <row r="2463">
          <cell r="A2463" t="str">
            <v>PR</v>
          </cell>
          <cell r="B2463">
            <v>2009</v>
          </cell>
          <cell r="D2463" t="str">
            <v>MILHO</v>
          </cell>
          <cell r="E2463">
            <v>0</v>
          </cell>
        </row>
        <row r="2464">
          <cell r="A2464" t="str">
            <v>PR</v>
          </cell>
          <cell r="B2464">
            <v>2009</v>
          </cell>
          <cell r="D2464" t="str">
            <v>SOJA</v>
          </cell>
          <cell r="E2464">
            <v>0</v>
          </cell>
        </row>
        <row r="2465">
          <cell r="A2465" t="str">
            <v>PR</v>
          </cell>
          <cell r="B2465">
            <v>2009</v>
          </cell>
          <cell r="D2465" t="str">
            <v>SOJA</v>
          </cell>
          <cell r="E2465">
            <v>34400</v>
          </cell>
        </row>
        <row r="2466">
          <cell r="A2466" t="str">
            <v>PR</v>
          </cell>
          <cell r="B2466">
            <v>2009</v>
          </cell>
          <cell r="D2466" t="str">
            <v>MILHO</v>
          </cell>
          <cell r="E2466">
            <v>3990</v>
          </cell>
        </row>
        <row r="2467">
          <cell r="A2467" t="str">
            <v>PR</v>
          </cell>
          <cell r="B2467">
            <v>2009</v>
          </cell>
          <cell r="D2467" t="str">
            <v>SOJA</v>
          </cell>
          <cell r="E2467">
            <v>0</v>
          </cell>
        </row>
        <row r="2468">
          <cell r="A2468" t="str">
            <v>BA</v>
          </cell>
          <cell r="B2468">
            <v>2009</v>
          </cell>
          <cell r="D2468" t="str">
            <v>SOJA</v>
          </cell>
          <cell r="E2468">
            <v>24070</v>
          </cell>
        </row>
        <row r="2469">
          <cell r="A2469" t="str">
            <v>BA</v>
          </cell>
          <cell r="B2469">
            <v>2009</v>
          </cell>
          <cell r="D2469" t="str">
            <v>SOJA</v>
          </cell>
          <cell r="E2469">
            <v>57770</v>
          </cell>
        </row>
        <row r="2470">
          <cell r="A2470" t="str">
            <v>BA</v>
          </cell>
          <cell r="B2470">
            <v>2009</v>
          </cell>
          <cell r="D2470" t="str">
            <v>SOJA</v>
          </cell>
          <cell r="E2470">
            <v>46220</v>
          </cell>
        </row>
        <row r="2471">
          <cell r="A2471" t="str">
            <v>BA</v>
          </cell>
          <cell r="B2471">
            <v>2009</v>
          </cell>
          <cell r="D2471" t="str">
            <v>SOJA</v>
          </cell>
          <cell r="E2471">
            <v>13480</v>
          </cell>
        </row>
        <row r="2472">
          <cell r="A2472" t="str">
            <v>MT</v>
          </cell>
          <cell r="B2472">
            <v>2009</v>
          </cell>
          <cell r="D2472" t="str">
            <v>SOJA</v>
          </cell>
          <cell r="E2472">
            <v>0</v>
          </cell>
        </row>
        <row r="2473">
          <cell r="A2473" t="str">
            <v>MT</v>
          </cell>
          <cell r="B2473">
            <v>2009</v>
          </cell>
          <cell r="D2473" t="str">
            <v>SOJA</v>
          </cell>
          <cell r="E2473">
            <v>0</v>
          </cell>
        </row>
        <row r="2474">
          <cell r="A2474" t="str">
            <v>MT</v>
          </cell>
          <cell r="B2474">
            <v>2009</v>
          </cell>
          <cell r="D2474" t="str">
            <v>SOJA</v>
          </cell>
          <cell r="E2474">
            <v>0</v>
          </cell>
        </row>
        <row r="2475">
          <cell r="A2475" t="str">
            <v>MT</v>
          </cell>
          <cell r="B2475">
            <v>2009</v>
          </cell>
          <cell r="D2475" t="str">
            <v>SOJA</v>
          </cell>
          <cell r="E2475">
            <v>0</v>
          </cell>
        </row>
        <row r="2476">
          <cell r="A2476" t="str">
            <v>TO</v>
          </cell>
          <cell r="B2476">
            <v>2009</v>
          </cell>
          <cell r="D2476" t="str">
            <v>SOJA</v>
          </cell>
          <cell r="E2476">
            <v>5870</v>
          </cell>
        </row>
        <row r="2477">
          <cell r="A2477" t="str">
            <v>TO</v>
          </cell>
          <cell r="B2477">
            <v>2009</v>
          </cell>
          <cell r="D2477" t="str">
            <v>SOJA</v>
          </cell>
          <cell r="E2477">
            <v>0</v>
          </cell>
        </row>
        <row r="2478">
          <cell r="A2478" t="str">
            <v>BA</v>
          </cell>
          <cell r="B2478">
            <v>2009</v>
          </cell>
          <cell r="D2478" t="str">
            <v>MILHO</v>
          </cell>
          <cell r="E2478">
            <v>12990</v>
          </cell>
        </row>
        <row r="2479">
          <cell r="A2479" t="str">
            <v>BA</v>
          </cell>
          <cell r="B2479">
            <v>2009</v>
          </cell>
          <cell r="D2479" t="str">
            <v>SOJA</v>
          </cell>
          <cell r="E2479">
            <v>7700</v>
          </cell>
        </row>
        <row r="2480">
          <cell r="A2480" t="str">
            <v>GO</v>
          </cell>
          <cell r="B2480">
            <v>2009</v>
          </cell>
          <cell r="D2480" t="str">
            <v>MILHO</v>
          </cell>
          <cell r="E2480">
            <v>0</v>
          </cell>
        </row>
        <row r="2481">
          <cell r="A2481" t="str">
            <v>GO</v>
          </cell>
          <cell r="B2481">
            <v>2009</v>
          </cell>
          <cell r="D2481" t="str">
            <v>MILHO</v>
          </cell>
          <cell r="E2481">
            <v>2390</v>
          </cell>
        </row>
        <row r="2482">
          <cell r="A2482" t="str">
            <v>GO</v>
          </cell>
          <cell r="B2482">
            <v>2009</v>
          </cell>
          <cell r="D2482" t="str">
            <v>SOJA</v>
          </cell>
          <cell r="E2482">
            <v>0</v>
          </cell>
        </row>
        <row r="2483">
          <cell r="A2483" t="str">
            <v>GO</v>
          </cell>
          <cell r="B2483">
            <v>2009</v>
          </cell>
          <cell r="D2483" t="str">
            <v>SOJA</v>
          </cell>
          <cell r="E2483">
            <v>2560</v>
          </cell>
        </row>
        <row r="2484">
          <cell r="A2484" t="str">
            <v>GO</v>
          </cell>
          <cell r="B2484">
            <v>2009</v>
          </cell>
          <cell r="D2484" t="str">
            <v>SOJA</v>
          </cell>
          <cell r="E2484">
            <v>1840</v>
          </cell>
        </row>
        <row r="2485">
          <cell r="A2485" t="str">
            <v>GO</v>
          </cell>
          <cell r="B2485">
            <v>2009</v>
          </cell>
          <cell r="D2485" t="str">
            <v>SOJA</v>
          </cell>
          <cell r="E2485">
            <v>2680</v>
          </cell>
        </row>
        <row r="2486">
          <cell r="A2486" t="str">
            <v>GO</v>
          </cell>
          <cell r="B2486">
            <v>2009</v>
          </cell>
          <cell r="D2486" t="str">
            <v>SOJA</v>
          </cell>
          <cell r="E2486">
            <v>2680</v>
          </cell>
        </row>
        <row r="2487">
          <cell r="A2487" t="str">
            <v>GO</v>
          </cell>
          <cell r="B2487">
            <v>2009</v>
          </cell>
          <cell r="D2487" t="str">
            <v>SOJA</v>
          </cell>
          <cell r="E2487">
            <v>3680</v>
          </cell>
        </row>
        <row r="2488">
          <cell r="A2488" t="str">
            <v>GO</v>
          </cell>
          <cell r="B2488">
            <v>2009</v>
          </cell>
          <cell r="D2488" t="str">
            <v>SOJA</v>
          </cell>
          <cell r="E2488">
            <v>5360</v>
          </cell>
        </row>
        <row r="2489">
          <cell r="A2489" t="str">
            <v>GO</v>
          </cell>
          <cell r="B2489">
            <v>2009</v>
          </cell>
          <cell r="D2489" t="str">
            <v>SOJA</v>
          </cell>
          <cell r="E2489">
            <v>0</v>
          </cell>
        </row>
        <row r="2490">
          <cell r="A2490" t="str">
            <v>GO</v>
          </cell>
          <cell r="B2490">
            <v>2009</v>
          </cell>
          <cell r="D2490" t="str">
            <v>MILHO</v>
          </cell>
          <cell r="E2490">
            <v>0</v>
          </cell>
        </row>
        <row r="2491">
          <cell r="A2491" t="str">
            <v>GO</v>
          </cell>
          <cell r="B2491">
            <v>2009</v>
          </cell>
          <cell r="D2491" t="str">
            <v>SOJA</v>
          </cell>
          <cell r="E2491">
            <v>6040</v>
          </cell>
        </row>
        <row r="2492">
          <cell r="A2492" t="str">
            <v>MT</v>
          </cell>
          <cell r="B2492">
            <v>2009</v>
          </cell>
          <cell r="D2492" t="str">
            <v>SOJA</v>
          </cell>
          <cell r="E2492">
            <v>0</v>
          </cell>
        </row>
        <row r="2493">
          <cell r="A2493" t="str">
            <v>GO</v>
          </cell>
          <cell r="B2493">
            <v>2009</v>
          </cell>
          <cell r="D2493" t="str">
            <v>MILHO</v>
          </cell>
          <cell r="E2493">
            <v>0</v>
          </cell>
        </row>
        <row r="2494">
          <cell r="A2494" t="str">
            <v>GO</v>
          </cell>
          <cell r="B2494">
            <v>2009</v>
          </cell>
          <cell r="D2494" t="str">
            <v>MILHO</v>
          </cell>
          <cell r="E2494">
            <v>2390</v>
          </cell>
        </row>
        <row r="2495">
          <cell r="A2495" t="str">
            <v>GO</v>
          </cell>
          <cell r="B2495">
            <v>2009</v>
          </cell>
          <cell r="D2495" t="str">
            <v>SOJA</v>
          </cell>
          <cell r="E2495">
            <v>0</v>
          </cell>
        </row>
        <row r="2496">
          <cell r="A2496" t="str">
            <v>GO</v>
          </cell>
          <cell r="B2496">
            <v>2009</v>
          </cell>
          <cell r="D2496" t="str">
            <v>SOJA</v>
          </cell>
          <cell r="E2496">
            <v>2340</v>
          </cell>
        </row>
        <row r="2497">
          <cell r="A2497" t="str">
            <v>SP</v>
          </cell>
          <cell r="B2497">
            <v>2009</v>
          </cell>
          <cell r="D2497" t="str">
            <v>SOJA</v>
          </cell>
          <cell r="E2497">
            <v>3000</v>
          </cell>
        </row>
        <row r="2498">
          <cell r="A2498" t="str">
            <v>SP</v>
          </cell>
          <cell r="B2498">
            <v>2009</v>
          </cell>
          <cell r="D2498" t="str">
            <v>SOJA</v>
          </cell>
          <cell r="E2498">
            <v>0</v>
          </cell>
        </row>
        <row r="2499">
          <cell r="A2499" t="str">
            <v>MT</v>
          </cell>
          <cell r="B2499">
            <v>2009</v>
          </cell>
          <cell r="D2499" t="str">
            <v>MILHO</v>
          </cell>
          <cell r="E2499">
            <v>7760</v>
          </cell>
        </row>
        <row r="2500">
          <cell r="A2500" t="str">
            <v>MT</v>
          </cell>
          <cell r="B2500">
            <v>2009</v>
          </cell>
          <cell r="D2500" t="str">
            <v>MILHO</v>
          </cell>
          <cell r="E2500">
            <v>0</v>
          </cell>
        </row>
        <row r="2501">
          <cell r="A2501" t="str">
            <v>MT</v>
          </cell>
          <cell r="B2501">
            <v>2009</v>
          </cell>
          <cell r="D2501" t="str">
            <v>SOJA</v>
          </cell>
          <cell r="E2501">
            <v>0</v>
          </cell>
        </row>
        <row r="2502">
          <cell r="A2502" t="str">
            <v>MT</v>
          </cell>
          <cell r="B2502">
            <v>2009</v>
          </cell>
          <cell r="D2502" t="str">
            <v>SOJA</v>
          </cell>
          <cell r="E2502">
            <v>0</v>
          </cell>
        </row>
        <row r="2503">
          <cell r="A2503" t="str">
            <v>MT</v>
          </cell>
          <cell r="B2503">
            <v>2009</v>
          </cell>
          <cell r="D2503" t="str">
            <v>SOJA</v>
          </cell>
          <cell r="E2503">
            <v>0</v>
          </cell>
        </row>
        <row r="2504">
          <cell r="A2504" t="str">
            <v>MA</v>
          </cell>
          <cell r="B2504">
            <v>2009</v>
          </cell>
          <cell r="D2504" t="str">
            <v>SOJA</v>
          </cell>
          <cell r="E2504">
            <v>16000</v>
          </cell>
        </row>
        <row r="2505">
          <cell r="A2505" t="str">
            <v>MA</v>
          </cell>
          <cell r="B2505">
            <v>2009</v>
          </cell>
          <cell r="D2505" t="str">
            <v>SOJA</v>
          </cell>
          <cell r="E2505">
            <v>0</v>
          </cell>
        </row>
        <row r="2506">
          <cell r="A2506" t="str">
            <v>MG</v>
          </cell>
          <cell r="B2506">
            <v>2009</v>
          </cell>
          <cell r="D2506" t="str">
            <v>SOJA</v>
          </cell>
          <cell r="E2506">
            <v>0</v>
          </cell>
        </row>
        <row r="2507">
          <cell r="A2507" t="str">
            <v>MG</v>
          </cell>
          <cell r="B2507">
            <v>2009</v>
          </cell>
          <cell r="D2507" t="str">
            <v>SOJA</v>
          </cell>
          <cell r="E2507">
            <v>4200</v>
          </cell>
        </row>
        <row r="2508">
          <cell r="A2508" t="str">
            <v>MT</v>
          </cell>
          <cell r="B2508">
            <v>2009</v>
          </cell>
          <cell r="D2508" t="str">
            <v>SOJA</v>
          </cell>
          <cell r="E2508">
            <v>0</v>
          </cell>
        </row>
        <row r="2509">
          <cell r="A2509" t="str">
            <v>MT</v>
          </cell>
          <cell r="B2509">
            <v>2009</v>
          </cell>
          <cell r="D2509" t="str">
            <v>SOJA</v>
          </cell>
          <cell r="E2509">
            <v>0</v>
          </cell>
        </row>
        <row r="2510">
          <cell r="A2510" t="str">
            <v>MT</v>
          </cell>
          <cell r="B2510">
            <v>2009</v>
          </cell>
          <cell r="D2510" t="str">
            <v>SOJA</v>
          </cell>
          <cell r="E2510">
            <v>4530</v>
          </cell>
        </row>
        <row r="2511">
          <cell r="A2511" t="str">
            <v>MT</v>
          </cell>
          <cell r="B2511">
            <v>2009</v>
          </cell>
          <cell r="D2511" t="str">
            <v>SOJA</v>
          </cell>
          <cell r="E2511">
            <v>0</v>
          </cell>
        </row>
        <row r="2512">
          <cell r="A2512" t="str">
            <v>TO</v>
          </cell>
          <cell r="B2512">
            <v>2009</v>
          </cell>
          <cell r="D2512" t="str">
            <v>SOJA</v>
          </cell>
          <cell r="E2512">
            <v>0</v>
          </cell>
        </row>
        <row r="2513">
          <cell r="A2513" t="str">
            <v>TO</v>
          </cell>
          <cell r="B2513">
            <v>2009</v>
          </cell>
          <cell r="D2513" t="str">
            <v>SOJA</v>
          </cell>
          <cell r="E2513">
            <v>16170.000000000002</v>
          </cell>
        </row>
        <row r="2514">
          <cell r="A2514" t="str">
            <v>GO</v>
          </cell>
          <cell r="B2514">
            <v>2009</v>
          </cell>
          <cell r="D2514" t="str">
            <v>MILHO</v>
          </cell>
          <cell r="E2514">
            <v>0</v>
          </cell>
        </row>
        <row r="2515">
          <cell r="A2515" t="str">
            <v>GO</v>
          </cell>
          <cell r="B2515">
            <v>2009</v>
          </cell>
          <cell r="D2515" t="str">
            <v>SOJA</v>
          </cell>
          <cell r="E2515">
            <v>3130</v>
          </cell>
        </row>
        <row r="2516">
          <cell r="A2516" t="str">
            <v>GO</v>
          </cell>
          <cell r="B2516">
            <v>2009</v>
          </cell>
          <cell r="D2516" t="str">
            <v>SOJA</v>
          </cell>
          <cell r="E2516">
            <v>0</v>
          </cell>
        </row>
        <row r="2517">
          <cell r="A2517" t="str">
            <v>GO</v>
          </cell>
          <cell r="B2517">
            <v>2009</v>
          </cell>
          <cell r="D2517" t="str">
            <v>SOJA</v>
          </cell>
          <cell r="E2517">
            <v>0</v>
          </cell>
        </row>
        <row r="2518">
          <cell r="A2518" t="str">
            <v>GO</v>
          </cell>
          <cell r="B2518">
            <v>2009</v>
          </cell>
          <cell r="D2518" t="str">
            <v>SOJA</v>
          </cell>
          <cell r="E2518">
            <v>2520</v>
          </cell>
        </row>
        <row r="2519">
          <cell r="A2519" t="str">
            <v>PR</v>
          </cell>
          <cell r="B2519">
            <v>2009</v>
          </cell>
          <cell r="D2519" t="str">
            <v>SOJA</v>
          </cell>
          <cell r="E2519">
            <v>0</v>
          </cell>
        </row>
        <row r="2520">
          <cell r="A2520" t="str">
            <v>BA</v>
          </cell>
          <cell r="B2520">
            <v>2009</v>
          </cell>
          <cell r="D2520" t="str">
            <v>SOJA</v>
          </cell>
          <cell r="E2520">
            <v>3850</v>
          </cell>
        </row>
        <row r="2521">
          <cell r="A2521" t="str">
            <v>MT</v>
          </cell>
          <cell r="B2521">
            <v>2009</v>
          </cell>
          <cell r="D2521" t="str">
            <v>SOJA</v>
          </cell>
          <cell r="E2521">
            <v>7940</v>
          </cell>
        </row>
        <row r="2522">
          <cell r="A2522" t="str">
            <v>MT</v>
          </cell>
          <cell r="B2522">
            <v>2009</v>
          </cell>
          <cell r="D2522" t="str">
            <v>SOJA</v>
          </cell>
          <cell r="E2522">
            <v>0</v>
          </cell>
        </row>
        <row r="2523">
          <cell r="A2523" t="str">
            <v>MT</v>
          </cell>
          <cell r="B2523">
            <v>2009</v>
          </cell>
          <cell r="D2523" t="str">
            <v>MILHO</v>
          </cell>
          <cell r="E2523">
            <v>0</v>
          </cell>
        </row>
        <row r="2524">
          <cell r="A2524" t="str">
            <v>MT</v>
          </cell>
          <cell r="B2524">
            <v>2009</v>
          </cell>
          <cell r="D2524" t="str">
            <v>SOJA</v>
          </cell>
          <cell r="E2524">
            <v>13230</v>
          </cell>
        </row>
        <row r="2525">
          <cell r="A2525" t="str">
            <v>BA</v>
          </cell>
          <cell r="B2525">
            <v>2009</v>
          </cell>
          <cell r="D2525" t="str">
            <v>MILHO</v>
          </cell>
          <cell r="E2525">
            <v>1530</v>
          </cell>
        </row>
        <row r="2526">
          <cell r="A2526" t="str">
            <v>BA</v>
          </cell>
          <cell r="B2526">
            <v>2009</v>
          </cell>
          <cell r="D2526" t="str">
            <v>SOJA</v>
          </cell>
          <cell r="E2526">
            <v>43330</v>
          </cell>
        </row>
        <row r="2527">
          <cell r="A2527" t="str">
            <v>BA</v>
          </cell>
          <cell r="B2527">
            <v>2009</v>
          </cell>
          <cell r="D2527" t="str">
            <v>MILHO</v>
          </cell>
          <cell r="E2527">
            <v>0</v>
          </cell>
        </row>
        <row r="2528">
          <cell r="A2528" t="str">
            <v>BA</v>
          </cell>
          <cell r="B2528">
            <v>2009</v>
          </cell>
          <cell r="D2528" t="str">
            <v>SOJA</v>
          </cell>
          <cell r="E2528">
            <v>13480</v>
          </cell>
        </row>
        <row r="2529">
          <cell r="A2529" t="str">
            <v>BA</v>
          </cell>
          <cell r="B2529">
            <v>2009</v>
          </cell>
          <cell r="D2529" t="str">
            <v>SOJA</v>
          </cell>
          <cell r="E2529">
            <v>5780</v>
          </cell>
        </row>
        <row r="2530">
          <cell r="A2530" t="str">
            <v>RS</v>
          </cell>
          <cell r="B2530">
            <v>2009</v>
          </cell>
          <cell r="D2530" t="str">
            <v>SOJA</v>
          </cell>
          <cell r="E2530">
            <v>3050</v>
          </cell>
        </row>
        <row r="2531">
          <cell r="A2531" t="str">
            <v>RS</v>
          </cell>
          <cell r="B2531">
            <v>2009</v>
          </cell>
          <cell r="D2531" t="str">
            <v>SOJA</v>
          </cell>
          <cell r="E2531">
            <v>3050</v>
          </cell>
        </row>
        <row r="2532">
          <cell r="A2532" t="str">
            <v>RS</v>
          </cell>
          <cell r="B2532">
            <v>2009</v>
          </cell>
          <cell r="D2532" t="str">
            <v>SOJA</v>
          </cell>
          <cell r="E2532">
            <v>6110</v>
          </cell>
        </row>
        <row r="2533">
          <cell r="A2533" t="str">
            <v>RS</v>
          </cell>
          <cell r="B2533">
            <v>2009</v>
          </cell>
          <cell r="D2533" t="str">
            <v>SOJA</v>
          </cell>
          <cell r="E2533">
            <v>15270</v>
          </cell>
        </row>
        <row r="2534">
          <cell r="A2534" t="str">
            <v>RS</v>
          </cell>
          <cell r="B2534">
            <v>2009</v>
          </cell>
          <cell r="D2534" t="str">
            <v>SOJA</v>
          </cell>
          <cell r="E2534">
            <v>0</v>
          </cell>
        </row>
        <row r="2535">
          <cell r="A2535" t="str">
            <v>MS</v>
          </cell>
          <cell r="B2535">
            <v>2009</v>
          </cell>
          <cell r="D2535" t="str">
            <v>SOJA</v>
          </cell>
          <cell r="E2535">
            <v>1290</v>
          </cell>
        </row>
        <row r="2536">
          <cell r="A2536" t="str">
            <v>MS</v>
          </cell>
          <cell r="B2536">
            <v>2009</v>
          </cell>
          <cell r="D2536" t="str">
            <v>SOJA</v>
          </cell>
          <cell r="E2536">
            <v>0</v>
          </cell>
        </row>
        <row r="2537">
          <cell r="A2537" t="str">
            <v>MS</v>
          </cell>
          <cell r="B2537">
            <v>2009</v>
          </cell>
          <cell r="D2537" t="str">
            <v>SOJA</v>
          </cell>
          <cell r="E2537">
            <v>2570</v>
          </cell>
        </row>
        <row r="2538">
          <cell r="A2538" t="str">
            <v>MS</v>
          </cell>
          <cell r="B2538">
            <v>2009</v>
          </cell>
          <cell r="D2538" t="str">
            <v>SOJA</v>
          </cell>
          <cell r="E2538">
            <v>0</v>
          </cell>
        </row>
        <row r="2539">
          <cell r="A2539" t="str">
            <v>MS</v>
          </cell>
          <cell r="B2539">
            <v>2009</v>
          </cell>
          <cell r="D2539" t="str">
            <v>SOJA</v>
          </cell>
          <cell r="E2539">
            <v>0</v>
          </cell>
        </row>
        <row r="2540">
          <cell r="A2540" t="str">
            <v>MS</v>
          </cell>
          <cell r="B2540">
            <v>2009</v>
          </cell>
          <cell r="D2540" t="str">
            <v>SOJA</v>
          </cell>
          <cell r="E2540">
            <v>12870</v>
          </cell>
        </row>
        <row r="2541">
          <cell r="A2541" t="str">
            <v>GO</v>
          </cell>
          <cell r="B2541">
            <v>2009</v>
          </cell>
          <cell r="D2541" t="str">
            <v>SOJA</v>
          </cell>
          <cell r="E2541">
            <v>0</v>
          </cell>
        </row>
        <row r="2542">
          <cell r="A2542" t="str">
            <v>GO</v>
          </cell>
          <cell r="B2542">
            <v>2009</v>
          </cell>
          <cell r="D2542" t="str">
            <v>SOJA</v>
          </cell>
          <cell r="E2542">
            <v>4200</v>
          </cell>
        </row>
        <row r="2543">
          <cell r="A2543" t="str">
            <v>GO</v>
          </cell>
          <cell r="B2543">
            <v>2009</v>
          </cell>
          <cell r="D2543" t="str">
            <v>SOJA</v>
          </cell>
          <cell r="E2543">
            <v>5880</v>
          </cell>
        </row>
        <row r="2544">
          <cell r="A2544" t="str">
            <v>MT</v>
          </cell>
          <cell r="B2544">
            <v>2009</v>
          </cell>
          <cell r="D2544" t="str">
            <v>SOJA</v>
          </cell>
          <cell r="E2544">
            <v>0</v>
          </cell>
        </row>
        <row r="2545">
          <cell r="A2545" t="str">
            <v>RS</v>
          </cell>
          <cell r="B2545">
            <v>2009</v>
          </cell>
          <cell r="D2545" t="str">
            <v>MILHO</v>
          </cell>
          <cell r="E2545">
            <v>0</v>
          </cell>
        </row>
        <row r="2546">
          <cell r="A2546" t="str">
            <v>RS</v>
          </cell>
          <cell r="B2546">
            <v>2009</v>
          </cell>
          <cell r="D2546" t="str">
            <v>SOJA</v>
          </cell>
          <cell r="E2546">
            <v>3060</v>
          </cell>
        </row>
        <row r="2547">
          <cell r="A2547" t="str">
            <v>RS</v>
          </cell>
          <cell r="B2547">
            <v>2009</v>
          </cell>
          <cell r="D2547" t="str">
            <v>SOJA</v>
          </cell>
          <cell r="E2547">
            <v>0</v>
          </cell>
        </row>
        <row r="2548">
          <cell r="A2548" t="str">
            <v>RS</v>
          </cell>
          <cell r="B2548">
            <v>2009</v>
          </cell>
          <cell r="D2548" t="str">
            <v>SOJA</v>
          </cell>
          <cell r="E2548">
            <v>8150</v>
          </cell>
        </row>
        <row r="2549">
          <cell r="A2549" t="str">
            <v>RS</v>
          </cell>
          <cell r="B2549">
            <v>2009</v>
          </cell>
          <cell r="D2549" t="str">
            <v>SOJA</v>
          </cell>
          <cell r="E2549">
            <v>10690</v>
          </cell>
        </row>
        <row r="2550">
          <cell r="A2550" t="str">
            <v>RS</v>
          </cell>
          <cell r="B2550">
            <v>2009</v>
          </cell>
          <cell r="D2550" t="str">
            <v>SOJA</v>
          </cell>
          <cell r="E2550">
            <v>10180</v>
          </cell>
        </row>
        <row r="2551">
          <cell r="A2551" t="str">
            <v>RS</v>
          </cell>
          <cell r="B2551">
            <v>2009</v>
          </cell>
          <cell r="D2551" t="str">
            <v>SOJA</v>
          </cell>
          <cell r="E2551">
            <v>15270</v>
          </cell>
        </row>
        <row r="2552">
          <cell r="A2552" t="str">
            <v>RS</v>
          </cell>
          <cell r="B2552">
            <v>2009</v>
          </cell>
          <cell r="D2552" t="str">
            <v>MILHO</v>
          </cell>
          <cell r="E2552">
            <v>1570</v>
          </cell>
        </row>
        <row r="2553">
          <cell r="A2553" t="str">
            <v>RS</v>
          </cell>
          <cell r="B2553">
            <v>2009</v>
          </cell>
          <cell r="D2553" t="str">
            <v>MILHO</v>
          </cell>
          <cell r="E2553">
            <v>0</v>
          </cell>
        </row>
        <row r="2554">
          <cell r="A2554" t="str">
            <v>RS</v>
          </cell>
          <cell r="B2554">
            <v>2009</v>
          </cell>
          <cell r="D2554" t="str">
            <v>SOJA</v>
          </cell>
          <cell r="E2554">
            <v>1020</v>
          </cell>
        </row>
        <row r="2555">
          <cell r="A2555" t="str">
            <v>RS</v>
          </cell>
          <cell r="B2555">
            <v>2009</v>
          </cell>
          <cell r="D2555" t="str">
            <v>SOJA</v>
          </cell>
          <cell r="E2555">
            <v>0</v>
          </cell>
        </row>
        <row r="2556">
          <cell r="A2556" t="str">
            <v>MS</v>
          </cell>
          <cell r="B2556">
            <v>2009</v>
          </cell>
          <cell r="D2556" t="str">
            <v>SOJA</v>
          </cell>
          <cell r="E2556">
            <v>2570</v>
          </cell>
        </row>
        <row r="2557">
          <cell r="A2557" t="str">
            <v>MS</v>
          </cell>
          <cell r="B2557">
            <v>2009</v>
          </cell>
          <cell r="D2557" t="str">
            <v>SOJA</v>
          </cell>
          <cell r="E2557">
            <v>0</v>
          </cell>
        </row>
        <row r="2558">
          <cell r="A2558" t="str">
            <v>MS</v>
          </cell>
          <cell r="B2558">
            <v>2009</v>
          </cell>
          <cell r="D2558" t="str">
            <v>SOJA</v>
          </cell>
          <cell r="E2558">
            <v>2570</v>
          </cell>
        </row>
        <row r="2559">
          <cell r="A2559" t="str">
            <v>MS</v>
          </cell>
          <cell r="B2559">
            <v>2009</v>
          </cell>
          <cell r="D2559" t="str">
            <v>SOJA</v>
          </cell>
          <cell r="E2559">
            <v>16079.999999999998</v>
          </cell>
        </row>
        <row r="2560">
          <cell r="A2560" t="str">
            <v>MS</v>
          </cell>
          <cell r="B2560">
            <v>2009</v>
          </cell>
          <cell r="D2560" t="str">
            <v>SOJA</v>
          </cell>
          <cell r="E2560">
            <v>0</v>
          </cell>
        </row>
        <row r="2561">
          <cell r="A2561" t="str">
            <v>MS</v>
          </cell>
          <cell r="B2561">
            <v>2009</v>
          </cell>
          <cell r="D2561" t="str">
            <v>SOJA</v>
          </cell>
          <cell r="E2561">
            <v>1930</v>
          </cell>
        </row>
        <row r="2562">
          <cell r="A2562" t="str">
            <v>SC</v>
          </cell>
          <cell r="B2562">
            <v>2009</v>
          </cell>
          <cell r="D2562" t="str">
            <v>MILHO</v>
          </cell>
          <cell r="E2562">
            <v>15280</v>
          </cell>
        </row>
        <row r="2563">
          <cell r="A2563" t="str">
            <v>SC</v>
          </cell>
          <cell r="B2563">
            <v>2009</v>
          </cell>
          <cell r="D2563" t="str">
            <v>SOJA</v>
          </cell>
          <cell r="E2563">
            <v>47540</v>
          </cell>
        </row>
        <row r="2564">
          <cell r="A2564" t="str">
            <v>MT</v>
          </cell>
          <cell r="B2564">
            <v>2009</v>
          </cell>
          <cell r="D2564" t="str">
            <v>MILHO</v>
          </cell>
          <cell r="E2564">
            <v>6980</v>
          </cell>
        </row>
        <row r="2565">
          <cell r="A2565" t="str">
            <v>MT</v>
          </cell>
          <cell r="B2565">
            <v>2009</v>
          </cell>
          <cell r="D2565" t="str">
            <v>MILHO</v>
          </cell>
          <cell r="E2565">
            <v>3100</v>
          </cell>
        </row>
        <row r="2566">
          <cell r="A2566" t="str">
            <v>PI</v>
          </cell>
          <cell r="B2566">
            <v>2009</v>
          </cell>
          <cell r="D2566" t="str">
            <v>SOJA</v>
          </cell>
          <cell r="E2566">
            <v>8540</v>
          </cell>
        </row>
        <row r="2567">
          <cell r="A2567" t="str">
            <v>PI</v>
          </cell>
          <cell r="B2567">
            <v>2009</v>
          </cell>
          <cell r="D2567" t="str">
            <v>SOJA</v>
          </cell>
          <cell r="E2567">
            <v>0</v>
          </cell>
        </row>
        <row r="2568">
          <cell r="A2568" t="str">
            <v>PI</v>
          </cell>
          <cell r="B2568">
            <v>2009</v>
          </cell>
          <cell r="D2568" t="str">
            <v>SOJA</v>
          </cell>
          <cell r="E2568">
            <v>6830</v>
          </cell>
        </row>
        <row r="2569">
          <cell r="A2569" t="str">
            <v>PI</v>
          </cell>
          <cell r="B2569">
            <v>2009</v>
          </cell>
          <cell r="D2569" t="str">
            <v>SOJA</v>
          </cell>
          <cell r="E2569">
            <v>0</v>
          </cell>
        </row>
        <row r="2570">
          <cell r="A2570" t="str">
            <v>GO</v>
          </cell>
          <cell r="B2570">
            <v>2009</v>
          </cell>
          <cell r="D2570" t="str">
            <v>SOJA</v>
          </cell>
          <cell r="E2570">
            <v>0</v>
          </cell>
        </row>
        <row r="2571">
          <cell r="A2571" t="str">
            <v>MT</v>
          </cell>
          <cell r="B2571">
            <v>2009</v>
          </cell>
          <cell r="D2571" t="str">
            <v>MILHO</v>
          </cell>
          <cell r="E2571">
            <v>3880</v>
          </cell>
        </row>
        <row r="2572">
          <cell r="A2572" t="str">
            <v>MT</v>
          </cell>
          <cell r="B2572">
            <v>2009</v>
          </cell>
          <cell r="D2572" t="str">
            <v>SOJA</v>
          </cell>
          <cell r="E2572">
            <v>0</v>
          </cell>
        </row>
        <row r="2573">
          <cell r="A2573" t="str">
            <v>TO</v>
          </cell>
          <cell r="B2573">
            <v>2009</v>
          </cell>
          <cell r="D2573" t="str">
            <v>SOJA</v>
          </cell>
          <cell r="E2573">
            <v>7230</v>
          </cell>
        </row>
        <row r="2574">
          <cell r="A2574" t="str">
            <v>MA</v>
          </cell>
          <cell r="B2574">
            <v>2009</v>
          </cell>
          <cell r="D2574" t="str">
            <v>SOJA</v>
          </cell>
          <cell r="E2574">
            <v>0</v>
          </cell>
        </row>
        <row r="2575">
          <cell r="A2575" t="str">
            <v>MA</v>
          </cell>
          <cell r="B2575">
            <v>2009</v>
          </cell>
          <cell r="D2575" t="str">
            <v>SOJA</v>
          </cell>
          <cell r="E2575">
            <v>10840</v>
          </cell>
        </row>
        <row r="2576">
          <cell r="A2576" t="str">
            <v>RS</v>
          </cell>
          <cell r="B2576">
            <v>2009</v>
          </cell>
          <cell r="D2576" t="str">
            <v>MILHO</v>
          </cell>
          <cell r="E2576">
            <v>0</v>
          </cell>
        </row>
        <row r="2577">
          <cell r="A2577" t="str">
            <v>RS</v>
          </cell>
          <cell r="B2577">
            <v>2009</v>
          </cell>
          <cell r="D2577" t="str">
            <v>SOJA</v>
          </cell>
          <cell r="E2577">
            <v>2040</v>
          </cell>
        </row>
        <row r="2578">
          <cell r="A2578" t="str">
            <v>RS</v>
          </cell>
          <cell r="B2578">
            <v>2009</v>
          </cell>
          <cell r="D2578" t="str">
            <v>SOJA</v>
          </cell>
          <cell r="E2578">
            <v>15280</v>
          </cell>
        </row>
        <row r="2579">
          <cell r="A2579" t="str">
            <v>RS</v>
          </cell>
          <cell r="B2579">
            <v>2009</v>
          </cell>
          <cell r="D2579" t="str">
            <v>SOJA</v>
          </cell>
          <cell r="E2579">
            <v>0</v>
          </cell>
        </row>
        <row r="2580">
          <cell r="A2580" t="str">
            <v>MT</v>
          </cell>
          <cell r="B2580">
            <v>2009</v>
          </cell>
          <cell r="D2580" t="str">
            <v>SOJA</v>
          </cell>
          <cell r="E2580">
            <v>0</v>
          </cell>
        </row>
        <row r="2581">
          <cell r="A2581" t="str">
            <v>MT</v>
          </cell>
          <cell r="B2581">
            <v>2009</v>
          </cell>
          <cell r="D2581" t="str">
            <v>MILHO</v>
          </cell>
          <cell r="E2581">
            <v>3880</v>
          </cell>
        </row>
        <row r="2582">
          <cell r="A2582" t="str">
            <v>MT</v>
          </cell>
          <cell r="B2582">
            <v>2009</v>
          </cell>
          <cell r="D2582" t="str">
            <v>SOJA</v>
          </cell>
          <cell r="E2582">
            <v>0</v>
          </cell>
        </row>
        <row r="2583">
          <cell r="A2583" t="str">
            <v>MT</v>
          </cell>
          <cell r="B2583">
            <v>2009</v>
          </cell>
          <cell r="D2583" t="str">
            <v>SOJA</v>
          </cell>
          <cell r="E2583">
            <v>0</v>
          </cell>
        </row>
        <row r="2584">
          <cell r="A2584" t="str">
            <v>BA</v>
          </cell>
          <cell r="B2584">
            <v>2009</v>
          </cell>
          <cell r="D2584" t="str">
            <v>SOJA</v>
          </cell>
          <cell r="E2584">
            <v>1930</v>
          </cell>
        </row>
        <row r="2585">
          <cell r="A2585" t="str">
            <v>PI</v>
          </cell>
          <cell r="B2585">
            <v>2009</v>
          </cell>
          <cell r="D2585" t="str">
            <v>SOJA</v>
          </cell>
          <cell r="E2585">
            <v>2560</v>
          </cell>
        </row>
        <row r="2586">
          <cell r="A2586" t="str">
            <v>PI</v>
          </cell>
          <cell r="B2586">
            <v>2009</v>
          </cell>
          <cell r="D2586" t="str">
            <v>SOJA</v>
          </cell>
          <cell r="E2586">
            <v>0</v>
          </cell>
        </row>
        <row r="2587">
          <cell r="A2587" t="str">
            <v>PI</v>
          </cell>
          <cell r="B2587">
            <v>2009</v>
          </cell>
          <cell r="D2587" t="str">
            <v>SOJA</v>
          </cell>
          <cell r="E2587">
            <v>10200</v>
          </cell>
        </row>
        <row r="2588">
          <cell r="A2588" t="str">
            <v>PI</v>
          </cell>
          <cell r="B2588">
            <v>2009</v>
          </cell>
          <cell r="D2588" t="str">
            <v>SOJA</v>
          </cell>
          <cell r="E2588">
            <v>0</v>
          </cell>
        </row>
        <row r="2589">
          <cell r="A2589" t="str">
            <v>GO</v>
          </cell>
          <cell r="B2589">
            <v>2009</v>
          </cell>
          <cell r="D2589" t="str">
            <v>MILHO</v>
          </cell>
          <cell r="E2589">
            <v>6380</v>
          </cell>
        </row>
        <row r="2590">
          <cell r="A2590" t="str">
            <v>GO</v>
          </cell>
          <cell r="B2590">
            <v>2009</v>
          </cell>
          <cell r="D2590" t="str">
            <v>SOJA</v>
          </cell>
          <cell r="E2590">
            <v>0</v>
          </cell>
        </row>
        <row r="2591">
          <cell r="A2591" t="str">
            <v>TO</v>
          </cell>
          <cell r="B2591">
            <v>2009</v>
          </cell>
          <cell r="D2591" t="str">
            <v>SOJA</v>
          </cell>
          <cell r="E2591">
            <v>0</v>
          </cell>
        </row>
        <row r="2592">
          <cell r="A2592" t="str">
            <v>TO</v>
          </cell>
          <cell r="B2592">
            <v>2009</v>
          </cell>
          <cell r="D2592" t="str">
            <v>SOJA</v>
          </cell>
          <cell r="E2592">
            <v>4520</v>
          </cell>
        </row>
        <row r="2593">
          <cell r="A2593" t="str">
            <v>MA</v>
          </cell>
          <cell r="B2593">
            <v>2009</v>
          </cell>
          <cell r="D2593" t="str">
            <v>SOJA</v>
          </cell>
          <cell r="E2593">
            <v>6780</v>
          </cell>
        </row>
        <row r="2594">
          <cell r="A2594" t="str">
            <v>MA</v>
          </cell>
          <cell r="B2594">
            <v>2009</v>
          </cell>
          <cell r="D2594" t="str">
            <v>SOJA</v>
          </cell>
          <cell r="E2594">
            <v>0</v>
          </cell>
        </row>
        <row r="2595">
          <cell r="A2595" t="str">
            <v>GO</v>
          </cell>
          <cell r="B2595">
            <v>2009</v>
          </cell>
          <cell r="D2595" t="str">
            <v>SOJA</v>
          </cell>
          <cell r="E2595">
            <v>0</v>
          </cell>
        </row>
        <row r="2596">
          <cell r="A2596" t="str">
            <v>MA</v>
          </cell>
          <cell r="B2596">
            <v>2009</v>
          </cell>
          <cell r="D2596" t="str">
            <v>SOJA</v>
          </cell>
          <cell r="E2596">
            <v>5420</v>
          </cell>
        </row>
        <row r="2597">
          <cell r="A2597" t="str">
            <v>PR</v>
          </cell>
          <cell r="B2597">
            <v>2009</v>
          </cell>
          <cell r="D2597" t="str">
            <v>MILHO</v>
          </cell>
          <cell r="E2597">
            <v>0</v>
          </cell>
        </row>
        <row r="2598">
          <cell r="A2598" t="str">
            <v>PR</v>
          </cell>
          <cell r="B2598">
            <v>2009</v>
          </cell>
          <cell r="D2598" t="str">
            <v>SOJA</v>
          </cell>
          <cell r="E2598">
            <v>4300</v>
          </cell>
        </row>
        <row r="2599">
          <cell r="A2599" t="str">
            <v>PR</v>
          </cell>
          <cell r="B2599">
            <v>2009</v>
          </cell>
          <cell r="D2599" t="str">
            <v>SOJA</v>
          </cell>
          <cell r="E2599">
            <v>0</v>
          </cell>
        </row>
        <row r="2600">
          <cell r="A2600" t="str">
            <v>TO</v>
          </cell>
          <cell r="B2600">
            <v>2009</v>
          </cell>
          <cell r="D2600" t="str">
            <v>SOJA</v>
          </cell>
          <cell r="E2600">
            <v>3610</v>
          </cell>
        </row>
        <row r="2601">
          <cell r="A2601" t="str">
            <v>TO</v>
          </cell>
          <cell r="B2601">
            <v>2009</v>
          </cell>
          <cell r="D2601" t="str">
            <v>SOJA</v>
          </cell>
          <cell r="E2601">
            <v>0</v>
          </cell>
        </row>
        <row r="2602">
          <cell r="A2602" t="str">
            <v>PI</v>
          </cell>
          <cell r="B2602">
            <v>2009</v>
          </cell>
          <cell r="D2602" t="str">
            <v>SOJA</v>
          </cell>
          <cell r="E2602">
            <v>5120</v>
          </cell>
        </row>
        <row r="2603">
          <cell r="A2603" t="str">
            <v>PI</v>
          </cell>
          <cell r="B2603">
            <v>2009</v>
          </cell>
          <cell r="D2603" t="str">
            <v>SOJA</v>
          </cell>
          <cell r="E2603">
            <v>0</v>
          </cell>
        </row>
        <row r="2604">
          <cell r="A2604" t="str">
            <v>MA</v>
          </cell>
          <cell r="B2604">
            <v>2009</v>
          </cell>
          <cell r="D2604" t="str">
            <v>SOJA</v>
          </cell>
          <cell r="E2604">
            <v>3610</v>
          </cell>
        </row>
        <row r="2605">
          <cell r="A2605" t="str">
            <v>MA</v>
          </cell>
          <cell r="B2605">
            <v>2009</v>
          </cell>
          <cell r="D2605" t="str">
            <v>SOJA</v>
          </cell>
          <cell r="E2605">
            <v>0</v>
          </cell>
        </row>
        <row r="2606">
          <cell r="A2606" t="str">
            <v>MA</v>
          </cell>
          <cell r="B2606">
            <v>2009</v>
          </cell>
          <cell r="D2606" t="str">
            <v>SOJA</v>
          </cell>
          <cell r="E2606">
            <v>0</v>
          </cell>
        </row>
        <row r="2607">
          <cell r="A2607" t="str">
            <v>PR</v>
          </cell>
          <cell r="B2607">
            <v>2009</v>
          </cell>
          <cell r="D2607" t="str">
            <v>SOJA</v>
          </cell>
          <cell r="E2607">
            <v>0</v>
          </cell>
        </row>
        <row r="2608">
          <cell r="A2608" t="str">
            <v>PR</v>
          </cell>
          <cell r="B2608">
            <v>2009</v>
          </cell>
          <cell r="D2608" t="str">
            <v>SOJA</v>
          </cell>
          <cell r="E2608">
            <v>0</v>
          </cell>
        </row>
        <row r="2609">
          <cell r="A2609" t="str">
            <v>PR</v>
          </cell>
          <cell r="B2609">
            <v>2009</v>
          </cell>
          <cell r="D2609" t="str">
            <v>MILHO</v>
          </cell>
          <cell r="E2609">
            <v>0</v>
          </cell>
        </row>
        <row r="2610">
          <cell r="A2610" t="str">
            <v>PR</v>
          </cell>
          <cell r="B2610">
            <v>2009</v>
          </cell>
          <cell r="D2610" t="str">
            <v>SOJA</v>
          </cell>
          <cell r="E2610">
            <v>0</v>
          </cell>
        </row>
        <row r="2611">
          <cell r="A2611" t="str">
            <v>MG</v>
          </cell>
          <cell r="B2611">
            <v>2009</v>
          </cell>
          <cell r="D2611" t="str">
            <v>MILHO</v>
          </cell>
          <cell r="E2611">
            <v>820</v>
          </cell>
        </row>
        <row r="2612">
          <cell r="A2612" t="str">
            <v>MG</v>
          </cell>
          <cell r="B2612">
            <v>2009</v>
          </cell>
          <cell r="D2612" t="str">
            <v>MILHO</v>
          </cell>
          <cell r="E2612">
            <v>820</v>
          </cell>
        </row>
        <row r="2613">
          <cell r="A2613" t="str">
            <v>MG</v>
          </cell>
          <cell r="B2613">
            <v>2009</v>
          </cell>
          <cell r="D2613" t="str">
            <v>MILHO</v>
          </cell>
          <cell r="E2613">
            <v>820</v>
          </cell>
        </row>
        <row r="2614">
          <cell r="A2614" t="str">
            <v>MG</v>
          </cell>
          <cell r="B2614">
            <v>2009</v>
          </cell>
          <cell r="D2614" t="str">
            <v>MILHO</v>
          </cell>
          <cell r="E2614">
            <v>820</v>
          </cell>
        </row>
        <row r="2615">
          <cell r="A2615" t="str">
            <v>MG</v>
          </cell>
          <cell r="B2615">
            <v>2009</v>
          </cell>
          <cell r="D2615" t="str">
            <v>MILHO</v>
          </cell>
          <cell r="E2615">
            <v>820</v>
          </cell>
        </row>
        <row r="2616">
          <cell r="A2616" t="str">
            <v>MG</v>
          </cell>
          <cell r="B2616">
            <v>2009</v>
          </cell>
          <cell r="D2616" t="str">
            <v>MILHO</v>
          </cell>
          <cell r="E2616">
            <v>820</v>
          </cell>
        </row>
        <row r="2617">
          <cell r="A2617" t="str">
            <v>MG</v>
          </cell>
          <cell r="B2617">
            <v>2009</v>
          </cell>
          <cell r="D2617" t="str">
            <v>MILHO</v>
          </cell>
          <cell r="E2617">
            <v>820</v>
          </cell>
        </row>
        <row r="2618">
          <cell r="A2618" t="str">
            <v>MG</v>
          </cell>
          <cell r="B2618">
            <v>2009</v>
          </cell>
          <cell r="D2618" t="str">
            <v>MILHO</v>
          </cell>
          <cell r="E2618">
            <v>820</v>
          </cell>
        </row>
        <row r="2619">
          <cell r="A2619" t="str">
            <v>MG</v>
          </cell>
          <cell r="B2619">
            <v>2009</v>
          </cell>
          <cell r="D2619" t="str">
            <v>MILHO</v>
          </cell>
          <cell r="E2619">
            <v>820</v>
          </cell>
        </row>
        <row r="2620">
          <cell r="A2620" t="str">
            <v>MG</v>
          </cell>
          <cell r="B2620">
            <v>2009</v>
          </cell>
          <cell r="D2620" t="str">
            <v>MILHO</v>
          </cell>
          <cell r="E2620">
            <v>820</v>
          </cell>
        </row>
        <row r="2621">
          <cell r="A2621" t="str">
            <v>MG</v>
          </cell>
          <cell r="B2621">
            <v>2009</v>
          </cell>
          <cell r="D2621" t="str">
            <v>MILHO</v>
          </cell>
          <cell r="E2621">
            <v>820</v>
          </cell>
        </row>
        <row r="2622">
          <cell r="A2622" t="str">
            <v>MG</v>
          </cell>
          <cell r="B2622">
            <v>2009</v>
          </cell>
          <cell r="D2622" t="str">
            <v>MILHO</v>
          </cell>
          <cell r="E2622">
            <v>820</v>
          </cell>
        </row>
        <row r="2623">
          <cell r="A2623" t="str">
            <v>MG</v>
          </cell>
          <cell r="B2623">
            <v>2009</v>
          </cell>
          <cell r="D2623" t="str">
            <v>MILHO</v>
          </cell>
          <cell r="E2623">
            <v>820</v>
          </cell>
        </row>
        <row r="2624">
          <cell r="A2624" t="str">
            <v>MG</v>
          </cell>
          <cell r="B2624">
            <v>2009</v>
          </cell>
          <cell r="D2624" t="str">
            <v>MILHO</v>
          </cell>
          <cell r="E2624">
            <v>820</v>
          </cell>
        </row>
        <row r="2625">
          <cell r="A2625" t="str">
            <v>MG</v>
          </cell>
          <cell r="B2625">
            <v>2009</v>
          </cell>
          <cell r="D2625" t="str">
            <v>MILHO</v>
          </cell>
          <cell r="E2625">
            <v>820</v>
          </cell>
        </row>
        <row r="2626">
          <cell r="A2626" t="str">
            <v>MG</v>
          </cell>
          <cell r="B2626">
            <v>2009</v>
          </cell>
          <cell r="D2626" t="str">
            <v>MILHO</v>
          </cell>
          <cell r="E2626">
            <v>820</v>
          </cell>
        </row>
        <row r="2627">
          <cell r="A2627" t="str">
            <v>MG</v>
          </cell>
          <cell r="B2627">
            <v>2009</v>
          </cell>
          <cell r="D2627" t="str">
            <v>MILHO</v>
          </cell>
          <cell r="E2627">
            <v>820</v>
          </cell>
        </row>
        <row r="2628">
          <cell r="A2628" t="str">
            <v>MG</v>
          </cell>
          <cell r="B2628">
            <v>2009</v>
          </cell>
          <cell r="D2628" t="str">
            <v>MILHO</v>
          </cell>
          <cell r="E2628">
            <v>820</v>
          </cell>
        </row>
        <row r="2629">
          <cell r="A2629" t="str">
            <v>MG</v>
          </cell>
          <cell r="B2629">
            <v>2009</v>
          </cell>
          <cell r="D2629" t="str">
            <v>MILHO</v>
          </cell>
          <cell r="E2629">
            <v>820</v>
          </cell>
        </row>
        <row r="2630">
          <cell r="A2630" t="str">
            <v>MG</v>
          </cell>
          <cell r="B2630">
            <v>2009</v>
          </cell>
          <cell r="D2630" t="str">
            <v>MILHO</v>
          </cell>
          <cell r="E2630">
            <v>820</v>
          </cell>
        </row>
        <row r="2631">
          <cell r="A2631" t="str">
            <v>MG</v>
          </cell>
          <cell r="B2631">
            <v>2009</v>
          </cell>
          <cell r="D2631" t="str">
            <v>MILHO</v>
          </cell>
          <cell r="E2631">
            <v>820</v>
          </cell>
        </row>
        <row r="2632">
          <cell r="A2632" t="str">
            <v>MG</v>
          </cell>
          <cell r="B2632">
            <v>2009</v>
          </cell>
          <cell r="D2632" t="str">
            <v>MILHO</v>
          </cell>
          <cell r="E2632">
            <v>820</v>
          </cell>
        </row>
        <row r="2633">
          <cell r="A2633" t="str">
            <v>MG</v>
          </cell>
          <cell r="B2633">
            <v>2009</v>
          </cell>
          <cell r="D2633" t="str">
            <v>MILHO</v>
          </cell>
          <cell r="E2633">
            <v>820</v>
          </cell>
        </row>
        <row r="2634">
          <cell r="A2634" t="str">
            <v>MG</v>
          </cell>
          <cell r="B2634">
            <v>2009</v>
          </cell>
          <cell r="D2634" t="str">
            <v>MILHO</v>
          </cell>
          <cell r="E2634">
            <v>820</v>
          </cell>
        </row>
        <row r="2635">
          <cell r="A2635" t="str">
            <v>MG</v>
          </cell>
          <cell r="B2635">
            <v>2009</v>
          </cell>
          <cell r="D2635" t="str">
            <v>MILHO</v>
          </cell>
          <cell r="E2635">
            <v>1640</v>
          </cell>
        </row>
        <row r="2636">
          <cell r="A2636" t="str">
            <v>MG</v>
          </cell>
          <cell r="B2636">
            <v>2009</v>
          </cell>
          <cell r="D2636" t="str">
            <v>MILHO</v>
          </cell>
          <cell r="E2636">
            <v>1640</v>
          </cell>
        </row>
        <row r="2637">
          <cell r="A2637" t="str">
            <v>MG</v>
          </cell>
          <cell r="B2637">
            <v>2009</v>
          </cell>
          <cell r="D2637" t="str">
            <v>MILHO</v>
          </cell>
          <cell r="E2637">
            <v>1640</v>
          </cell>
        </row>
        <row r="2638">
          <cell r="A2638" t="str">
            <v>MG</v>
          </cell>
          <cell r="B2638">
            <v>2009</v>
          </cell>
          <cell r="D2638" t="str">
            <v>MILHO</v>
          </cell>
          <cell r="E2638">
            <v>1640</v>
          </cell>
        </row>
        <row r="2639">
          <cell r="A2639" t="str">
            <v>MG</v>
          </cell>
          <cell r="B2639">
            <v>2009</v>
          </cell>
          <cell r="D2639" t="str">
            <v>MILHO</v>
          </cell>
          <cell r="E2639">
            <v>2460</v>
          </cell>
        </row>
        <row r="2640">
          <cell r="A2640" t="str">
            <v>MG</v>
          </cell>
          <cell r="B2640">
            <v>2009</v>
          </cell>
          <cell r="D2640" t="str">
            <v>MILHO</v>
          </cell>
          <cell r="E2640">
            <v>2460</v>
          </cell>
        </row>
        <row r="2641">
          <cell r="A2641" t="str">
            <v>MG</v>
          </cell>
          <cell r="B2641">
            <v>2009</v>
          </cell>
          <cell r="D2641" t="str">
            <v>MILHO</v>
          </cell>
          <cell r="E2641">
            <v>3280</v>
          </cell>
        </row>
        <row r="2642">
          <cell r="A2642" t="str">
            <v>MG</v>
          </cell>
          <cell r="B2642">
            <v>2009</v>
          </cell>
          <cell r="D2642" t="str">
            <v>MILHO</v>
          </cell>
          <cell r="E2642">
            <v>4100</v>
          </cell>
        </row>
        <row r="2643">
          <cell r="A2643" t="str">
            <v>MG</v>
          </cell>
          <cell r="B2643">
            <v>2009</v>
          </cell>
          <cell r="D2643" t="str">
            <v>MILHO</v>
          </cell>
          <cell r="E2643">
            <v>4100</v>
          </cell>
        </row>
        <row r="2644">
          <cell r="A2644" t="str">
            <v>MG</v>
          </cell>
          <cell r="B2644">
            <v>2009</v>
          </cell>
          <cell r="D2644" t="str">
            <v>MILHO</v>
          </cell>
          <cell r="E2644">
            <v>0</v>
          </cell>
        </row>
        <row r="2645">
          <cell r="A2645" t="str">
            <v>MG</v>
          </cell>
          <cell r="B2645">
            <v>2009</v>
          </cell>
          <cell r="D2645" t="str">
            <v>SOJA</v>
          </cell>
          <cell r="E2645">
            <v>790</v>
          </cell>
        </row>
        <row r="2646">
          <cell r="A2646" t="str">
            <v>MG</v>
          </cell>
          <cell r="B2646">
            <v>2009</v>
          </cell>
          <cell r="D2646" t="str">
            <v>SOJA</v>
          </cell>
          <cell r="E2646">
            <v>790</v>
          </cell>
        </row>
        <row r="2647">
          <cell r="A2647" t="str">
            <v>MG</v>
          </cell>
          <cell r="B2647">
            <v>2009</v>
          </cell>
          <cell r="D2647" t="str">
            <v>SOJA</v>
          </cell>
          <cell r="E2647">
            <v>790</v>
          </cell>
        </row>
        <row r="2648">
          <cell r="A2648" t="str">
            <v>MG</v>
          </cell>
          <cell r="B2648">
            <v>2009</v>
          </cell>
          <cell r="D2648" t="str">
            <v>SOJA</v>
          </cell>
          <cell r="E2648">
            <v>7870</v>
          </cell>
        </row>
        <row r="2649">
          <cell r="A2649" t="str">
            <v>MG</v>
          </cell>
          <cell r="B2649">
            <v>2009</v>
          </cell>
          <cell r="D2649" t="str">
            <v>SOJA</v>
          </cell>
          <cell r="E2649">
            <v>0</v>
          </cell>
        </row>
        <row r="2650">
          <cell r="A2650" t="str">
            <v>GO</v>
          </cell>
          <cell r="B2650">
            <v>2009</v>
          </cell>
          <cell r="D2650" t="str">
            <v>MILHO</v>
          </cell>
          <cell r="E2650">
            <v>800</v>
          </cell>
        </row>
        <row r="2651">
          <cell r="A2651" t="str">
            <v>GO</v>
          </cell>
          <cell r="B2651">
            <v>2009</v>
          </cell>
          <cell r="D2651" t="str">
            <v>MILHO</v>
          </cell>
          <cell r="E2651">
            <v>0</v>
          </cell>
        </row>
        <row r="2652">
          <cell r="A2652" t="str">
            <v>GO</v>
          </cell>
          <cell r="B2652">
            <v>2009</v>
          </cell>
          <cell r="D2652" t="str">
            <v>SOJA</v>
          </cell>
          <cell r="E2652">
            <v>0</v>
          </cell>
        </row>
        <row r="2653">
          <cell r="A2653" t="str">
            <v>GO</v>
          </cell>
          <cell r="B2653">
            <v>2009</v>
          </cell>
          <cell r="D2653" t="str">
            <v>SOJA</v>
          </cell>
          <cell r="E2653">
            <v>6250</v>
          </cell>
        </row>
        <row r="2654">
          <cell r="A2654" t="str">
            <v>PR</v>
          </cell>
          <cell r="B2654">
            <v>2009</v>
          </cell>
          <cell r="D2654" t="str">
            <v>MILHO</v>
          </cell>
          <cell r="E2654">
            <v>11980</v>
          </cell>
        </row>
        <row r="2655">
          <cell r="A2655" t="str">
            <v>PR</v>
          </cell>
          <cell r="B2655">
            <v>2009</v>
          </cell>
          <cell r="D2655" t="str">
            <v>MILHO</v>
          </cell>
          <cell r="E2655">
            <v>0</v>
          </cell>
        </row>
        <row r="2656">
          <cell r="A2656" t="str">
            <v>PR</v>
          </cell>
          <cell r="B2656">
            <v>2009</v>
          </cell>
          <cell r="D2656" t="str">
            <v>SOJA</v>
          </cell>
          <cell r="E2656">
            <v>17200</v>
          </cell>
        </row>
        <row r="2657">
          <cell r="A2657" t="str">
            <v>PR</v>
          </cell>
          <cell r="B2657">
            <v>2009</v>
          </cell>
          <cell r="D2657" t="str">
            <v>SOJA</v>
          </cell>
          <cell r="E2657">
            <v>0</v>
          </cell>
        </row>
        <row r="2658">
          <cell r="A2658" t="str">
            <v>PR</v>
          </cell>
          <cell r="B2658">
            <v>2009</v>
          </cell>
          <cell r="D2658" t="str">
            <v>MILHO</v>
          </cell>
          <cell r="E2658">
            <v>0</v>
          </cell>
        </row>
        <row r="2659">
          <cell r="A2659" t="str">
            <v>PR</v>
          </cell>
          <cell r="B2659">
            <v>2009</v>
          </cell>
          <cell r="D2659" t="str">
            <v>SOJA</v>
          </cell>
          <cell r="E2659">
            <v>0</v>
          </cell>
        </row>
        <row r="2660">
          <cell r="A2660" t="str">
            <v>PR</v>
          </cell>
          <cell r="B2660">
            <v>2009</v>
          </cell>
          <cell r="D2660" t="str">
            <v>SOJA</v>
          </cell>
          <cell r="E2660">
            <v>0</v>
          </cell>
        </row>
        <row r="2661">
          <cell r="A2661" t="str">
            <v>PR</v>
          </cell>
          <cell r="B2661">
            <v>2009</v>
          </cell>
          <cell r="D2661" t="str">
            <v>MILHO</v>
          </cell>
          <cell r="E2661">
            <v>0</v>
          </cell>
        </row>
        <row r="2662">
          <cell r="A2662" t="str">
            <v>RS</v>
          </cell>
          <cell r="B2662">
            <v>2009</v>
          </cell>
          <cell r="D2662" t="str">
            <v>SOJA</v>
          </cell>
          <cell r="E2662">
            <v>0</v>
          </cell>
        </row>
        <row r="2663">
          <cell r="A2663" t="str">
            <v>PR</v>
          </cell>
          <cell r="B2663">
            <v>2009</v>
          </cell>
          <cell r="D2663" t="str">
            <v>MILHO</v>
          </cell>
          <cell r="E2663">
            <v>0</v>
          </cell>
        </row>
        <row r="2664">
          <cell r="A2664" t="str">
            <v>PR</v>
          </cell>
          <cell r="B2664">
            <v>2009</v>
          </cell>
          <cell r="D2664" t="str">
            <v>SOJA</v>
          </cell>
          <cell r="E2664">
            <v>1720</v>
          </cell>
        </row>
        <row r="2665">
          <cell r="A2665" t="str">
            <v>PR</v>
          </cell>
          <cell r="B2665">
            <v>2009</v>
          </cell>
          <cell r="D2665" t="str">
            <v>SOJA</v>
          </cell>
          <cell r="E2665">
            <v>0</v>
          </cell>
        </row>
        <row r="2666">
          <cell r="A2666" t="str">
            <v>MT</v>
          </cell>
          <cell r="B2666">
            <v>2009</v>
          </cell>
          <cell r="D2666" t="str">
            <v>SOJA</v>
          </cell>
          <cell r="E2666">
            <v>0</v>
          </cell>
        </row>
        <row r="2667">
          <cell r="A2667" t="str">
            <v>MT</v>
          </cell>
          <cell r="B2667">
            <v>2009</v>
          </cell>
          <cell r="D2667" t="str">
            <v>SOJA</v>
          </cell>
          <cell r="E2667">
            <v>0</v>
          </cell>
        </row>
        <row r="2668">
          <cell r="A2668" t="str">
            <v>BA</v>
          </cell>
          <cell r="B2668">
            <v>2009</v>
          </cell>
          <cell r="D2668" t="str">
            <v>SOJA</v>
          </cell>
          <cell r="E2668">
            <v>960</v>
          </cell>
        </row>
        <row r="2669">
          <cell r="A2669" t="str">
            <v>MT</v>
          </cell>
          <cell r="B2669">
            <v>2009</v>
          </cell>
          <cell r="D2669" t="str">
            <v>SOJA</v>
          </cell>
          <cell r="E2669">
            <v>0</v>
          </cell>
        </row>
        <row r="2670">
          <cell r="A2670" t="str">
            <v>MT</v>
          </cell>
          <cell r="B2670">
            <v>2009</v>
          </cell>
          <cell r="D2670" t="str">
            <v>SOJA</v>
          </cell>
          <cell r="E2670">
            <v>0</v>
          </cell>
        </row>
        <row r="2671">
          <cell r="A2671" t="str">
            <v>MT</v>
          </cell>
          <cell r="B2671">
            <v>2009</v>
          </cell>
          <cell r="D2671" t="str">
            <v>MILHO</v>
          </cell>
          <cell r="E2671">
            <v>0</v>
          </cell>
        </row>
        <row r="2672">
          <cell r="A2672" t="str">
            <v>MT</v>
          </cell>
          <cell r="B2672">
            <v>2009</v>
          </cell>
          <cell r="D2672" t="str">
            <v>SOJA</v>
          </cell>
          <cell r="E2672">
            <v>0</v>
          </cell>
        </row>
        <row r="2673">
          <cell r="A2673" t="str">
            <v>BA</v>
          </cell>
          <cell r="B2673">
            <v>2009</v>
          </cell>
          <cell r="D2673" t="str">
            <v>SOJA</v>
          </cell>
          <cell r="E2673">
            <v>3850</v>
          </cell>
        </row>
        <row r="2674">
          <cell r="A2674" t="str">
            <v>RS</v>
          </cell>
          <cell r="B2674">
            <v>2009</v>
          </cell>
          <cell r="D2674" t="str">
            <v>SOJA</v>
          </cell>
          <cell r="E2674">
            <v>510</v>
          </cell>
        </row>
        <row r="2675">
          <cell r="A2675" t="str">
            <v>RS</v>
          </cell>
          <cell r="B2675">
            <v>2009</v>
          </cell>
          <cell r="D2675" t="str">
            <v>SOJA</v>
          </cell>
          <cell r="E2675">
            <v>35640</v>
          </cell>
        </row>
        <row r="2676">
          <cell r="A2676" t="str">
            <v>RS</v>
          </cell>
          <cell r="B2676">
            <v>2009</v>
          </cell>
          <cell r="D2676" t="str">
            <v>SOJA</v>
          </cell>
          <cell r="E2676">
            <v>17310</v>
          </cell>
        </row>
        <row r="2677">
          <cell r="A2677" t="str">
            <v>RS</v>
          </cell>
          <cell r="B2677">
            <v>2009</v>
          </cell>
          <cell r="D2677" t="str">
            <v>MILHO</v>
          </cell>
          <cell r="E2677">
            <v>1050</v>
          </cell>
        </row>
        <row r="2678">
          <cell r="A2678" t="str">
            <v>RS</v>
          </cell>
          <cell r="B2678">
            <v>2009</v>
          </cell>
          <cell r="D2678" t="str">
            <v>SOJA</v>
          </cell>
          <cell r="E2678">
            <v>5090</v>
          </cell>
        </row>
        <row r="2679">
          <cell r="A2679" t="str">
            <v>RS</v>
          </cell>
          <cell r="B2679">
            <v>2009</v>
          </cell>
          <cell r="D2679" t="str">
            <v>SOJA</v>
          </cell>
          <cell r="E2679">
            <v>0</v>
          </cell>
        </row>
        <row r="2680">
          <cell r="A2680" t="str">
            <v>RS</v>
          </cell>
          <cell r="B2680">
            <v>2009</v>
          </cell>
          <cell r="D2680" t="str">
            <v>MILHO</v>
          </cell>
          <cell r="E2680">
            <v>0</v>
          </cell>
        </row>
        <row r="2681">
          <cell r="A2681" t="str">
            <v>RS</v>
          </cell>
          <cell r="B2681">
            <v>2009</v>
          </cell>
          <cell r="D2681" t="str">
            <v>SOJA</v>
          </cell>
          <cell r="E2681">
            <v>10180</v>
          </cell>
        </row>
        <row r="2682">
          <cell r="A2682" t="str">
            <v>RS</v>
          </cell>
          <cell r="B2682">
            <v>2009</v>
          </cell>
          <cell r="D2682" t="str">
            <v>SOJA</v>
          </cell>
          <cell r="E2682">
            <v>0</v>
          </cell>
        </row>
        <row r="2683">
          <cell r="A2683" t="str">
            <v>PR</v>
          </cell>
          <cell r="B2683">
            <v>2009</v>
          </cell>
          <cell r="D2683" t="str">
            <v>MILHO</v>
          </cell>
          <cell r="E2683">
            <v>0</v>
          </cell>
        </row>
        <row r="2684">
          <cell r="A2684" t="str">
            <v>PR</v>
          </cell>
          <cell r="B2684">
            <v>2009</v>
          </cell>
          <cell r="D2684" t="str">
            <v>SOJA</v>
          </cell>
          <cell r="E2684">
            <v>0</v>
          </cell>
        </row>
        <row r="2685">
          <cell r="A2685" t="str">
            <v>PR</v>
          </cell>
          <cell r="B2685">
            <v>2009</v>
          </cell>
          <cell r="D2685" t="str">
            <v>SOJA</v>
          </cell>
          <cell r="E2685">
            <v>0</v>
          </cell>
        </row>
        <row r="2686">
          <cell r="A2686" t="str">
            <v>PR</v>
          </cell>
          <cell r="B2686">
            <v>2009</v>
          </cell>
          <cell r="D2686" t="str">
            <v>SOJA</v>
          </cell>
          <cell r="E2686">
            <v>0</v>
          </cell>
        </row>
        <row r="2687">
          <cell r="A2687" t="str">
            <v>PR</v>
          </cell>
          <cell r="B2687">
            <v>2009</v>
          </cell>
          <cell r="D2687" t="str">
            <v>MILHO</v>
          </cell>
          <cell r="E2687">
            <v>0</v>
          </cell>
        </row>
        <row r="2688">
          <cell r="A2688" t="str">
            <v>PR</v>
          </cell>
          <cell r="B2688">
            <v>2009</v>
          </cell>
          <cell r="D2688" t="str">
            <v>SOJA</v>
          </cell>
          <cell r="E2688">
            <v>0</v>
          </cell>
        </row>
        <row r="2689">
          <cell r="A2689" t="str">
            <v>SP</v>
          </cell>
          <cell r="B2689">
            <v>2009</v>
          </cell>
          <cell r="D2689" t="str">
            <v>MILHO</v>
          </cell>
          <cell r="E2689">
            <v>3990</v>
          </cell>
        </row>
        <row r="2690">
          <cell r="A2690" t="str">
            <v>SP</v>
          </cell>
          <cell r="B2690">
            <v>2009</v>
          </cell>
          <cell r="D2690" t="str">
            <v>MILHO</v>
          </cell>
          <cell r="E2690">
            <v>0</v>
          </cell>
        </row>
        <row r="2691">
          <cell r="A2691" t="str">
            <v>PR</v>
          </cell>
          <cell r="B2691">
            <v>2009</v>
          </cell>
          <cell r="D2691" t="str">
            <v>MILHO</v>
          </cell>
          <cell r="E2691">
            <v>0</v>
          </cell>
        </row>
        <row r="2692">
          <cell r="A2692" t="str">
            <v>PR</v>
          </cell>
          <cell r="B2692">
            <v>2009</v>
          </cell>
          <cell r="D2692" t="str">
            <v>SOJA</v>
          </cell>
          <cell r="E2692">
            <v>2620</v>
          </cell>
        </row>
        <row r="2693">
          <cell r="A2693" t="str">
            <v>PR</v>
          </cell>
          <cell r="B2693">
            <v>2009</v>
          </cell>
          <cell r="D2693" t="str">
            <v>SOJA</v>
          </cell>
          <cell r="E2693">
            <v>0</v>
          </cell>
        </row>
        <row r="2694">
          <cell r="A2694" t="str">
            <v>MT</v>
          </cell>
          <cell r="B2694">
            <v>2009</v>
          </cell>
          <cell r="D2694" t="str">
            <v>MILHO</v>
          </cell>
          <cell r="E2694">
            <v>3100</v>
          </cell>
        </row>
        <row r="2695">
          <cell r="A2695" t="str">
            <v>MT</v>
          </cell>
          <cell r="B2695">
            <v>2009</v>
          </cell>
          <cell r="D2695" t="str">
            <v>SOJA</v>
          </cell>
          <cell r="E2695">
            <v>0</v>
          </cell>
        </row>
        <row r="2696">
          <cell r="A2696" t="str">
            <v>MT</v>
          </cell>
          <cell r="B2696">
            <v>2009</v>
          </cell>
          <cell r="D2696" t="str">
            <v>MILHO</v>
          </cell>
          <cell r="E2696">
            <v>0</v>
          </cell>
        </row>
        <row r="2697">
          <cell r="A2697" t="str">
            <v>MT</v>
          </cell>
          <cell r="B2697">
            <v>2009</v>
          </cell>
          <cell r="D2697" t="str">
            <v>MILHO</v>
          </cell>
          <cell r="E2697">
            <v>9310</v>
          </cell>
        </row>
        <row r="2698">
          <cell r="A2698" t="str">
            <v>MT</v>
          </cell>
          <cell r="B2698">
            <v>2009</v>
          </cell>
          <cell r="D2698" t="str">
            <v>SOJA</v>
          </cell>
          <cell r="E2698">
            <v>0</v>
          </cell>
        </row>
        <row r="2699">
          <cell r="A2699" t="str">
            <v>MS</v>
          </cell>
          <cell r="B2699">
            <v>2009</v>
          </cell>
          <cell r="D2699" t="str">
            <v>MILHO</v>
          </cell>
          <cell r="E2699">
            <v>2390</v>
          </cell>
        </row>
        <row r="2700">
          <cell r="A2700" t="str">
            <v>MS</v>
          </cell>
          <cell r="B2700">
            <v>2009</v>
          </cell>
          <cell r="D2700" t="str">
            <v>MILHO</v>
          </cell>
          <cell r="E2700">
            <v>0</v>
          </cell>
        </row>
        <row r="2701">
          <cell r="A2701" t="str">
            <v>PR</v>
          </cell>
          <cell r="B2701">
            <v>2009</v>
          </cell>
          <cell r="D2701" t="str">
            <v>MILHO</v>
          </cell>
          <cell r="E2701">
            <v>0</v>
          </cell>
        </row>
        <row r="2702">
          <cell r="A2702" t="str">
            <v>PR</v>
          </cell>
          <cell r="B2702">
            <v>2009</v>
          </cell>
          <cell r="D2702" t="str">
            <v>SOJA</v>
          </cell>
          <cell r="E2702">
            <v>0</v>
          </cell>
        </row>
        <row r="2703">
          <cell r="A2703" t="str">
            <v>PR</v>
          </cell>
          <cell r="B2703">
            <v>2009</v>
          </cell>
          <cell r="D2703" t="str">
            <v>SOJA</v>
          </cell>
          <cell r="E2703">
            <v>25800</v>
          </cell>
        </row>
        <row r="2704">
          <cell r="A2704" t="str">
            <v>PR</v>
          </cell>
          <cell r="B2704">
            <v>2009</v>
          </cell>
          <cell r="D2704" t="str">
            <v>MILHO</v>
          </cell>
          <cell r="E2704">
            <v>3190</v>
          </cell>
        </row>
        <row r="2705">
          <cell r="A2705" t="str">
            <v>PR</v>
          </cell>
          <cell r="B2705">
            <v>2009</v>
          </cell>
          <cell r="D2705" t="str">
            <v>SOJA</v>
          </cell>
          <cell r="E2705">
            <v>0</v>
          </cell>
        </row>
        <row r="2706">
          <cell r="A2706" t="str">
            <v>BA</v>
          </cell>
          <cell r="B2706">
            <v>2009</v>
          </cell>
          <cell r="D2706" t="str">
            <v>SOJA</v>
          </cell>
          <cell r="E2706">
            <v>4810</v>
          </cell>
        </row>
        <row r="2707">
          <cell r="A2707" t="str">
            <v>BA</v>
          </cell>
          <cell r="B2707">
            <v>2009</v>
          </cell>
          <cell r="D2707" t="str">
            <v>SOJA</v>
          </cell>
          <cell r="E2707">
            <v>19260</v>
          </cell>
        </row>
        <row r="2708">
          <cell r="A2708" t="str">
            <v>BA</v>
          </cell>
          <cell r="B2708">
            <v>2009</v>
          </cell>
          <cell r="D2708" t="str">
            <v>SOJA</v>
          </cell>
          <cell r="E2708">
            <v>3080</v>
          </cell>
        </row>
        <row r="2709">
          <cell r="A2709" t="str">
            <v>BA</v>
          </cell>
          <cell r="B2709">
            <v>2009</v>
          </cell>
          <cell r="D2709" t="str">
            <v>SOJA</v>
          </cell>
          <cell r="E2709">
            <v>1160</v>
          </cell>
        </row>
        <row r="2710">
          <cell r="A2710" t="str">
            <v>MT</v>
          </cell>
          <cell r="B2710">
            <v>2009</v>
          </cell>
          <cell r="D2710" t="str">
            <v>SOJA</v>
          </cell>
          <cell r="E2710">
            <v>0</v>
          </cell>
        </row>
        <row r="2711">
          <cell r="A2711" t="str">
            <v>MT</v>
          </cell>
          <cell r="B2711">
            <v>2009</v>
          </cell>
          <cell r="D2711" t="str">
            <v>SOJA</v>
          </cell>
          <cell r="E2711">
            <v>0</v>
          </cell>
        </row>
        <row r="2712">
          <cell r="A2712" t="str">
            <v>MT</v>
          </cell>
          <cell r="B2712">
            <v>2009</v>
          </cell>
          <cell r="D2712" t="str">
            <v>SOJA</v>
          </cell>
          <cell r="E2712">
            <v>0</v>
          </cell>
        </row>
        <row r="2713">
          <cell r="A2713" t="str">
            <v>MT</v>
          </cell>
          <cell r="B2713">
            <v>2009</v>
          </cell>
          <cell r="D2713" t="str">
            <v>MILHO</v>
          </cell>
          <cell r="E2713">
            <v>3880</v>
          </cell>
        </row>
        <row r="2714">
          <cell r="A2714" t="str">
            <v>MT</v>
          </cell>
          <cell r="B2714">
            <v>2009</v>
          </cell>
          <cell r="D2714" t="str">
            <v>SOJA</v>
          </cell>
          <cell r="E2714">
            <v>0</v>
          </cell>
        </row>
        <row r="2715">
          <cell r="A2715" t="str">
            <v>TO</v>
          </cell>
          <cell r="B2715">
            <v>2009</v>
          </cell>
          <cell r="D2715" t="str">
            <v>SOJA</v>
          </cell>
          <cell r="E2715">
            <v>4520</v>
          </cell>
        </row>
        <row r="2716">
          <cell r="A2716" t="str">
            <v>BA</v>
          </cell>
          <cell r="B2716">
            <v>2009</v>
          </cell>
          <cell r="D2716" t="str">
            <v>MILHO</v>
          </cell>
          <cell r="E2716">
            <v>12990</v>
          </cell>
        </row>
        <row r="2717">
          <cell r="A2717" t="str">
            <v>BA</v>
          </cell>
          <cell r="B2717">
            <v>2009</v>
          </cell>
          <cell r="D2717" t="str">
            <v>SOJA</v>
          </cell>
          <cell r="E2717">
            <v>1930</v>
          </cell>
        </row>
        <row r="2718">
          <cell r="A2718" t="str">
            <v>GO</v>
          </cell>
          <cell r="B2718">
            <v>2009</v>
          </cell>
          <cell r="D2718" t="str">
            <v>MILHO</v>
          </cell>
          <cell r="E2718">
            <v>1590</v>
          </cell>
        </row>
        <row r="2719">
          <cell r="A2719" t="str">
            <v>GO</v>
          </cell>
          <cell r="B2719">
            <v>2009</v>
          </cell>
          <cell r="D2719" t="str">
            <v>MILHO</v>
          </cell>
          <cell r="E2719">
            <v>0</v>
          </cell>
        </row>
        <row r="2720">
          <cell r="A2720" t="str">
            <v>GO</v>
          </cell>
          <cell r="B2720">
            <v>2009</v>
          </cell>
          <cell r="D2720" t="str">
            <v>SOJA</v>
          </cell>
          <cell r="E2720">
            <v>0</v>
          </cell>
        </row>
        <row r="2721">
          <cell r="A2721" t="str">
            <v>GO</v>
          </cell>
          <cell r="B2721">
            <v>2009</v>
          </cell>
          <cell r="D2721" t="str">
            <v>SOJA</v>
          </cell>
          <cell r="E2721">
            <v>1840</v>
          </cell>
        </row>
        <row r="2722">
          <cell r="A2722" t="str">
            <v>GO</v>
          </cell>
          <cell r="B2722">
            <v>2009</v>
          </cell>
          <cell r="D2722" t="str">
            <v>SOJA</v>
          </cell>
          <cell r="E2722">
            <v>0</v>
          </cell>
        </row>
        <row r="2723">
          <cell r="A2723" t="str">
            <v>GO</v>
          </cell>
          <cell r="B2723">
            <v>2009</v>
          </cell>
          <cell r="D2723" t="str">
            <v>MILHO</v>
          </cell>
          <cell r="E2723">
            <v>0</v>
          </cell>
        </row>
        <row r="2724">
          <cell r="A2724" t="str">
            <v>GO</v>
          </cell>
          <cell r="B2724">
            <v>2009</v>
          </cell>
          <cell r="D2724" t="str">
            <v>SOJA</v>
          </cell>
          <cell r="E2724">
            <v>0</v>
          </cell>
        </row>
        <row r="2725">
          <cell r="A2725" t="str">
            <v>MT</v>
          </cell>
          <cell r="B2725">
            <v>2009</v>
          </cell>
          <cell r="D2725" t="str">
            <v>MILHO</v>
          </cell>
          <cell r="E2725">
            <v>2390</v>
          </cell>
        </row>
        <row r="2726">
          <cell r="A2726" t="str">
            <v>MT</v>
          </cell>
          <cell r="B2726">
            <v>2009</v>
          </cell>
          <cell r="D2726" t="str">
            <v>SOJA</v>
          </cell>
          <cell r="E2726">
            <v>0</v>
          </cell>
        </row>
        <row r="2727">
          <cell r="A2727" t="str">
            <v>GO</v>
          </cell>
          <cell r="B2727">
            <v>2009</v>
          </cell>
          <cell r="D2727" t="str">
            <v>MILHO</v>
          </cell>
          <cell r="E2727">
            <v>800</v>
          </cell>
        </row>
        <row r="2728">
          <cell r="A2728" t="str">
            <v>GO</v>
          </cell>
          <cell r="B2728">
            <v>2009</v>
          </cell>
          <cell r="D2728" t="str">
            <v>MILHO</v>
          </cell>
          <cell r="E2728">
            <v>0</v>
          </cell>
        </row>
        <row r="2729">
          <cell r="A2729" t="str">
            <v>GO</v>
          </cell>
          <cell r="B2729">
            <v>2009</v>
          </cell>
          <cell r="D2729" t="str">
            <v>SOJA</v>
          </cell>
          <cell r="E2729">
            <v>0</v>
          </cell>
        </row>
        <row r="2730">
          <cell r="A2730" t="str">
            <v>SP</v>
          </cell>
          <cell r="B2730">
            <v>2009</v>
          </cell>
          <cell r="D2730" t="str">
            <v>SOJA</v>
          </cell>
          <cell r="E2730">
            <v>0</v>
          </cell>
        </row>
        <row r="2731">
          <cell r="A2731" t="str">
            <v>MT</v>
          </cell>
          <cell r="B2731">
            <v>2009</v>
          </cell>
          <cell r="D2731" t="str">
            <v>MILHO</v>
          </cell>
          <cell r="E2731">
            <v>38780</v>
          </cell>
        </row>
        <row r="2732">
          <cell r="A2732" t="str">
            <v>MT</v>
          </cell>
          <cell r="B2732">
            <v>2009</v>
          </cell>
          <cell r="D2732" t="str">
            <v>MILHO</v>
          </cell>
          <cell r="E2732">
            <v>0</v>
          </cell>
        </row>
        <row r="2733">
          <cell r="A2733" t="str">
            <v>MT</v>
          </cell>
          <cell r="B2733">
            <v>2009</v>
          </cell>
          <cell r="D2733" t="str">
            <v>SOJA</v>
          </cell>
          <cell r="E2733">
            <v>0</v>
          </cell>
        </row>
        <row r="2734">
          <cell r="A2734" t="str">
            <v>MT</v>
          </cell>
          <cell r="B2734">
            <v>2009</v>
          </cell>
          <cell r="D2734" t="str">
            <v>MILHO</v>
          </cell>
          <cell r="E2734">
            <v>0</v>
          </cell>
        </row>
        <row r="2735">
          <cell r="A2735" t="str">
            <v>MT</v>
          </cell>
          <cell r="B2735">
            <v>2009</v>
          </cell>
          <cell r="D2735" t="str">
            <v>MILHO</v>
          </cell>
          <cell r="E2735">
            <v>7760</v>
          </cell>
        </row>
        <row r="2736">
          <cell r="A2736" t="str">
            <v>MA</v>
          </cell>
          <cell r="B2736">
            <v>2009</v>
          </cell>
          <cell r="D2736" t="str">
            <v>SOJA</v>
          </cell>
          <cell r="E2736">
            <v>12000</v>
          </cell>
        </row>
        <row r="2737">
          <cell r="A2737" t="str">
            <v>MA</v>
          </cell>
          <cell r="B2737">
            <v>2009</v>
          </cell>
          <cell r="D2737" t="str">
            <v>SOJA</v>
          </cell>
          <cell r="E2737">
            <v>0</v>
          </cell>
        </row>
        <row r="2738">
          <cell r="A2738" t="str">
            <v>MG</v>
          </cell>
          <cell r="B2738">
            <v>2009</v>
          </cell>
          <cell r="D2738" t="str">
            <v>MILHO</v>
          </cell>
          <cell r="E2738">
            <v>800</v>
          </cell>
        </row>
        <row r="2739">
          <cell r="A2739" t="str">
            <v>MG</v>
          </cell>
          <cell r="B2739">
            <v>2009</v>
          </cell>
          <cell r="D2739" t="str">
            <v>SOJA</v>
          </cell>
          <cell r="E2739">
            <v>0</v>
          </cell>
        </row>
        <row r="2740">
          <cell r="A2740" t="str">
            <v>MT</v>
          </cell>
          <cell r="B2740">
            <v>2009</v>
          </cell>
          <cell r="D2740" t="str">
            <v>MILHO</v>
          </cell>
          <cell r="E2740">
            <v>0</v>
          </cell>
        </row>
        <row r="2741">
          <cell r="A2741" t="str">
            <v>MT</v>
          </cell>
          <cell r="B2741">
            <v>2009</v>
          </cell>
          <cell r="D2741" t="str">
            <v>MILHO</v>
          </cell>
          <cell r="E2741">
            <v>7760</v>
          </cell>
        </row>
        <row r="2742">
          <cell r="A2742" t="str">
            <v>MT</v>
          </cell>
          <cell r="B2742">
            <v>2009</v>
          </cell>
          <cell r="D2742" t="str">
            <v>SOJA</v>
          </cell>
          <cell r="E2742">
            <v>0</v>
          </cell>
        </row>
        <row r="2743">
          <cell r="A2743" t="str">
            <v>MT</v>
          </cell>
          <cell r="B2743">
            <v>2009</v>
          </cell>
          <cell r="D2743" t="str">
            <v>MILHO</v>
          </cell>
          <cell r="E2743">
            <v>0</v>
          </cell>
        </row>
        <row r="2744">
          <cell r="A2744" t="str">
            <v>MT</v>
          </cell>
          <cell r="B2744">
            <v>2009</v>
          </cell>
          <cell r="D2744" t="str">
            <v>MILHO</v>
          </cell>
          <cell r="E2744">
            <v>9310</v>
          </cell>
        </row>
        <row r="2745">
          <cell r="A2745" t="str">
            <v>MT</v>
          </cell>
          <cell r="B2745">
            <v>2009</v>
          </cell>
          <cell r="D2745" t="str">
            <v>SOJA</v>
          </cell>
          <cell r="E2745">
            <v>0</v>
          </cell>
        </row>
        <row r="2746">
          <cell r="A2746" t="str">
            <v>MT</v>
          </cell>
          <cell r="B2746">
            <v>2009</v>
          </cell>
          <cell r="D2746" t="str">
            <v>MILHO</v>
          </cell>
          <cell r="E2746">
            <v>0</v>
          </cell>
        </row>
        <row r="2747">
          <cell r="A2747" t="str">
            <v>MT</v>
          </cell>
          <cell r="B2747">
            <v>2009</v>
          </cell>
          <cell r="D2747" t="str">
            <v>MILHO</v>
          </cell>
          <cell r="E2747">
            <v>7760</v>
          </cell>
        </row>
        <row r="2748">
          <cell r="A2748" t="str">
            <v>MT</v>
          </cell>
          <cell r="B2748">
            <v>2009</v>
          </cell>
          <cell r="D2748" t="str">
            <v>MILHO</v>
          </cell>
          <cell r="E2748">
            <v>7750</v>
          </cell>
        </row>
        <row r="2749">
          <cell r="A2749" t="str">
            <v>TO</v>
          </cell>
          <cell r="B2749">
            <v>2009</v>
          </cell>
          <cell r="D2749" t="str">
            <v>SOJA</v>
          </cell>
          <cell r="E2749">
            <v>0</v>
          </cell>
        </row>
        <row r="2750">
          <cell r="A2750" t="str">
            <v>GO</v>
          </cell>
          <cell r="B2750">
            <v>2009</v>
          </cell>
          <cell r="D2750" t="str">
            <v>MILHO</v>
          </cell>
          <cell r="E2750">
            <v>0</v>
          </cell>
        </row>
        <row r="2751">
          <cell r="A2751" t="str">
            <v>GO</v>
          </cell>
          <cell r="B2751">
            <v>2009</v>
          </cell>
          <cell r="D2751" t="str">
            <v>SOJA</v>
          </cell>
          <cell r="E2751">
            <v>0</v>
          </cell>
        </row>
        <row r="2752">
          <cell r="A2752" t="str">
            <v>GO</v>
          </cell>
          <cell r="B2752">
            <v>2009</v>
          </cell>
          <cell r="D2752" t="str">
            <v>SOJA</v>
          </cell>
          <cell r="E2752">
            <v>0</v>
          </cell>
        </row>
        <row r="2753">
          <cell r="A2753" t="str">
            <v>MS</v>
          </cell>
          <cell r="B2753">
            <v>2009</v>
          </cell>
          <cell r="D2753" t="str">
            <v>MILHO</v>
          </cell>
          <cell r="E2753">
            <v>770</v>
          </cell>
        </row>
        <row r="2754">
          <cell r="A2754" t="str">
            <v>PR</v>
          </cell>
          <cell r="B2754">
            <v>2009</v>
          </cell>
          <cell r="D2754" t="str">
            <v>SOJA</v>
          </cell>
          <cell r="E2754">
            <v>0</v>
          </cell>
        </row>
        <row r="2755">
          <cell r="A2755" t="str">
            <v>BA</v>
          </cell>
          <cell r="B2755">
            <v>2009</v>
          </cell>
          <cell r="D2755" t="str">
            <v>SOJA</v>
          </cell>
          <cell r="E2755">
            <v>960</v>
          </cell>
        </row>
        <row r="2756">
          <cell r="A2756" t="str">
            <v>MT</v>
          </cell>
          <cell r="B2756">
            <v>2009</v>
          </cell>
          <cell r="D2756" t="str">
            <v>SOJA</v>
          </cell>
          <cell r="E2756">
            <v>0</v>
          </cell>
        </row>
        <row r="2757">
          <cell r="A2757" t="str">
            <v>MT</v>
          </cell>
          <cell r="B2757">
            <v>2009</v>
          </cell>
          <cell r="D2757" t="str">
            <v>MILHO</v>
          </cell>
          <cell r="E2757">
            <v>0</v>
          </cell>
        </row>
        <row r="2758">
          <cell r="A2758" t="str">
            <v>MT</v>
          </cell>
          <cell r="B2758">
            <v>2009</v>
          </cell>
          <cell r="D2758" t="str">
            <v>MILHO</v>
          </cell>
          <cell r="E2758">
            <v>7760</v>
          </cell>
        </row>
        <row r="2759">
          <cell r="A2759" t="str">
            <v>MT</v>
          </cell>
          <cell r="B2759">
            <v>2009</v>
          </cell>
          <cell r="D2759" t="str">
            <v>SOJA</v>
          </cell>
          <cell r="E2759">
            <v>0</v>
          </cell>
        </row>
        <row r="2760">
          <cell r="A2760" t="str">
            <v>MT</v>
          </cell>
          <cell r="B2760">
            <v>2009</v>
          </cell>
          <cell r="D2760" t="str">
            <v>MILHO</v>
          </cell>
          <cell r="E2760">
            <v>0</v>
          </cell>
        </row>
        <row r="2761">
          <cell r="A2761" t="str">
            <v>MT</v>
          </cell>
          <cell r="B2761">
            <v>2009</v>
          </cell>
          <cell r="D2761" t="str">
            <v>SOJA</v>
          </cell>
          <cell r="E2761">
            <v>4410</v>
          </cell>
        </row>
        <row r="2762">
          <cell r="A2762" t="str">
            <v>MT</v>
          </cell>
          <cell r="B2762">
            <v>2009</v>
          </cell>
          <cell r="D2762" t="str">
            <v>MILHO</v>
          </cell>
          <cell r="E2762">
            <v>7760</v>
          </cell>
        </row>
        <row r="2763">
          <cell r="A2763" t="str">
            <v>BA</v>
          </cell>
          <cell r="B2763">
            <v>2009</v>
          </cell>
          <cell r="D2763" t="str">
            <v>MILHO</v>
          </cell>
          <cell r="E2763">
            <v>7640</v>
          </cell>
        </row>
        <row r="2764">
          <cell r="A2764" t="str">
            <v>BA</v>
          </cell>
          <cell r="B2764">
            <v>2009</v>
          </cell>
          <cell r="D2764" t="str">
            <v>SOJA</v>
          </cell>
          <cell r="E2764">
            <v>4810</v>
          </cell>
        </row>
        <row r="2765">
          <cell r="A2765" t="str">
            <v>BA</v>
          </cell>
          <cell r="B2765">
            <v>2009</v>
          </cell>
          <cell r="D2765" t="str">
            <v>MILHO</v>
          </cell>
          <cell r="E2765">
            <v>0</v>
          </cell>
        </row>
        <row r="2766">
          <cell r="A2766" t="str">
            <v>BA</v>
          </cell>
          <cell r="B2766">
            <v>2009</v>
          </cell>
          <cell r="D2766" t="str">
            <v>SOJA</v>
          </cell>
          <cell r="E2766">
            <v>1160</v>
          </cell>
        </row>
        <row r="2767">
          <cell r="A2767" t="str">
            <v>BA</v>
          </cell>
          <cell r="B2767">
            <v>2009</v>
          </cell>
          <cell r="D2767" t="str">
            <v>SOJA</v>
          </cell>
          <cell r="E2767">
            <v>960</v>
          </cell>
        </row>
        <row r="2768">
          <cell r="A2768" t="str">
            <v>RS</v>
          </cell>
          <cell r="B2768">
            <v>2009</v>
          </cell>
          <cell r="D2768" t="str">
            <v>SOJA</v>
          </cell>
          <cell r="E2768">
            <v>1020</v>
          </cell>
        </row>
        <row r="2769">
          <cell r="A2769" t="str">
            <v>RS</v>
          </cell>
          <cell r="B2769">
            <v>2009</v>
          </cell>
          <cell r="D2769" t="str">
            <v>SOJA</v>
          </cell>
          <cell r="E2769">
            <v>0</v>
          </cell>
        </row>
        <row r="2770">
          <cell r="A2770" t="str">
            <v>RS</v>
          </cell>
          <cell r="B2770">
            <v>2009</v>
          </cell>
          <cell r="D2770" t="str">
            <v>SOJA</v>
          </cell>
          <cell r="E2770">
            <v>7130</v>
          </cell>
        </row>
        <row r="2771">
          <cell r="A2771" t="str">
            <v>MS</v>
          </cell>
          <cell r="B2771">
            <v>2009</v>
          </cell>
          <cell r="D2771" t="str">
            <v>MILHO</v>
          </cell>
          <cell r="E2771">
            <v>1150</v>
          </cell>
        </row>
        <row r="2772">
          <cell r="A2772" t="str">
            <v>MS</v>
          </cell>
          <cell r="B2772">
            <v>2009</v>
          </cell>
          <cell r="D2772" t="str">
            <v>SOJA</v>
          </cell>
          <cell r="E2772">
            <v>0</v>
          </cell>
        </row>
        <row r="2773">
          <cell r="A2773" t="str">
            <v>MS</v>
          </cell>
          <cell r="B2773">
            <v>2009</v>
          </cell>
          <cell r="D2773" t="str">
            <v>SOJA</v>
          </cell>
          <cell r="E2773">
            <v>0</v>
          </cell>
        </row>
        <row r="2774">
          <cell r="A2774" t="str">
            <v>MS</v>
          </cell>
          <cell r="B2774">
            <v>2009</v>
          </cell>
          <cell r="D2774" t="str">
            <v>SOJA</v>
          </cell>
          <cell r="E2774">
            <v>0</v>
          </cell>
        </row>
        <row r="2775">
          <cell r="A2775" t="str">
            <v>GO</v>
          </cell>
          <cell r="B2775">
            <v>2009</v>
          </cell>
          <cell r="D2775" t="str">
            <v>SOJA</v>
          </cell>
          <cell r="E2775">
            <v>0</v>
          </cell>
        </row>
        <row r="2776">
          <cell r="A2776" t="str">
            <v>GO</v>
          </cell>
          <cell r="B2776">
            <v>2009</v>
          </cell>
          <cell r="D2776" t="str">
            <v>SOJA</v>
          </cell>
          <cell r="E2776">
            <v>3360</v>
          </cell>
        </row>
        <row r="2777">
          <cell r="A2777" t="str">
            <v>MT</v>
          </cell>
          <cell r="B2777">
            <v>2009</v>
          </cell>
          <cell r="D2777" t="str">
            <v>MILHO</v>
          </cell>
          <cell r="E2777">
            <v>0</v>
          </cell>
        </row>
        <row r="2778">
          <cell r="A2778" t="str">
            <v>MT</v>
          </cell>
          <cell r="B2778">
            <v>2009</v>
          </cell>
          <cell r="D2778" t="str">
            <v>MILHO</v>
          </cell>
          <cell r="E2778">
            <v>7760</v>
          </cell>
        </row>
        <row r="2779">
          <cell r="A2779" t="str">
            <v>RS</v>
          </cell>
          <cell r="B2779">
            <v>2009</v>
          </cell>
          <cell r="D2779" t="str">
            <v>MILHO</v>
          </cell>
          <cell r="E2779">
            <v>0</v>
          </cell>
        </row>
        <row r="2780">
          <cell r="A2780" t="str">
            <v>RS</v>
          </cell>
          <cell r="B2780">
            <v>2009</v>
          </cell>
          <cell r="D2780" t="str">
            <v>SOJA</v>
          </cell>
          <cell r="E2780">
            <v>2040</v>
          </cell>
        </row>
        <row r="2781">
          <cell r="A2781" t="str">
            <v>RS</v>
          </cell>
          <cell r="B2781">
            <v>2009</v>
          </cell>
          <cell r="D2781" t="str">
            <v>SOJA</v>
          </cell>
          <cell r="E2781">
            <v>0</v>
          </cell>
        </row>
        <row r="2782">
          <cell r="A2782" t="str">
            <v>MT</v>
          </cell>
          <cell r="B2782">
            <v>2009</v>
          </cell>
          <cell r="D2782" t="str">
            <v>MILHO</v>
          </cell>
          <cell r="E2782">
            <v>15510</v>
          </cell>
        </row>
        <row r="2783">
          <cell r="A2783" t="str">
            <v>RS</v>
          </cell>
          <cell r="B2783">
            <v>2009</v>
          </cell>
          <cell r="D2783" t="str">
            <v>SOJA</v>
          </cell>
          <cell r="E2783">
            <v>8150</v>
          </cell>
        </row>
        <row r="2784">
          <cell r="A2784" t="str">
            <v>RS</v>
          </cell>
          <cell r="B2784">
            <v>2009</v>
          </cell>
          <cell r="D2784" t="str">
            <v>SOJA</v>
          </cell>
          <cell r="E2784">
            <v>10690</v>
          </cell>
        </row>
        <row r="2785">
          <cell r="A2785" t="str">
            <v>RS</v>
          </cell>
          <cell r="B2785">
            <v>2009</v>
          </cell>
          <cell r="D2785" t="str">
            <v>MILHO</v>
          </cell>
          <cell r="E2785">
            <v>1050</v>
          </cell>
        </row>
        <row r="2786">
          <cell r="A2786" t="str">
            <v>RS</v>
          </cell>
          <cell r="B2786">
            <v>2009</v>
          </cell>
          <cell r="D2786" t="str">
            <v>MILHO</v>
          </cell>
          <cell r="E2786">
            <v>0</v>
          </cell>
        </row>
        <row r="2787">
          <cell r="A2787" t="str">
            <v>RS</v>
          </cell>
          <cell r="B2787">
            <v>2009</v>
          </cell>
          <cell r="D2787" t="str">
            <v>SOJA</v>
          </cell>
          <cell r="E2787">
            <v>1020</v>
          </cell>
        </row>
        <row r="2788">
          <cell r="A2788" t="str">
            <v>RS</v>
          </cell>
          <cell r="B2788">
            <v>2009</v>
          </cell>
          <cell r="D2788" t="str">
            <v>SOJA</v>
          </cell>
          <cell r="E2788">
            <v>0</v>
          </cell>
        </row>
        <row r="2789">
          <cell r="A2789" t="str">
            <v>MS</v>
          </cell>
          <cell r="B2789">
            <v>2009</v>
          </cell>
          <cell r="D2789" t="str">
            <v>MILHO</v>
          </cell>
          <cell r="E2789">
            <v>1530</v>
          </cell>
        </row>
        <row r="2790">
          <cell r="A2790" t="str">
            <v>MS</v>
          </cell>
          <cell r="B2790">
            <v>2009</v>
          </cell>
          <cell r="D2790" t="str">
            <v>SOJA</v>
          </cell>
          <cell r="E2790">
            <v>0</v>
          </cell>
        </row>
        <row r="2791">
          <cell r="A2791" t="str">
            <v>MS</v>
          </cell>
          <cell r="B2791">
            <v>2009</v>
          </cell>
          <cell r="D2791" t="str">
            <v>SOJA</v>
          </cell>
          <cell r="E2791">
            <v>9650</v>
          </cell>
        </row>
        <row r="2792">
          <cell r="A2792" t="str">
            <v>MS</v>
          </cell>
          <cell r="B2792">
            <v>2009</v>
          </cell>
          <cell r="D2792" t="str">
            <v>SOJA</v>
          </cell>
          <cell r="E2792">
            <v>0</v>
          </cell>
        </row>
        <row r="2793">
          <cell r="A2793" t="str">
            <v>SC</v>
          </cell>
          <cell r="B2793">
            <v>2009</v>
          </cell>
          <cell r="D2793" t="str">
            <v>MILHO</v>
          </cell>
          <cell r="E2793">
            <v>15280</v>
          </cell>
        </row>
        <row r="2794">
          <cell r="A2794" t="str">
            <v>SC</v>
          </cell>
          <cell r="B2794">
            <v>2009</v>
          </cell>
          <cell r="D2794" t="str">
            <v>SOJA</v>
          </cell>
          <cell r="E2794">
            <v>23770</v>
          </cell>
        </row>
        <row r="2795">
          <cell r="A2795" t="str">
            <v>MT</v>
          </cell>
          <cell r="B2795">
            <v>2009</v>
          </cell>
          <cell r="D2795" t="str">
            <v>MILHO</v>
          </cell>
          <cell r="E2795">
            <v>0</v>
          </cell>
        </row>
        <row r="2796">
          <cell r="A2796" t="str">
            <v>MT</v>
          </cell>
          <cell r="B2796">
            <v>2009</v>
          </cell>
          <cell r="D2796" t="str">
            <v>MILHO</v>
          </cell>
          <cell r="E2796">
            <v>22510</v>
          </cell>
        </row>
        <row r="2797">
          <cell r="A2797" t="str">
            <v>MT</v>
          </cell>
          <cell r="B2797">
            <v>2009</v>
          </cell>
          <cell r="D2797" t="str">
            <v>MILHO</v>
          </cell>
          <cell r="E2797">
            <v>0</v>
          </cell>
        </row>
        <row r="2798">
          <cell r="A2798" t="str">
            <v>MT</v>
          </cell>
          <cell r="B2798">
            <v>2009</v>
          </cell>
          <cell r="D2798" t="str">
            <v>MILHO</v>
          </cell>
          <cell r="E2798">
            <v>4660</v>
          </cell>
        </row>
        <row r="2799">
          <cell r="A2799" t="str">
            <v>PI</v>
          </cell>
          <cell r="B2799">
            <v>2009</v>
          </cell>
          <cell r="D2799" t="str">
            <v>SOJA</v>
          </cell>
          <cell r="E2799">
            <v>6750</v>
          </cell>
        </row>
        <row r="2800">
          <cell r="A2800" t="str">
            <v>PI</v>
          </cell>
          <cell r="B2800">
            <v>2009</v>
          </cell>
          <cell r="D2800" t="str">
            <v>SOJA</v>
          </cell>
          <cell r="E2800">
            <v>0</v>
          </cell>
        </row>
        <row r="2801">
          <cell r="A2801" t="str">
            <v>PI</v>
          </cell>
          <cell r="B2801">
            <v>2009</v>
          </cell>
          <cell r="D2801" t="str">
            <v>SOJA</v>
          </cell>
          <cell r="E2801">
            <v>0</v>
          </cell>
        </row>
        <row r="2802">
          <cell r="A2802" t="str">
            <v>GO</v>
          </cell>
          <cell r="B2802">
            <v>2009</v>
          </cell>
          <cell r="D2802" t="str">
            <v>SOJA</v>
          </cell>
          <cell r="E2802">
            <v>0</v>
          </cell>
        </row>
        <row r="2803">
          <cell r="A2803" t="str">
            <v>MT</v>
          </cell>
          <cell r="B2803">
            <v>2009</v>
          </cell>
          <cell r="D2803" t="str">
            <v>MILHO</v>
          </cell>
          <cell r="E2803">
            <v>34880</v>
          </cell>
        </row>
        <row r="2804">
          <cell r="A2804" t="str">
            <v>MT</v>
          </cell>
          <cell r="B2804">
            <v>2009</v>
          </cell>
          <cell r="D2804" t="str">
            <v>SOJA</v>
          </cell>
          <cell r="E2804">
            <v>0</v>
          </cell>
        </row>
        <row r="2805">
          <cell r="A2805" t="str">
            <v>MA</v>
          </cell>
          <cell r="B2805">
            <v>2009</v>
          </cell>
          <cell r="D2805" t="str">
            <v>SOJA</v>
          </cell>
          <cell r="E2805">
            <v>0</v>
          </cell>
        </row>
        <row r="2806">
          <cell r="A2806" t="str">
            <v>MA</v>
          </cell>
          <cell r="B2806">
            <v>2009</v>
          </cell>
          <cell r="D2806" t="str">
            <v>SOJA</v>
          </cell>
          <cell r="E2806">
            <v>7230</v>
          </cell>
        </row>
        <row r="2807">
          <cell r="A2807" t="str">
            <v>RS</v>
          </cell>
          <cell r="B2807">
            <v>2009</v>
          </cell>
          <cell r="D2807" t="str">
            <v>MILHO</v>
          </cell>
          <cell r="E2807">
            <v>0</v>
          </cell>
        </row>
        <row r="2808">
          <cell r="A2808" t="str">
            <v>RS</v>
          </cell>
          <cell r="B2808">
            <v>2009</v>
          </cell>
          <cell r="D2808" t="str">
            <v>SOJA</v>
          </cell>
          <cell r="E2808">
            <v>2040</v>
          </cell>
        </row>
        <row r="2809">
          <cell r="A2809" t="str">
            <v>RS</v>
          </cell>
          <cell r="B2809">
            <v>2009</v>
          </cell>
          <cell r="D2809" t="str">
            <v>SOJA</v>
          </cell>
          <cell r="E2809">
            <v>10180</v>
          </cell>
        </row>
        <row r="2810">
          <cell r="A2810" t="str">
            <v>RS</v>
          </cell>
          <cell r="B2810">
            <v>2009</v>
          </cell>
          <cell r="D2810" t="str">
            <v>SOJA</v>
          </cell>
          <cell r="E2810">
            <v>0</v>
          </cell>
        </row>
        <row r="2811">
          <cell r="A2811" t="str">
            <v>MT</v>
          </cell>
          <cell r="B2811">
            <v>2009</v>
          </cell>
          <cell r="D2811" t="str">
            <v>SOJA</v>
          </cell>
          <cell r="E2811">
            <v>0</v>
          </cell>
        </row>
        <row r="2812">
          <cell r="A2812" t="str">
            <v>MT</v>
          </cell>
          <cell r="B2812">
            <v>2009</v>
          </cell>
          <cell r="D2812" t="str">
            <v>MILHO</v>
          </cell>
          <cell r="E2812">
            <v>7760</v>
          </cell>
        </row>
        <row r="2813">
          <cell r="A2813" t="str">
            <v>MT</v>
          </cell>
          <cell r="B2813">
            <v>2009</v>
          </cell>
          <cell r="D2813" t="str">
            <v>SOJA</v>
          </cell>
          <cell r="E2813">
            <v>0</v>
          </cell>
        </row>
        <row r="2814">
          <cell r="A2814" t="str">
            <v>MT</v>
          </cell>
          <cell r="B2814">
            <v>2009</v>
          </cell>
          <cell r="D2814" t="str">
            <v>MILHO</v>
          </cell>
          <cell r="E2814">
            <v>5600</v>
          </cell>
        </row>
        <row r="2815">
          <cell r="A2815" t="str">
            <v>PI</v>
          </cell>
          <cell r="B2815">
            <v>2009</v>
          </cell>
          <cell r="D2815" t="str">
            <v>SOJA</v>
          </cell>
          <cell r="E2815">
            <v>0</v>
          </cell>
        </row>
        <row r="2816">
          <cell r="A2816" t="str">
            <v>PI</v>
          </cell>
          <cell r="B2816">
            <v>2009</v>
          </cell>
          <cell r="D2816" t="str">
            <v>SOJA</v>
          </cell>
          <cell r="E2816">
            <v>0</v>
          </cell>
        </row>
        <row r="2817">
          <cell r="A2817" t="str">
            <v>GO</v>
          </cell>
          <cell r="B2817">
            <v>2009</v>
          </cell>
          <cell r="D2817" t="str">
            <v>MILHO</v>
          </cell>
          <cell r="E2817">
            <v>0</v>
          </cell>
        </row>
        <row r="2818">
          <cell r="A2818" t="str">
            <v>GO</v>
          </cell>
          <cell r="B2818">
            <v>2009</v>
          </cell>
          <cell r="D2818" t="str">
            <v>MILHO</v>
          </cell>
          <cell r="E2818">
            <v>35860</v>
          </cell>
        </row>
        <row r="2819">
          <cell r="A2819" t="str">
            <v>GO</v>
          </cell>
          <cell r="B2819">
            <v>2009</v>
          </cell>
          <cell r="D2819" t="str">
            <v>SOJA</v>
          </cell>
          <cell r="E2819">
            <v>0</v>
          </cell>
        </row>
        <row r="2820">
          <cell r="A2820" t="str">
            <v>GO</v>
          </cell>
          <cell r="B2820">
            <v>2009</v>
          </cell>
          <cell r="D2820" t="str">
            <v>SOJA</v>
          </cell>
          <cell r="E2820">
            <v>0</v>
          </cell>
        </row>
        <row r="2821">
          <cell r="A2821" t="str">
            <v>PR</v>
          </cell>
          <cell r="B2821">
            <v>2009</v>
          </cell>
          <cell r="D2821" t="str">
            <v>MILHO</v>
          </cell>
          <cell r="E2821">
            <v>0</v>
          </cell>
        </row>
        <row r="2822">
          <cell r="A2822" t="str">
            <v>PR</v>
          </cell>
          <cell r="B2822">
            <v>2009</v>
          </cell>
          <cell r="D2822" t="str">
            <v>SOJA</v>
          </cell>
          <cell r="E2822">
            <v>0</v>
          </cell>
        </row>
        <row r="2823">
          <cell r="A2823" t="str">
            <v>PI</v>
          </cell>
          <cell r="B2823">
            <v>2009</v>
          </cell>
          <cell r="D2823" t="str">
            <v>SOJA</v>
          </cell>
          <cell r="E2823">
            <v>0</v>
          </cell>
        </row>
        <row r="2824">
          <cell r="A2824" t="str">
            <v>MA</v>
          </cell>
          <cell r="B2824">
            <v>2009</v>
          </cell>
          <cell r="D2824" t="str">
            <v>SOJA</v>
          </cell>
          <cell r="E2824">
            <v>0</v>
          </cell>
        </row>
        <row r="2825">
          <cell r="A2825" t="str">
            <v>MA</v>
          </cell>
          <cell r="B2825">
            <v>2009</v>
          </cell>
          <cell r="D2825" t="str">
            <v>SOJA</v>
          </cell>
          <cell r="E2825">
            <v>0</v>
          </cell>
        </row>
        <row r="2826">
          <cell r="A2826" t="str">
            <v>PR</v>
          </cell>
          <cell r="B2826">
            <v>2009</v>
          </cell>
          <cell r="D2826" t="str">
            <v>SOJA</v>
          </cell>
          <cell r="E2826">
            <v>0</v>
          </cell>
        </row>
        <row r="2827">
          <cell r="A2827" t="str">
            <v>PR</v>
          </cell>
          <cell r="B2827">
            <v>2009</v>
          </cell>
          <cell r="D2827" t="str">
            <v>SOJA</v>
          </cell>
          <cell r="E2827">
            <v>0</v>
          </cell>
        </row>
        <row r="2828">
          <cell r="A2828" t="str">
            <v>GO</v>
          </cell>
          <cell r="B2828">
            <v>2009</v>
          </cell>
          <cell r="D2828" t="str">
            <v>SOJA</v>
          </cell>
          <cell r="E2828">
            <v>0</v>
          </cell>
        </row>
        <row r="2829">
          <cell r="A2829" t="str">
            <v>GO</v>
          </cell>
          <cell r="B2829">
            <v>2009</v>
          </cell>
          <cell r="D2829" t="str">
            <v>SOJA</v>
          </cell>
          <cell r="E2829">
            <v>4690</v>
          </cell>
        </row>
        <row r="2830">
          <cell r="A2830" t="str">
            <v>PR</v>
          </cell>
          <cell r="B2830">
            <v>2009</v>
          </cell>
          <cell r="D2830" t="str">
            <v>MILHO</v>
          </cell>
          <cell r="E2830">
            <v>0</v>
          </cell>
        </row>
        <row r="2831">
          <cell r="A2831" t="str">
            <v>PR</v>
          </cell>
          <cell r="B2831">
            <v>2009</v>
          </cell>
          <cell r="D2831" t="str">
            <v>MILHO</v>
          </cell>
          <cell r="E2831">
            <v>27940</v>
          </cell>
        </row>
        <row r="2832">
          <cell r="A2832" t="str">
            <v>PR</v>
          </cell>
          <cell r="B2832">
            <v>2009</v>
          </cell>
          <cell r="D2832" t="str">
            <v>SOJA</v>
          </cell>
          <cell r="E2832">
            <v>14620</v>
          </cell>
        </row>
        <row r="2833">
          <cell r="A2833" t="str">
            <v>PR</v>
          </cell>
          <cell r="B2833">
            <v>2009</v>
          </cell>
          <cell r="D2833" t="str">
            <v>SOJA</v>
          </cell>
          <cell r="E2833">
            <v>0</v>
          </cell>
        </row>
        <row r="2834">
          <cell r="A2834" t="str">
            <v>PR</v>
          </cell>
          <cell r="B2834">
            <v>2009</v>
          </cell>
          <cell r="D2834" t="str">
            <v>MILHO</v>
          </cell>
          <cell r="E2834">
            <v>0</v>
          </cell>
        </row>
        <row r="2835">
          <cell r="A2835" t="str">
            <v>PR</v>
          </cell>
          <cell r="B2835">
            <v>2009</v>
          </cell>
          <cell r="D2835" t="str">
            <v>SOJA</v>
          </cell>
          <cell r="E2835">
            <v>0</v>
          </cell>
        </row>
        <row r="2836">
          <cell r="A2836" t="str">
            <v>RS</v>
          </cell>
          <cell r="B2836">
            <v>2009</v>
          </cell>
          <cell r="D2836" t="str">
            <v>SOJA</v>
          </cell>
          <cell r="E2836">
            <v>0</v>
          </cell>
        </row>
        <row r="2837">
          <cell r="A2837" t="str">
            <v>PR</v>
          </cell>
          <cell r="B2837">
            <v>2009</v>
          </cell>
          <cell r="D2837" t="str">
            <v>SOJA</v>
          </cell>
          <cell r="E2837">
            <v>0</v>
          </cell>
        </row>
        <row r="2838">
          <cell r="A2838" t="str">
            <v>MT</v>
          </cell>
          <cell r="B2838">
            <v>2009</v>
          </cell>
          <cell r="D2838" t="str">
            <v>SOJA</v>
          </cell>
          <cell r="E2838">
            <v>0</v>
          </cell>
        </row>
        <row r="2839">
          <cell r="A2839" t="str">
            <v>MT</v>
          </cell>
          <cell r="B2839">
            <v>2009</v>
          </cell>
          <cell r="D2839" t="str">
            <v>MILHO</v>
          </cell>
          <cell r="E2839">
            <v>6400</v>
          </cell>
        </row>
        <row r="2840">
          <cell r="A2840" t="str">
            <v>MT</v>
          </cell>
          <cell r="B2840">
            <v>2009</v>
          </cell>
          <cell r="D2840" t="str">
            <v>SOJA</v>
          </cell>
          <cell r="E2840">
            <v>0</v>
          </cell>
        </row>
        <row r="2841">
          <cell r="A2841" t="str">
            <v>MT</v>
          </cell>
          <cell r="B2841">
            <v>2009</v>
          </cell>
          <cell r="D2841" t="str">
            <v>MILHO</v>
          </cell>
          <cell r="E2841">
            <v>0</v>
          </cell>
        </row>
        <row r="2842">
          <cell r="A2842" t="str">
            <v>MT</v>
          </cell>
          <cell r="B2842">
            <v>2009</v>
          </cell>
          <cell r="D2842" t="str">
            <v>SOJA</v>
          </cell>
          <cell r="E2842">
            <v>0</v>
          </cell>
        </row>
        <row r="2843">
          <cell r="A2843" t="str">
            <v>BA</v>
          </cell>
          <cell r="B2843">
            <v>2009</v>
          </cell>
          <cell r="D2843" t="str">
            <v>SOJA</v>
          </cell>
          <cell r="E2843">
            <v>960</v>
          </cell>
        </row>
        <row r="2844">
          <cell r="A2844" t="str">
            <v>RS</v>
          </cell>
          <cell r="B2844">
            <v>2009</v>
          </cell>
          <cell r="D2844" t="str">
            <v>SOJA</v>
          </cell>
          <cell r="E2844">
            <v>510</v>
          </cell>
        </row>
        <row r="2845">
          <cell r="A2845" t="str">
            <v>RS</v>
          </cell>
          <cell r="B2845">
            <v>2009</v>
          </cell>
          <cell r="D2845" t="str">
            <v>SOJA</v>
          </cell>
          <cell r="E2845">
            <v>28010</v>
          </cell>
        </row>
        <row r="2846">
          <cell r="A2846" t="str">
            <v>RS</v>
          </cell>
          <cell r="B2846">
            <v>2009</v>
          </cell>
          <cell r="D2846" t="str">
            <v>SOJA</v>
          </cell>
          <cell r="E2846">
            <v>17310</v>
          </cell>
        </row>
        <row r="2847">
          <cell r="A2847" t="str">
            <v>RS</v>
          </cell>
          <cell r="B2847">
            <v>2009</v>
          </cell>
          <cell r="D2847" t="str">
            <v>MILHO</v>
          </cell>
          <cell r="E2847">
            <v>780</v>
          </cell>
        </row>
        <row r="2848">
          <cell r="A2848" t="str">
            <v>RS</v>
          </cell>
          <cell r="B2848">
            <v>2009</v>
          </cell>
          <cell r="D2848" t="str">
            <v>SOJA</v>
          </cell>
          <cell r="E2848">
            <v>5090</v>
          </cell>
        </row>
        <row r="2849">
          <cell r="A2849" t="str">
            <v>RS</v>
          </cell>
          <cell r="B2849">
            <v>2009</v>
          </cell>
          <cell r="D2849" t="str">
            <v>SOJA</v>
          </cell>
          <cell r="E2849">
            <v>0</v>
          </cell>
        </row>
        <row r="2850">
          <cell r="A2850" t="str">
            <v>RS</v>
          </cell>
          <cell r="B2850">
            <v>2009</v>
          </cell>
          <cell r="D2850" t="str">
            <v>MILHO</v>
          </cell>
          <cell r="E2850">
            <v>0</v>
          </cell>
        </row>
        <row r="2851">
          <cell r="A2851" t="str">
            <v>RS</v>
          </cell>
          <cell r="B2851">
            <v>2009</v>
          </cell>
          <cell r="D2851" t="str">
            <v>SOJA</v>
          </cell>
          <cell r="E2851">
            <v>3060</v>
          </cell>
        </row>
        <row r="2852">
          <cell r="A2852" t="str">
            <v>RS</v>
          </cell>
          <cell r="B2852">
            <v>2009</v>
          </cell>
          <cell r="D2852" t="str">
            <v>SOJA</v>
          </cell>
          <cell r="E2852">
            <v>0</v>
          </cell>
        </row>
        <row r="2853">
          <cell r="A2853" t="str">
            <v>PR</v>
          </cell>
          <cell r="B2853">
            <v>2009</v>
          </cell>
          <cell r="D2853" t="str">
            <v>MILHO</v>
          </cell>
          <cell r="E2853">
            <v>800</v>
          </cell>
        </row>
        <row r="2854">
          <cell r="A2854" t="str">
            <v>PR</v>
          </cell>
          <cell r="B2854">
            <v>2009</v>
          </cell>
          <cell r="D2854" t="str">
            <v>MILHO</v>
          </cell>
          <cell r="E2854">
            <v>0</v>
          </cell>
        </row>
        <row r="2855">
          <cell r="A2855" t="str">
            <v>PR</v>
          </cell>
          <cell r="B2855">
            <v>2009</v>
          </cell>
          <cell r="D2855" t="str">
            <v>SOJA</v>
          </cell>
          <cell r="E2855">
            <v>0</v>
          </cell>
        </row>
        <row r="2856">
          <cell r="A2856" t="str">
            <v>PR</v>
          </cell>
          <cell r="B2856">
            <v>2009</v>
          </cell>
          <cell r="D2856" t="str">
            <v>MILHO</v>
          </cell>
          <cell r="E2856">
            <v>1600</v>
          </cell>
        </row>
        <row r="2857">
          <cell r="A2857" t="str">
            <v>PR</v>
          </cell>
          <cell r="B2857">
            <v>2009</v>
          </cell>
          <cell r="D2857" t="str">
            <v>MILHO</v>
          </cell>
          <cell r="E2857">
            <v>0</v>
          </cell>
        </row>
        <row r="2858">
          <cell r="A2858" t="str">
            <v>PR</v>
          </cell>
          <cell r="B2858">
            <v>2009</v>
          </cell>
          <cell r="D2858" t="str">
            <v>SOJA</v>
          </cell>
          <cell r="E2858">
            <v>0</v>
          </cell>
        </row>
        <row r="2859">
          <cell r="A2859" t="str">
            <v>PR</v>
          </cell>
          <cell r="B2859">
            <v>2009</v>
          </cell>
          <cell r="D2859" t="str">
            <v>MILHO</v>
          </cell>
          <cell r="E2859">
            <v>800</v>
          </cell>
        </row>
        <row r="2860">
          <cell r="A2860" t="str">
            <v>PR</v>
          </cell>
          <cell r="B2860">
            <v>2009</v>
          </cell>
          <cell r="D2860" t="str">
            <v>MILHO</v>
          </cell>
          <cell r="E2860">
            <v>0</v>
          </cell>
        </row>
        <row r="2861">
          <cell r="A2861" t="str">
            <v>PR</v>
          </cell>
          <cell r="B2861">
            <v>2009</v>
          </cell>
          <cell r="D2861" t="str">
            <v>SOJA</v>
          </cell>
          <cell r="E2861">
            <v>0</v>
          </cell>
        </row>
        <row r="2862">
          <cell r="A2862" t="str">
            <v>PR</v>
          </cell>
          <cell r="B2862">
            <v>2009</v>
          </cell>
          <cell r="D2862" t="str">
            <v>MILHO</v>
          </cell>
          <cell r="E2862">
            <v>800</v>
          </cell>
        </row>
        <row r="2863">
          <cell r="A2863" t="str">
            <v>PR</v>
          </cell>
          <cell r="B2863">
            <v>2009</v>
          </cell>
          <cell r="D2863" t="str">
            <v>MILHO</v>
          </cell>
          <cell r="E2863">
            <v>0</v>
          </cell>
        </row>
        <row r="2864">
          <cell r="A2864" t="str">
            <v>PR</v>
          </cell>
          <cell r="B2864">
            <v>2009</v>
          </cell>
          <cell r="D2864" t="str">
            <v>SOJA</v>
          </cell>
          <cell r="E2864">
            <v>0</v>
          </cell>
        </row>
        <row r="2865">
          <cell r="A2865" t="str">
            <v>SP</v>
          </cell>
          <cell r="B2865">
            <v>2009</v>
          </cell>
          <cell r="D2865" t="str">
            <v>MILHO</v>
          </cell>
          <cell r="E2865">
            <v>3990</v>
          </cell>
        </row>
        <row r="2866">
          <cell r="A2866" t="str">
            <v>SP</v>
          </cell>
          <cell r="B2866">
            <v>2009</v>
          </cell>
          <cell r="D2866" t="str">
            <v>MILHO</v>
          </cell>
          <cell r="E2866">
            <v>0</v>
          </cell>
        </row>
        <row r="2867">
          <cell r="A2867" t="str">
            <v>PR</v>
          </cell>
          <cell r="B2867">
            <v>2009</v>
          </cell>
          <cell r="D2867" t="str">
            <v>MILHO</v>
          </cell>
          <cell r="E2867">
            <v>5590</v>
          </cell>
        </row>
        <row r="2868">
          <cell r="A2868" t="str">
            <v>PR</v>
          </cell>
          <cell r="B2868">
            <v>2009</v>
          </cell>
          <cell r="D2868" t="str">
            <v>MILHO</v>
          </cell>
          <cell r="E2868">
            <v>0</v>
          </cell>
        </row>
        <row r="2869">
          <cell r="A2869" t="str">
            <v>PR</v>
          </cell>
          <cell r="B2869">
            <v>2009</v>
          </cell>
          <cell r="D2869" t="str">
            <v>SOJA</v>
          </cell>
          <cell r="E2869">
            <v>0</v>
          </cell>
        </row>
        <row r="2870">
          <cell r="A2870" t="str">
            <v>MT</v>
          </cell>
          <cell r="B2870">
            <v>2009</v>
          </cell>
          <cell r="D2870" t="str">
            <v>MILHO</v>
          </cell>
          <cell r="E2870">
            <v>0</v>
          </cell>
        </row>
        <row r="2871">
          <cell r="A2871" t="str">
            <v>MT</v>
          </cell>
          <cell r="B2871">
            <v>2009</v>
          </cell>
          <cell r="D2871" t="str">
            <v>MILHO</v>
          </cell>
          <cell r="E2871">
            <v>10870</v>
          </cell>
        </row>
        <row r="2872">
          <cell r="A2872" t="str">
            <v>MT</v>
          </cell>
          <cell r="B2872">
            <v>2009</v>
          </cell>
          <cell r="D2872" t="str">
            <v>SOJA</v>
          </cell>
          <cell r="E2872">
            <v>0</v>
          </cell>
        </row>
        <row r="2873">
          <cell r="A2873" t="str">
            <v>MT</v>
          </cell>
          <cell r="B2873">
            <v>2009</v>
          </cell>
          <cell r="D2873" t="str">
            <v>MILHO</v>
          </cell>
          <cell r="E2873">
            <v>0</v>
          </cell>
        </row>
        <row r="2874">
          <cell r="A2874" t="str">
            <v>MT</v>
          </cell>
          <cell r="B2874">
            <v>2009</v>
          </cell>
          <cell r="D2874" t="str">
            <v>MILHO</v>
          </cell>
          <cell r="E2874">
            <v>27160</v>
          </cell>
        </row>
        <row r="2875">
          <cell r="A2875" t="str">
            <v>MT</v>
          </cell>
          <cell r="B2875">
            <v>2009</v>
          </cell>
          <cell r="D2875" t="str">
            <v>SOJA</v>
          </cell>
          <cell r="E2875">
            <v>0</v>
          </cell>
        </row>
        <row r="2876">
          <cell r="A2876" t="str">
            <v>MS</v>
          </cell>
          <cell r="B2876">
            <v>2009</v>
          </cell>
          <cell r="D2876" t="str">
            <v>MILHO</v>
          </cell>
          <cell r="E2876">
            <v>0</v>
          </cell>
        </row>
        <row r="2877">
          <cell r="A2877" t="str">
            <v>MS</v>
          </cell>
          <cell r="B2877">
            <v>2009</v>
          </cell>
          <cell r="D2877" t="str">
            <v>SOJA</v>
          </cell>
          <cell r="E2877">
            <v>0</v>
          </cell>
        </row>
        <row r="2878">
          <cell r="A2878" t="str">
            <v>PR</v>
          </cell>
          <cell r="B2878">
            <v>2009</v>
          </cell>
          <cell r="D2878" t="str">
            <v>MILHO</v>
          </cell>
          <cell r="E2878">
            <v>0</v>
          </cell>
        </row>
        <row r="2879">
          <cell r="A2879" t="str">
            <v>PR</v>
          </cell>
          <cell r="B2879">
            <v>2009</v>
          </cell>
          <cell r="D2879" t="str">
            <v>SOJA</v>
          </cell>
          <cell r="E2879">
            <v>0</v>
          </cell>
        </row>
        <row r="2880">
          <cell r="A2880" t="str">
            <v>PR</v>
          </cell>
          <cell r="B2880">
            <v>2009</v>
          </cell>
          <cell r="D2880" t="str">
            <v>SOJA</v>
          </cell>
          <cell r="E2880">
            <v>25800</v>
          </cell>
        </row>
        <row r="2881">
          <cell r="A2881" t="str">
            <v>PR</v>
          </cell>
          <cell r="B2881">
            <v>2009</v>
          </cell>
          <cell r="D2881" t="str">
            <v>MILHO</v>
          </cell>
          <cell r="E2881">
            <v>4790</v>
          </cell>
        </row>
        <row r="2882">
          <cell r="A2882" t="str">
            <v>PR</v>
          </cell>
          <cell r="B2882">
            <v>2009</v>
          </cell>
          <cell r="D2882" t="str">
            <v>MILHO</v>
          </cell>
          <cell r="E2882">
            <v>3990</v>
          </cell>
        </row>
        <row r="2883">
          <cell r="A2883" t="str">
            <v>PR</v>
          </cell>
          <cell r="B2883">
            <v>2009</v>
          </cell>
          <cell r="D2883" t="str">
            <v>MILHO</v>
          </cell>
          <cell r="E2883">
            <v>0</v>
          </cell>
        </row>
        <row r="2884">
          <cell r="A2884" t="str">
            <v>PR</v>
          </cell>
          <cell r="B2884">
            <v>2009</v>
          </cell>
          <cell r="D2884" t="str">
            <v>SOJA</v>
          </cell>
          <cell r="E2884">
            <v>0</v>
          </cell>
        </row>
        <row r="2885">
          <cell r="A2885" t="str">
            <v>BA</v>
          </cell>
          <cell r="B2885">
            <v>2009</v>
          </cell>
          <cell r="D2885" t="str">
            <v>SOJA</v>
          </cell>
          <cell r="E2885">
            <v>9630</v>
          </cell>
        </row>
        <row r="2886">
          <cell r="A2886" t="str">
            <v>BA</v>
          </cell>
          <cell r="B2886">
            <v>2009</v>
          </cell>
          <cell r="D2886" t="str">
            <v>SOJA</v>
          </cell>
          <cell r="E2886">
            <v>580</v>
          </cell>
        </row>
        <row r="2887">
          <cell r="A2887" t="str">
            <v>MT</v>
          </cell>
          <cell r="B2887">
            <v>2009</v>
          </cell>
          <cell r="D2887" t="str">
            <v>MILHO</v>
          </cell>
          <cell r="E2887">
            <v>0</v>
          </cell>
        </row>
        <row r="2888">
          <cell r="A2888" t="str">
            <v>MT</v>
          </cell>
          <cell r="B2888">
            <v>2009</v>
          </cell>
          <cell r="D2888" t="str">
            <v>SOJA</v>
          </cell>
          <cell r="E2888">
            <v>0</v>
          </cell>
        </row>
        <row r="2889">
          <cell r="A2889" t="str">
            <v>MT</v>
          </cell>
          <cell r="B2889">
            <v>2009</v>
          </cell>
          <cell r="D2889" t="str">
            <v>MILHO</v>
          </cell>
          <cell r="E2889">
            <v>0</v>
          </cell>
        </row>
        <row r="2890">
          <cell r="A2890" t="str">
            <v>MT</v>
          </cell>
          <cell r="B2890">
            <v>2009</v>
          </cell>
          <cell r="D2890" t="str">
            <v>SOJA</v>
          </cell>
          <cell r="E2890">
            <v>0</v>
          </cell>
        </row>
        <row r="2891">
          <cell r="A2891" t="str">
            <v>MT</v>
          </cell>
          <cell r="B2891">
            <v>2009</v>
          </cell>
          <cell r="D2891" t="str">
            <v>MILHO</v>
          </cell>
          <cell r="E2891">
            <v>0</v>
          </cell>
        </row>
        <row r="2892">
          <cell r="A2892" t="str">
            <v>MT</v>
          </cell>
          <cell r="B2892">
            <v>2009</v>
          </cell>
          <cell r="D2892" t="str">
            <v>SOJA</v>
          </cell>
          <cell r="E2892">
            <v>0</v>
          </cell>
        </row>
        <row r="2893">
          <cell r="A2893" t="str">
            <v>MT</v>
          </cell>
          <cell r="B2893">
            <v>2009</v>
          </cell>
          <cell r="D2893" t="str">
            <v>MILHO</v>
          </cell>
          <cell r="E2893">
            <v>15500</v>
          </cell>
        </row>
        <row r="2894">
          <cell r="A2894" t="str">
            <v>MT</v>
          </cell>
          <cell r="B2894">
            <v>2009</v>
          </cell>
          <cell r="D2894" t="str">
            <v>MILHO</v>
          </cell>
          <cell r="E2894">
            <v>0</v>
          </cell>
        </row>
        <row r="2895">
          <cell r="A2895" t="str">
            <v>MT</v>
          </cell>
          <cell r="B2895">
            <v>2009</v>
          </cell>
          <cell r="D2895" t="str">
            <v>SOJA</v>
          </cell>
          <cell r="E2895">
            <v>0</v>
          </cell>
        </row>
        <row r="2896">
          <cell r="A2896" t="str">
            <v>BA</v>
          </cell>
          <cell r="B2896">
            <v>2009</v>
          </cell>
          <cell r="D2896" t="str">
            <v>MILHO</v>
          </cell>
          <cell r="E2896">
            <v>11470</v>
          </cell>
        </row>
        <row r="2897">
          <cell r="A2897" t="str">
            <v>GO</v>
          </cell>
          <cell r="B2897">
            <v>2009</v>
          </cell>
          <cell r="D2897" t="str">
            <v>MILHO</v>
          </cell>
          <cell r="E2897">
            <v>0</v>
          </cell>
        </row>
        <row r="2898">
          <cell r="A2898" t="str">
            <v>GO</v>
          </cell>
          <cell r="B2898">
            <v>2009</v>
          </cell>
          <cell r="D2898" t="str">
            <v>MILHO</v>
          </cell>
          <cell r="E2898">
            <v>10360</v>
          </cell>
        </row>
        <row r="2899">
          <cell r="A2899" t="str">
            <v>GO</v>
          </cell>
          <cell r="B2899">
            <v>2009</v>
          </cell>
          <cell r="D2899" t="str">
            <v>SOJA</v>
          </cell>
          <cell r="E2899">
            <v>0</v>
          </cell>
        </row>
        <row r="2900">
          <cell r="A2900" t="str">
            <v>GO</v>
          </cell>
          <cell r="B2900">
            <v>2009</v>
          </cell>
          <cell r="D2900" t="str">
            <v>SOJA</v>
          </cell>
          <cell r="E2900">
            <v>0</v>
          </cell>
        </row>
        <row r="2901">
          <cell r="A2901" t="str">
            <v>GO</v>
          </cell>
          <cell r="B2901">
            <v>2009</v>
          </cell>
          <cell r="D2901" t="str">
            <v>MILHO</v>
          </cell>
          <cell r="E2901">
            <v>0</v>
          </cell>
        </row>
        <row r="2902">
          <cell r="A2902" t="str">
            <v>GO</v>
          </cell>
          <cell r="B2902">
            <v>2009</v>
          </cell>
          <cell r="D2902" t="str">
            <v>SOJA</v>
          </cell>
          <cell r="E2902">
            <v>0</v>
          </cell>
        </row>
        <row r="2903">
          <cell r="A2903" t="str">
            <v>MT</v>
          </cell>
          <cell r="B2903">
            <v>2009</v>
          </cell>
          <cell r="D2903" t="str">
            <v>MILHO</v>
          </cell>
          <cell r="E2903">
            <v>0</v>
          </cell>
        </row>
        <row r="2904">
          <cell r="A2904" t="str">
            <v>MT</v>
          </cell>
          <cell r="B2904">
            <v>2009</v>
          </cell>
          <cell r="D2904" t="str">
            <v>MILHO</v>
          </cell>
          <cell r="E2904">
            <v>3980</v>
          </cell>
        </row>
        <row r="2905">
          <cell r="A2905" t="str">
            <v>MT</v>
          </cell>
          <cell r="B2905">
            <v>2009</v>
          </cell>
          <cell r="D2905" t="str">
            <v>SOJA</v>
          </cell>
          <cell r="E2905">
            <v>0</v>
          </cell>
        </row>
        <row r="2906">
          <cell r="A2906" t="str">
            <v>GO</v>
          </cell>
          <cell r="B2906">
            <v>2009</v>
          </cell>
          <cell r="D2906" t="str">
            <v>MILHO</v>
          </cell>
          <cell r="E2906">
            <v>0</v>
          </cell>
        </row>
        <row r="2907">
          <cell r="A2907" t="str">
            <v>GO</v>
          </cell>
          <cell r="B2907">
            <v>2009</v>
          </cell>
          <cell r="D2907" t="str">
            <v>MILHO</v>
          </cell>
          <cell r="E2907">
            <v>31880</v>
          </cell>
        </row>
        <row r="2908">
          <cell r="A2908" t="str">
            <v>GO</v>
          </cell>
          <cell r="B2908">
            <v>2009</v>
          </cell>
          <cell r="D2908" t="str">
            <v>SOJA</v>
          </cell>
          <cell r="E2908">
            <v>0</v>
          </cell>
        </row>
        <row r="2909">
          <cell r="A2909" t="str">
            <v>SP</v>
          </cell>
          <cell r="B2909">
            <v>2009</v>
          </cell>
          <cell r="D2909" t="str">
            <v>SOJA</v>
          </cell>
          <cell r="E2909">
            <v>0</v>
          </cell>
        </row>
        <row r="2910">
          <cell r="A2910" t="str">
            <v>MT</v>
          </cell>
          <cell r="B2910">
            <v>2009</v>
          </cell>
          <cell r="D2910" t="str">
            <v>MILHO</v>
          </cell>
          <cell r="E2910">
            <v>0</v>
          </cell>
        </row>
        <row r="2911">
          <cell r="A2911" t="str">
            <v>MT</v>
          </cell>
          <cell r="B2911">
            <v>2009</v>
          </cell>
          <cell r="D2911" t="str">
            <v>MILHO</v>
          </cell>
          <cell r="E2911">
            <v>93080</v>
          </cell>
        </row>
        <row r="2912">
          <cell r="A2912" t="str">
            <v>MT</v>
          </cell>
          <cell r="B2912">
            <v>2009</v>
          </cell>
          <cell r="D2912" t="str">
            <v>MILHO</v>
          </cell>
          <cell r="E2912">
            <v>13190</v>
          </cell>
        </row>
        <row r="2913">
          <cell r="A2913" t="str">
            <v>MT</v>
          </cell>
          <cell r="B2913">
            <v>2009</v>
          </cell>
          <cell r="D2913" t="str">
            <v>SOJA</v>
          </cell>
          <cell r="E2913">
            <v>0</v>
          </cell>
        </row>
        <row r="2914">
          <cell r="A2914" t="str">
            <v>MT</v>
          </cell>
          <cell r="B2914">
            <v>2009</v>
          </cell>
          <cell r="D2914" t="str">
            <v>MILHO</v>
          </cell>
          <cell r="E2914">
            <v>0</v>
          </cell>
        </row>
        <row r="2915">
          <cell r="A2915" t="str">
            <v>MT</v>
          </cell>
          <cell r="B2915">
            <v>2009</v>
          </cell>
          <cell r="D2915" t="str">
            <v>MILHO</v>
          </cell>
          <cell r="E2915">
            <v>15510</v>
          </cell>
        </row>
        <row r="2916">
          <cell r="A2916" t="str">
            <v>MA</v>
          </cell>
          <cell r="B2916">
            <v>2009</v>
          </cell>
          <cell r="D2916" t="str">
            <v>SOJA</v>
          </cell>
          <cell r="E2916">
            <v>0</v>
          </cell>
        </row>
        <row r="2917">
          <cell r="A2917" t="str">
            <v>MG</v>
          </cell>
          <cell r="B2917">
            <v>2009</v>
          </cell>
          <cell r="D2917" t="str">
            <v>MILHO</v>
          </cell>
          <cell r="E2917">
            <v>3200</v>
          </cell>
        </row>
        <row r="2918">
          <cell r="A2918" t="str">
            <v>MG</v>
          </cell>
          <cell r="B2918">
            <v>2009</v>
          </cell>
          <cell r="D2918" t="str">
            <v>SOJA</v>
          </cell>
          <cell r="E2918">
            <v>0</v>
          </cell>
        </row>
        <row r="2919">
          <cell r="A2919" t="str">
            <v>MT</v>
          </cell>
          <cell r="B2919">
            <v>2009</v>
          </cell>
          <cell r="D2919" t="str">
            <v>MILHO</v>
          </cell>
          <cell r="E2919">
            <v>0</v>
          </cell>
        </row>
        <row r="2920">
          <cell r="A2920" t="str">
            <v>MT</v>
          </cell>
          <cell r="B2920">
            <v>2009</v>
          </cell>
          <cell r="D2920" t="str">
            <v>MILHO</v>
          </cell>
          <cell r="E2920">
            <v>15520</v>
          </cell>
        </row>
        <row r="2921">
          <cell r="A2921" t="str">
            <v>MT</v>
          </cell>
          <cell r="B2921">
            <v>2009</v>
          </cell>
          <cell r="D2921" t="str">
            <v>SOJA</v>
          </cell>
          <cell r="E2921">
            <v>0</v>
          </cell>
        </row>
        <row r="2922">
          <cell r="A2922" t="str">
            <v>MT</v>
          </cell>
          <cell r="B2922">
            <v>2009</v>
          </cell>
          <cell r="D2922" t="str">
            <v>MILHO</v>
          </cell>
          <cell r="E2922">
            <v>0</v>
          </cell>
        </row>
        <row r="2923">
          <cell r="A2923" t="str">
            <v>MT</v>
          </cell>
          <cell r="B2923">
            <v>2009</v>
          </cell>
          <cell r="D2923" t="str">
            <v>MILHO</v>
          </cell>
          <cell r="E2923">
            <v>27160</v>
          </cell>
        </row>
        <row r="2924">
          <cell r="A2924" t="str">
            <v>MT</v>
          </cell>
          <cell r="B2924">
            <v>2009</v>
          </cell>
          <cell r="D2924" t="str">
            <v>SOJA</v>
          </cell>
          <cell r="E2924">
            <v>0</v>
          </cell>
        </row>
        <row r="2925">
          <cell r="A2925" t="str">
            <v>MT</v>
          </cell>
          <cell r="B2925">
            <v>2009</v>
          </cell>
          <cell r="D2925" t="str">
            <v>MILHO</v>
          </cell>
          <cell r="E2925">
            <v>0</v>
          </cell>
        </row>
        <row r="2926">
          <cell r="A2926" t="str">
            <v>MT</v>
          </cell>
          <cell r="B2926">
            <v>2009</v>
          </cell>
          <cell r="D2926" t="str">
            <v>MILHO</v>
          </cell>
          <cell r="E2926">
            <v>15510</v>
          </cell>
        </row>
        <row r="2927">
          <cell r="A2927" t="str">
            <v>MT</v>
          </cell>
          <cell r="B2927">
            <v>2009</v>
          </cell>
          <cell r="D2927" t="str">
            <v>MILHO</v>
          </cell>
          <cell r="E2927">
            <v>0</v>
          </cell>
        </row>
        <row r="2928">
          <cell r="A2928" t="str">
            <v>MT</v>
          </cell>
          <cell r="B2928">
            <v>2009</v>
          </cell>
          <cell r="D2928" t="str">
            <v>MILHO</v>
          </cell>
          <cell r="E2928">
            <v>31000</v>
          </cell>
        </row>
        <row r="2929">
          <cell r="A2929" t="str">
            <v>MT</v>
          </cell>
          <cell r="B2929">
            <v>2009</v>
          </cell>
          <cell r="D2929" t="str">
            <v>SOJA</v>
          </cell>
          <cell r="E2929">
            <v>0</v>
          </cell>
        </row>
        <row r="2930">
          <cell r="A2930" t="str">
            <v>GO</v>
          </cell>
          <cell r="B2930">
            <v>2009</v>
          </cell>
          <cell r="D2930" t="str">
            <v>MILHO</v>
          </cell>
          <cell r="E2930">
            <v>0</v>
          </cell>
        </row>
        <row r="2931">
          <cell r="A2931" t="str">
            <v>GO</v>
          </cell>
          <cell r="B2931">
            <v>2009</v>
          </cell>
          <cell r="D2931" t="str">
            <v>SOJA</v>
          </cell>
          <cell r="E2931">
            <v>0</v>
          </cell>
        </row>
        <row r="2932">
          <cell r="A2932" t="str">
            <v>GO</v>
          </cell>
          <cell r="B2932">
            <v>2009</v>
          </cell>
          <cell r="D2932" t="str">
            <v>SOJA</v>
          </cell>
          <cell r="E2932">
            <v>0</v>
          </cell>
        </row>
        <row r="2933">
          <cell r="A2933" t="str">
            <v>MS</v>
          </cell>
          <cell r="B2933">
            <v>2009</v>
          </cell>
          <cell r="D2933" t="str">
            <v>MILHO</v>
          </cell>
          <cell r="E2933">
            <v>0</v>
          </cell>
        </row>
        <row r="2934">
          <cell r="A2934" t="str">
            <v>MS</v>
          </cell>
          <cell r="B2934">
            <v>2009</v>
          </cell>
          <cell r="D2934" t="str">
            <v>MILHO</v>
          </cell>
          <cell r="E2934">
            <v>7660</v>
          </cell>
        </row>
        <row r="2935">
          <cell r="A2935" t="str">
            <v>PR</v>
          </cell>
          <cell r="B2935">
            <v>2009</v>
          </cell>
          <cell r="D2935" t="str">
            <v>MILHO</v>
          </cell>
          <cell r="E2935">
            <v>1600</v>
          </cell>
        </row>
        <row r="2936">
          <cell r="A2936" t="str">
            <v>PR</v>
          </cell>
          <cell r="B2936">
            <v>2009</v>
          </cell>
          <cell r="D2936" t="str">
            <v>MILHO</v>
          </cell>
          <cell r="E2936">
            <v>0</v>
          </cell>
        </row>
        <row r="2937">
          <cell r="A2937" t="str">
            <v>PR</v>
          </cell>
          <cell r="B2937">
            <v>2009</v>
          </cell>
          <cell r="D2937" t="str">
            <v>SOJA</v>
          </cell>
          <cell r="E2937">
            <v>0</v>
          </cell>
        </row>
        <row r="2938">
          <cell r="A2938" t="str">
            <v>MT</v>
          </cell>
          <cell r="B2938">
            <v>2009</v>
          </cell>
          <cell r="D2938" t="str">
            <v>MILHO</v>
          </cell>
          <cell r="E2938">
            <v>0</v>
          </cell>
        </row>
        <row r="2939">
          <cell r="A2939" t="str">
            <v>MT</v>
          </cell>
          <cell r="B2939">
            <v>2009</v>
          </cell>
          <cell r="D2939" t="str">
            <v>SOJA</v>
          </cell>
          <cell r="E2939">
            <v>0</v>
          </cell>
        </row>
        <row r="2940">
          <cell r="A2940" t="str">
            <v>MT</v>
          </cell>
          <cell r="B2940">
            <v>2009</v>
          </cell>
          <cell r="D2940" t="str">
            <v>MILHO</v>
          </cell>
          <cell r="E2940">
            <v>0</v>
          </cell>
        </row>
        <row r="2941">
          <cell r="A2941" t="str">
            <v>MT</v>
          </cell>
          <cell r="B2941">
            <v>2009</v>
          </cell>
          <cell r="D2941" t="str">
            <v>MILHO</v>
          </cell>
          <cell r="E2941">
            <v>15510</v>
          </cell>
        </row>
        <row r="2942">
          <cell r="A2942" t="str">
            <v>MT</v>
          </cell>
          <cell r="B2942">
            <v>2009</v>
          </cell>
          <cell r="D2942" t="str">
            <v>MILHO</v>
          </cell>
          <cell r="E2942">
            <v>0</v>
          </cell>
        </row>
        <row r="2943">
          <cell r="A2943" t="str">
            <v>MT</v>
          </cell>
          <cell r="B2943">
            <v>2009</v>
          </cell>
          <cell r="D2943" t="str">
            <v>SOJA</v>
          </cell>
          <cell r="E2943">
            <v>4410</v>
          </cell>
        </row>
        <row r="2944">
          <cell r="A2944" t="str">
            <v>MT</v>
          </cell>
          <cell r="B2944">
            <v>2009</v>
          </cell>
          <cell r="D2944" t="str">
            <v>MILHO</v>
          </cell>
          <cell r="E2944">
            <v>23270</v>
          </cell>
        </row>
        <row r="2945">
          <cell r="A2945" t="str">
            <v>BA</v>
          </cell>
          <cell r="B2945">
            <v>2009</v>
          </cell>
          <cell r="D2945" t="str">
            <v>MILHO</v>
          </cell>
          <cell r="E2945">
            <v>6880</v>
          </cell>
        </row>
        <row r="2946">
          <cell r="A2946" t="str">
            <v>BA</v>
          </cell>
          <cell r="B2946">
            <v>2009</v>
          </cell>
          <cell r="D2946" t="str">
            <v>SOJA</v>
          </cell>
          <cell r="E2946">
            <v>960</v>
          </cell>
        </row>
        <row r="2947">
          <cell r="A2947" t="str">
            <v>BA</v>
          </cell>
          <cell r="B2947">
            <v>2009</v>
          </cell>
          <cell r="D2947" t="str">
            <v>MILHO</v>
          </cell>
          <cell r="E2947">
            <v>0</v>
          </cell>
        </row>
        <row r="2948">
          <cell r="A2948" t="str">
            <v>RS</v>
          </cell>
          <cell r="B2948">
            <v>2009</v>
          </cell>
          <cell r="D2948" t="str">
            <v>SOJA</v>
          </cell>
          <cell r="E2948">
            <v>0</v>
          </cell>
        </row>
        <row r="2949">
          <cell r="A2949" t="str">
            <v>RS</v>
          </cell>
          <cell r="B2949">
            <v>2009</v>
          </cell>
          <cell r="D2949" t="str">
            <v>SOJA</v>
          </cell>
          <cell r="E2949">
            <v>1020</v>
          </cell>
        </row>
        <row r="2950">
          <cell r="A2950" t="str">
            <v>MS</v>
          </cell>
          <cell r="B2950">
            <v>2009</v>
          </cell>
          <cell r="D2950" t="str">
            <v>MILHO</v>
          </cell>
          <cell r="E2950">
            <v>0</v>
          </cell>
        </row>
        <row r="2951">
          <cell r="A2951" t="str">
            <v>MS</v>
          </cell>
          <cell r="B2951">
            <v>2009</v>
          </cell>
          <cell r="D2951" t="str">
            <v>MILHO</v>
          </cell>
          <cell r="E2951">
            <v>2680</v>
          </cell>
        </row>
        <row r="2952">
          <cell r="A2952" t="str">
            <v>MS</v>
          </cell>
          <cell r="B2952">
            <v>2009</v>
          </cell>
          <cell r="D2952" t="str">
            <v>SOJA</v>
          </cell>
          <cell r="E2952">
            <v>0</v>
          </cell>
        </row>
        <row r="2953">
          <cell r="A2953" t="str">
            <v>MS</v>
          </cell>
          <cell r="B2953">
            <v>2009</v>
          </cell>
          <cell r="D2953" t="str">
            <v>MILHO</v>
          </cell>
          <cell r="E2953">
            <v>0</v>
          </cell>
        </row>
        <row r="2954">
          <cell r="A2954" t="str">
            <v>MS</v>
          </cell>
          <cell r="B2954">
            <v>2009</v>
          </cell>
          <cell r="D2954" t="str">
            <v>MILHO</v>
          </cell>
          <cell r="E2954">
            <v>6130</v>
          </cell>
        </row>
        <row r="2955">
          <cell r="A2955" t="str">
            <v>MS</v>
          </cell>
          <cell r="B2955">
            <v>2009</v>
          </cell>
          <cell r="D2955" t="str">
            <v>SOJA</v>
          </cell>
          <cell r="E2955">
            <v>0</v>
          </cell>
        </row>
        <row r="2956">
          <cell r="A2956" t="str">
            <v>MS</v>
          </cell>
          <cell r="B2956">
            <v>2009</v>
          </cell>
          <cell r="D2956" t="str">
            <v>MILHO</v>
          </cell>
          <cell r="E2956">
            <v>0</v>
          </cell>
        </row>
        <row r="2957">
          <cell r="A2957" t="str">
            <v>MS</v>
          </cell>
          <cell r="B2957">
            <v>2009</v>
          </cell>
          <cell r="D2957" t="str">
            <v>MILHO</v>
          </cell>
          <cell r="E2957">
            <v>6130</v>
          </cell>
        </row>
        <row r="2958">
          <cell r="A2958" t="str">
            <v>MS</v>
          </cell>
          <cell r="B2958">
            <v>2009</v>
          </cell>
          <cell r="D2958" t="str">
            <v>SOJA</v>
          </cell>
          <cell r="E2958">
            <v>0</v>
          </cell>
        </row>
        <row r="2959">
          <cell r="A2959" t="str">
            <v>GO</v>
          </cell>
          <cell r="B2959">
            <v>2009</v>
          </cell>
          <cell r="D2959" t="str">
            <v>SOJA</v>
          </cell>
          <cell r="E2959">
            <v>0</v>
          </cell>
        </row>
        <row r="2960">
          <cell r="A2960" t="str">
            <v>MT</v>
          </cell>
          <cell r="B2960">
            <v>2009</v>
          </cell>
          <cell r="D2960" t="str">
            <v>MILHO</v>
          </cell>
          <cell r="E2960">
            <v>3880</v>
          </cell>
        </row>
        <row r="2961">
          <cell r="A2961" t="str">
            <v>MT</v>
          </cell>
          <cell r="B2961">
            <v>2009</v>
          </cell>
          <cell r="D2961" t="str">
            <v>MILHO</v>
          </cell>
          <cell r="E2961">
            <v>0</v>
          </cell>
        </row>
        <row r="2962">
          <cell r="A2962" t="str">
            <v>RS</v>
          </cell>
          <cell r="B2962">
            <v>2009</v>
          </cell>
          <cell r="D2962" t="str">
            <v>MILHO</v>
          </cell>
          <cell r="E2962">
            <v>0</v>
          </cell>
        </row>
        <row r="2963">
          <cell r="A2963" t="str">
            <v>RS</v>
          </cell>
          <cell r="B2963">
            <v>2009</v>
          </cell>
          <cell r="D2963" t="str">
            <v>SOJA</v>
          </cell>
          <cell r="E2963">
            <v>1020</v>
          </cell>
        </row>
        <row r="2964">
          <cell r="A2964" t="str">
            <v>RS</v>
          </cell>
          <cell r="B2964">
            <v>2009</v>
          </cell>
          <cell r="D2964" t="str">
            <v>SOJA</v>
          </cell>
          <cell r="E2964">
            <v>0</v>
          </cell>
        </row>
        <row r="2965">
          <cell r="A2965" t="str">
            <v>MT</v>
          </cell>
          <cell r="B2965">
            <v>2009</v>
          </cell>
          <cell r="D2965" t="str">
            <v>MILHO</v>
          </cell>
          <cell r="E2965">
            <v>0</v>
          </cell>
        </row>
        <row r="2966">
          <cell r="A2966" t="str">
            <v>MT</v>
          </cell>
          <cell r="B2966">
            <v>2009</v>
          </cell>
          <cell r="D2966" t="str">
            <v>MILHO</v>
          </cell>
          <cell r="E2966">
            <v>7760</v>
          </cell>
        </row>
        <row r="2967">
          <cell r="A2967" t="str">
            <v>RS</v>
          </cell>
          <cell r="B2967">
            <v>2009</v>
          </cell>
          <cell r="D2967" t="str">
            <v>SOJA</v>
          </cell>
          <cell r="E2967">
            <v>0</v>
          </cell>
        </row>
        <row r="2968">
          <cell r="A2968" t="str">
            <v>RS</v>
          </cell>
          <cell r="B2968">
            <v>2009</v>
          </cell>
          <cell r="D2968" t="str">
            <v>SOJA</v>
          </cell>
          <cell r="E2968">
            <v>1020</v>
          </cell>
        </row>
        <row r="2969">
          <cell r="A2969" t="str">
            <v>RS</v>
          </cell>
          <cell r="B2969">
            <v>2009</v>
          </cell>
          <cell r="D2969" t="str">
            <v>MILHO</v>
          </cell>
          <cell r="E2969">
            <v>0</v>
          </cell>
        </row>
        <row r="2970">
          <cell r="A2970" t="str">
            <v>RS</v>
          </cell>
          <cell r="B2970">
            <v>2009</v>
          </cell>
          <cell r="D2970" t="str">
            <v>SOJA</v>
          </cell>
          <cell r="E2970">
            <v>1020</v>
          </cell>
        </row>
        <row r="2971">
          <cell r="A2971" t="str">
            <v>RS</v>
          </cell>
          <cell r="B2971">
            <v>2009</v>
          </cell>
          <cell r="D2971" t="str">
            <v>SOJA</v>
          </cell>
          <cell r="E2971">
            <v>0</v>
          </cell>
        </row>
        <row r="2972">
          <cell r="A2972" t="str">
            <v>MS</v>
          </cell>
          <cell r="B2972">
            <v>2009</v>
          </cell>
          <cell r="D2972" t="str">
            <v>MILHO</v>
          </cell>
          <cell r="E2972">
            <v>0</v>
          </cell>
        </row>
        <row r="2973">
          <cell r="A2973" t="str">
            <v>MS</v>
          </cell>
          <cell r="B2973">
            <v>2009</v>
          </cell>
          <cell r="D2973" t="str">
            <v>MILHO</v>
          </cell>
          <cell r="E2973">
            <v>6890</v>
          </cell>
        </row>
        <row r="2974">
          <cell r="A2974" t="str">
            <v>MS</v>
          </cell>
          <cell r="B2974">
            <v>2009</v>
          </cell>
          <cell r="D2974" t="str">
            <v>SOJA</v>
          </cell>
          <cell r="E2974">
            <v>0</v>
          </cell>
        </row>
        <row r="2975">
          <cell r="A2975" t="str">
            <v>MS</v>
          </cell>
          <cell r="B2975">
            <v>2009</v>
          </cell>
          <cell r="D2975" t="str">
            <v>MILHO</v>
          </cell>
          <cell r="E2975">
            <v>4600</v>
          </cell>
        </row>
        <row r="2976">
          <cell r="A2976" t="str">
            <v>MS</v>
          </cell>
          <cell r="B2976">
            <v>2009</v>
          </cell>
          <cell r="D2976" t="str">
            <v>MILHO</v>
          </cell>
          <cell r="E2976">
            <v>5360</v>
          </cell>
        </row>
        <row r="2977">
          <cell r="A2977" t="str">
            <v>MS</v>
          </cell>
          <cell r="B2977">
            <v>2009</v>
          </cell>
          <cell r="D2977" t="str">
            <v>MILHO</v>
          </cell>
          <cell r="E2977">
            <v>0</v>
          </cell>
        </row>
        <row r="2978">
          <cell r="A2978" t="str">
            <v>MS</v>
          </cell>
          <cell r="B2978">
            <v>2009</v>
          </cell>
          <cell r="D2978" t="str">
            <v>SOJA</v>
          </cell>
          <cell r="E2978">
            <v>9650</v>
          </cell>
        </row>
        <row r="2979">
          <cell r="A2979" t="str">
            <v>MS</v>
          </cell>
          <cell r="B2979">
            <v>2009</v>
          </cell>
          <cell r="D2979" t="str">
            <v>SOJA</v>
          </cell>
          <cell r="E2979">
            <v>0</v>
          </cell>
        </row>
        <row r="2980">
          <cell r="A2980" t="str">
            <v>SC</v>
          </cell>
          <cell r="B2980">
            <v>2009</v>
          </cell>
          <cell r="D2980" t="str">
            <v>MILHO</v>
          </cell>
          <cell r="E2980">
            <v>11460</v>
          </cell>
        </row>
        <row r="2981">
          <cell r="A2981" t="str">
            <v>SC</v>
          </cell>
          <cell r="B2981">
            <v>2009</v>
          </cell>
          <cell r="D2981" t="str">
            <v>SOJA</v>
          </cell>
          <cell r="E2981">
            <v>19810</v>
          </cell>
        </row>
        <row r="2982">
          <cell r="A2982" t="str">
            <v>MT</v>
          </cell>
          <cell r="B2982">
            <v>2009</v>
          </cell>
          <cell r="D2982" t="str">
            <v>MILHO</v>
          </cell>
          <cell r="E2982">
            <v>1550</v>
          </cell>
        </row>
        <row r="2983">
          <cell r="A2983" t="str">
            <v>MT</v>
          </cell>
          <cell r="B2983">
            <v>2009</v>
          </cell>
          <cell r="D2983" t="str">
            <v>MILHO</v>
          </cell>
          <cell r="E2983">
            <v>0</v>
          </cell>
        </row>
        <row r="2984">
          <cell r="A2984" t="str">
            <v>MT</v>
          </cell>
          <cell r="B2984">
            <v>2009</v>
          </cell>
          <cell r="D2984" t="str">
            <v>MILHO</v>
          </cell>
          <cell r="E2984">
            <v>0</v>
          </cell>
        </row>
        <row r="2985">
          <cell r="A2985" t="str">
            <v>PI</v>
          </cell>
          <cell r="B2985">
            <v>2009</v>
          </cell>
          <cell r="D2985" t="str">
            <v>SOJA</v>
          </cell>
          <cell r="E2985">
            <v>0</v>
          </cell>
        </row>
        <row r="2986">
          <cell r="A2986" t="str">
            <v>GO</v>
          </cell>
          <cell r="B2986">
            <v>2009</v>
          </cell>
          <cell r="D2986" t="str">
            <v>SOJA</v>
          </cell>
          <cell r="E2986">
            <v>0</v>
          </cell>
        </row>
        <row r="2987">
          <cell r="A2987" t="str">
            <v>MT</v>
          </cell>
          <cell r="B2987">
            <v>2009</v>
          </cell>
          <cell r="D2987" t="str">
            <v>SOJA</v>
          </cell>
          <cell r="E2987">
            <v>0</v>
          </cell>
        </row>
        <row r="2988">
          <cell r="A2988" t="str">
            <v>MA</v>
          </cell>
          <cell r="B2988">
            <v>2009</v>
          </cell>
          <cell r="D2988" t="str">
            <v>SOJA</v>
          </cell>
          <cell r="E2988">
            <v>0</v>
          </cell>
        </row>
        <row r="2989">
          <cell r="A2989" t="str">
            <v>RS</v>
          </cell>
          <cell r="B2989">
            <v>2009</v>
          </cell>
          <cell r="D2989" t="str">
            <v>MILHO</v>
          </cell>
          <cell r="E2989">
            <v>0</v>
          </cell>
        </row>
        <row r="2990">
          <cell r="A2990" t="str">
            <v>RS</v>
          </cell>
          <cell r="B2990">
            <v>2009</v>
          </cell>
          <cell r="D2990" t="str">
            <v>SOJA</v>
          </cell>
          <cell r="E2990">
            <v>3060</v>
          </cell>
        </row>
        <row r="2991">
          <cell r="A2991" t="str">
            <v>RS</v>
          </cell>
          <cell r="B2991">
            <v>2009</v>
          </cell>
          <cell r="D2991" t="str">
            <v>SOJA</v>
          </cell>
          <cell r="E2991">
            <v>5090</v>
          </cell>
        </row>
        <row r="2992">
          <cell r="A2992" t="str">
            <v>RS</v>
          </cell>
          <cell r="B2992">
            <v>2009</v>
          </cell>
          <cell r="D2992" t="str">
            <v>SOJA</v>
          </cell>
          <cell r="E2992">
            <v>0</v>
          </cell>
        </row>
        <row r="2993">
          <cell r="A2993" t="str">
            <v>MT</v>
          </cell>
          <cell r="B2993">
            <v>2009</v>
          </cell>
          <cell r="D2993" t="str">
            <v>SOJA</v>
          </cell>
          <cell r="E2993">
            <v>0</v>
          </cell>
        </row>
        <row r="2994">
          <cell r="A2994" t="str">
            <v>MT</v>
          </cell>
          <cell r="B2994">
            <v>2009</v>
          </cell>
          <cell r="D2994" t="str">
            <v>SOJA</v>
          </cell>
          <cell r="E2994">
            <v>0</v>
          </cell>
        </row>
        <row r="2995">
          <cell r="A2995" t="str">
            <v>PI</v>
          </cell>
          <cell r="B2995">
            <v>2009</v>
          </cell>
          <cell r="D2995" t="str">
            <v>SOJA</v>
          </cell>
          <cell r="E2995">
            <v>0</v>
          </cell>
        </row>
        <row r="2996">
          <cell r="A2996" t="str">
            <v>GO</v>
          </cell>
          <cell r="B2996">
            <v>2009</v>
          </cell>
          <cell r="D2996" t="str">
            <v>MILHO</v>
          </cell>
          <cell r="E2996">
            <v>0</v>
          </cell>
        </row>
        <row r="2997">
          <cell r="A2997" t="str">
            <v>GO</v>
          </cell>
          <cell r="B2997">
            <v>2009</v>
          </cell>
          <cell r="D2997" t="str">
            <v>MILHO</v>
          </cell>
          <cell r="E2997">
            <v>23110</v>
          </cell>
        </row>
        <row r="2998">
          <cell r="A2998" t="str">
            <v>GO</v>
          </cell>
          <cell r="B2998">
            <v>2009</v>
          </cell>
          <cell r="D2998" t="str">
            <v>SOJA</v>
          </cell>
          <cell r="E2998">
            <v>0</v>
          </cell>
        </row>
        <row r="2999">
          <cell r="A2999" t="str">
            <v>GO</v>
          </cell>
          <cell r="B2999">
            <v>2009</v>
          </cell>
          <cell r="D2999" t="str">
            <v>SOJA</v>
          </cell>
          <cell r="E2999">
            <v>0</v>
          </cell>
        </row>
        <row r="3000">
          <cell r="A3000" t="str">
            <v>PR</v>
          </cell>
          <cell r="B3000">
            <v>2009</v>
          </cell>
          <cell r="D3000" t="str">
            <v>MILHO</v>
          </cell>
          <cell r="E3000">
            <v>0</v>
          </cell>
        </row>
        <row r="3001">
          <cell r="A3001" t="str">
            <v>PR</v>
          </cell>
          <cell r="B3001">
            <v>2009</v>
          </cell>
          <cell r="D3001" t="str">
            <v>SOJA</v>
          </cell>
          <cell r="E3001">
            <v>0</v>
          </cell>
        </row>
        <row r="3002">
          <cell r="A3002" t="str">
            <v>PI</v>
          </cell>
          <cell r="B3002">
            <v>2009</v>
          </cell>
          <cell r="D3002" t="str">
            <v>SOJA</v>
          </cell>
          <cell r="E3002">
            <v>0</v>
          </cell>
        </row>
        <row r="3003">
          <cell r="A3003" t="str">
            <v>MA</v>
          </cell>
          <cell r="B3003">
            <v>2009</v>
          </cell>
          <cell r="D3003" t="str">
            <v>SOJA</v>
          </cell>
          <cell r="E3003">
            <v>0</v>
          </cell>
        </row>
        <row r="3004">
          <cell r="A3004" t="str">
            <v>GO</v>
          </cell>
          <cell r="B3004">
            <v>2009</v>
          </cell>
          <cell r="D3004" t="str">
            <v>SOJA</v>
          </cell>
          <cell r="E3004">
            <v>0</v>
          </cell>
        </row>
        <row r="3005">
          <cell r="A3005" t="str">
            <v>GO</v>
          </cell>
          <cell r="B3005">
            <v>2009</v>
          </cell>
          <cell r="D3005" t="str">
            <v>SOJA</v>
          </cell>
          <cell r="E3005">
            <v>3910</v>
          </cell>
        </row>
        <row r="3006">
          <cell r="A3006" t="str">
            <v>PR</v>
          </cell>
          <cell r="B3006">
            <v>2009</v>
          </cell>
          <cell r="D3006" t="str">
            <v>MILHO</v>
          </cell>
          <cell r="E3006">
            <v>0</v>
          </cell>
        </row>
        <row r="3007">
          <cell r="A3007" t="str">
            <v>PR</v>
          </cell>
          <cell r="B3007">
            <v>2009</v>
          </cell>
          <cell r="D3007" t="str">
            <v>MILHO</v>
          </cell>
          <cell r="E3007">
            <v>26350</v>
          </cell>
        </row>
        <row r="3008">
          <cell r="A3008" t="str">
            <v>PR</v>
          </cell>
          <cell r="B3008">
            <v>2009</v>
          </cell>
          <cell r="D3008" t="str">
            <v>SOJA</v>
          </cell>
          <cell r="E3008">
            <v>5160</v>
          </cell>
        </row>
        <row r="3009">
          <cell r="A3009" t="str">
            <v>PR</v>
          </cell>
          <cell r="B3009">
            <v>2009</v>
          </cell>
          <cell r="D3009" t="str">
            <v>SOJA</v>
          </cell>
          <cell r="E3009">
            <v>0</v>
          </cell>
        </row>
        <row r="3010">
          <cell r="A3010" t="str">
            <v>PR</v>
          </cell>
          <cell r="B3010">
            <v>2009</v>
          </cell>
          <cell r="D3010" t="str">
            <v>MILHO</v>
          </cell>
          <cell r="E3010">
            <v>3990</v>
          </cell>
        </row>
        <row r="3011">
          <cell r="A3011" t="str">
            <v>PR</v>
          </cell>
          <cell r="B3011">
            <v>2009</v>
          </cell>
          <cell r="D3011" t="str">
            <v>MILHO</v>
          </cell>
          <cell r="E3011">
            <v>0</v>
          </cell>
        </row>
        <row r="3012">
          <cell r="A3012" t="str">
            <v>PR</v>
          </cell>
          <cell r="B3012">
            <v>2009</v>
          </cell>
          <cell r="D3012" t="str">
            <v>MILHO</v>
          </cell>
          <cell r="E3012">
            <v>0</v>
          </cell>
        </row>
        <row r="3013">
          <cell r="A3013" t="str">
            <v>PR</v>
          </cell>
          <cell r="B3013">
            <v>2009</v>
          </cell>
          <cell r="D3013" t="str">
            <v>SOJA</v>
          </cell>
          <cell r="E3013">
            <v>0</v>
          </cell>
        </row>
        <row r="3014">
          <cell r="A3014" t="str">
            <v>MT</v>
          </cell>
          <cell r="B3014">
            <v>2009</v>
          </cell>
          <cell r="D3014" t="str">
            <v>MILHO</v>
          </cell>
          <cell r="E3014">
            <v>0</v>
          </cell>
        </row>
        <row r="3015">
          <cell r="A3015" t="str">
            <v>MT</v>
          </cell>
          <cell r="B3015">
            <v>2009</v>
          </cell>
          <cell r="D3015" t="str">
            <v>MILHO</v>
          </cell>
          <cell r="E3015">
            <v>0</v>
          </cell>
        </row>
        <row r="3016">
          <cell r="A3016" t="str">
            <v>RS</v>
          </cell>
          <cell r="B3016">
            <v>2009</v>
          </cell>
          <cell r="D3016" t="str">
            <v>SOJA</v>
          </cell>
          <cell r="E3016">
            <v>510</v>
          </cell>
        </row>
        <row r="3017">
          <cell r="A3017" t="str">
            <v>RS</v>
          </cell>
          <cell r="B3017">
            <v>2009</v>
          </cell>
          <cell r="D3017" t="str">
            <v>SOJA</v>
          </cell>
          <cell r="E3017">
            <v>14770</v>
          </cell>
        </row>
        <row r="3018">
          <cell r="A3018" t="str">
            <v>RS</v>
          </cell>
          <cell r="B3018">
            <v>2009</v>
          </cell>
          <cell r="D3018" t="str">
            <v>SOJA</v>
          </cell>
          <cell r="E3018">
            <v>10180</v>
          </cell>
        </row>
        <row r="3019">
          <cell r="A3019" t="str">
            <v>RS</v>
          </cell>
          <cell r="B3019">
            <v>2009</v>
          </cell>
          <cell r="D3019" t="str">
            <v>MILHO</v>
          </cell>
          <cell r="E3019">
            <v>1310</v>
          </cell>
        </row>
        <row r="3020">
          <cell r="A3020" t="str">
            <v>RS</v>
          </cell>
          <cell r="B3020">
            <v>2009</v>
          </cell>
          <cell r="D3020" t="str">
            <v>SOJA</v>
          </cell>
          <cell r="E3020">
            <v>5090</v>
          </cell>
        </row>
        <row r="3021">
          <cell r="A3021" t="str">
            <v>RS</v>
          </cell>
          <cell r="B3021">
            <v>2009</v>
          </cell>
          <cell r="D3021" t="str">
            <v>SOJA</v>
          </cell>
          <cell r="E3021">
            <v>0</v>
          </cell>
        </row>
        <row r="3022">
          <cell r="A3022" t="str">
            <v>RS</v>
          </cell>
          <cell r="B3022">
            <v>2009</v>
          </cell>
          <cell r="D3022" t="str">
            <v>MILHO</v>
          </cell>
          <cell r="E3022">
            <v>0</v>
          </cell>
        </row>
        <row r="3023">
          <cell r="A3023" t="str">
            <v>RS</v>
          </cell>
          <cell r="B3023">
            <v>2009</v>
          </cell>
          <cell r="D3023" t="str">
            <v>SOJA</v>
          </cell>
          <cell r="E3023">
            <v>3060</v>
          </cell>
        </row>
        <row r="3024">
          <cell r="A3024" t="str">
            <v>RS</v>
          </cell>
          <cell r="B3024">
            <v>2009</v>
          </cell>
          <cell r="D3024" t="str">
            <v>SOJA</v>
          </cell>
          <cell r="E3024">
            <v>0</v>
          </cell>
        </row>
        <row r="3025">
          <cell r="A3025" t="str">
            <v>PR</v>
          </cell>
          <cell r="B3025">
            <v>2009</v>
          </cell>
          <cell r="D3025" t="str">
            <v>MILHO</v>
          </cell>
          <cell r="E3025">
            <v>4790</v>
          </cell>
        </row>
        <row r="3026">
          <cell r="A3026" t="str">
            <v>PR</v>
          </cell>
          <cell r="B3026">
            <v>2009</v>
          </cell>
          <cell r="D3026" t="str">
            <v>MILHO</v>
          </cell>
          <cell r="E3026">
            <v>0</v>
          </cell>
        </row>
        <row r="3027">
          <cell r="A3027" t="str">
            <v>PR</v>
          </cell>
          <cell r="B3027">
            <v>2009</v>
          </cell>
          <cell r="D3027" t="str">
            <v>SOJA</v>
          </cell>
          <cell r="E3027">
            <v>0</v>
          </cell>
        </row>
        <row r="3028">
          <cell r="A3028" t="str">
            <v>PR</v>
          </cell>
          <cell r="B3028">
            <v>2009</v>
          </cell>
          <cell r="D3028" t="str">
            <v>MILHO</v>
          </cell>
          <cell r="E3028">
            <v>9580</v>
          </cell>
        </row>
        <row r="3029">
          <cell r="A3029" t="str">
            <v>PR</v>
          </cell>
          <cell r="B3029">
            <v>2009</v>
          </cell>
          <cell r="D3029" t="str">
            <v>MILHO</v>
          </cell>
          <cell r="E3029">
            <v>0</v>
          </cell>
        </row>
        <row r="3030">
          <cell r="A3030" t="str">
            <v>PR</v>
          </cell>
          <cell r="B3030">
            <v>2009</v>
          </cell>
          <cell r="D3030" t="str">
            <v>SOJA</v>
          </cell>
          <cell r="E3030">
            <v>0</v>
          </cell>
        </row>
        <row r="3031">
          <cell r="A3031" t="str">
            <v>PR</v>
          </cell>
          <cell r="B3031">
            <v>2009</v>
          </cell>
          <cell r="D3031" t="str">
            <v>MILHO</v>
          </cell>
          <cell r="E3031">
            <v>15970</v>
          </cell>
        </row>
        <row r="3032">
          <cell r="A3032" t="str">
            <v>PR</v>
          </cell>
          <cell r="B3032">
            <v>2009</v>
          </cell>
          <cell r="D3032" t="str">
            <v>MILHO</v>
          </cell>
          <cell r="E3032">
            <v>0</v>
          </cell>
        </row>
        <row r="3033">
          <cell r="A3033" t="str">
            <v>PR</v>
          </cell>
          <cell r="B3033">
            <v>2009</v>
          </cell>
          <cell r="D3033" t="str">
            <v>SOJA</v>
          </cell>
          <cell r="E3033">
            <v>0</v>
          </cell>
        </row>
        <row r="3034">
          <cell r="A3034" t="str">
            <v>PR</v>
          </cell>
          <cell r="B3034">
            <v>2009</v>
          </cell>
          <cell r="D3034" t="str">
            <v>MILHO</v>
          </cell>
          <cell r="E3034">
            <v>5590</v>
          </cell>
        </row>
        <row r="3035">
          <cell r="A3035" t="str">
            <v>PR</v>
          </cell>
          <cell r="B3035">
            <v>2009</v>
          </cell>
          <cell r="D3035" t="str">
            <v>MILHO</v>
          </cell>
          <cell r="E3035">
            <v>0</v>
          </cell>
        </row>
        <row r="3036">
          <cell r="A3036" t="str">
            <v>PR</v>
          </cell>
          <cell r="B3036">
            <v>2009</v>
          </cell>
          <cell r="D3036" t="str">
            <v>SOJA</v>
          </cell>
          <cell r="E3036">
            <v>0</v>
          </cell>
        </row>
        <row r="3037">
          <cell r="A3037" t="str">
            <v>SP</v>
          </cell>
          <cell r="B3037">
            <v>2009</v>
          </cell>
          <cell r="D3037" t="str">
            <v>MILHO</v>
          </cell>
          <cell r="E3037">
            <v>3190</v>
          </cell>
        </row>
        <row r="3038">
          <cell r="A3038" t="str">
            <v>SP</v>
          </cell>
          <cell r="B3038">
            <v>2009</v>
          </cell>
          <cell r="D3038" t="str">
            <v>MILHO</v>
          </cell>
          <cell r="E3038">
            <v>0</v>
          </cell>
        </row>
        <row r="3039">
          <cell r="A3039" t="str">
            <v>PR</v>
          </cell>
          <cell r="B3039">
            <v>2009</v>
          </cell>
          <cell r="D3039" t="str">
            <v>MILHO</v>
          </cell>
          <cell r="E3039">
            <v>23950</v>
          </cell>
        </row>
        <row r="3040">
          <cell r="A3040" t="str">
            <v>PR</v>
          </cell>
          <cell r="B3040">
            <v>2009</v>
          </cell>
          <cell r="D3040" t="str">
            <v>MILHO</v>
          </cell>
          <cell r="E3040">
            <v>0</v>
          </cell>
        </row>
        <row r="3041">
          <cell r="A3041" t="str">
            <v>PR</v>
          </cell>
          <cell r="B3041">
            <v>2009</v>
          </cell>
          <cell r="D3041" t="str">
            <v>SOJA</v>
          </cell>
          <cell r="E3041">
            <v>0</v>
          </cell>
        </row>
        <row r="3042">
          <cell r="A3042" t="str">
            <v>MT</v>
          </cell>
          <cell r="B3042">
            <v>2009</v>
          </cell>
          <cell r="D3042" t="str">
            <v>MILHO</v>
          </cell>
          <cell r="E3042">
            <v>1550</v>
          </cell>
        </row>
        <row r="3043">
          <cell r="A3043" t="str">
            <v>MT</v>
          </cell>
          <cell r="B3043">
            <v>2009</v>
          </cell>
          <cell r="D3043" t="str">
            <v>MILHO</v>
          </cell>
          <cell r="E3043">
            <v>0</v>
          </cell>
        </row>
        <row r="3044">
          <cell r="A3044" t="str">
            <v>MT</v>
          </cell>
          <cell r="B3044">
            <v>2009</v>
          </cell>
          <cell r="D3044" t="str">
            <v>MILHO</v>
          </cell>
          <cell r="E3044">
            <v>2330</v>
          </cell>
        </row>
        <row r="3045">
          <cell r="A3045" t="str">
            <v>MT</v>
          </cell>
          <cell r="B3045">
            <v>2009</v>
          </cell>
          <cell r="D3045" t="str">
            <v>MILHO</v>
          </cell>
          <cell r="E3045">
            <v>0</v>
          </cell>
        </row>
        <row r="3046">
          <cell r="A3046" t="str">
            <v>MS</v>
          </cell>
          <cell r="B3046">
            <v>2009</v>
          </cell>
          <cell r="D3046" t="str">
            <v>MILHO</v>
          </cell>
          <cell r="E3046">
            <v>0</v>
          </cell>
        </row>
        <row r="3047">
          <cell r="A3047" t="str">
            <v>PR</v>
          </cell>
          <cell r="B3047">
            <v>2009</v>
          </cell>
          <cell r="D3047" t="str">
            <v>MILHO</v>
          </cell>
          <cell r="E3047">
            <v>0</v>
          </cell>
        </row>
        <row r="3048">
          <cell r="A3048" t="str">
            <v>PR</v>
          </cell>
          <cell r="B3048">
            <v>2009</v>
          </cell>
          <cell r="D3048" t="str">
            <v>SOJA</v>
          </cell>
          <cell r="E3048">
            <v>0</v>
          </cell>
        </row>
        <row r="3049">
          <cell r="A3049" t="str">
            <v>PR</v>
          </cell>
          <cell r="B3049">
            <v>2009</v>
          </cell>
          <cell r="D3049" t="str">
            <v>SOJA</v>
          </cell>
          <cell r="E3049">
            <v>21500</v>
          </cell>
        </row>
        <row r="3050">
          <cell r="A3050" t="str">
            <v>PR</v>
          </cell>
          <cell r="B3050">
            <v>2009</v>
          </cell>
          <cell r="D3050" t="str">
            <v>MILHO</v>
          </cell>
          <cell r="E3050">
            <v>6390</v>
          </cell>
        </row>
        <row r="3051">
          <cell r="A3051" t="str">
            <v>PR</v>
          </cell>
          <cell r="B3051">
            <v>2009</v>
          </cell>
          <cell r="D3051" t="str">
            <v>MILHO</v>
          </cell>
          <cell r="E3051">
            <v>11980</v>
          </cell>
        </row>
        <row r="3052">
          <cell r="A3052" t="str">
            <v>PR</v>
          </cell>
          <cell r="B3052">
            <v>2009</v>
          </cell>
          <cell r="D3052" t="str">
            <v>MILHO</v>
          </cell>
          <cell r="E3052">
            <v>0</v>
          </cell>
        </row>
        <row r="3053">
          <cell r="A3053" t="str">
            <v>BA</v>
          </cell>
          <cell r="B3053">
            <v>2009</v>
          </cell>
          <cell r="D3053" t="str">
            <v>SOJA</v>
          </cell>
          <cell r="E3053">
            <v>9630</v>
          </cell>
        </row>
        <row r="3054">
          <cell r="A3054" t="str">
            <v>MT</v>
          </cell>
          <cell r="B3054">
            <v>2009</v>
          </cell>
          <cell r="D3054" t="str">
            <v>MILHO</v>
          </cell>
          <cell r="E3054">
            <v>0</v>
          </cell>
        </row>
        <row r="3055">
          <cell r="A3055" t="str">
            <v>MT</v>
          </cell>
          <cell r="B3055">
            <v>2009</v>
          </cell>
          <cell r="D3055" t="str">
            <v>SOJA</v>
          </cell>
          <cell r="E3055">
            <v>0</v>
          </cell>
        </row>
        <row r="3056">
          <cell r="A3056" t="str">
            <v>MT</v>
          </cell>
          <cell r="B3056">
            <v>2009</v>
          </cell>
          <cell r="D3056" t="str">
            <v>MILHO</v>
          </cell>
          <cell r="E3056">
            <v>0</v>
          </cell>
        </row>
        <row r="3057">
          <cell r="A3057" t="str">
            <v>MT</v>
          </cell>
          <cell r="B3057">
            <v>2009</v>
          </cell>
          <cell r="D3057" t="str">
            <v>SOJA</v>
          </cell>
          <cell r="E3057">
            <v>0</v>
          </cell>
        </row>
        <row r="3058">
          <cell r="A3058" t="str">
            <v>MT</v>
          </cell>
          <cell r="B3058">
            <v>2009</v>
          </cell>
          <cell r="D3058" t="str">
            <v>MILHO</v>
          </cell>
          <cell r="E3058">
            <v>0</v>
          </cell>
        </row>
        <row r="3059">
          <cell r="A3059" t="str">
            <v>MT</v>
          </cell>
          <cell r="B3059">
            <v>2009</v>
          </cell>
          <cell r="D3059" t="str">
            <v>SOJA</v>
          </cell>
          <cell r="E3059">
            <v>0</v>
          </cell>
        </row>
        <row r="3060">
          <cell r="A3060" t="str">
            <v>MT</v>
          </cell>
          <cell r="B3060">
            <v>2009</v>
          </cell>
          <cell r="D3060" t="str">
            <v>MILHO</v>
          </cell>
          <cell r="E3060">
            <v>0</v>
          </cell>
        </row>
        <row r="3061">
          <cell r="A3061" t="str">
            <v>MT</v>
          </cell>
          <cell r="B3061">
            <v>2009</v>
          </cell>
          <cell r="D3061" t="str">
            <v>SOJA</v>
          </cell>
          <cell r="E3061">
            <v>0</v>
          </cell>
        </row>
        <row r="3062">
          <cell r="A3062" t="str">
            <v>GO</v>
          </cell>
          <cell r="B3062">
            <v>2009</v>
          </cell>
          <cell r="D3062" t="str">
            <v>MILHO</v>
          </cell>
          <cell r="E3062">
            <v>0</v>
          </cell>
        </row>
        <row r="3063">
          <cell r="A3063" t="str">
            <v>GO</v>
          </cell>
          <cell r="B3063">
            <v>2009</v>
          </cell>
          <cell r="D3063" t="str">
            <v>MILHO</v>
          </cell>
          <cell r="E3063">
            <v>8770</v>
          </cell>
        </row>
        <row r="3064">
          <cell r="A3064" t="str">
            <v>GO</v>
          </cell>
          <cell r="B3064">
            <v>2009</v>
          </cell>
          <cell r="D3064" t="str">
            <v>SOJA</v>
          </cell>
          <cell r="E3064">
            <v>0</v>
          </cell>
        </row>
        <row r="3065">
          <cell r="A3065" t="str">
            <v>GO</v>
          </cell>
          <cell r="B3065">
            <v>2009</v>
          </cell>
          <cell r="D3065" t="str">
            <v>SOJA</v>
          </cell>
          <cell r="E3065">
            <v>0</v>
          </cell>
        </row>
        <row r="3066">
          <cell r="A3066" t="str">
            <v>GO</v>
          </cell>
          <cell r="B3066">
            <v>2009</v>
          </cell>
          <cell r="D3066" t="str">
            <v>MILHO</v>
          </cell>
          <cell r="E3066">
            <v>0</v>
          </cell>
        </row>
        <row r="3067">
          <cell r="A3067" t="str">
            <v>GO</v>
          </cell>
          <cell r="B3067">
            <v>2009</v>
          </cell>
          <cell r="D3067" t="str">
            <v>SOJA</v>
          </cell>
          <cell r="E3067">
            <v>0</v>
          </cell>
        </row>
        <row r="3068">
          <cell r="A3068" t="str">
            <v>MT</v>
          </cell>
          <cell r="B3068">
            <v>2009</v>
          </cell>
          <cell r="D3068" t="str">
            <v>MILHO</v>
          </cell>
          <cell r="E3068">
            <v>0</v>
          </cell>
        </row>
        <row r="3069">
          <cell r="A3069" t="str">
            <v>MT</v>
          </cell>
          <cell r="B3069">
            <v>2009</v>
          </cell>
          <cell r="D3069" t="str">
            <v>MILHO</v>
          </cell>
          <cell r="E3069">
            <v>4780</v>
          </cell>
        </row>
        <row r="3070">
          <cell r="A3070" t="str">
            <v>GO</v>
          </cell>
          <cell r="B3070">
            <v>2009</v>
          </cell>
          <cell r="D3070" t="str">
            <v>MILHO</v>
          </cell>
          <cell r="E3070">
            <v>0</v>
          </cell>
        </row>
        <row r="3071">
          <cell r="A3071" t="str">
            <v>GO</v>
          </cell>
          <cell r="B3071">
            <v>2009</v>
          </cell>
          <cell r="D3071" t="str">
            <v>MILHO</v>
          </cell>
          <cell r="E3071">
            <v>15940</v>
          </cell>
        </row>
        <row r="3072">
          <cell r="A3072" t="str">
            <v>GO</v>
          </cell>
          <cell r="B3072">
            <v>2009</v>
          </cell>
          <cell r="D3072" t="str">
            <v>SOJA</v>
          </cell>
          <cell r="E3072">
            <v>0</v>
          </cell>
        </row>
        <row r="3073">
          <cell r="A3073" t="str">
            <v>SP</v>
          </cell>
          <cell r="B3073">
            <v>2009</v>
          </cell>
          <cell r="D3073" t="str">
            <v>SOJA</v>
          </cell>
          <cell r="E3073">
            <v>0</v>
          </cell>
        </row>
        <row r="3074">
          <cell r="A3074" t="str">
            <v>MT</v>
          </cell>
          <cell r="B3074">
            <v>2009</v>
          </cell>
          <cell r="D3074" t="str">
            <v>MILHO</v>
          </cell>
          <cell r="E3074">
            <v>15510</v>
          </cell>
        </row>
        <row r="3075">
          <cell r="A3075" t="str">
            <v>MT</v>
          </cell>
          <cell r="B3075">
            <v>2009</v>
          </cell>
          <cell r="D3075" t="str">
            <v>MILHO</v>
          </cell>
          <cell r="E3075">
            <v>0</v>
          </cell>
        </row>
        <row r="3076">
          <cell r="A3076" t="str">
            <v>MT</v>
          </cell>
          <cell r="B3076">
            <v>2009</v>
          </cell>
          <cell r="D3076" t="str">
            <v>MILHO</v>
          </cell>
          <cell r="E3076">
            <v>11640</v>
          </cell>
        </row>
        <row r="3077">
          <cell r="A3077" t="str">
            <v>MT</v>
          </cell>
          <cell r="B3077">
            <v>2009</v>
          </cell>
          <cell r="D3077" t="str">
            <v>SOJA</v>
          </cell>
          <cell r="E3077">
            <v>0</v>
          </cell>
        </row>
        <row r="3078">
          <cell r="A3078" t="str">
            <v>MA</v>
          </cell>
          <cell r="B3078">
            <v>2009</v>
          </cell>
          <cell r="D3078" t="str">
            <v>SOJA</v>
          </cell>
          <cell r="E3078">
            <v>0</v>
          </cell>
        </row>
        <row r="3079">
          <cell r="A3079" t="str">
            <v>MG</v>
          </cell>
          <cell r="B3079">
            <v>2009</v>
          </cell>
          <cell r="D3079" t="str">
            <v>SOJA</v>
          </cell>
          <cell r="E3079">
            <v>0</v>
          </cell>
        </row>
        <row r="3080">
          <cell r="A3080" t="str">
            <v>MT</v>
          </cell>
          <cell r="B3080">
            <v>2009</v>
          </cell>
          <cell r="D3080" t="str">
            <v>MILHO</v>
          </cell>
          <cell r="E3080">
            <v>0</v>
          </cell>
        </row>
        <row r="3081">
          <cell r="A3081" t="str">
            <v>MT</v>
          </cell>
          <cell r="B3081">
            <v>2009</v>
          </cell>
          <cell r="D3081" t="str">
            <v>SOJA</v>
          </cell>
          <cell r="E3081">
            <v>0</v>
          </cell>
        </row>
        <row r="3082">
          <cell r="A3082" t="str">
            <v>MT</v>
          </cell>
          <cell r="B3082">
            <v>2009</v>
          </cell>
          <cell r="D3082" t="str">
            <v>MILHO</v>
          </cell>
          <cell r="E3082">
            <v>2330</v>
          </cell>
        </row>
        <row r="3083">
          <cell r="A3083" t="str">
            <v>MT</v>
          </cell>
          <cell r="B3083">
            <v>2009</v>
          </cell>
          <cell r="D3083" t="str">
            <v>MILHO</v>
          </cell>
          <cell r="E3083">
            <v>0</v>
          </cell>
        </row>
        <row r="3084">
          <cell r="A3084" t="str">
            <v>MT</v>
          </cell>
          <cell r="B3084">
            <v>2009</v>
          </cell>
          <cell r="D3084" t="str">
            <v>MILHO</v>
          </cell>
          <cell r="E3084">
            <v>0</v>
          </cell>
        </row>
        <row r="3085">
          <cell r="A3085" t="str">
            <v>MT</v>
          </cell>
          <cell r="B3085">
            <v>2009</v>
          </cell>
          <cell r="D3085" t="str">
            <v>SOJA</v>
          </cell>
          <cell r="E3085">
            <v>0</v>
          </cell>
        </row>
        <row r="3086">
          <cell r="A3086" t="str">
            <v>GO</v>
          </cell>
          <cell r="B3086">
            <v>2009</v>
          </cell>
          <cell r="D3086" t="str">
            <v>MILHO</v>
          </cell>
          <cell r="E3086">
            <v>0</v>
          </cell>
        </row>
        <row r="3087">
          <cell r="A3087" t="str">
            <v>GO</v>
          </cell>
          <cell r="B3087">
            <v>2009</v>
          </cell>
          <cell r="D3087" t="str">
            <v>SOJA</v>
          </cell>
          <cell r="E3087">
            <v>0</v>
          </cell>
        </row>
        <row r="3088">
          <cell r="A3088" t="str">
            <v>GO</v>
          </cell>
          <cell r="B3088">
            <v>2009</v>
          </cell>
          <cell r="D3088" t="str">
            <v>SOJA</v>
          </cell>
          <cell r="E3088">
            <v>0</v>
          </cell>
        </row>
        <row r="3089">
          <cell r="A3089" t="str">
            <v>MS</v>
          </cell>
          <cell r="B3089">
            <v>2009</v>
          </cell>
          <cell r="D3089" t="str">
            <v>MILHO</v>
          </cell>
          <cell r="E3089">
            <v>0</v>
          </cell>
        </row>
        <row r="3090">
          <cell r="A3090" t="str">
            <v>MS</v>
          </cell>
          <cell r="B3090">
            <v>2009</v>
          </cell>
          <cell r="D3090" t="str">
            <v>MILHO</v>
          </cell>
          <cell r="E3090">
            <v>12260</v>
          </cell>
        </row>
        <row r="3091">
          <cell r="A3091" t="str">
            <v>PR</v>
          </cell>
          <cell r="B3091">
            <v>2009</v>
          </cell>
          <cell r="D3091" t="str">
            <v>MILHO</v>
          </cell>
          <cell r="E3091">
            <v>3990</v>
          </cell>
        </row>
        <row r="3092">
          <cell r="A3092" t="str">
            <v>PR</v>
          </cell>
          <cell r="B3092">
            <v>2009</v>
          </cell>
          <cell r="D3092" t="str">
            <v>MILHO</v>
          </cell>
          <cell r="E3092">
            <v>0</v>
          </cell>
        </row>
        <row r="3093">
          <cell r="A3093" t="str">
            <v>MT</v>
          </cell>
          <cell r="B3093">
            <v>2009</v>
          </cell>
          <cell r="D3093" t="str">
            <v>MILHO</v>
          </cell>
          <cell r="E3093">
            <v>0</v>
          </cell>
        </row>
        <row r="3094">
          <cell r="A3094" t="str">
            <v>MT</v>
          </cell>
          <cell r="B3094">
            <v>2009</v>
          </cell>
          <cell r="D3094" t="str">
            <v>SOJA</v>
          </cell>
          <cell r="E3094">
            <v>0</v>
          </cell>
        </row>
        <row r="3095">
          <cell r="A3095" t="str">
            <v>MT</v>
          </cell>
          <cell r="B3095">
            <v>2009</v>
          </cell>
          <cell r="D3095" t="str">
            <v>MILHO</v>
          </cell>
          <cell r="E3095">
            <v>0</v>
          </cell>
        </row>
        <row r="3096">
          <cell r="A3096" t="str">
            <v>MT</v>
          </cell>
          <cell r="B3096">
            <v>2009</v>
          </cell>
          <cell r="D3096" t="str">
            <v>MILHO</v>
          </cell>
          <cell r="E3096">
            <v>0</v>
          </cell>
        </row>
        <row r="3097">
          <cell r="A3097" t="str">
            <v>MT</v>
          </cell>
          <cell r="B3097">
            <v>2009</v>
          </cell>
          <cell r="D3097" t="str">
            <v>SOJA</v>
          </cell>
          <cell r="E3097">
            <v>3530</v>
          </cell>
        </row>
        <row r="3098">
          <cell r="A3098" t="str">
            <v>MT</v>
          </cell>
          <cell r="B3098">
            <v>2009</v>
          </cell>
          <cell r="D3098" t="str">
            <v>MILHO</v>
          </cell>
          <cell r="E3098">
            <v>7760</v>
          </cell>
        </row>
        <row r="3099">
          <cell r="A3099" t="str">
            <v>BA</v>
          </cell>
          <cell r="B3099">
            <v>2009</v>
          </cell>
          <cell r="D3099" t="str">
            <v>MILHO</v>
          </cell>
          <cell r="E3099">
            <v>2290</v>
          </cell>
        </row>
        <row r="3100">
          <cell r="A3100" t="str">
            <v>BA</v>
          </cell>
          <cell r="B3100">
            <v>2009</v>
          </cell>
          <cell r="D3100" t="str">
            <v>MILHO</v>
          </cell>
          <cell r="E3100">
            <v>0</v>
          </cell>
        </row>
        <row r="3101">
          <cell r="A3101" t="str">
            <v>RS</v>
          </cell>
          <cell r="B3101">
            <v>2009</v>
          </cell>
          <cell r="D3101" t="str">
            <v>SOJA</v>
          </cell>
          <cell r="E3101">
            <v>0</v>
          </cell>
        </row>
        <row r="3102">
          <cell r="A3102" t="str">
            <v>RS</v>
          </cell>
          <cell r="B3102">
            <v>2009</v>
          </cell>
          <cell r="D3102" t="str">
            <v>SOJA</v>
          </cell>
          <cell r="E3102">
            <v>1020</v>
          </cell>
        </row>
        <row r="3103">
          <cell r="A3103" t="str">
            <v>MS</v>
          </cell>
          <cell r="B3103">
            <v>2009</v>
          </cell>
          <cell r="D3103" t="str">
            <v>MILHO</v>
          </cell>
          <cell r="E3103">
            <v>3830</v>
          </cell>
        </row>
        <row r="3104">
          <cell r="A3104" t="str">
            <v>MS</v>
          </cell>
          <cell r="B3104">
            <v>2009</v>
          </cell>
          <cell r="D3104" t="str">
            <v>MILHO</v>
          </cell>
          <cell r="E3104">
            <v>0</v>
          </cell>
        </row>
        <row r="3105">
          <cell r="A3105" t="str">
            <v>MS</v>
          </cell>
          <cell r="B3105">
            <v>2009</v>
          </cell>
          <cell r="D3105" t="str">
            <v>SOJA</v>
          </cell>
          <cell r="E3105">
            <v>0</v>
          </cell>
        </row>
        <row r="3106">
          <cell r="A3106" t="str">
            <v>MS</v>
          </cell>
          <cell r="B3106">
            <v>2009</v>
          </cell>
          <cell r="D3106" t="str">
            <v>MILHO</v>
          </cell>
          <cell r="E3106">
            <v>0</v>
          </cell>
        </row>
        <row r="3107">
          <cell r="A3107" t="str">
            <v>MS</v>
          </cell>
          <cell r="B3107">
            <v>2009</v>
          </cell>
          <cell r="D3107" t="str">
            <v>MILHO</v>
          </cell>
          <cell r="E3107">
            <v>11870</v>
          </cell>
        </row>
        <row r="3108">
          <cell r="A3108" t="str">
            <v>MS</v>
          </cell>
          <cell r="B3108">
            <v>2009</v>
          </cell>
          <cell r="D3108" t="str">
            <v>SOJA</v>
          </cell>
          <cell r="E3108">
            <v>0</v>
          </cell>
        </row>
        <row r="3109">
          <cell r="A3109" t="str">
            <v>MS</v>
          </cell>
          <cell r="B3109">
            <v>2009</v>
          </cell>
          <cell r="D3109" t="str">
            <v>MILHO</v>
          </cell>
          <cell r="E3109">
            <v>0</v>
          </cell>
        </row>
        <row r="3110">
          <cell r="A3110" t="str">
            <v>MS</v>
          </cell>
          <cell r="B3110">
            <v>2009</v>
          </cell>
          <cell r="D3110" t="str">
            <v>MILHO</v>
          </cell>
          <cell r="E3110">
            <v>13790</v>
          </cell>
        </row>
        <row r="3111">
          <cell r="A3111" t="str">
            <v>MS</v>
          </cell>
          <cell r="B3111">
            <v>2009</v>
          </cell>
          <cell r="D3111" t="str">
            <v>SOJA</v>
          </cell>
          <cell r="E3111">
            <v>0</v>
          </cell>
        </row>
        <row r="3112">
          <cell r="A3112" t="str">
            <v>GO</v>
          </cell>
          <cell r="B3112">
            <v>2009</v>
          </cell>
          <cell r="D3112" t="str">
            <v>SOJA</v>
          </cell>
          <cell r="E3112">
            <v>0</v>
          </cell>
        </row>
        <row r="3113">
          <cell r="A3113" t="str">
            <v>MT</v>
          </cell>
          <cell r="B3113">
            <v>2009</v>
          </cell>
          <cell r="D3113" t="str">
            <v>MILHO</v>
          </cell>
          <cell r="E3113">
            <v>0</v>
          </cell>
        </row>
        <row r="3114">
          <cell r="A3114" t="str">
            <v>RS</v>
          </cell>
          <cell r="B3114">
            <v>2009</v>
          </cell>
          <cell r="D3114" t="str">
            <v>MILHO</v>
          </cell>
          <cell r="E3114">
            <v>0</v>
          </cell>
        </row>
        <row r="3115">
          <cell r="A3115" t="str">
            <v>RS</v>
          </cell>
          <cell r="B3115">
            <v>2009</v>
          </cell>
          <cell r="D3115" t="str">
            <v>SOJA</v>
          </cell>
          <cell r="E3115">
            <v>1020</v>
          </cell>
        </row>
        <row r="3116">
          <cell r="A3116" t="str">
            <v>RS</v>
          </cell>
          <cell r="B3116">
            <v>2009</v>
          </cell>
          <cell r="D3116" t="str">
            <v>SOJA</v>
          </cell>
          <cell r="E3116">
            <v>0</v>
          </cell>
        </row>
        <row r="3117">
          <cell r="A3117" t="str">
            <v>RS</v>
          </cell>
          <cell r="B3117">
            <v>2009</v>
          </cell>
          <cell r="D3117" t="str">
            <v>SOJA</v>
          </cell>
          <cell r="E3117">
            <v>0</v>
          </cell>
        </row>
        <row r="3118">
          <cell r="A3118" t="str">
            <v>RS</v>
          </cell>
          <cell r="B3118">
            <v>2009</v>
          </cell>
          <cell r="D3118" t="str">
            <v>SOJA</v>
          </cell>
          <cell r="E3118">
            <v>0</v>
          </cell>
        </row>
        <row r="3119">
          <cell r="A3119" t="str">
            <v>RS</v>
          </cell>
          <cell r="B3119">
            <v>2009</v>
          </cell>
          <cell r="D3119" t="str">
            <v>MILHO</v>
          </cell>
          <cell r="E3119">
            <v>0</v>
          </cell>
        </row>
        <row r="3120">
          <cell r="A3120" t="str">
            <v>RS</v>
          </cell>
          <cell r="B3120">
            <v>2009</v>
          </cell>
          <cell r="D3120" t="str">
            <v>SOJA</v>
          </cell>
          <cell r="E3120">
            <v>1020</v>
          </cell>
        </row>
        <row r="3121">
          <cell r="A3121" t="str">
            <v>RS</v>
          </cell>
          <cell r="B3121">
            <v>2009</v>
          </cell>
          <cell r="D3121" t="str">
            <v>SOJA</v>
          </cell>
          <cell r="E3121">
            <v>0</v>
          </cell>
        </row>
        <row r="3122">
          <cell r="A3122" t="str">
            <v>MS</v>
          </cell>
          <cell r="B3122">
            <v>2009</v>
          </cell>
          <cell r="D3122" t="str">
            <v>MILHO</v>
          </cell>
          <cell r="E3122">
            <v>0</v>
          </cell>
        </row>
        <row r="3123">
          <cell r="A3123" t="str">
            <v>MS</v>
          </cell>
          <cell r="B3123">
            <v>2009</v>
          </cell>
          <cell r="D3123" t="str">
            <v>MILHO</v>
          </cell>
          <cell r="E3123">
            <v>13790</v>
          </cell>
        </row>
        <row r="3124">
          <cell r="A3124" t="str">
            <v>MS</v>
          </cell>
          <cell r="B3124">
            <v>2009</v>
          </cell>
          <cell r="D3124" t="str">
            <v>SOJA</v>
          </cell>
          <cell r="E3124">
            <v>0</v>
          </cell>
        </row>
        <row r="3125">
          <cell r="A3125" t="str">
            <v>MS</v>
          </cell>
          <cell r="B3125">
            <v>2009</v>
          </cell>
          <cell r="D3125" t="str">
            <v>MILHO</v>
          </cell>
          <cell r="E3125">
            <v>7660</v>
          </cell>
        </row>
        <row r="3126">
          <cell r="A3126" t="str">
            <v>MS</v>
          </cell>
          <cell r="B3126">
            <v>2009</v>
          </cell>
          <cell r="D3126" t="str">
            <v>MILHO</v>
          </cell>
          <cell r="E3126">
            <v>10000</v>
          </cell>
        </row>
        <row r="3127">
          <cell r="A3127" t="str">
            <v>MS</v>
          </cell>
          <cell r="B3127">
            <v>2009</v>
          </cell>
          <cell r="D3127" t="str">
            <v>MILHO</v>
          </cell>
          <cell r="E3127">
            <v>0</v>
          </cell>
        </row>
        <row r="3128">
          <cell r="A3128" t="str">
            <v>MS</v>
          </cell>
          <cell r="B3128">
            <v>2009</v>
          </cell>
          <cell r="D3128" t="str">
            <v>SOJA</v>
          </cell>
          <cell r="E3128">
            <v>9010</v>
          </cell>
        </row>
        <row r="3129">
          <cell r="A3129" t="str">
            <v>MS</v>
          </cell>
          <cell r="B3129">
            <v>2009</v>
          </cell>
          <cell r="D3129" t="str">
            <v>SOJA</v>
          </cell>
          <cell r="E3129">
            <v>0</v>
          </cell>
        </row>
        <row r="3130">
          <cell r="A3130" t="str">
            <v>SC</v>
          </cell>
          <cell r="B3130">
            <v>2009</v>
          </cell>
          <cell r="D3130" t="str">
            <v>MILHO</v>
          </cell>
          <cell r="E3130">
            <v>11460</v>
          </cell>
        </row>
        <row r="3131">
          <cell r="A3131" t="str">
            <v>SC</v>
          </cell>
          <cell r="B3131">
            <v>2009</v>
          </cell>
          <cell r="D3131" t="str">
            <v>SOJA</v>
          </cell>
          <cell r="E3131">
            <v>15850</v>
          </cell>
        </row>
        <row r="3132">
          <cell r="A3132" t="str">
            <v>MT</v>
          </cell>
          <cell r="B3132">
            <v>2009</v>
          </cell>
          <cell r="D3132" t="str">
            <v>MILHO</v>
          </cell>
          <cell r="E3132">
            <v>0</v>
          </cell>
        </row>
        <row r="3133">
          <cell r="A3133" t="str">
            <v>MT</v>
          </cell>
          <cell r="B3133">
            <v>2009</v>
          </cell>
          <cell r="D3133" t="str">
            <v>MILHO</v>
          </cell>
          <cell r="E3133">
            <v>0</v>
          </cell>
        </row>
        <row r="3134">
          <cell r="A3134" t="str">
            <v>MT</v>
          </cell>
          <cell r="B3134">
            <v>2009</v>
          </cell>
          <cell r="D3134" t="str">
            <v>SOJA</v>
          </cell>
          <cell r="E3134">
            <v>0</v>
          </cell>
        </row>
        <row r="3135">
          <cell r="A3135" t="str">
            <v>RS</v>
          </cell>
          <cell r="B3135">
            <v>2009</v>
          </cell>
          <cell r="D3135" t="str">
            <v>SOJA</v>
          </cell>
          <cell r="E3135">
            <v>2040</v>
          </cell>
        </row>
        <row r="3136">
          <cell r="A3136" t="str">
            <v>RS</v>
          </cell>
          <cell r="B3136">
            <v>2009</v>
          </cell>
          <cell r="D3136" t="str">
            <v>SOJA</v>
          </cell>
          <cell r="E3136">
            <v>10180</v>
          </cell>
        </row>
        <row r="3137">
          <cell r="A3137" t="str">
            <v>RS</v>
          </cell>
          <cell r="B3137">
            <v>2009</v>
          </cell>
          <cell r="D3137" t="str">
            <v>SOJA</v>
          </cell>
          <cell r="E3137">
            <v>0</v>
          </cell>
        </row>
        <row r="3138">
          <cell r="A3138" t="str">
            <v>MT</v>
          </cell>
          <cell r="B3138">
            <v>2009</v>
          </cell>
          <cell r="D3138" t="str">
            <v>SOJA</v>
          </cell>
          <cell r="E3138">
            <v>0</v>
          </cell>
        </row>
        <row r="3139">
          <cell r="A3139" t="str">
            <v>GO</v>
          </cell>
          <cell r="B3139">
            <v>2009</v>
          </cell>
          <cell r="D3139" t="str">
            <v>MILHO</v>
          </cell>
          <cell r="E3139">
            <v>0</v>
          </cell>
        </row>
        <row r="3140">
          <cell r="A3140" t="str">
            <v>GO</v>
          </cell>
          <cell r="B3140">
            <v>2009</v>
          </cell>
          <cell r="D3140" t="str">
            <v>SOJA</v>
          </cell>
          <cell r="E3140">
            <v>0</v>
          </cell>
        </row>
        <row r="3141">
          <cell r="A3141" t="str">
            <v>GO</v>
          </cell>
          <cell r="B3141">
            <v>2009</v>
          </cell>
          <cell r="D3141" t="str">
            <v>SOJA</v>
          </cell>
          <cell r="E3141">
            <v>0</v>
          </cell>
        </row>
        <row r="3142">
          <cell r="A3142" t="str">
            <v>PR</v>
          </cell>
          <cell r="B3142">
            <v>2009</v>
          </cell>
          <cell r="D3142" t="str">
            <v>SOJA</v>
          </cell>
          <cell r="E3142">
            <v>0</v>
          </cell>
        </row>
        <row r="3143">
          <cell r="A3143" t="str">
            <v>GO</v>
          </cell>
          <cell r="B3143">
            <v>2009</v>
          </cell>
          <cell r="D3143" t="str">
            <v>SOJA</v>
          </cell>
          <cell r="E3143">
            <v>0</v>
          </cell>
        </row>
        <row r="3144">
          <cell r="A3144" t="str">
            <v>GO</v>
          </cell>
          <cell r="B3144">
            <v>2009</v>
          </cell>
          <cell r="D3144" t="str">
            <v>SOJA</v>
          </cell>
          <cell r="E3144">
            <v>1560</v>
          </cell>
        </row>
        <row r="3145">
          <cell r="A3145" t="str">
            <v>PR</v>
          </cell>
          <cell r="B3145">
            <v>2009</v>
          </cell>
          <cell r="D3145" t="str">
            <v>MILHO</v>
          </cell>
          <cell r="E3145">
            <v>7980</v>
          </cell>
        </row>
        <row r="3146">
          <cell r="A3146" t="str">
            <v>PR</v>
          </cell>
          <cell r="B3146">
            <v>2009</v>
          </cell>
          <cell r="D3146" t="str">
            <v>MILHO</v>
          </cell>
          <cell r="E3146">
            <v>0</v>
          </cell>
        </row>
        <row r="3147">
          <cell r="A3147" t="str">
            <v>PR</v>
          </cell>
          <cell r="B3147">
            <v>2009</v>
          </cell>
          <cell r="D3147" t="str">
            <v>SOJA</v>
          </cell>
          <cell r="E3147">
            <v>5160</v>
          </cell>
        </row>
        <row r="3148">
          <cell r="A3148" t="str">
            <v>PR</v>
          </cell>
          <cell r="B3148">
            <v>2009</v>
          </cell>
          <cell r="D3148" t="str">
            <v>SOJA</v>
          </cell>
          <cell r="E3148">
            <v>0</v>
          </cell>
        </row>
        <row r="3149">
          <cell r="A3149" t="str">
            <v>PR</v>
          </cell>
          <cell r="B3149">
            <v>2009</v>
          </cell>
          <cell r="D3149" t="str">
            <v>MILHO</v>
          </cell>
          <cell r="E3149">
            <v>0</v>
          </cell>
        </row>
        <row r="3150">
          <cell r="A3150" t="str">
            <v>PR</v>
          </cell>
          <cell r="B3150">
            <v>2009</v>
          </cell>
          <cell r="D3150" t="str">
            <v>SOJA</v>
          </cell>
          <cell r="E3150">
            <v>0</v>
          </cell>
        </row>
        <row r="3151">
          <cell r="A3151" t="str">
            <v>RS</v>
          </cell>
          <cell r="B3151">
            <v>2009</v>
          </cell>
          <cell r="D3151" t="str">
            <v>SOJA</v>
          </cell>
          <cell r="E3151">
            <v>510</v>
          </cell>
        </row>
        <row r="3152">
          <cell r="A3152" t="str">
            <v>RS</v>
          </cell>
          <cell r="B3152">
            <v>2009</v>
          </cell>
          <cell r="D3152" t="str">
            <v>SOJA</v>
          </cell>
          <cell r="E3152">
            <v>9670</v>
          </cell>
        </row>
        <row r="3153">
          <cell r="A3153" t="str">
            <v>RS</v>
          </cell>
          <cell r="B3153">
            <v>2009</v>
          </cell>
          <cell r="D3153" t="str">
            <v>SOJA</v>
          </cell>
          <cell r="E3153">
            <v>8150</v>
          </cell>
        </row>
        <row r="3154">
          <cell r="A3154" t="str">
            <v>RS</v>
          </cell>
          <cell r="B3154">
            <v>2009</v>
          </cell>
          <cell r="D3154" t="str">
            <v>SOJA</v>
          </cell>
          <cell r="E3154">
            <v>4070.0000000000005</v>
          </cell>
        </row>
        <row r="3155">
          <cell r="A3155" t="str">
            <v>RS</v>
          </cell>
          <cell r="B3155">
            <v>2009</v>
          </cell>
          <cell r="D3155" t="str">
            <v>SOJA</v>
          </cell>
          <cell r="E3155">
            <v>0</v>
          </cell>
        </row>
        <row r="3156">
          <cell r="A3156" t="str">
            <v>RS</v>
          </cell>
          <cell r="B3156">
            <v>2009</v>
          </cell>
          <cell r="D3156" t="str">
            <v>SOJA</v>
          </cell>
          <cell r="E3156">
            <v>3060</v>
          </cell>
        </row>
        <row r="3157">
          <cell r="A3157" t="str">
            <v>RS</v>
          </cell>
          <cell r="B3157">
            <v>2009</v>
          </cell>
          <cell r="D3157" t="str">
            <v>SOJA</v>
          </cell>
          <cell r="E3157">
            <v>0</v>
          </cell>
        </row>
        <row r="3158">
          <cell r="A3158" t="str">
            <v>PR</v>
          </cell>
          <cell r="B3158">
            <v>2009</v>
          </cell>
          <cell r="D3158" t="str">
            <v>MILHO</v>
          </cell>
          <cell r="E3158">
            <v>1600</v>
          </cell>
        </row>
        <row r="3159">
          <cell r="A3159" t="str">
            <v>PR</v>
          </cell>
          <cell r="B3159">
            <v>2009</v>
          </cell>
          <cell r="D3159" t="str">
            <v>MILHO</v>
          </cell>
          <cell r="E3159">
            <v>0</v>
          </cell>
        </row>
        <row r="3160">
          <cell r="A3160" t="str">
            <v>PR</v>
          </cell>
          <cell r="B3160">
            <v>2009</v>
          </cell>
          <cell r="D3160" t="str">
            <v>SOJA</v>
          </cell>
          <cell r="E3160">
            <v>0</v>
          </cell>
        </row>
        <row r="3161">
          <cell r="A3161" t="str">
            <v>PR</v>
          </cell>
          <cell r="B3161">
            <v>2009</v>
          </cell>
          <cell r="D3161" t="str">
            <v>MILHO</v>
          </cell>
          <cell r="E3161">
            <v>4790</v>
          </cell>
        </row>
        <row r="3162">
          <cell r="A3162" t="str">
            <v>PR</v>
          </cell>
          <cell r="B3162">
            <v>2009</v>
          </cell>
          <cell r="D3162" t="str">
            <v>MILHO</v>
          </cell>
          <cell r="E3162">
            <v>0</v>
          </cell>
        </row>
        <row r="3163">
          <cell r="A3163" t="str">
            <v>PR</v>
          </cell>
          <cell r="B3163">
            <v>2009</v>
          </cell>
          <cell r="D3163" t="str">
            <v>SOJA</v>
          </cell>
          <cell r="E3163">
            <v>0</v>
          </cell>
        </row>
        <row r="3164">
          <cell r="A3164" t="str">
            <v>PR</v>
          </cell>
          <cell r="B3164">
            <v>2009</v>
          </cell>
          <cell r="D3164" t="str">
            <v>MILHO</v>
          </cell>
          <cell r="E3164">
            <v>14370</v>
          </cell>
        </row>
        <row r="3165">
          <cell r="A3165" t="str">
            <v>PR</v>
          </cell>
          <cell r="B3165">
            <v>2009</v>
          </cell>
          <cell r="D3165" t="str">
            <v>MILHO</v>
          </cell>
          <cell r="E3165">
            <v>0</v>
          </cell>
        </row>
        <row r="3166">
          <cell r="A3166" t="str">
            <v>PR</v>
          </cell>
          <cell r="B3166">
            <v>2009</v>
          </cell>
          <cell r="D3166" t="str">
            <v>SOJA</v>
          </cell>
          <cell r="E3166">
            <v>0</v>
          </cell>
        </row>
        <row r="3167">
          <cell r="A3167" t="str">
            <v>PR</v>
          </cell>
          <cell r="B3167">
            <v>2009</v>
          </cell>
          <cell r="D3167" t="str">
            <v>MILHO</v>
          </cell>
          <cell r="E3167">
            <v>3190</v>
          </cell>
        </row>
        <row r="3168">
          <cell r="A3168" t="str">
            <v>PR</v>
          </cell>
          <cell r="B3168">
            <v>2009</v>
          </cell>
          <cell r="D3168" t="str">
            <v>MILHO</v>
          </cell>
          <cell r="E3168">
            <v>0</v>
          </cell>
        </row>
        <row r="3169">
          <cell r="A3169" t="str">
            <v>PR</v>
          </cell>
          <cell r="B3169">
            <v>2009</v>
          </cell>
          <cell r="D3169" t="str">
            <v>SOJA</v>
          </cell>
          <cell r="E3169">
            <v>0</v>
          </cell>
        </row>
        <row r="3170">
          <cell r="A3170" t="str">
            <v>SP</v>
          </cell>
          <cell r="B3170">
            <v>2009</v>
          </cell>
          <cell r="D3170" t="str">
            <v>MILHO</v>
          </cell>
          <cell r="E3170">
            <v>2390</v>
          </cell>
        </row>
        <row r="3171">
          <cell r="A3171" t="str">
            <v>SP</v>
          </cell>
          <cell r="B3171">
            <v>2009</v>
          </cell>
          <cell r="D3171" t="str">
            <v>MILHO</v>
          </cell>
          <cell r="E3171">
            <v>0</v>
          </cell>
        </row>
        <row r="3172">
          <cell r="A3172" t="str">
            <v>PR</v>
          </cell>
          <cell r="B3172">
            <v>2009</v>
          </cell>
          <cell r="D3172" t="str">
            <v>MILHO</v>
          </cell>
          <cell r="E3172">
            <v>8780</v>
          </cell>
        </row>
        <row r="3173">
          <cell r="A3173" t="str">
            <v>PR</v>
          </cell>
          <cell r="B3173">
            <v>2009</v>
          </cell>
          <cell r="D3173" t="str">
            <v>MILHO</v>
          </cell>
          <cell r="E3173">
            <v>0</v>
          </cell>
        </row>
        <row r="3174">
          <cell r="A3174" t="str">
            <v>PR</v>
          </cell>
          <cell r="B3174">
            <v>2009</v>
          </cell>
          <cell r="D3174" t="str">
            <v>SOJA</v>
          </cell>
          <cell r="E3174">
            <v>0</v>
          </cell>
        </row>
        <row r="3175">
          <cell r="A3175" t="str">
            <v>MT</v>
          </cell>
          <cell r="B3175">
            <v>2009</v>
          </cell>
          <cell r="D3175" t="str">
            <v>MILHO</v>
          </cell>
          <cell r="E3175">
            <v>0</v>
          </cell>
        </row>
        <row r="3176">
          <cell r="A3176" t="str">
            <v>MT</v>
          </cell>
          <cell r="B3176">
            <v>2009</v>
          </cell>
          <cell r="D3176" t="str">
            <v>MILHO</v>
          </cell>
          <cell r="E3176">
            <v>0</v>
          </cell>
        </row>
        <row r="3177">
          <cell r="A3177" t="str">
            <v>MS</v>
          </cell>
          <cell r="B3177">
            <v>2009</v>
          </cell>
          <cell r="D3177" t="str">
            <v>MILHO</v>
          </cell>
          <cell r="E3177">
            <v>0</v>
          </cell>
        </row>
        <row r="3178">
          <cell r="A3178" t="str">
            <v>PR</v>
          </cell>
          <cell r="B3178">
            <v>2009</v>
          </cell>
          <cell r="D3178" t="str">
            <v>MILHO</v>
          </cell>
          <cell r="E3178">
            <v>0</v>
          </cell>
        </row>
        <row r="3179">
          <cell r="A3179" t="str">
            <v>PR</v>
          </cell>
          <cell r="B3179">
            <v>2009</v>
          </cell>
          <cell r="D3179" t="str">
            <v>SOJA</v>
          </cell>
          <cell r="E3179">
            <v>0</v>
          </cell>
        </row>
        <row r="3180">
          <cell r="A3180" t="str">
            <v>PR</v>
          </cell>
          <cell r="B3180">
            <v>2009</v>
          </cell>
          <cell r="D3180" t="str">
            <v>SOJA</v>
          </cell>
          <cell r="E3180">
            <v>17200</v>
          </cell>
        </row>
        <row r="3181">
          <cell r="A3181" t="str">
            <v>PR</v>
          </cell>
          <cell r="B3181">
            <v>2009</v>
          </cell>
          <cell r="D3181" t="str">
            <v>MILHO</v>
          </cell>
          <cell r="E3181">
            <v>3190</v>
          </cell>
        </row>
        <row r="3182">
          <cell r="A3182" t="str">
            <v>PR</v>
          </cell>
          <cell r="B3182">
            <v>2009</v>
          </cell>
          <cell r="D3182" t="str">
            <v>MILHO</v>
          </cell>
          <cell r="E3182">
            <v>1600</v>
          </cell>
        </row>
        <row r="3183">
          <cell r="A3183" t="str">
            <v>PR</v>
          </cell>
          <cell r="B3183">
            <v>2009</v>
          </cell>
          <cell r="D3183" t="str">
            <v>MILHO</v>
          </cell>
          <cell r="E3183">
            <v>0</v>
          </cell>
        </row>
        <row r="3184">
          <cell r="A3184" t="str">
            <v>BA</v>
          </cell>
          <cell r="B3184">
            <v>2009</v>
          </cell>
          <cell r="D3184" t="str">
            <v>SOJA</v>
          </cell>
          <cell r="E3184">
            <v>4810</v>
          </cell>
        </row>
        <row r="3185">
          <cell r="A3185" t="str">
            <v>MT</v>
          </cell>
          <cell r="B3185">
            <v>2009</v>
          </cell>
          <cell r="D3185" t="str">
            <v>MILHO</v>
          </cell>
          <cell r="E3185">
            <v>0</v>
          </cell>
        </row>
        <row r="3186">
          <cell r="A3186" t="str">
            <v>MT</v>
          </cell>
          <cell r="B3186">
            <v>2009</v>
          </cell>
          <cell r="D3186" t="str">
            <v>SOJA</v>
          </cell>
          <cell r="E3186">
            <v>0</v>
          </cell>
        </row>
        <row r="3187">
          <cell r="A3187" t="str">
            <v>MT</v>
          </cell>
          <cell r="B3187">
            <v>2009</v>
          </cell>
          <cell r="D3187" t="str">
            <v>MILHO</v>
          </cell>
          <cell r="E3187">
            <v>0</v>
          </cell>
        </row>
        <row r="3188">
          <cell r="A3188" t="str">
            <v>MT</v>
          </cell>
          <cell r="B3188">
            <v>2009</v>
          </cell>
          <cell r="D3188" t="str">
            <v>SOJA</v>
          </cell>
          <cell r="E3188">
            <v>0</v>
          </cell>
        </row>
        <row r="3189">
          <cell r="A3189" t="str">
            <v>MT</v>
          </cell>
          <cell r="B3189">
            <v>2009</v>
          </cell>
          <cell r="D3189" t="str">
            <v>MILHO</v>
          </cell>
          <cell r="E3189">
            <v>0</v>
          </cell>
        </row>
        <row r="3190">
          <cell r="A3190" t="str">
            <v>MT</v>
          </cell>
          <cell r="B3190">
            <v>2009</v>
          </cell>
          <cell r="D3190" t="str">
            <v>SOJA</v>
          </cell>
          <cell r="E3190">
            <v>0</v>
          </cell>
        </row>
        <row r="3191">
          <cell r="A3191" t="str">
            <v>GO</v>
          </cell>
          <cell r="B3191">
            <v>2009</v>
          </cell>
          <cell r="D3191" t="str">
            <v>MILHO</v>
          </cell>
          <cell r="E3191">
            <v>800</v>
          </cell>
        </row>
        <row r="3192">
          <cell r="A3192" t="str">
            <v>GO</v>
          </cell>
          <cell r="B3192">
            <v>2009</v>
          </cell>
          <cell r="D3192" t="str">
            <v>MILHO</v>
          </cell>
          <cell r="E3192">
            <v>0</v>
          </cell>
        </row>
        <row r="3193">
          <cell r="A3193" t="str">
            <v>GO</v>
          </cell>
          <cell r="B3193">
            <v>2009</v>
          </cell>
          <cell r="D3193" t="str">
            <v>SOJA</v>
          </cell>
          <cell r="E3193">
            <v>0</v>
          </cell>
        </row>
        <row r="3194">
          <cell r="A3194" t="str">
            <v>GO</v>
          </cell>
          <cell r="B3194">
            <v>2009</v>
          </cell>
          <cell r="D3194" t="str">
            <v>MILHO</v>
          </cell>
          <cell r="E3194">
            <v>0</v>
          </cell>
        </row>
        <row r="3195">
          <cell r="A3195" t="str">
            <v>GO</v>
          </cell>
          <cell r="B3195">
            <v>2009</v>
          </cell>
          <cell r="D3195" t="str">
            <v>SOJA</v>
          </cell>
          <cell r="E3195">
            <v>0</v>
          </cell>
        </row>
        <row r="3196">
          <cell r="A3196" t="str">
            <v>MT</v>
          </cell>
          <cell r="B3196">
            <v>2009</v>
          </cell>
          <cell r="D3196" t="str">
            <v>MILHO</v>
          </cell>
          <cell r="E3196">
            <v>0</v>
          </cell>
        </row>
        <row r="3197">
          <cell r="A3197" t="str">
            <v>MT</v>
          </cell>
          <cell r="B3197">
            <v>2009</v>
          </cell>
          <cell r="D3197" t="str">
            <v>MILHO</v>
          </cell>
          <cell r="E3197">
            <v>3190</v>
          </cell>
        </row>
        <row r="3198">
          <cell r="A3198" t="str">
            <v>GO</v>
          </cell>
          <cell r="B3198">
            <v>2009</v>
          </cell>
          <cell r="D3198" t="str">
            <v>MILHO</v>
          </cell>
          <cell r="E3198">
            <v>0</v>
          </cell>
        </row>
        <row r="3199">
          <cell r="A3199" t="str">
            <v>GO</v>
          </cell>
          <cell r="B3199">
            <v>2009</v>
          </cell>
          <cell r="D3199" t="str">
            <v>MILHO</v>
          </cell>
          <cell r="E3199">
            <v>3980</v>
          </cell>
        </row>
        <row r="3200">
          <cell r="A3200" t="str">
            <v>MT</v>
          </cell>
          <cell r="B3200">
            <v>2009</v>
          </cell>
          <cell r="D3200" t="str">
            <v>MILHO</v>
          </cell>
          <cell r="E3200">
            <v>0</v>
          </cell>
        </row>
        <row r="3201">
          <cell r="A3201" t="str">
            <v>MT</v>
          </cell>
          <cell r="B3201">
            <v>2009</v>
          </cell>
          <cell r="D3201" t="str">
            <v>MILHO</v>
          </cell>
          <cell r="E3201">
            <v>0</v>
          </cell>
        </row>
        <row r="3202">
          <cell r="A3202" t="str">
            <v>MT</v>
          </cell>
          <cell r="B3202">
            <v>2009</v>
          </cell>
          <cell r="D3202" t="str">
            <v>SOJA</v>
          </cell>
          <cell r="E3202">
            <v>0</v>
          </cell>
        </row>
        <row r="3203">
          <cell r="A3203" t="str">
            <v>MA</v>
          </cell>
          <cell r="B3203">
            <v>2009</v>
          </cell>
          <cell r="D3203" t="str">
            <v>SOJA</v>
          </cell>
          <cell r="E3203">
            <v>0</v>
          </cell>
        </row>
        <row r="3204">
          <cell r="A3204" t="str">
            <v>MG</v>
          </cell>
          <cell r="B3204">
            <v>2009</v>
          </cell>
          <cell r="D3204" t="str">
            <v>SOJA</v>
          </cell>
          <cell r="E3204">
            <v>0</v>
          </cell>
        </row>
        <row r="3205">
          <cell r="A3205" t="str">
            <v>MT</v>
          </cell>
          <cell r="B3205">
            <v>2009</v>
          </cell>
          <cell r="D3205" t="str">
            <v>MILHO</v>
          </cell>
          <cell r="E3205">
            <v>0</v>
          </cell>
        </row>
        <row r="3206">
          <cell r="A3206" t="str">
            <v>MT</v>
          </cell>
          <cell r="B3206">
            <v>2009</v>
          </cell>
          <cell r="D3206" t="str">
            <v>SOJA</v>
          </cell>
          <cell r="E3206">
            <v>0</v>
          </cell>
        </row>
        <row r="3207">
          <cell r="A3207" t="str">
            <v>MT</v>
          </cell>
          <cell r="B3207">
            <v>2009</v>
          </cell>
          <cell r="D3207" t="str">
            <v>MILHO</v>
          </cell>
          <cell r="E3207">
            <v>0</v>
          </cell>
        </row>
        <row r="3208">
          <cell r="A3208" t="str">
            <v>MT</v>
          </cell>
          <cell r="B3208">
            <v>2009</v>
          </cell>
          <cell r="D3208" t="str">
            <v>MILHO</v>
          </cell>
          <cell r="E3208">
            <v>0</v>
          </cell>
        </row>
        <row r="3209">
          <cell r="A3209" t="str">
            <v>GO</v>
          </cell>
          <cell r="B3209">
            <v>2009</v>
          </cell>
          <cell r="D3209" t="str">
            <v>MILHO</v>
          </cell>
          <cell r="E3209">
            <v>0</v>
          </cell>
        </row>
        <row r="3210">
          <cell r="A3210" t="str">
            <v>GO</v>
          </cell>
          <cell r="B3210">
            <v>2009</v>
          </cell>
          <cell r="D3210" t="str">
            <v>SOJA</v>
          </cell>
          <cell r="E3210">
            <v>0</v>
          </cell>
        </row>
        <row r="3211">
          <cell r="A3211" t="str">
            <v>GO</v>
          </cell>
          <cell r="B3211">
            <v>2009</v>
          </cell>
          <cell r="D3211" t="str">
            <v>SOJA</v>
          </cell>
          <cell r="E3211">
            <v>0</v>
          </cell>
        </row>
        <row r="3212">
          <cell r="A3212" t="str">
            <v>MS</v>
          </cell>
          <cell r="B3212">
            <v>2009</v>
          </cell>
          <cell r="D3212" t="str">
            <v>MILHO</v>
          </cell>
          <cell r="E3212">
            <v>6130</v>
          </cell>
        </row>
        <row r="3213">
          <cell r="A3213" t="str">
            <v>MS</v>
          </cell>
          <cell r="B3213">
            <v>2009</v>
          </cell>
          <cell r="D3213" t="str">
            <v>MILHO</v>
          </cell>
          <cell r="E3213">
            <v>0</v>
          </cell>
        </row>
        <row r="3214">
          <cell r="A3214" t="str">
            <v>MT</v>
          </cell>
          <cell r="B3214">
            <v>2009</v>
          </cell>
          <cell r="D3214" t="str">
            <v>MILHO</v>
          </cell>
          <cell r="E3214">
            <v>0</v>
          </cell>
        </row>
        <row r="3215">
          <cell r="A3215" t="str">
            <v>MT</v>
          </cell>
          <cell r="B3215">
            <v>2009</v>
          </cell>
          <cell r="D3215" t="str">
            <v>SOJA</v>
          </cell>
          <cell r="E3215">
            <v>0</v>
          </cell>
        </row>
        <row r="3216">
          <cell r="A3216" t="str">
            <v>MT</v>
          </cell>
          <cell r="B3216">
            <v>2009</v>
          </cell>
          <cell r="D3216" t="str">
            <v>MILHO</v>
          </cell>
          <cell r="E3216">
            <v>0</v>
          </cell>
        </row>
        <row r="3217">
          <cell r="A3217" t="str">
            <v>MT</v>
          </cell>
          <cell r="B3217">
            <v>2009</v>
          </cell>
          <cell r="D3217" t="str">
            <v>SOJA</v>
          </cell>
          <cell r="E3217">
            <v>2650</v>
          </cell>
        </row>
        <row r="3218">
          <cell r="A3218" t="str">
            <v>BA</v>
          </cell>
          <cell r="B3218">
            <v>2009</v>
          </cell>
          <cell r="D3218" t="str">
            <v>MILHO</v>
          </cell>
          <cell r="E3218">
            <v>1530</v>
          </cell>
        </row>
        <row r="3219">
          <cell r="A3219" t="str">
            <v>BA</v>
          </cell>
          <cell r="B3219">
            <v>2009</v>
          </cell>
          <cell r="D3219" t="str">
            <v>MILHO</v>
          </cell>
          <cell r="E3219">
            <v>0</v>
          </cell>
        </row>
        <row r="3220">
          <cell r="A3220" t="str">
            <v>RS</v>
          </cell>
          <cell r="B3220">
            <v>2009</v>
          </cell>
          <cell r="D3220" t="str">
            <v>SOJA</v>
          </cell>
          <cell r="E3220">
            <v>0</v>
          </cell>
        </row>
        <row r="3221">
          <cell r="A3221" t="str">
            <v>RS</v>
          </cell>
          <cell r="B3221">
            <v>2009</v>
          </cell>
          <cell r="D3221" t="str">
            <v>SOJA</v>
          </cell>
          <cell r="E3221">
            <v>0</v>
          </cell>
        </row>
        <row r="3222">
          <cell r="A3222" t="str">
            <v>MS</v>
          </cell>
          <cell r="B3222">
            <v>2009</v>
          </cell>
          <cell r="D3222" t="str">
            <v>MILHO</v>
          </cell>
          <cell r="E3222">
            <v>0</v>
          </cell>
        </row>
        <row r="3223">
          <cell r="A3223" t="str">
            <v>MS</v>
          </cell>
          <cell r="B3223">
            <v>2009</v>
          </cell>
          <cell r="D3223" t="str">
            <v>SOJA</v>
          </cell>
          <cell r="E3223">
            <v>0</v>
          </cell>
        </row>
        <row r="3224">
          <cell r="A3224" t="str">
            <v>MS</v>
          </cell>
          <cell r="B3224">
            <v>2009</v>
          </cell>
          <cell r="D3224" t="str">
            <v>MILHO</v>
          </cell>
          <cell r="E3224">
            <v>4980</v>
          </cell>
        </row>
        <row r="3225">
          <cell r="A3225" t="str">
            <v>MS</v>
          </cell>
          <cell r="B3225">
            <v>2009</v>
          </cell>
          <cell r="D3225" t="str">
            <v>MILHO</v>
          </cell>
          <cell r="E3225">
            <v>0</v>
          </cell>
        </row>
        <row r="3226">
          <cell r="A3226" t="str">
            <v>MS</v>
          </cell>
          <cell r="B3226">
            <v>2009</v>
          </cell>
          <cell r="D3226" t="str">
            <v>SOJA</v>
          </cell>
          <cell r="E3226">
            <v>0</v>
          </cell>
        </row>
        <row r="3227">
          <cell r="A3227" t="str">
            <v>MS</v>
          </cell>
          <cell r="B3227">
            <v>2009</v>
          </cell>
          <cell r="D3227" t="str">
            <v>MILHO</v>
          </cell>
          <cell r="E3227">
            <v>3060</v>
          </cell>
        </row>
        <row r="3228">
          <cell r="A3228" t="str">
            <v>MS</v>
          </cell>
          <cell r="B3228">
            <v>2009</v>
          </cell>
          <cell r="D3228" t="str">
            <v>MILHO</v>
          </cell>
          <cell r="E3228">
            <v>0</v>
          </cell>
        </row>
        <row r="3229">
          <cell r="A3229" t="str">
            <v>MS</v>
          </cell>
          <cell r="B3229">
            <v>2009</v>
          </cell>
          <cell r="D3229" t="str">
            <v>SOJA</v>
          </cell>
          <cell r="E3229">
            <v>0</v>
          </cell>
        </row>
        <row r="3230">
          <cell r="A3230" t="str">
            <v>GO</v>
          </cell>
          <cell r="B3230">
            <v>2009</v>
          </cell>
          <cell r="D3230" t="str">
            <v>SOJA</v>
          </cell>
          <cell r="E3230">
            <v>0</v>
          </cell>
        </row>
        <row r="3231">
          <cell r="A3231" t="str">
            <v>RS</v>
          </cell>
          <cell r="B3231">
            <v>2009</v>
          </cell>
          <cell r="D3231" t="str">
            <v>SOJA</v>
          </cell>
          <cell r="E3231">
            <v>1020</v>
          </cell>
        </row>
        <row r="3232">
          <cell r="A3232" t="str">
            <v>RS</v>
          </cell>
          <cell r="B3232">
            <v>2009</v>
          </cell>
          <cell r="D3232" t="str">
            <v>SOJA</v>
          </cell>
          <cell r="E3232">
            <v>0</v>
          </cell>
        </row>
        <row r="3233">
          <cell r="A3233" t="str">
            <v>RS</v>
          </cell>
          <cell r="B3233">
            <v>2009</v>
          </cell>
          <cell r="D3233" t="str">
            <v>SOJA</v>
          </cell>
          <cell r="E3233">
            <v>0</v>
          </cell>
        </row>
        <row r="3234">
          <cell r="A3234" t="str">
            <v>RS</v>
          </cell>
          <cell r="B3234">
            <v>2009</v>
          </cell>
          <cell r="D3234" t="str">
            <v>SOJA</v>
          </cell>
          <cell r="E3234">
            <v>1020</v>
          </cell>
        </row>
        <row r="3235">
          <cell r="A3235" t="str">
            <v>RS</v>
          </cell>
          <cell r="B3235">
            <v>2009</v>
          </cell>
          <cell r="D3235" t="str">
            <v>SOJA</v>
          </cell>
          <cell r="E3235">
            <v>0</v>
          </cell>
        </row>
        <row r="3236">
          <cell r="A3236" t="str">
            <v>MS</v>
          </cell>
          <cell r="B3236">
            <v>2009</v>
          </cell>
          <cell r="D3236" t="str">
            <v>MILHO</v>
          </cell>
          <cell r="E3236">
            <v>4600</v>
          </cell>
        </row>
        <row r="3237">
          <cell r="A3237" t="str">
            <v>MS</v>
          </cell>
          <cell r="B3237">
            <v>2009</v>
          </cell>
          <cell r="D3237" t="str">
            <v>MILHO</v>
          </cell>
          <cell r="E3237">
            <v>0</v>
          </cell>
        </row>
        <row r="3238">
          <cell r="A3238" t="str">
            <v>MS</v>
          </cell>
          <cell r="B3238">
            <v>2009</v>
          </cell>
          <cell r="D3238" t="str">
            <v>SOJA</v>
          </cell>
          <cell r="E3238">
            <v>0</v>
          </cell>
        </row>
        <row r="3239">
          <cell r="A3239" t="str">
            <v>MS</v>
          </cell>
          <cell r="B3239">
            <v>2009</v>
          </cell>
          <cell r="D3239" t="str">
            <v>MILHO</v>
          </cell>
          <cell r="E3239">
            <v>3060</v>
          </cell>
        </row>
        <row r="3240">
          <cell r="A3240" t="str">
            <v>MS</v>
          </cell>
          <cell r="B3240">
            <v>2009</v>
          </cell>
          <cell r="D3240" t="str">
            <v>MILHO</v>
          </cell>
          <cell r="E3240">
            <v>3060</v>
          </cell>
        </row>
        <row r="3241">
          <cell r="A3241" t="str">
            <v>MS</v>
          </cell>
          <cell r="B3241">
            <v>2009</v>
          </cell>
          <cell r="D3241" t="str">
            <v>MILHO</v>
          </cell>
          <cell r="E3241">
            <v>0</v>
          </cell>
        </row>
        <row r="3242">
          <cell r="A3242" t="str">
            <v>MS</v>
          </cell>
          <cell r="B3242">
            <v>2009</v>
          </cell>
          <cell r="D3242" t="str">
            <v>SOJA</v>
          </cell>
          <cell r="E3242">
            <v>6430</v>
          </cell>
        </row>
        <row r="3243">
          <cell r="A3243" t="str">
            <v>MS</v>
          </cell>
          <cell r="B3243">
            <v>2009</v>
          </cell>
          <cell r="D3243" t="str">
            <v>SOJA</v>
          </cell>
          <cell r="E3243">
            <v>0</v>
          </cell>
        </row>
        <row r="3244">
          <cell r="A3244" t="str">
            <v>SC</v>
          </cell>
          <cell r="B3244">
            <v>2009</v>
          </cell>
          <cell r="D3244" t="str">
            <v>MILHO</v>
          </cell>
          <cell r="E3244">
            <v>10690</v>
          </cell>
        </row>
        <row r="3245">
          <cell r="A3245" t="str">
            <v>SC</v>
          </cell>
          <cell r="B3245">
            <v>2009</v>
          </cell>
          <cell r="D3245" t="str">
            <v>SOJA</v>
          </cell>
          <cell r="E3245">
            <v>12680</v>
          </cell>
        </row>
        <row r="3246">
          <cell r="A3246" t="str">
            <v>MT</v>
          </cell>
          <cell r="B3246">
            <v>2009</v>
          </cell>
          <cell r="D3246" t="str">
            <v>MILHO</v>
          </cell>
          <cell r="E3246">
            <v>0</v>
          </cell>
        </row>
        <row r="3247">
          <cell r="A3247" t="str">
            <v>MT</v>
          </cell>
          <cell r="B3247">
            <v>2009</v>
          </cell>
          <cell r="D3247" t="str">
            <v>MILHO</v>
          </cell>
          <cell r="E3247">
            <v>0</v>
          </cell>
        </row>
        <row r="3248">
          <cell r="A3248" t="str">
            <v>GO</v>
          </cell>
          <cell r="B3248">
            <v>2009</v>
          </cell>
          <cell r="D3248" t="str">
            <v>SOJA</v>
          </cell>
          <cell r="E3248">
            <v>0</v>
          </cell>
        </row>
        <row r="3249">
          <cell r="A3249" t="str">
            <v>RS</v>
          </cell>
          <cell r="B3249">
            <v>2009</v>
          </cell>
          <cell r="D3249" t="str">
            <v>SOJA</v>
          </cell>
          <cell r="E3249">
            <v>5090</v>
          </cell>
        </row>
        <row r="3250">
          <cell r="A3250" t="str">
            <v>RS</v>
          </cell>
          <cell r="B3250">
            <v>2009</v>
          </cell>
          <cell r="D3250" t="str">
            <v>SOJA</v>
          </cell>
          <cell r="E3250">
            <v>14260</v>
          </cell>
        </row>
        <row r="3251">
          <cell r="A3251" t="str">
            <v>RS</v>
          </cell>
          <cell r="B3251">
            <v>2009</v>
          </cell>
          <cell r="D3251" t="str">
            <v>SOJA</v>
          </cell>
          <cell r="E3251">
            <v>0</v>
          </cell>
        </row>
        <row r="3252">
          <cell r="A3252" t="str">
            <v>GO</v>
          </cell>
          <cell r="B3252">
            <v>2009</v>
          </cell>
          <cell r="D3252" t="str">
            <v>MILHO</v>
          </cell>
          <cell r="E3252">
            <v>0</v>
          </cell>
        </row>
        <row r="3253">
          <cell r="A3253" t="str">
            <v>GO</v>
          </cell>
          <cell r="B3253">
            <v>2009</v>
          </cell>
          <cell r="D3253" t="str">
            <v>SOJA</v>
          </cell>
          <cell r="E3253">
            <v>0</v>
          </cell>
        </row>
        <row r="3254">
          <cell r="A3254" t="str">
            <v>GO</v>
          </cell>
          <cell r="B3254">
            <v>2009</v>
          </cell>
          <cell r="D3254" t="str">
            <v>SOJA</v>
          </cell>
          <cell r="E3254">
            <v>0</v>
          </cell>
        </row>
        <row r="3255">
          <cell r="A3255" t="str">
            <v>PR</v>
          </cell>
          <cell r="B3255">
            <v>2009</v>
          </cell>
          <cell r="D3255" t="str">
            <v>SOJA</v>
          </cell>
          <cell r="E3255">
            <v>0</v>
          </cell>
        </row>
        <row r="3256">
          <cell r="A3256" t="str">
            <v>GO</v>
          </cell>
          <cell r="B3256">
            <v>2009</v>
          </cell>
          <cell r="D3256" t="str">
            <v>SOJA</v>
          </cell>
          <cell r="E3256">
            <v>780</v>
          </cell>
        </row>
        <row r="3257">
          <cell r="A3257" t="str">
            <v>PR</v>
          </cell>
          <cell r="B3257">
            <v>2009</v>
          </cell>
          <cell r="D3257" t="str">
            <v>MILHO</v>
          </cell>
          <cell r="E3257">
            <v>7980</v>
          </cell>
        </row>
        <row r="3258">
          <cell r="A3258" t="str">
            <v>PR</v>
          </cell>
          <cell r="B3258">
            <v>2009</v>
          </cell>
          <cell r="D3258" t="str">
            <v>MILHO</v>
          </cell>
          <cell r="E3258">
            <v>0</v>
          </cell>
        </row>
        <row r="3259">
          <cell r="A3259" t="str">
            <v>PR</v>
          </cell>
          <cell r="B3259">
            <v>2009</v>
          </cell>
          <cell r="D3259" t="str">
            <v>SOJA</v>
          </cell>
          <cell r="E3259">
            <v>0</v>
          </cell>
        </row>
        <row r="3260">
          <cell r="A3260" t="str">
            <v>RS</v>
          </cell>
          <cell r="B3260">
            <v>2009</v>
          </cell>
          <cell r="D3260" t="str">
            <v>SOJA</v>
          </cell>
          <cell r="E3260">
            <v>0</v>
          </cell>
        </row>
        <row r="3261">
          <cell r="A3261" t="str">
            <v>RS</v>
          </cell>
          <cell r="B3261">
            <v>2009</v>
          </cell>
          <cell r="D3261" t="str">
            <v>SOJA</v>
          </cell>
          <cell r="E3261">
            <v>7640</v>
          </cell>
        </row>
        <row r="3262">
          <cell r="A3262" t="str">
            <v>RS</v>
          </cell>
          <cell r="B3262">
            <v>2009</v>
          </cell>
          <cell r="D3262" t="str">
            <v>SOJA</v>
          </cell>
          <cell r="E3262">
            <v>10180</v>
          </cell>
        </row>
        <row r="3263">
          <cell r="A3263" t="str">
            <v>RS</v>
          </cell>
          <cell r="B3263">
            <v>2009</v>
          </cell>
          <cell r="D3263" t="str">
            <v>SOJA</v>
          </cell>
          <cell r="E3263">
            <v>4070.0000000000005</v>
          </cell>
        </row>
        <row r="3264">
          <cell r="A3264" t="str">
            <v>RS</v>
          </cell>
          <cell r="B3264">
            <v>2009</v>
          </cell>
          <cell r="D3264" t="str">
            <v>SOJA</v>
          </cell>
          <cell r="E3264">
            <v>0</v>
          </cell>
        </row>
        <row r="3265">
          <cell r="A3265" t="str">
            <v>RS</v>
          </cell>
          <cell r="B3265">
            <v>2009</v>
          </cell>
          <cell r="D3265" t="str">
            <v>SOJA</v>
          </cell>
          <cell r="E3265">
            <v>2040</v>
          </cell>
        </row>
        <row r="3266">
          <cell r="A3266" t="str">
            <v>RS</v>
          </cell>
          <cell r="B3266">
            <v>2009</v>
          </cell>
          <cell r="D3266" t="str">
            <v>SOJA</v>
          </cell>
          <cell r="E3266">
            <v>0</v>
          </cell>
        </row>
        <row r="3267">
          <cell r="A3267" t="str">
            <v>PR</v>
          </cell>
          <cell r="B3267">
            <v>2009</v>
          </cell>
          <cell r="D3267" t="str">
            <v>MILHO</v>
          </cell>
          <cell r="E3267">
            <v>0</v>
          </cell>
        </row>
        <row r="3268">
          <cell r="A3268" t="str">
            <v>PR</v>
          </cell>
          <cell r="B3268">
            <v>2009</v>
          </cell>
          <cell r="D3268" t="str">
            <v>MILHO</v>
          </cell>
          <cell r="E3268">
            <v>0</v>
          </cell>
        </row>
        <row r="3269">
          <cell r="A3269" t="str">
            <v>PR</v>
          </cell>
          <cell r="B3269">
            <v>2009</v>
          </cell>
          <cell r="D3269" t="str">
            <v>SOJA</v>
          </cell>
          <cell r="E3269">
            <v>0</v>
          </cell>
        </row>
        <row r="3270">
          <cell r="A3270" t="str">
            <v>PR</v>
          </cell>
          <cell r="B3270">
            <v>2009</v>
          </cell>
          <cell r="D3270" t="str">
            <v>MILHO</v>
          </cell>
          <cell r="E3270">
            <v>800</v>
          </cell>
        </row>
        <row r="3271">
          <cell r="A3271" t="str">
            <v>PR</v>
          </cell>
          <cell r="B3271">
            <v>2009</v>
          </cell>
          <cell r="D3271" t="str">
            <v>MILHO</v>
          </cell>
          <cell r="E3271">
            <v>0</v>
          </cell>
        </row>
        <row r="3272">
          <cell r="A3272" t="str">
            <v>PR</v>
          </cell>
          <cell r="B3272">
            <v>2009</v>
          </cell>
          <cell r="D3272" t="str">
            <v>MILHO</v>
          </cell>
          <cell r="E3272">
            <v>0</v>
          </cell>
        </row>
        <row r="3273">
          <cell r="A3273" t="str">
            <v>PR</v>
          </cell>
          <cell r="B3273">
            <v>2009</v>
          </cell>
          <cell r="D3273" t="str">
            <v>SOJA</v>
          </cell>
          <cell r="E3273">
            <v>0</v>
          </cell>
        </row>
        <row r="3274">
          <cell r="A3274" t="str">
            <v>SP</v>
          </cell>
          <cell r="B3274">
            <v>2009</v>
          </cell>
          <cell r="D3274" t="str">
            <v>MILHO</v>
          </cell>
          <cell r="E3274">
            <v>0</v>
          </cell>
        </row>
        <row r="3275">
          <cell r="A3275" t="str">
            <v>PR</v>
          </cell>
          <cell r="B3275">
            <v>2009</v>
          </cell>
          <cell r="D3275" t="str">
            <v>MILHO</v>
          </cell>
          <cell r="E3275">
            <v>0</v>
          </cell>
        </row>
        <row r="3276">
          <cell r="A3276" t="str">
            <v>PR</v>
          </cell>
          <cell r="B3276">
            <v>2009</v>
          </cell>
          <cell r="D3276" t="str">
            <v>SOJA</v>
          </cell>
          <cell r="E3276">
            <v>0</v>
          </cell>
        </row>
        <row r="3277">
          <cell r="A3277" t="str">
            <v>MT</v>
          </cell>
          <cell r="B3277">
            <v>2009</v>
          </cell>
          <cell r="D3277" t="str">
            <v>MILHO</v>
          </cell>
          <cell r="E3277">
            <v>0</v>
          </cell>
        </row>
        <row r="3278">
          <cell r="A3278" t="str">
            <v>MT</v>
          </cell>
          <cell r="B3278">
            <v>2009</v>
          </cell>
          <cell r="D3278" t="str">
            <v>MILHO</v>
          </cell>
          <cell r="E3278">
            <v>0</v>
          </cell>
        </row>
        <row r="3279">
          <cell r="A3279" t="str">
            <v>MS</v>
          </cell>
          <cell r="B3279">
            <v>2009</v>
          </cell>
          <cell r="D3279" t="str">
            <v>SOJA</v>
          </cell>
          <cell r="E3279">
            <v>0</v>
          </cell>
        </row>
        <row r="3280">
          <cell r="A3280" t="str">
            <v>PR</v>
          </cell>
          <cell r="B3280">
            <v>2009</v>
          </cell>
          <cell r="D3280" t="str">
            <v>MILHO</v>
          </cell>
          <cell r="E3280">
            <v>0</v>
          </cell>
        </row>
        <row r="3281">
          <cell r="A3281" t="str">
            <v>PR</v>
          </cell>
          <cell r="B3281">
            <v>2009</v>
          </cell>
          <cell r="D3281" t="str">
            <v>SOJA</v>
          </cell>
          <cell r="E3281">
            <v>12900</v>
          </cell>
        </row>
        <row r="3282">
          <cell r="A3282" t="str">
            <v>PR</v>
          </cell>
          <cell r="B3282">
            <v>2009</v>
          </cell>
          <cell r="D3282" t="str">
            <v>MILHO</v>
          </cell>
          <cell r="E3282">
            <v>800</v>
          </cell>
        </row>
        <row r="3283">
          <cell r="A3283" t="str">
            <v>PR</v>
          </cell>
          <cell r="B3283">
            <v>2009</v>
          </cell>
          <cell r="D3283" t="str">
            <v>MILHO</v>
          </cell>
          <cell r="E3283">
            <v>0</v>
          </cell>
        </row>
        <row r="3284">
          <cell r="A3284" t="str">
            <v>BA</v>
          </cell>
          <cell r="B3284">
            <v>2009</v>
          </cell>
          <cell r="D3284" t="str">
            <v>SOJA</v>
          </cell>
          <cell r="E3284">
            <v>4810</v>
          </cell>
        </row>
        <row r="3285">
          <cell r="A3285" t="str">
            <v>MT</v>
          </cell>
          <cell r="B3285">
            <v>2009</v>
          </cell>
          <cell r="D3285" t="str">
            <v>MILHO</v>
          </cell>
          <cell r="E3285">
            <v>0</v>
          </cell>
        </row>
        <row r="3286">
          <cell r="A3286" t="str">
            <v>MT</v>
          </cell>
          <cell r="B3286">
            <v>2009</v>
          </cell>
          <cell r="D3286" t="str">
            <v>SOJA</v>
          </cell>
          <cell r="E3286">
            <v>0</v>
          </cell>
        </row>
        <row r="3287">
          <cell r="A3287" t="str">
            <v>MT</v>
          </cell>
          <cell r="B3287">
            <v>2009</v>
          </cell>
          <cell r="D3287" t="str">
            <v>MILHO</v>
          </cell>
          <cell r="E3287">
            <v>0</v>
          </cell>
        </row>
        <row r="3288">
          <cell r="A3288" t="str">
            <v>MT</v>
          </cell>
          <cell r="B3288">
            <v>2009</v>
          </cell>
          <cell r="D3288" t="str">
            <v>SOJA</v>
          </cell>
          <cell r="E3288">
            <v>0</v>
          </cell>
        </row>
        <row r="3289">
          <cell r="A3289" t="str">
            <v>MT</v>
          </cell>
          <cell r="B3289">
            <v>2009</v>
          </cell>
          <cell r="D3289" t="str">
            <v>MILHO</v>
          </cell>
          <cell r="E3289">
            <v>0</v>
          </cell>
        </row>
        <row r="3290">
          <cell r="A3290" t="str">
            <v>MT</v>
          </cell>
          <cell r="B3290">
            <v>2009</v>
          </cell>
          <cell r="D3290" t="str">
            <v>SOJA</v>
          </cell>
          <cell r="E3290">
            <v>0</v>
          </cell>
        </row>
        <row r="3291">
          <cell r="A3291" t="str">
            <v>GO</v>
          </cell>
          <cell r="B3291">
            <v>2009</v>
          </cell>
          <cell r="D3291" t="str">
            <v>SOJA</v>
          </cell>
          <cell r="E3291">
            <v>0</v>
          </cell>
        </row>
        <row r="3292">
          <cell r="A3292" t="str">
            <v>GO</v>
          </cell>
          <cell r="B3292">
            <v>2009</v>
          </cell>
          <cell r="D3292" t="str">
            <v>SOJA</v>
          </cell>
          <cell r="E3292">
            <v>0</v>
          </cell>
        </row>
        <row r="3293">
          <cell r="A3293" t="str">
            <v>GO</v>
          </cell>
          <cell r="B3293">
            <v>2009</v>
          </cell>
          <cell r="D3293" t="str">
            <v>MILHO</v>
          </cell>
          <cell r="E3293">
            <v>800</v>
          </cell>
        </row>
        <row r="3294">
          <cell r="A3294" t="str">
            <v>GO</v>
          </cell>
          <cell r="B3294">
            <v>2009</v>
          </cell>
          <cell r="D3294" t="str">
            <v>MILHO</v>
          </cell>
          <cell r="E3294">
            <v>0</v>
          </cell>
        </row>
        <row r="3295">
          <cell r="A3295" t="str">
            <v>MT</v>
          </cell>
          <cell r="B3295">
            <v>2009</v>
          </cell>
          <cell r="D3295" t="str">
            <v>MILHO</v>
          </cell>
          <cell r="E3295">
            <v>0</v>
          </cell>
        </row>
        <row r="3296">
          <cell r="A3296" t="str">
            <v>MT</v>
          </cell>
          <cell r="B3296">
            <v>2009</v>
          </cell>
          <cell r="D3296" t="str">
            <v>SOJA</v>
          </cell>
          <cell r="E3296">
            <v>0</v>
          </cell>
        </row>
        <row r="3297">
          <cell r="A3297" t="str">
            <v>MG</v>
          </cell>
          <cell r="B3297">
            <v>2009</v>
          </cell>
          <cell r="D3297" t="str">
            <v>SOJA</v>
          </cell>
          <cell r="E3297">
            <v>0</v>
          </cell>
        </row>
        <row r="3298">
          <cell r="A3298" t="str">
            <v>MT</v>
          </cell>
          <cell r="B3298">
            <v>2009</v>
          </cell>
          <cell r="D3298" t="str">
            <v>MILHO</v>
          </cell>
          <cell r="E3298">
            <v>0</v>
          </cell>
        </row>
        <row r="3299">
          <cell r="A3299" t="str">
            <v>MT</v>
          </cell>
          <cell r="B3299">
            <v>2009</v>
          </cell>
          <cell r="D3299" t="str">
            <v>SOJA</v>
          </cell>
          <cell r="E3299">
            <v>0</v>
          </cell>
        </row>
        <row r="3300">
          <cell r="A3300" t="str">
            <v>MT</v>
          </cell>
          <cell r="B3300">
            <v>2009</v>
          </cell>
          <cell r="D3300" t="str">
            <v>MILHO</v>
          </cell>
          <cell r="E3300">
            <v>0</v>
          </cell>
        </row>
        <row r="3301">
          <cell r="A3301" t="str">
            <v>MT</v>
          </cell>
          <cell r="B3301">
            <v>2009</v>
          </cell>
          <cell r="D3301" t="str">
            <v>MILHO</v>
          </cell>
          <cell r="E3301">
            <v>0</v>
          </cell>
        </row>
        <row r="3302">
          <cell r="A3302" t="str">
            <v>GO</v>
          </cell>
          <cell r="B3302">
            <v>2009</v>
          </cell>
          <cell r="D3302" t="str">
            <v>SOJA</v>
          </cell>
          <cell r="E3302">
            <v>0</v>
          </cell>
        </row>
        <row r="3303">
          <cell r="A3303" t="str">
            <v>GO</v>
          </cell>
          <cell r="B3303">
            <v>2009</v>
          </cell>
          <cell r="D3303" t="str">
            <v>SOJA</v>
          </cell>
          <cell r="E3303">
            <v>0</v>
          </cell>
        </row>
        <row r="3304">
          <cell r="A3304" t="str">
            <v>MS</v>
          </cell>
          <cell r="B3304">
            <v>2009</v>
          </cell>
          <cell r="D3304" t="str">
            <v>MILHO</v>
          </cell>
          <cell r="E3304">
            <v>0</v>
          </cell>
        </row>
        <row r="3305">
          <cell r="A3305" t="str">
            <v>MT</v>
          </cell>
          <cell r="B3305">
            <v>2009</v>
          </cell>
          <cell r="D3305" t="str">
            <v>MILHO</v>
          </cell>
          <cell r="E3305">
            <v>0</v>
          </cell>
        </row>
        <row r="3306">
          <cell r="A3306" t="str">
            <v>MT</v>
          </cell>
          <cell r="B3306">
            <v>2009</v>
          </cell>
          <cell r="D3306" t="str">
            <v>SOJA</v>
          </cell>
          <cell r="E3306">
            <v>0</v>
          </cell>
        </row>
        <row r="3307">
          <cell r="A3307" t="str">
            <v>MT</v>
          </cell>
          <cell r="B3307">
            <v>2009</v>
          </cell>
          <cell r="D3307" t="str">
            <v>MILHO</v>
          </cell>
          <cell r="E3307">
            <v>0</v>
          </cell>
        </row>
        <row r="3308">
          <cell r="A3308" t="str">
            <v>MT</v>
          </cell>
          <cell r="B3308">
            <v>2009</v>
          </cell>
          <cell r="D3308" t="str">
            <v>SOJA</v>
          </cell>
          <cell r="E3308">
            <v>2650</v>
          </cell>
        </row>
        <row r="3309">
          <cell r="A3309" t="str">
            <v>BA</v>
          </cell>
          <cell r="B3309">
            <v>2009</v>
          </cell>
          <cell r="D3309" t="str">
            <v>MILHO</v>
          </cell>
          <cell r="E3309">
            <v>0</v>
          </cell>
        </row>
        <row r="3310">
          <cell r="A3310" t="str">
            <v>RS</v>
          </cell>
          <cell r="B3310">
            <v>2009</v>
          </cell>
          <cell r="D3310" t="str">
            <v>SOJA</v>
          </cell>
          <cell r="E3310">
            <v>0</v>
          </cell>
        </row>
        <row r="3311">
          <cell r="A3311" t="str">
            <v>RS</v>
          </cell>
          <cell r="B3311">
            <v>2009</v>
          </cell>
          <cell r="D3311" t="str">
            <v>SOJA</v>
          </cell>
          <cell r="E3311">
            <v>0</v>
          </cell>
        </row>
        <row r="3312">
          <cell r="A3312" t="str">
            <v>MS</v>
          </cell>
          <cell r="B3312">
            <v>2009</v>
          </cell>
          <cell r="D3312" t="str">
            <v>MILHO</v>
          </cell>
          <cell r="E3312">
            <v>0</v>
          </cell>
        </row>
        <row r="3313">
          <cell r="A3313" t="str">
            <v>MS</v>
          </cell>
          <cell r="B3313">
            <v>2009</v>
          </cell>
          <cell r="D3313" t="str">
            <v>SOJA</v>
          </cell>
          <cell r="E3313">
            <v>0</v>
          </cell>
        </row>
        <row r="3314">
          <cell r="A3314" t="str">
            <v>MS</v>
          </cell>
          <cell r="B3314">
            <v>2009</v>
          </cell>
          <cell r="D3314" t="str">
            <v>MILHO</v>
          </cell>
          <cell r="E3314">
            <v>0</v>
          </cell>
        </row>
        <row r="3315">
          <cell r="A3315" t="str">
            <v>MS</v>
          </cell>
          <cell r="B3315">
            <v>2009</v>
          </cell>
          <cell r="D3315" t="str">
            <v>SOJA</v>
          </cell>
          <cell r="E3315">
            <v>0</v>
          </cell>
        </row>
        <row r="3316">
          <cell r="A3316" t="str">
            <v>MS</v>
          </cell>
          <cell r="B3316">
            <v>2009</v>
          </cell>
          <cell r="D3316" t="str">
            <v>MILHO</v>
          </cell>
          <cell r="E3316">
            <v>0</v>
          </cell>
        </row>
        <row r="3317">
          <cell r="A3317" t="str">
            <v>MS</v>
          </cell>
          <cell r="B3317">
            <v>2009</v>
          </cell>
          <cell r="D3317" t="str">
            <v>SOJA</v>
          </cell>
          <cell r="E3317">
            <v>0</v>
          </cell>
        </row>
        <row r="3318">
          <cell r="A3318" t="str">
            <v>MT</v>
          </cell>
          <cell r="B3318">
            <v>2009</v>
          </cell>
          <cell r="D3318" t="str">
            <v>MILHO</v>
          </cell>
          <cell r="E3318">
            <v>0</v>
          </cell>
        </row>
        <row r="3319">
          <cell r="A3319" t="str">
            <v>RS</v>
          </cell>
          <cell r="B3319">
            <v>2009</v>
          </cell>
          <cell r="D3319" t="str">
            <v>SOJA</v>
          </cell>
          <cell r="E3319">
            <v>1020</v>
          </cell>
        </row>
        <row r="3320">
          <cell r="A3320" t="str">
            <v>RS</v>
          </cell>
          <cell r="B3320">
            <v>2009</v>
          </cell>
          <cell r="D3320" t="str">
            <v>SOJA</v>
          </cell>
          <cell r="E3320">
            <v>0</v>
          </cell>
        </row>
        <row r="3321">
          <cell r="A3321" t="str">
            <v>RS</v>
          </cell>
          <cell r="B3321">
            <v>2009</v>
          </cell>
          <cell r="D3321" t="str">
            <v>SOJA</v>
          </cell>
          <cell r="E3321">
            <v>0</v>
          </cell>
        </row>
        <row r="3322">
          <cell r="A3322" t="str">
            <v>RS</v>
          </cell>
          <cell r="B3322">
            <v>2009</v>
          </cell>
          <cell r="D3322" t="str">
            <v>SOJA</v>
          </cell>
          <cell r="E3322">
            <v>1020</v>
          </cell>
        </row>
        <row r="3323">
          <cell r="A3323" t="str">
            <v>RS</v>
          </cell>
          <cell r="B3323">
            <v>2009</v>
          </cell>
          <cell r="D3323" t="str">
            <v>SOJA</v>
          </cell>
          <cell r="E3323">
            <v>0</v>
          </cell>
        </row>
        <row r="3324">
          <cell r="A3324" t="str">
            <v>MS</v>
          </cell>
          <cell r="B3324">
            <v>2009</v>
          </cell>
          <cell r="D3324" t="str">
            <v>MILHO</v>
          </cell>
          <cell r="E3324">
            <v>0</v>
          </cell>
        </row>
        <row r="3325">
          <cell r="A3325" t="str">
            <v>MS</v>
          </cell>
          <cell r="B3325">
            <v>2009</v>
          </cell>
          <cell r="D3325" t="str">
            <v>SOJA</v>
          </cell>
          <cell r="E3325">
            <v>0</v>
          </cell>
        </row>
        <row r="3326">
          <cell r="A3326" t="str">
            <v>MS</v>
          </cell>
          <cell r="B3326">
            <v>2009</v>
          </cell>
          <cell r="D3326" t="str">
            <v>MILHO</v>
          </cell>
          <cell r="E3326">
            <v>0</v>
          </cell>
        </row>
        <row r="3327">
          <cell r="A3327" t="str">
            <v>MS</v>
          </cell>
          <cell r="B3327">
            <v>2009</v>
          </cell>
          <cell r="D3327" t="str">
            <v>SOJA</v>
          </cell>
          <cell r="E3327">
            <v>3220</v>
          </cell>
        </row>
        <row r="3328">
          <cell r="A3328" t="str">
            <v>MS</v>
          </cell>
          <cell r="B3328">
            <v>2009</v>
          </cell>
          <cell r="D3328" t="str">
            <v>SOJA</v>
          </cell>
          <cell r="E3328">
            <v>0</v>
          </cell>
        </row>
        <row r="3329">
          <cell r="A3329" t="str">
            <v>SC</v>
          </cell>
          <cell r="B3329">
            <v>2009</v>
          </cell>
          <cell r="D3329" t="str">
            <v>MILHO</v>
          </cell>
          <cell r="E3329">
            <v>7640</v>
          </cell>
        </row>
        <row r="3330">
          <cell r="A3330" t="str">
            <v>MT</v>
          </cell>
          <cell r="B3330">
            <v>2009</v>
          </cell>
          <cell r="D3330" t="str">
            <v>MILHO</v>
          </cell>
          <cell r="E3330">
            <v>0</v>
          </cell>
        </row>
        <row r="3331">
          <cell r="A3331" t="str">
            <v>GO</v>
          </cell>
          <cell r="B3331">
            <v>2009</v>
          </cell>
          <cell r="D3331" t="str">
            <v>SOJA</v>
          </cell>
          <cell r="E3331">
            <v>0</v>
          </cell>
        </row>
        <row r="3332">
          <cell r="A3332" t="str">
            <v>RS</v>
          </cell>
          <cell r="B3332">
            <v>2009</v>
          </cell>
          <cell r="D3332" t="str">
            <v>SOJA</v>
          </cell>
          <cell r="E3332">
            <v>10180</v>
          </cell>
        </row>
        <row r="3333">
          <cell r="A3333" t="str">
            <v>RS</v>
          </cell>
          <cell r="B3333">
            <v>2009</v>
          </cell>
          <cell r="D3333" t="str">
            <v>SOJA</v>
          </cell>
          <cell r="E3333">
            <v>10180</v>
          </cell>
        </row>
        <row r="3334">
          <cell r="A3334" t="str">
            <v>RS</v>
          </cell>
          <cell r="B3334">
            <v>2009</v>
          </cell>
          <cell r="D3334" t="str">
            <v>SOJA</v>
          </cell>
          <cell r="E3334">
            <v>0</v>
          </cell>
        </row>
        <row r="3335">
          <cell r="A3335" t="str">
            <v>GO</v>
          </cell>
          <cell r="B3335">
            <v>2009</v>
          </cell>
          <cell r="D3335" t="str">
            <v>SOJA</v>
          </cell>
          <cell r="E3335">
            <v>0</v>
          </cell>
        </row>
        <row r="3336">
          <cell r="A3336" t="str">
            <v>GO</v>
          </cell>
          <cell r="B3336">
            <v>2009</v>
          </cell>
          <cell r="D3336" t="str">
            <v>SOJA</v>
          </cell>
          <cell r="E3336">
            <v>780</v>
          </cell>
        </row>
        <row r="3337">
          <cell r="A3337" t="str">
            <v>PR</v>
          </cell>
          <cell r="B3337">
            <v>2009</v>
          </cell>
          <cell r="D3337" t="str">
            <v>SOJA</v>
          </cell>
          <cell r="E3337">
            <v>0</v>
          </cell>
        </row>
        <row r="3338">
          <cell r="A3338" t="str">
            <v>RS</v>
          </cell>
          <cell r="B3338">
            <v>2009</v>
          </cell>
          <cell r="D3338" t="str">
            <v>SOJA</v>
          </cell>
          <cell r="E3338">
            <v>0</v>
          </cell>
        </row>
        <row r="3339">
          <cell r="A3339" t="str">
            <v>RS</v>
          </cell>
          <cell r="B3339">
            <v>2009</v>
          </cell>
          <cell r="D3339" t="str">
            <v>SOJA</v>
          </cell>
          <cell r="E3339">
            <v>5090</v>
          </cell>
        </row>
        <row r="3340">
          <cell r="A3340" t="str">
            <v>RS</v>
          </cell>
          <cell r="B3340">
            <v>2009</v>
          </cell>
          <cell r="D3340" t="str">
            <v>SOJA</v>
          </cell>
          <cell r="E3340">
            <v>6110</v>
          </cell>
        </row>
        <row r="3341">
          <cell r="A3341" t="str">
            <v>RS</v>
          </cell>
          <cell r="B3341">
            <v>2009</v>
          </cell>
          <cell r="D3341" t="str">
            <v>SOJA</v>
          </cell>
          <cell r="E3341">
            <v>2040</v>
          </cell>
        </row>
        <row r="3342">
          <cell r="A3342" t="str">
            <v>RS</v>
          </cell>
          <cell r="B3342">
            <v>2009</v>
          </cell>
          <cell r="D3342" t="str">
            <v>SOJA</v>
          </cell>
          <cell r="E3342">
            <v>0</v>
          </cell>
        </row>
        <row r="3343">
          <cell r="A3343" t="str">
            <v>RS</v>
          </cell>
          <cell r="B3343">
            <v>2009</v>
          </cell>
          <cell r="D3343" t="str">
            <v>SOJA</v>
          </cell>
          <cell r="E3343">
            <v>1020</v>
          </cell>
        </row>
        <row r="3344">
          <cell r="A3344" t="str">
            <v>RS</v>
          </cell>
          <cell r="B3344">
            <v>2009</v>
          </cell>
          <cell r="D3344" t="str">
            <v>SOJA</v>
          </cell>
          <cell r="E3344">
            <v>0</v>
          </cell>
        </row>
        <row r="3345">
          <cell r="A3345" t="str">
            <v>PR</v>
          </cell>
          <cell r="B3345">
            <v>2009</v>
          </cell>
          <cell r="D3345" t="str">
            <v>MILHO</v>
          </cell>
          <cell r="E3345">
            <v>0</v>
          </cell>
        </row>
        <row r="3346">
          <cell r="A3346" t="str">
            <v>PR</v>
          </cell>
          <cell r="B3346">
            <v>2009</v>
          </cell>
          <cell r="D3346" t="str">
            <v>MILHO</v>
          </cell>
          <cell r="E3346">
            <v>0</v>
          </cell>
        </row>
        <row r="3347">
          <cell r="A3347" t="str">
            <v>PR</v>
          </cell>
          <cell r="B3347">
            <v>2009</v>
          </cell>
          <cell r="D3347" t="str">
            <v>MILHO</v>
          </cell>
          <cell r="E3347">
            <v>0</v>
          </cell>
        </row>
        <row r="3348">
          <cell r="A3348" t="str">
            <v>SP</v>
          </cell>
          <cell r="B3348">
            <v>2009</v>
          </cell>
          <cell r="D3348" t="str">
            <v>MILHO</v>
          </cell>
          <cell r="E3348">
            <v>0</v>
          </cell>
        </row>
        <row r="3349">
          <cell r="A3349" t="str">
            <v>PR</v>
          </cell>
          <cell r="B3349">
            <v>2009</v>
          </cell>
          <cell r="D3349" t="str">
            <v>MILHO</v>
          </cell>
          <cell r="E3349">
            <v>0</v>
          </cell>
        </row>
        <row r="3350">
          <cell r="A3350" t="str">
            <v>PR</v>
          </cell>
          <cell r="B3350">
            <v>2009</v>
          </cell>
          <cell r="D3350" t="str">
            <v>SOJA</v>
          </cell>
          <cell r="E3350">
            <v>0</v>
          </cell>
        </row>
        <row r="3351">
          <cell r="A3351" t="str">
            <v>MT</v>
          </cell>
          <cell r="B3351">
            <v>2009</v>
          </cell>
          <cell r="D3351" t="str">
            <v>MILHO</v>
          </cell>
          <cell r="E3351">
            <v>0</v>
          </cell>
        </row>
        <row r="3352">
          <cell r="A3352" t="str">
            <v>MT</v>
          </cell>
          <cell r="B3352">
            <v>2009</v>
          </cell>
          <cell r="D3352" t="str">
            <v>MILHO</v>
          </cell>
          <cell r="E3352">
            <v>0</v>
          </cell>
        </row>
        <row r="3353">
          <cell r="A3353" t="str">
            <v>MS</v>
          </cell>
          <cell r="B3353">
            <v>2009</v>
          </cell>
          <cell r="D3353" t="str">
            <v>SOJA</v>
          </cell>
          <cell r="E3353">
            <v>0</v>
          </cell>
        </row>
        <row r="3354">
          <cell r="A3354" t="str">
            <v>PR</v>
          </cell>
          <cell r="B3354">
            <v>2009</v>
          </cell>
          <cell r="D3354" t="str">
            <v>MILHO</v>
          </cell>
          <cell r="E3354">
            <v>0</v>
          </cell>
        </row>
        <row r="3355">
          <cell r="A3355" t="str">
            <v>BA</v>
          </cell>
          <cell r="B3355">
            <v>2009</v>
          </cell>
          <cell r="D3355" t="str">
            <v>SOJA</v>
          </cell>
          <cell r="E3355">
            <v>4810</v>
          </cell>
        </row>
        <row r="3356">
          <cell r="A3356" t="str">
            <v>MT</v>
          </cell>
          <cell r="B3356">
            <v>2009</v>
          </cell>
          <cell r="D3356" t="str">
            <v>MILHO</v>
          </cell>
          <cell r="E3356">
            <v>0</v>
          </cell>
        </row>
        <row r="3357">
          <cell r="A3357" t="str">
            <v>MT</v>
          </cell>
          <cell r="B3357">
            <v>2009</v>
          </cell>
          <cell r="D3357" t="str">
            <v>MILHO</v>
          </cell>
          <cell r="E3357">
            <v>0</v>
          </cell>
        </row>
        <row r="3358">
          <cell r="A3358" t="str">
            <v>MT</v>
          </cell>
          <cell r="B3358">
            <v>2009</v>
          </cell>
          <cell r="D3358" t="str">
            <v>MILHO</v>
          </cell>
          <cell r="E3358">
            <v>0</v>
          </cell>
        </row>
        <row r="3359">
          <cell r="A3359" t="str">
            <v>GO</v>
          </cell>
          <cell r="B3359">
            <v>2009</v>
          </cell>
          <cell r="D3359" t="str">
            <v>SOJA</v>
          </cell>
          <cell r="E3359">
            <v>0</v>
          </cell>
        </row>
        <row r="3360">
          <cell r="A3360" t="str">
            <v>GO</v>
          </cell>
          <cell r="B3360">
            <v>2009</v>
          </cell>
          <cell r="D3360" t="str">
            <v>SOJA</v>
          </cell>
          <cell r="E3360">
            <v>0</v>
          </cell>
        </row>
        <row r="3361">
          <cell r="A3361" t="str">
            <v>GO</v>
          </cell>
          <cell r="B3361">
            <v>2009</v>
          </cell>
          <cell r="D3361" t="str">
            <v>SOJA</v>
          </cell>
          <cell r="E3361">
            <v>0</v>
          </cell>
        </row>
        <row r="3362">
          <cell r="A3362" t="str">
            <v>GO</v>
          </cell>
          <cell r="B3362">
            <v>2009</v>
          </cell>
          <cell r="D3362" t="str">
            <v>MILHO</v>
          </cell>
          <cell r="E3362">
            <v>0</v>
          </cell>
        </row>
        <row r="3363">
          <cell r="A3363" t="str">
            <v>MT</v>
          </cell>
          <cell r="B3363">
            <v>2009</v>
          </cell>
          <cell r="D3363" t="str">
            <v>MILHO</v>
          </cell>
          <cell r="E3363">
            <v>0</v>
          </cell>
        </row>
        <row r="3364">
          <cell r="A3364" t="str">
            <v>MT</v>
          </cell>
          <cell r="B3364">
            <v>2009</v>
          </cell>
          <cell r="D3364" t="str">
            <v>MILHO</v>
          </cell>
          <cell r="E3364">
            <v>0</v>
          </cell>
        </row>
        <row r="3365">
          <cell r="A3365" t="str">
            <v>MT</v>
          </cell>
          <cell r="B3365">
            <v>2009</v>
          </cell>
          <cell r="D3365" t="str">
            <v>MILHO</v>
          </cell>
          <cell r="E3365">
            <v>0</v>
          </cell>
        </row>
        <row r="3366">
          <cell r="A3366" t="str">
            <v>GO</v>
          </cell>
          <cell r="B3366">
            <v>2009</v>
          </cell>
          <cell r="D3366" t="str">
            <v>SOJA</v>
          </cell>
          <cell r="E3366">
            <v>0</v>
          </cell>
        </row>
        <row r="3367">
          <cell r="A3367" t="str">
            <v>MS</v>
          </cell>
          <cell r="B3367">
            <v>2009</v>
          </cell>
          <cell r="D3367" t="str">
            <v>MILHO</v>
          </cell>
          <cell r="E3367">
            <v>0</v>
          </cell>
        </row>
        <row r="3368">
          <cell r="A3368" t="str">
            <v>MT</v>
          </cell>
          <cell r="B3368">
            <v>2009</v>
          </cell>
          <cell r="D3368" t="str">
            <v>MILHO</v>
          </cell>
          <cell r="E3368">
            <v>0</v>
          </cell>
        </row>
        <row r="3369">
          <cell r="A3369" t="str">
            <v>MT</v>
          </cell>
          <cell r="B3369">
            <v>2009</v>
          </cell>
          <cell r="D3369" t="str">
            <v>SOJA</v>
          </cell>
          <cell r="E3369">
            <v>0</v>
          </cell>
        </row>
        <row r="3370">
          <cell r="A3370" t="str">
            <v>MT</v>
          </cell>
          <cell r="B3370">
            <v>2009</v>
          </cell>
          <cell r="D3370" t="str">
            <v>SOJA</v>
          </cell>
          <cell r="E3370">
            <v>2650</v>
          </cell>
        </row>
        <row r="3371">
          <cell r="A3371" t="str">
            <v>BA</v>
          </cell>
          <cell r="B3371">
            <v>2009</v>
          </cell>
          <cell r="D3371" t="str">
            <v>MILHO</v>
          </cell>
          <cell r="E3371">
            <v>0</v>
          </cell>
        </row>
        <row r="3372">
          <cell r="A3372" t="str">
            <v>BA</v>
          </cell>
          <cell r="B3372">
            <v>2009</v>
          </cell>
          <cell r="D3372" t="str">
            <v>MILHO</v>
          </cell>
          <cell r="E3372">
            <v>0</v>
          </cell>
        </row>
        <row r="3373">
          <cell r="A3373" t="str">
            <v>RS</v>
          </cell>
          <cell r="B3373">
            <v>2009</v>
          </cell>
          <cell r="D3373" t="str">
            <v>SOJA</v>
          </cell>
          <cell r="E3373">
            <v>0</v>
          </cell>
        </row>
        <row r="3374">
          <cell r="A3374" t="str">
            <v>RS</v>
          </cell>
          <cell r="B3374">
            <v>2009</v>
          </cell>
          <cell r="D3374" t="str">
            <v>SOJA</v>
          </cell>
          <cell r="E3374">
            <v>0</v>
          </cell>
        </row>
        <row r="3375">
          <cell r="A3375" t="str">
            <v>MS</v>
          </cell>
          <cell r="B3375">
            <v>2009</v>
          </cell>
          <cell r="D3375" t="str">
            <v>MILHO</v>
          </cell>
          <cell r="E3375">
            <v>0</v>
          </cell>
        </row>
        <row r="3376">
          <cell r="A3376" t="str">
            <v>MS</v>
          </cell>
          <cell r="B3376">
            <v>2009</v>
          </cell>
          <cell r="D3376" t="str">
            <v>MILHO</v>
          </cell>
          <cell r="E3376">
            <v>0</v>
          </cell>
        </row>
        <row r="3377">
          <cell r="A3377" t="str">
            <v>MS</v>
          </cell>
          <cell r="B3377">
            <v>2009</v>
          </cell>
          <cell r="D3377" t="str">
            <v>SOJA</v>
          </cell>
          <cell r="E3377">
            <v>0</v>
          </cell>
        </row>
        <row r="3378">
          <cell r="A3378" t="str">
            <v>RS</v>
          </cell>
          <cell r="B3378">
            <v>2009</v>
          </cell>
          <cell r="D3378" t="str">
            <v>SOJA</v>
          </cell>
          <cell r="E3378">
            <v>2040</v>
          </cell>
        </row>
        <row r="3379">
          <cell r="A3379" t="str">
            <v>RS</v>
          </cell>
          <cell r="B3379">
            <v>2009</v>
          </cell>
          <cell r="D3379" t="str">
            <v>SOJA</v>
          </cell>
          <cell r="E3379">
            <v>0</v>
          </cell>
        </row>
        <row r="3380">
          <cell r="A3380" t="str">
            <v>RS</v>
          </cell>
          <cell r="B3380">
            <v>2009</v>
          </cell>
          <cell r="D3380" t="str">
            <v>SOJA</v>
          </cell>
          <cell r="E3380">
            <v>0</v>
          </cell>
        </row>
        <row r="3381">
          <cell r="A3381" t="str">
            <v>RS</v>
          </cell>
          <cell r="B3381">
            <v>2009</v>
          </cell>
          <cell r="D3381" t="str">
            <v>SOJA</v>
          </cell>
          <cell r="E3381">
            <v>1020</v>
          </cell>
        </row>
        <row r="3382">
          <cell r="A3382" t="str">
            <v>RS</v>
          </cell>
          <cell r="B3382">
            <v>2009</v>
          </cell>
          <cell r="D3382" t="str">
            <v>SOJA</v>
          </cell>
          <cell r="E3382">
            <v>0</v>
          </cell>
        </row>
        <row r="3383">
          <cell r="A3383" t="str">
            <v>MS</v>
          </cell>
          <cell r="B3383">
            <v>2009</v>
          </cell>
          <cell r="D3383" t="str">
            <v>MILHO</v>
          </cell>
          <cell r="E3383">
            <v>0</v>
          </cell>
        </row>
        <row r="3384">
          <cell r="A3384" t="str">
            <v>MS</v>
          </cell>
          <cell r="B3384">
            <v>2009</v>
          </cell>
          <cell r="D3384" t="str">
            <v>SOJA</v>
          </cell>
          <cell r="E3384">
            <v>0</v>
          </cell>
        </row>
        <row r="3385">
          <cell r="A3385" t="str">
            <v>MS</v>
          </cell>
          <cell r="B3385">
            <v>2009</v>
          </cell>
          <cell r="D3385" t="str">
            <v>MILHO</v>
          </cell>
          <cell r="E3385">
            <v>0</v>
          </cell>
        </row>
        <row r="3386">
          <cell r="A3386" t="str">
            <v>MS</v>
          </cell>
          <cell r="B3386">
            <v>2009</v>
          </cell>
          <cell r="D3386" t="str">
            <v>SOJA</v>
          </cell>
          <cell r="E3386">
            <v>1290</v>
          </cell>
        </row>
        <row r="3387">
          <cell r="A3387" t="str">
            <v>MS</v>
          </cell>
          <cell r="B3387">
            <v>2009</v>
          </cell>
          <cell r="D3387" t="str">
            <v>SOJA</v>
          </cell>
          <cell r="E3387">
            <v>0</v>
          </cell>
        </row>
        <row r="3388">
          <cell r="A3388" t="str">
            <v>RS</v>
          </cell>
          <cell r="B3388">
            <v>2009</v>
          </cell>
          <cell r="D3388" t="str">
            <v>SOJA</v>
          </cell>
          <cell r="E3388">
            <v>9170</v>
          </cell>
        </row>
        <row r="3389">
          <cell r="A3389" t="str">
            <v>RS</v>
          </cell>
          <cell r="B3389">
            <v>2009</v>
          </cell>
          <cell r="D3389" t="str">
            <v>SOJA</v>
          </cell>
          <cell r="E3389">
            <v>11200</v>
          </cell>
        </row>
        <row r="3390">
          <cell r="A3390" t="str">
            <v>RS</v>
          </cell>
          <cell r="B3390">
            <v>2009</v>
          </cell>
          <cell r="D3390" t="str">
            <v>SOJA</v>
          </cell>
          <cell r="E3390">
            <v>0</v>
          </cell>
        </row>
        <row r="3391">
          <cell r="A3391" t="str">
            <v>RS</v>
          </cell>
          <cell r="B3391">
            <v>2009</v>
          </cell>
          <cell r="D3391" t="str">
            <v>SOJA</v>
          </cell>
          <cell r="E3391">
            <v>0</v>
          </cell>
        </row>
        <row r="3392">
          <cell r="A3392" t="str">
            <v>RS</v>
          </cell>
          <cell r="B3392">
            <v>2009</v>
          </cell>
          <cell r="D3392" t="str">
            <v>SOJA</v>
          </cell>
          <cell r="E3392">
            <v>5090</v>
          </cell>
        </row>
        <row r="3393">
          <cell r="A3393" t="str">
            <v>RS</v>
          </cell>
          <cell r="B3393">
            <v>2009</v>
          </cell>
          <cell r="D3393" t="str">
            <v>SOJA</v>
          </cell>
          <cell r="E3393">
            <v>0</v>
          </cell>
        </row>
        <row r="3394">
          <cell r="A3394" t="str">
            <v>RS</v>
          </cell>
          <cell r="B3394">
            <v>2009</v>
          </cell>
          <cell r="D3394" t="str">
            <v>SOJA</v>
          </cell>
          <cell r="E3394">
            <v>3060</v>
          </cell>
        </row>
        <row r="3395">
          <cell r="A3395" t="str">
            <v>RS</v>
          </cell>
          <cell r="B3395">
            <v>2009</v>
          </cell>
          <cell r="D3395" t="str">
            <v>SOJA</v>
          </cell>
          <cell r="E3395">
            <v>0</v>
          </cell>
        </row>
        <row r="3396">
          <cell r="A3396" t="str">
            <v>RS</v>
          </cell>
          <cell r="B3396">
            <v>2009</v>
          </cell>
          <cell r="D3396" t="str">
            <v>SOJA</v>
          </cell>
          <cell r="E3396">
            <v>0</v>
          </cell>
        </row>
        <row r="3397">
          <cell r="A3397" t="str">
            <v>PR</v>
          </cell>
          <cell r="B3397">
            <v>2009</v>
          </cell>
          <cell r="D3397" t="str">
            <v>MILHO</v>
          </cell>
          <cell r="E3397">
            <v>0</v>
          </cell>
        </row>
        <row r="3398">
          <cell r="A3398" t="str">
            <v>PR</v>
          </cell>
          <cell r="B3398">
            <v>2009</v>
          </cell>
          <cell r="D3398" t="str">
            <v>MILHO</v>
          </cell>
          <cell r="E3398">
            <v>0</v>
          </cell>
        </row>
        <row r="3399">
          <cell r="A3399" t="str">
            <v>PR</v>
          </cell>
          <cell r="B3399">
            <v>2009</v>
          </cell>
          <cell r="D3399" t="str">
            <v>MILHO</v>
          </cell>
          <cell r="E3399">
            <v>0</v>
          </cell>
        </row>
        <row r="3400">
          <cell r="A3400" t="str">
            <v>PR</v>
          </cell>
          <cell r="B3400">
            <v>2009</v>
          </cell>
          <cell r="D3400" t="str">
            <v>MILHO</v>
          </cell>
          <cell r="E3400">
            <v>0</v>
          </cell>
        </row>
        <row r="3401">
          <cell r="A3401" t="str">
            <v>PR</v>
          </cell>
          <cell r="B3401">
            <v>2009</v>
          </cell>
          <cell r="D3401" t="str">
            <v>SOJA</v>
          </cell>
          <cell r="E3401">
            <v>0</v>
          </cell>
        </row>
        <row r="3402">
          <cell r="A3402" t="str">
            <v>BA</v>
          </cell>
          <cell r="B3402">
            <v>2009</v>
          </cell>
          <cell r="D3402" t="str">
            <v>SOJA</v>
          </cell>
          <cell r="E3402">
            <v>4810</v>
          </cell>
        </row>
        <row r="3403">
          <cell r="A3403" t="str">
            <v>MT</v>
          </cell>
          <cell r="B3403">
            <v>2009</v>
          </cell>
          <cell r="D3403" t="str">
            <v>SOJA</v>
          </cell>
          <cell r="E3403">
            <v>0</v>
          </cell>
        </row>
        <row r="3404">
          <cell r="A3404" t="str">
            <v>MT</v>
          </cell>
          <cell r="B3404">
            <v>2009</v>
          </cell>
          <cell r="D3404" t="str">
            <v>SOJA</v>
          </cell>
          <cell r="E3404">
            <v>0</v>
          </cell>
        </row>
        <row r="3405">
          <cell r="A3405" t="str">
            <v>BA</v>
          </cell>
          <cell r="B3405">
            <v>2009</v>
          </cell>
          <cell r="D3405" t="str">
            <v>MILHO</v>
          </cell>
          <cell r="E3405">
            <v>0</v>
          </cell>
        </row>
        <row r="3406">
          <cell r="A3406" t="str">
            <v>RS</v>
          </cell>
          <cell r="B3406">
            <v>2009</v>
          </cell>
          <cell r="D3406" t="str">
            <v>SOJA</v>
          </cell>
          <cell r="E3406">
            <v>0</v>
          </cell>
        </row>
        <row r="3407">
          <cell r="A3407" t="str">
            <v>RS</v>
          </cell>
          <cell r="B3407">
            <v>2009</v>
          </cell>
          <cell r="D3407" t="str">
            <v>SOJA</v>
          </cell>
          <cell r="E3407">
            <v>0</v>
          </cell>
        </row>
        <row r="3408">
          <cell r="A3408" t="str">
            <v>RS</v>
          </cell>
          <cell r="B3408">
            <v>2009</v>
          </cell>
          <cell r="D3408" t="str">
            <v>SOJA</v>
          </cell>
          <cell r="E3408">
            <v>0</v>
          </cell>
        </row>
        <row r="3409">
          <cell r="A3409" t="str">
            <v>RS</v>
          </cell>
          <cell r="B3409">
            <v>2009</v>
          </cell>
          <cell r="D3409" t="str">
            <v>SOJA</v>
          </cell>
          <cell r="E3409">
            <v>0</v>
          </cell>
        </row>
        <row r="3410">
          <cell r="A3410" t="str">
            <v>MS</v>
          </cell>
          <cell r="B3410">
            <v>2009</v>
          </cell>
          <cell r="D3410" t="str">
            <v>MILHO</v>
          </cell>
          <cell r="E3410">
            <v>0</v>
          </cell>
        </row>
        <row r="3411">
          <cell r="A3411" t="str">
            <v>MT</v>
          </cell>
          <cell r="B3411">
            <v>2010</v>
          </cell>
          <cell r="D3411" t="str">
            <v>SOJA</v>
          </cell>
          <cell r="E3411">
            <v>4296.4285714285706</v>
          </cell>
        </row>
        <row r="3412">
          <cell r="A3412" t="str">
            <v>RS</v>
          </cell>
          <cell r="B3412">
            <v>2010</v>
          </cell>
          <cell r="D3412" t="str">
            <v>MILHO</v>
          </cell>
          <cell r="E3412">
            <v>0</v>
          </cell>
        </row>
        <row r="3413">
          <cell r="A3413" t="str">
            <v>MT</v>
          </cell>
          <cell r="B3413">
            <v>2010</v>
          </cell>
          <cell r="D3413" t="str">
            <v>SOJA</v>
          </cell>
          <cell r="E3413">
            <v>4853.5714285714284</v>
          </cell>
        </row>
        <row r="3414">
          <cell r="A3414" t="str">
            <v>RS</v>
          </cell>
          <cell r="B3414">
            <v>2010</v>
          </cell>
          <cell r="D3414" t="str">
            <v>MILHO</v>
          </cell>
          <cell r="E3414">
            <v>0</v>
          </cell>
        </row>
        <row r="3415">
          <cell r="A3415" t="str">
            <v>RS</v>
          </cell>
          <cell r="B3415">
            <v>2010</v>
          </cell>
          <cell r="D3415" t="str">
            <v>SOJA</v>
          </cell>
          <cell r="E3415">
            <v>1092.8571428571427</v>
          </cell>
        </row>
        <row r="3416">
          <cell r="A3416" t="str">
            <v>RS</v>
          </cell>
          <cell r="B3416">
            <v>2010</v>
          </cell>
          <cell r="D3416" t="str">
            <v>MILHO</v>
          </cell>
          <cell r="E3416">
            <v>2299</v>
          </cell>
        </row>
        <row r="3417">
          <cell r="A3417" t="str">
            <v>RS</v>
          </cell>
          <cell r="B3417">
            <v>2010</v>
          </cell>
          <cell r="D3417" t="str">
            <v>MILHO</v>
          </cell>
          <cell r="E3417">
            <v>0</v>
          </cell>
        </row>
        <row r="3418">
          <cell r="A3418" t="str">
            <v>RS</v>
          </cell>
          <cell r="B3418">
            <v>2010</v>
          </cell>
          <cell r="D3418" t="str">
            <v>MILHO</v>
          </cell>
          <cell r="E3418">
            <v>0</v>
          </cell>
        </row>
        <row r="3419">
          <cell r="A3419" t="str">
            <v>PR</v>
          </cell>
          <cell r="B3419">
            <v>2010</v>
          </cell>
          <cell r="D3419" t="str">
            <v>MILHO</v>
          </cell>
          <cell r="E3419">
            <v>0</v>
          </cell>
        </row>
        <row r="3420">
          <cell r="A3420" t="str">
            <v>MT</v>
          </cell>
          <cell r="B3420">
            <v>2010</v>
          </cell>
          <cell r="D3420" t="str">
            <v>SOJA</v>
          </cell>
          <cell r="E3420">
            <v>2582.1428571428573</v>
          </cell>
        </row>
        <row r="3421">
          <cell r="A3421" t="str">
            <v>MT</v>
          </cell>
          <cell r="B3421">
            <v>2010</v>
          </cell>
          <cell r="D3421" t="str">
            <v>SOJA</v>
          </cell>
          <cell r="E3421">
            <v>0</v>
          </cell>
        </row>
        <row r="3422">
          <cell r="A3422" t="str">
            <v>MT</v>
          </cell>
          <cell r="B3422">
            <v>2010</v>
          </cell>
          <cell r="D3422" t="str">
            <v>SOJA</v>
          </cell>
          <cell r="E3422">
            <v>0</v>
          </cell>
        </row>
        <row r="3423">
          <cell r="A3423" t="str">
            <v>MT</v>
          </cell>
          <cell r="B3423">
            <v>2010</v>
          </cell>
          <cell r="D3423" t="str">
            <v>SOJA</v>
          </cell>
          <cell r="E3423">
            <v>4296.4285714285706</v>
          </cell>
        </row>
        <row r="3424">
          <cell r="A3424" t="str">
            <v>MT</v>
          </cell>
          <cell r="B3424">
            <v>2010</v>
          </cell>
          <cell r="D3424" t="str">
            <v>SOJA</v>
          </cell>
          <cell r="E3424">
            <v>0</v>
          </cell>
        </row>
        <row r="3425">
          <cell r="A3425" t="str">
            <v>MT</v>
          </cell>
          <cell r="B3425">
            <v>2010</v>
          </cell>
          <cell r="D3425" t="str">
            <v>SOJA</v>
          </cell>
          <cell r="E3425">
            <v>0</v>
          </cell>
        </row>
        <row r="3426">
          <cell r="A3426" t="str">
            <v>MT</v>
          </cell>
          <cell r="B3426">
            <v>2010</v>
          </cell>
          <cell r="D3426" t="str">
            <v>SOJA</v>
          </cell>
          <cell r="E3426">
            <v>0</v>
          </cell>
        </row>
        <row r="3427">
          <cell r="A3427" t="str">
            <v>MT</v>
          </cell>
          <cell r="B3427">
            <v>2010</v>
          </cell>
          <cell r="D3427" t="str">
            <v>SOJA</v>
          </cell>
          <cell r="E3427">
            <v>38849.999999999993</v>
          </cell>
        </row>
        <row r="3428">
          <cell r="A3428" t="str">
            <v>MT</v>
          </cell>
          <cell r="B3428">
            <v>2010</v>
          </cell>
          <cell r="D3428" t="str">
            <v>SOJA</v>
          </cell>
          <cell r="E3428">
            <v>0</v>
          </cell>
        </row>
        <row r="3429">
          <cell r="A3429" t="str">
            <v>MT</v>
          </cell>
          <cell r="B3429">
            <v>2010</v>
          </cell>
          <cell r="D3429" t="str">
            <v>SOJA</v>
          </cell>
          <cell r="E3429">
            <v>2839.2857142857138</v>
          </cell>
        </row>
        <row r="3430">
          <cell r="A3430" t="str">
            <v>MT</v>
          </cell>
          <cell r="B3430">
            <v>2010</v>
          </cell>
          <cell r="D3430" t="str">
            <v>SOJA</v>
          </cell>
          <cell r="E3430">
            <v>0</v>
          </cell>
        </row>
        <row r="3431">
          <cell r="A3431" t="str">
            <v>MT</v>
          </cell>
          <cell r="B3431">
            <v>2010</v>
          </cell>
          <cell r="D3431" t="str">
            <v>SOJA</v>
          </cell>
          <cell r="E3431">
            <v>5153.5714285714275</v>
          </cell>
        </row>
        <row r="3432">
          <cell r="A3432" t="str">
            <v>MT</v>
          </cell>
          <cell r="B3432">
            <v>2010</v>
          </cell>
          <cell r="D3432" t="str">
            <v>SOJA</v>
          </cell>
          <cell r="E3432">
            <v>8592.8571428571413</v>
          </cell>
        </row>
        <row r="3433">
          <cell r="A3433" t="str">
            <v>MT</v>
          </cell>
          <cell r="B3433">
            <v>2010</v>
          </cell>
          <cell r="D3433" t="str">
            <v>SOJA</v>
          </cell>
          <cell r="E3433">
            <v>4853.5714285714284</v>
          </cell>
        </row>
        <row r="3434">
          <cell r="A3434" t="str">
            <v>MT</v>
          </cell>
          <cell r="B3434">
            <v>2010</v>
          </cell>
          <cell r="D3434" t="str">
            <v>SOJA</v>
          </cell>
          <cell r="E3434">
            <v>1414.2857142857144</v>
          </cell>
        </row>
        <row r="3435">
          <cell r="A3435" t="str">
            <v>MT</v>
          </cell>
          <cell r="B3435">
            <v>2010</v>
          </cell>
          <cell r="D3435" t="str">
            <v>SOJA</v>
          </cell>
          <cell r="E3435">
            <v>6610.7142857142853</v>
          </cell>
        </row>
        <row r="3436">
          <cell r="A3436" t="str">
            <v>MT</v>
          </cell>
          <cell r="B3436">
            <v>2010</v>
          </cell>
          <cell r="D3436" t="str">
            <v>SOJA</v>
          </cell>
          <cell r="E3436">
            <v>4853.5714285714284</v>
          </cell>
        </row>
        <row r="3437">
          <cell r="A3437" t="str">
            <v>RS</v>
          </cell>
          <cell r="B3437">
            <v>2010</v>
          </cell>
          <cell r="D3437" t="str">
            <v>MILHO</v>
          </cell>
          <cell r="E3437">
            <v>0</v>
          </cell>
        </row>
        <row r="3438">
          <cell r="A3438" t="str">
            <v>RS</v>
          </cell>
          <cell r="B3438">
            <v>2010</v>
          </cell>
          <cell r="D3438" t="str">
            <v>MILHO</v>
          </cell>
          <cell r="E3438">
            <v>1716.0000000000002</v>
          </cell>
        </row>
        <row r="3439">
          <cell r="A3439" t="str">
            <v>RS</v>
          </cell>
          <cell r="B3439">
            <v>2010</v>
          </cell>
          <cell r="D3439" t="str">
            <v>MILHO</v>
          </cell>
          <cell r="E3439">
            <v>572.00000000000011</v>
          </cell>
        </row>
        <row r="3440">
          <cell r="A3440" t="str">
            <v>RS</v>
          </cell>
          <cell r="B3440">
            <v>2010</v>
          </cell>
          <cell r="D3440" t="str">
            <v>SOJA</v>
          </cell>
          <cell r="E3440">
            <v>1092.8571428571427</v>
          </cell>
        </row>
        <row r="3441">
          <cell r="A3441" t="str">
            <v>MT</v>
          </cell>
          <cell r="B3441">
            <v>2010</v>
          </cell>
          <cell r="D3441" t="str">
            <v>SOJA</v>
          </cell>
          <cell r="E3441">
            <v>4853.5714285714284</v>
          </cell>
        </row>
        <row r="3442">
          <cell r="A3442" t="str">
            <v>RS</v>
          </cell>
          <cell r="B3442">
            <v>2010</v>
          </cell>
          <cell r="D3442" t="str">
            <v>MILHO</v>
          </cell>
          <cell r="E3442">
            <v>572.00000000000011</v>
          </cell>
        </row>
        <row r="3443">
          <cell r="A3443" t="str">
            <v>RS</v>
          </cell>
          <cell r="B3443">
            <v>2010</v>
          </cell>
          <cell r="D3443" t="str">
            <v>MILHO</v>
          </cell>
          <cell r="E3443">
            <v>1155.0000000000002</v>
          </cell>
        </row>
        <row r="3444">
          <cell r="A3444" t="str">
            <v>RS</v>
          </cell>
          <cell r="B3444">
            <v>2010</v>
          </cell>
          <cell r="D3444" t="str">
            <v>SOJA</v>
          </cell>
          <cell r="E3444">
            <v>1092.8571428571427</v>
          </cell>
        </row>
        <row r="3445">
          <cell r="A3445" t="str">
            <v>MT</v>
          </cell>
          <cell r="B3445">
            <v>2010</v>
          </cell>
          <cell r="D3445" t="str">
            <v>SOJA</v>
          </cell>
          <cell r="E3445">
            <v>0</v>
          </cell>
        </row>
        <row r="3446">
          <cell r="A3446" t="str">
            <v>MT</v>
          </cell>
          <cell r="B3446">
            <v>2010</v>
          </cell>
          <cell r="D3446" t="str">
            <v>SOJA</v>
          </cell>
          <cell r="E3446">
            <v>24053.571428571428</v>
          </cell>
        </row>
        <row r="3447">
          <cell r="A3447" t="str">
            <v>MT</v>
          </cell>
          <cell r="B3447">
            <v>2010</v>
          </cell>
          <cell r="D3447" t="str">
            <v>SOJA</v>
          </cell>
          <cell r="E3447">
            <v>0</v>
          </cell>
        </row>
        <row r="3448">
          <cell r="A3448" t="str">
            <v>MT</v>
          </cell>
          <cell r="B3448">
            <v>2010</v>
          </cell>
          <cell r="D3448" t="str">
            <v>SOJA</v>
          </cell>
          <cell r="E3448">
            <v>17185.714285714283</v>
          </cell>
        </row>
        <row r="3449">
          <cell r="A3449" t="str">
            <v>MT</v>
          </cell>
          <cell r="B3449">
            <v>2010</v>
          </cell>
          <cell r="D3449" t="str">
            <v>SOJA</v>
          </cell>
          <cell r="E3449">
            <v>9685.7142857142844</v>
          </cell>
        </row>
        <row r="3450">
          <cell r="A3450" t="str">
            <v>RS</v>
          </cell>
          <cell r="B3450">
            <v>2010</v>
          </cell>
          <cell r="D3450" t="str">
            <v>MILHO</v>
          </cell>
          <cell r="E3450">
            <v>0</v>
          </cell>
        </row>
        <row r="3451">
          <cell r="A3451" t="str">
            <v>RS</v>
          </cell>
          <cell r="B3451">
            <v>2010</v>
          </cell>
          <cell r="D3451" t="str">
            <v>SOJA</v>
          </cell>
          <cell r="E3451">
            <v>1092.8571428571427</v>
          </cell>
        </row>
        <row r="3452">
          <cell r="A3452" t="str">
            <v>MT</v>
          </cell>
          <cell r="B3452">
            <v>2010</v>
          </cell>
          <cell r="D3452" t="str">
            <v>SOJA</v>
          </cell>
          <cell r="E3452">
            <v>10200</v>
          </cell>
        </row>
        <row r="3453">
          <cell r="A3453" t="str">
            <v>MT</v>
          </cell>
          <cell r="B3453">
            <v>2010</v>
          </cell>
          <cell r="D3453" t="str">
            <v>SOJA</v>
          </cell>
          <cell r="E3453">
            <v>4853.5714285714284</v>
          </cell>
        </row>
        <row r="3454">
          <cell r="A3454" t="str">
            <v>MT</v>
          </cell>
          <cell r="B3454">
            <v>2010</v>
          </cell>
          <cell r="D3454" t="str">
            <v>SOJA</v>
          </cell>
          <cell r="E3454">
            <v>4725</v>
          </cell>
        </row>
        <row r="3455">
          <cell r="A3455" t="str">
            <v>MT</v>
          </cell>
          <cell r="B3455">
            <v>2010</v>
          </cell>
          <cell r="D3455" t="str">
            <v>SOJA</v>
          </cell>
          <cell r="E3455">
            <v>7500</v>
          </cell>
        </row>
        <row r="3456">
          <cell r="A3456" t="str">
            <v>GO</v>
          </cell>
          <cell r="B3456">
            <v>2010</v>
          </cell>
          <cell r="D3456" t="str">
            <v>SOJA</v>
          </cell>
          <cell r="E3456">
            <v>12557.142857142857</v>
          </cell>
        </row>
        <row r="3457">
          <cell r="A3457" t="str">
            <v>GO</v>
          </cell>
          <cell r="B3457">
            <v>2010</v>
          </cell>
          <cell r="D3457" t="str">
            <v>SOJA</v>
          </cell>
          <cell r="E3457">
            <v>899.99999999999989</v>
          </cell>
        </row>
        <row r="3458">
          <cell r="A3458" t="str">
            <v>GO</v>
          </cell>
          <cell r="B3458">
            <v>2010</v>
          </cell>
          <cell r="D3458" t="str">
            <v>SOJA</v>
          </cell>
          <cell r="E3458">
            <v>0</v>
          </cell>
        </row>
        <row r="3459">
          <cell r="A3459" t="str">
            <v>PR</v>
          </cell>
          <cell r="B3459">
            <v>2010</v>
          </cell>
          <cell r="D3459" t="str">
            <v>MILHO</v>
          </cell>
          <cell r="E3459">
            <v>0</v>
          </cell>
        </row>
        <row r="3460">
          <cell r="A3460" t="str">
            <v>PR</v>
          </cell>
          <cell r="B3460">
            <v>2010</v>
          </cell>
          <cell r="D3460" t="str">
            <v>SOJA</v>
          </cell>
          <cell r="E3460">
            <v>0</v>
          </cell>
        </row>
        <row r="3461">
          <cell r="A3461" t="str">
            <v>TO</v>
          </cell>
          <cell r="B3461">
            <v>2010</v>
          </cell>
          <cell r="D3461" t="str">
            <v>SOJA</v>
          </cell>
          <cell r="E3461">
            <v>96.428571428571416</v>
          </cell>
        </row>
        <row r="3462">
          <cell r="A3462" t="str">
            <v>PR</v>
          </cell>
          <cell r="B3462">
            <v>2010</v>
          </cell>
          <cell r="D3462" t="str">
            <v>MILHO</v>
          </cell>
          <cell r="E3462">
            <v>0</v>
          </cell>
        </row>
        <row r="3463">
          <cell r="A3463" t="str">
            <v>PR</v>
          </cell>
          <cell r="B3463">
            <v>2010</v>
          </cell>
          <cell r="D3463" t="str">
            <v>MILHO</v>
          </cell>
          <cell r="E3463">
            <v>2640</v>
          </cell>
        </row>
        <row r="3464">
          <cell r="A3464" t="str">
            <v>PR</v>
          </cell>
          <cell r="B3464">
            <v>2010</v>
          </cell>
          <cell r="D3464" t="str">
            <v>SOJA</v>
          </cell>
          <cell r="E3464">
            <v>921.42857142857133</v>
          </cell>
        </row>
        <row r="3465">
          <cell r="A3465" t="str">
            <v>PR</v>
          </cell>
          <cell r="B3465">
            <v>2010</v>
          </cell>
          <cell r="D3465" t="str">
            <v>MILHO</v>
          </cell>
          <cell r="E3465">
            <v>1760.0000000000002</v>
          </cell>
        </row>
        <row r="3466">
          <cell r="A3466" t="str">
            <v>PR</v>
          </cell>
          <cell r="B3466">
            <v>2010</v>
          </cell>
          <cell r="D3466" t="str">
            <v>SOJA</v>
          </cell>
          <cell r="E3466">
            <v>460.71428571428567</v>
          </cell>
        </row>
        <row r="3467">
          <cell r="A3467" t="str">
            <v>PR</v>
          </cell>
          <cell r="B3467">
            <v>2010</v>
          </cell>
          <cell r="D3467" t="str">
            <v>MILHO</v>
          </cell>
          <cell r="E3467">
            <v>440.00000000000006</v>
          </cell>
        </row>
        <row r="3468">
          <cell r="A3468" t="str">
            <v>PR</v>
          </cell>
          <cell r="B3468">
            <v>2010</v>
          </cell>
          <cell r="D3468" t="str">
            <v>MILHO</v>
          </cell>
          <cell r="E3468">
            <v>0</v>
          </cell>
        </row>
        <row r="3469">
          <cell r="A3469" t="str">
            <v>PR</v>
          </cell>
          <cell r="B3469">
            <v>2010</v>
          </cell>
          <cell r="D3469" t="str">
            <v>MILHO</v>
          </cell>
          <cell r="E3469">
            <v>15807</v>
          </cell>
        </row>
        <row r="3470">
          <cell r="A3470" t="str">
            <v>PR</v>
          </cell>
          <cell r="B3470">
            <v>2010</v>
          </cell>
          <cell r="D3470" t="str">
            <v>SOJA</v>
          </cell>
          <cell r="E3470">
            <v>0</v>
          </cell>
        </row>
        <row r="3471">
          <cell r="A3471" t="str">
            <v>PR</v>
          </cell>
          <cell r="B3471">
            <v>2010</v>
          </cell>
          <cell r="D3471" t="str">
            <v>SOJA</v>
          </cell>
          <cell r="E3471">
            <v>29485.714285714283</v>
          </cell>
        </row>
        <row r="3472">
          <cell r="A3472" t="str">
            <v>PR</v>
          </cell>
          <cell r="B3472">
            <v>2010</v>
          </cell>
          <cell r="D3472" t="str">
            <v>SOJA</v>
          </cell>
          <cell r="E3472">
            <v>0</v>
          </cell>
        </row>
        <row r="3473">
          <cell r="A3473" t="str">
            <v>PR</v>
          </cell>
          <cell r="B3473">
            <v>2010</v>
          </cell>
          <cell r="D3473" t="str">
            <v>MILHO</v>
          </cell>
          <cell r="E3473">
            <v>0</v>
          </cell>
        </row>
        <row r="3474">
          <cell r="A3474" t="str">
            <v>PR</v>
          </cell>
          <cell r="B3474">
            <v>2010</v>
          </cell>
          <cell r="D3474" t="str">
            <v>MILHO</v>
          </cell>
          <cell r="E3474">
            <v>2640</v>
          </cell>
        </row>
        <row r="3475">
          <cell r="A3475" t="str">
            <v>PR</v>
          </cell>
          <cell r="B3475">
            <v>2010</v>
          </cell>
          <cell r="D3475" t="str">
            <v>SOJA</v>
          </cell>
          <cell r="E3475">
            <v>1842.8571428571427</v>
          </cell>
        </row>
        <row r="3476">
          <cell r="A3476" t="str">
            <v>PR</v>
          </cell>
          <cell r="B3476">
            <v>2010</v>
          </cell>
          <cell r="D3476" t="str">
            <v>MILHO</v>
          </cell>
          <cell r="E3476">
            <v>1760.0000000000002</v>
          </cell>
        </row>
        <row r="3477">
          <cell r="A3477" t="str">
            <v>RS</v>
          </cell>
          <cell r="B3477">
            <v>2010</v>
          </cell>
          <cell r="D3477" t="str">
            <v>MILHO</v>
          </cell>
          <cell r="E3477">
            <v>0</v>
          </cell>
        </row>
        <row r="3478">
          <cell r="A3478" t="str">
            <v>PR</v>
          </cell>
          <cell r="B3478">
            <v>2010</v>
          </cell>
          <cell r="D3478" t="str">
            <v>MILHO</v>
          </cell>
          <cell r="E3478">
            <v>0</v>
          </cell>
        </row>
        <row r="3479">
          <cell r="A3479" t="str">
            <v>MT</v>
          </cell>
          <cell r="B3479">
            <v>2010</v>
          </cell>
          <cell r="D3479" t="str">
            <v>SOJA</v>
          </cell>
          <cell r="E3479">
            <v>9685.7142857142844</v>
          </cell>
        </row>
        <row r="3480">
          <cell r="A3480" t="str">
            <v>MT</v>
          </cell>
          <cell r="B3480">
            <v>2010</v>
          </cell>
          <cell r="D3480" t="str">
            <v>SOJA</v>
          </cell>
          <cell r="E3480">
            <v>25510.714285714283</v>
          </cell>
        </row>
        <row r="3481">
          <cell r="A3481" t="str">
            <v>MT</v>
          </cell>
          <cell r="B3481">
            <v>2010</v>
          </cell>
          <cell r="D3481" t="str">
            <v>SOJA</v>
          </cell>
          <cell r="E3481">
            <v>29132.142857142855</v>
          </cell>
        </row>
        <row r="3482">
          <cell r="A3482" t="str">
            <v>MT</v>
          </cell>
          <cell r="B3482">
            <v>2010</v>
          </cell>
          <cell r="D3482" t="str">
            <v>SOJA</v>
          </cell>
          <cell r="E3482">
            <v>0</v>
          </cell>
        </row>
        <row r="3483">
          <cell r="A3483" t="str">
            <v>RS</v>
          </cell>
          <cell r="B3483">
            <v>2010</v>
          </cell>
          <cell r="D3483" t="str">
            <v>MILHO</v>
          </cell>
          <cell r="E3483">
            <v>0</v>
          </cell>
        </row>
        <row r="3484">
          <cell r="A3484" t="str">
            <v>RS</v>
          </cell>
          <cell r="B3484">
            <v>2010</v>
          </cell>
          <cell r="D3484" t="str">
            <v>SOJA</v>
          </cell>
          <cell r="E3484">
            <v>2185.7142857142853</v>
          </cell>
        </row>
        <row r="3485">
          <cell r="A3485" t="str">
            <v>RS</v>
          </cell>
          <cell r="B3485">
            <v>2010</v>
          </cell>
          <cell r="D3485" t="str">
            <v>MILHO</v>
          </cell>
          <cell r="E3485">
            <v>0</v>
          </cell>
        </row>
        <row r="3486">
          <cell r="A3486" t="str">
            <v>RS</v>
          </cell>
          <cell r="B3486">
            <v>2010</v>
          </cell>
          <cell r="D3486" t="str">
            <v>MILHO</v>
          </cell>
          <cell r="E3486">
            <v>11506.000000000002</v>
          </cell>
        </row>
        <row r="3487">
          <cell r="A3487" t="str">
            <v>RS</v>
          </cell>
          <cell r="B3487">
            <v>2010</v>
          </cell>
          <cell r="D3487" t="str">
            <v>SOJA</v>
          </cell>
          <cell r="E3487">
            <v>1092.8571428571427</v>
          </cell>
        </row>
        <row r="3488">
          <cell r="A3488" t="str">
            <v>RS</v>
          </cell>
          <cell r="B3488">
            <v>2010</v>
          </cell>
          <cell r="D3488" t="str">
            <v>MILHO</v>
          </cell>
          <cell r="E3488">
            <v>0</v>
          </cell>
        </row>
        <row r="3489">
          <cell r="A3489" t="str">
            <v>RS</v>
          </cell>
          <cell r="B3489">
            <v>2010</v>
          </cell>
          <cell r="D3489" t="str">
            <v>SOJA</v>
          </cell>
          <cell r="E3489">
            <v>1092.8571428571427</v>
          </cell>
        </row>
        <row r="3490">
          <cell r="A3490" t="str">
            <v>RS</v>
          </cell>
          <cell r="B3490">
            <v>2010</v>
          </cell>
          <cell r="D3490" t="str">
            <v>SOJA</v>
          </cell>
          <cell r="E3490">
            <v>0</v>
          </cell>
        </row>
        <row r="3491">
          <cell r="A3491" t="str">
            <v>PR</v>
          </cell>
          <cell r="B3491">
            <v>2010</v>
          </cell>
          <cell r="D3491" t="str">
            <v>MILHO</v>
          </cell>
          <cell r="E3491">
            <v>880.00000000000011</v>
          </cell>
        </row>
        <row r="3492">
          <cell r="A3492" t="str">
            <v>PR</v>
          </cell>
          <cell r="B3492">
            <v>2010</v>
          </cell>
          <cell r="D3492" t="str">
            <v>SOJA</v>
          </cell>
          <cell r="E3492">
            <v>932.14285714285711</v>
          </cell>
        </row>
        <row r="3493">
          <cell r="A3493" t="str">
            <v>PR</v>
          </cell>
          <cell r="B3493">
            <v>2010</v>
          </cell>
          <cell r="D3493" t="str">
            <v>SOJA</v>
          </cell>
          <cell r="E3493">
            <v>1875</v>
          </cell>
        </row>
        <row r="3494">
          <cell r="A3494" t="str">
            <v>PR</v>
          </cell>
          <cell r="B3494">
            <v>2010</v>
          </cell>
          <cell r="D3494" t="str">
            <v>MILHO</v>
          </cell>
          <cell r="E3494">
            <v>2629.0000000000005</v>
          </cell>
        </row>
        <row r="3495">
          <cell r="A3495" t="str">
            <v>PR</v>
          </cell>
          <cell r="B3495">
            <v>2010</v>
          </cell>
          <cell r="D3495" t="str">
            <v>MILHO</v>
          </cell>
          <cell r="E3495">
            <v>0</v>
          </cell>
        </row>
        <row r="3496">
          <cell r="A3496" t="str">
            <v>PR</v>
          </cell>
          <cell r="B3496">
            <v>2010</v>
          </cell>
          <cell r="D3496" t="str">
            <v>SOJA</v>
          </cell>
          <cell r="E3496">
            <v>1875</v>
          </cell>
        </row>
        <row r="3497">
          <cell r="A3497" t="str">
            <v>PR</v>
          </cell>
          <cell r="B3497">
            <v>2010</v>
          </cell>
          <cell r="D3497" t="str">
            <v>MILHO</v>
          </cell>
          <cell r="E3497">
            <v>2629.0000000000005</v>
          </cell>
        </row>
        <row r="3498">
          <cell r="A3498" t="str">
            <v>PR</v>
          </cell>
          <cell r="B3498">
            <v>2010</v>
          </cell>
          <cell r="D3498" t="str">
            <v>MILHO</v>
          </cell>
          <cell r="E3498">
            <v>0</v>
          </cell>
        </row>
        <row r="3499">
          <cell r="A3499" t="str">
            <v>PR</v>
          </cell>
          <cell r="B3499">
            <v>2010</v>
          </cell>
          <cell r="D3499" t="str">
            <v>SOJA</v>
          </cell>
          <cell r="E3499">
            <v>1875</v>
          </cell>
        </row>
        <row r="3500">
          <cell r="A3500" t="str">
            <v>SP</v>
          </cell>
          <cell r="B3500">
            <v>2010</v>
          </cell>
          <cell r="D3500" t="str">
            <v>MILHO</v>
          </cell>
          <cell r="E3500">
            <v>1760.0000000000002</v>
          </cell>
        </row>
        <row r="3501">
          <cell r="A3501" t="str">
            <v>SP</v>
          </cell>
          <cell r="B3501">
            <v>2010</v>
          </cell>
          <cell r="D3501" t="str">
            <v>MILHO</v>
          </cell>
          <cell r="E3501">
            <v>0</v>
          </cell>
        </row>
        <row r="3502">
          <cell r="A3502" t="str">
            <v>PR</v>
          </cell>
          <cell r="B3502">
            <v>2010</v>
          </cell>
          <cell r="D3502" t="str">
            <v>MILHO</v>
          </cell>
          <cell r="E3502">
            <v>1760.0000000000002</v>
          </cell>
        </row>
        <row r="3503">
          <cell r="A3503" t="str">
            <v>PR</v>
          </cell>
          <cell r="B3503">
            <v>2010</v>
          </cell>
          <cell r="D3503" t="str">
            <v>MILHO</v>
          </cell>
          <cell r="E3503">
            <v>0</v>
          </cell>
        </row>
        <row r="3504">
          <cell r="A3504" t="str">
            <v>PR</v>
          </cell>
          <cell r="B3504">
            <v>2010</v>
          </cell>
          <cell r="D3504" t="str">
            <v>SOJA</v>
          </cell>
          <cell r="E3504">
            <v>7489.2857142857138</v>
          </cell>
        </row>
        <row r="3505">
          <cell r="A3505" t="str">
            <v>PR</v>
          </cell>
          <cell r="B3505">
            <v>2010</v>
          </cell>
          <cell r="D3505" t="str">
            <v>SOJA</v>
          </cell>
          <cell r="E3505">
            <v>0</v>
          </cell>
        </row>
        <row r="3506">
          <cell r="A3506" t="str">
            <v>MT</v>
          </cell>
          <cell r="B3506">
            <v>2010</v>
          </cell>
          <cell r="D3506" t="str">
            <v>SOJA</v>
          </cell>
          <cell r="E3506">
            <v>0</v>
          </cell>
        </row>
        <row r="3507">
          <cell r="A3507" t="str">
            <v>MT</v>
          </cell>
          <cell r="B3507">
            <v>2010</v>
          </cell>
          <cell r="D3507" t="str">
            <v>SOJA</v>
          </cell>
          <cell r="E3507">
            <v>47250</v>
          </cell>
        </row>
        <row r="3508">
          <cell r="A3508" t="str">
            <v>MT</v>
          </cell>
          <cell r="B3508">
            <v>2010</v>
          </cell>
          <cell r="D3508" t="str">
            <v>SOJA</v>
          </cell>
          <cell r="E3508">
            <v>0</v>
          </cell>
        </row>
        <row r="3509">
          <cell r="A3509" t="str">
            <v>MT</v>
          </cell>
          <cell r="B3509">
            <v>2010</v>
          </cell>
          <cell r="D3509" t="str">
            <v>SOJA</v>
          </cell>
          <cell r="E3509">
            <v>36085.714285714283</v>
          </cell>
        </row>
        <row r="3510">
          <cell r="A3510" t="str">
            <v>MT</v>
          </cell>
          <cell r="B3510">
            <v>2010</v>
          </cell>
          <cell r="D3510" t="str">
            <v>SOJA</v>
          </cell>
          <cell r="E3510">
            <v>0</v>
          </cell>
        </row>
        <row r="3511">
          <cell r="A3511" t="str">
            <v>MT</v>
          </cell>
          <cell r="B3511">
            <v>2010</v>
          </cell>
          <cell r="D3511" t="str">
            <v>SOJA</v>
          </cell>
          <cell r="E3511">
            <v>18900</v>
          </cell>
        </row>
        <row r="3512">
          <cell r="A3512" t="str">
            <v>MS</v>
          </cell>
          <cell r="B3512">
            <v>2010</v>
          </cell>
          <cell r="D3512" t="str">
            <v>SOJA</v>
          </cell>
          <cell r="E3512">
            <v>0</v>
          </cell>
        </row>
        <row r="3513">
          <cell r="A3513" t="str">
            <v>MS</v>
          </cell>
          <cell r="B3513">
            <v>2010</v>
          </cell>
          <cell r="D3513" t="str">
            <v>SOJA</v>
          </cell>
          <cell r="E3513">
            <v>5860.7142857142853</v>
          </cell>
        </row>
        <row r="3514">
          <cell r="A3514" t="str">
            <v>PR</v>
          </cell>
          <cell r="B3514">
            <v>2010</v>
          </cell>
          <cell r="D3514" t="str">
            <v>MILHO</v>
          </cell>
          <cell r="E3514">
            <v>0</v>
          </cell>
        </row>
        <row r="3515">
          <cell r="A3515" t="str">
            <v>PR</v>
          </cell>
          <cell r="B3515">
            <v>2010</v>
          </cell>
          <cell r="D3515" t="str">
            <v>MILHO</v>
          </cell>
          <cell r="E3515">
            <v>7029</v>
          </cell>
        </row>
        <row r="3516">
          <cell r="A3516" t="str">
            <v>PR</v>
          </cell>
          <cell r="B3516">
            <v>2010</v>
          </cell>
          <cell r="D3516" t="str">
            <v>MILHO</v>
          </cell>
          <cell r="E3516">
            <v>3509.0000000000005</v>
          </cell>
        </row>
        <row r="3517">
          <cell r="A3517" t="str">
            <v>PR</v>
          </cell>
          <cell r="B3517">
            <v>2010</v>
          </cell>
          <cell r="D3517" t="str">
            <v>MILHO</v>
          </cell>
          <cell r="E3517">
            <v>2640</v>
          </cell>
        </row>
        <row r="3518">
          <cell r="A3518" t="str">
            <v>PR</v>
          </cell>
          <cell r="B3518">
            <v>2010</v>
          </cell>
          <cell r="D3518" t="str">
            <v>SOJA</v>
          </cell>
          <cell r="E3518">
            <v>9214.2857142857138</v>
          </cell>
        </row>
        <row r="3519">
          <cell r="A3519" t="str">
            <v>PR</v>
          </cell>
          <cell r="B3519">
            <v>2010</v>
          </cell>
          <cell r="D3519" t="str">
            <v>SOJA</v>
          </cell>
          <cell r="E3519">
            <v>0</v>
          </cell>
        </row>
        <row r="3520">
          <cell r="A3520" t="str">
            <v>MT</v>
          </cell>
          <cell r="B3520">
            <v>2010</v>
          </cell>
          <cell r="D3520" t="str">
            <v>SOJA</v>
          </cell>
          <cell r="E3520">
            <v>0</v>
          </cell>
        </row>
        <row r="3521">
          <cell r="A3521" t="str">
            <v>MT</v>
          </cell>
          <cell r="B3521">
            <v>2010</v>
          </cell>
          <cell r="D3521" t="str">
            <v>SOJA</v>
          </cell>
          <cell r="E3521">
            <v>0</v>
          </cell>
        </row>
        <row r="3522">
          <cell r="A3522" t="str">
            <v>MT</v>
          </cell>
          <cell r="B3522">
            <v>2010</v>
          </cell>
          <cell r="D3522" t="str">
            <v>SOJA</v>
          </cell>
          <cell r="E3522">
            <v>14517.857142857143</v>
          </cell>
        </row>
        <row r="3523">
          <cell r="A3523" t="str">
            <v>MT</v>
          </cell>
          <cell r="B3523">
            <v>2010</v>
          </cell>
          <cell r="D3523" t="str">
            <v>SOJA</v>
          </cell>
          <cell r="E3523">
            <v>0</v>
          </cell>
        </row>
        <row r="3524">
          <cell r="A3524" t="str">
            <v>MT</v>
          </cell>
          <cell r="B3524">
            <v>2010</v>
          </cell>
          <cell r="D3524" t="str">
            <v>SOJA</v>
          </cell>
          <cell r="E3524">
            <v>19360.714285714283</v>
          </cell>
        </row>
        <row r="3525">
          <cell r="A3525" t="str">
            <v>MT</v>
          </cell>
          <cell r="B3525">
            <v>2010</v>
          </cell>
          <cell r="D3525" t="str">
            <v>SOJA</v>
          </cell>
          <cell r="E3525">
            <v>0</v>
          </cell>
        </row>
        <row r="3526">
          <cell r="A3526" t="str">
            <v>BA</v>
          </cell>
          <cell r="B3526">
            <v>2010</v>
          </cell>
          <cell r="D3526" t="str">
            <v>MILHO</v>
          </cell>
          <cell r="E3526">
            <v>12617</v>
          </cell>
        </row>
        <row r="3527">
          <cell r="A3527" t="str">
            <v>GO</v>
          </cell>
          <cell r="B3527">
            <v>2010</v>
          </cell>
          <cell r="D3527" t="str">
            <v>SOJA</v>
          </cell>
          <cell r="E3527">
            <v>0</v>
          </cell>
        </row>
        <row r="3528">
          <cell r="A3528" t="str">
            <v>GO</v>
          </cell>
          <cell r="B3528">
            <v>2010</v>
          </cell>
          <cell r="D3528" t="str">
            <v>SOJA</v>
          </cell>
          <cell r="E3528">
            <v>7767.8571428571422</v>
          </cell>
        </row>
        <row r="3529">
          <cell r="A3529" t="str">
            <v>GO</v>
          </cell>
          <cell r="B3529">
            <v>2010</v>
          </cell>
          <cell r="D3529" t="str">
            <v>SOJA</v>
          </cell>
          <cell r="E3529">
            <v>0</v>
          </cell>
        </row>
        <row r="3530">
          <cell r="A3530" t="str">
            <v>GO</v>
          </cell>
          <cell r="B3530">
            <v>2010</v>
          </cell>
          <cell r="D3530" t="str">
            <v>SOJA</v>
          </cell>
          <cell r="E3530">
            <v>2871.4285714285716</v>
          </cell>
        </row>
        <row r="3531">
          <cell r="A3531" t="str">
            <v>GO</v>
          </cell>
          <cell r="B3531">
            <v>2010</v>
          </cell>
          <cell r="D3531" t="str">
            <v>SOJA</v>
          </cell>
          <cell r="E3531">
            <v>1521.4285714285713</v>
          </cell>
        </row>
        <row r="3532">
          <cell r="A3532" t="str">
            <v>GO</v>
          </cell>
          <cell r="B3532">
            <v>2010</v>
          </cell>
          <cell r="D3532" t="str">
            <v>SOJA</v>
          </cell>
          <cell r="E3532">
            <v>0</v>
          </cell>
        </row>
        <row r="3533">
          <cell r="A3533" t="str">
            <v>MT</v>
          </cell>
          <cell r="B3533">
            <v>2010</v>
          </cell>
          <cell r="D3533" t="str">
            <v>SOJA</v>
          </cell>
          <cell r="E3533">
            <v>4189.2857142857138</v>
          </cell>
        </row>
        <row r="3534">
          <cell r="A3534" t="str">
            <v>GO</v>
          </cell>
          <cell r="B3534">
            <v>2010</v>
          </cell>
          <cell r="D3534" t="str">
            <v>SOJA</v>
          </cell>
          <cell r="E3534">
            <v>5025</v>
          </cell>
        </row>
        <row r="3535">
          <cell r="A3535" t="str">
            <v>SP</v>
          </cell>
          <cell r="B3535">
            <v>2010</v>
          </cell>
          <cell r="D3535" t="str">
            <v>SOJA</v>
          </cell>
          <cell r="E3535">
            <v>4682.1428571428569</v>
          </cell>
        </row>
        <row r="3536">
          <cell r="A3536" t="str">
            <v>MT</v>
          </cell>
          <cell r="B3536">
            <v>2010</v>
          </cell>
          <cell r="D3536" t="str">
            <v>SOJA</v>
          </cell>
          <cell r="E3536">
            <v>0</v>
          </cell>
        </row>
        <row r="3537">
          <cell r="A3537" t="str">
            <v>MT</v>
          </cell>
          <cell r="B3537">
            <v>2010</v>
          </cell>
          <cell r="D3537" t="str">
            <v>SOJA</v>
          </cell>
          <cell r="E3537">
            <v>116539.28571428571</v>
          </cell>
        </row>
        <row r="3538">
          <cell r="A3538" t="str">
            <v>MT</v>
          </cell>
          <cell r="B3538">
            <v>2010</v>
          </cell>
          <cell r="D3538" t="str">
            <v>SOJA</v>
          </cell>
          <cell r="E3538">
            <v>14175</v>
          </cell>
        </row>
        <row r="3539">
          <cell r="A3539" t="str">
            <v>MT</v>
          </cell>
          <cell r="B3539">
            <v>2010</v>
          </cell>
          <cell r="D3539" t="str">
            <v>SOJA</v>
          </cell>
          <cell r="E3539">
            <v>9707.1428571428569</v>
          </cell>
        </row>
        <row r="3540">
          <cell r="A3540" t="str">
            <v>MT</v>
          </cell>
          <cell r="B3540">
            <v>2010</v>
          </cell>
          <cell r="D3540" t="str">
            <v>SOJA</v>
          </cell>
          <cell r="E3540">
            <v>0</v>
          </cell>
        </row>
        <row r="3541">
          <cell r="A3541" t="str">
            <v>MA</v>
          </cell>
          <cell r="B3541">
            <v>2010</v>
          </cell>
          <cell r="D3541" t="str">
            <v>SOJA</v>
          </cell>
          <cell r="E3541">
            <v>0</v>
          </cell>
        </row>
        <row r="3542">
          <cell r="A3542" t="str">
            <v>MT</v>
          </cell>
          <cell r="B3542">
            <v>2010</v>
          </cell>
          <cell r="D3542" t="str">
            <v>SOJA</v>
          </cell>
          <cell r="E3542">
            <v>0</v>
          </cell>
        </row>
        <row r="3543">
          <cell r="A3543" t="str">
            <v>MT</v>
          </cell>
          <cell r="B3543">
            <v>2010</v>
          </cell>
          <cell r="D3543" t="str">
            <v>SOJA</v>
          </cell>
          <cell r="E3543">
            <v>16317.857142857143</v>
          </cell>
        </row>
        <row r="3544">
          <cell r="A3544" t="str">
            <v>MT</v>
          </cell>
          <cell r="B3544">
            <v>2010</v>
          </cell>
          <cell r="D3544" t="str">
            <v>SOJA</v>
          </cell>
          <cell r="E3544">
            <v>0</v>
          </cell>
        </row>
        <row r="3545">
          <cell r="A3545" t="str">
            <v>MT</v>
          </cell>
          <cell r="B3545">
            <v>2010</v>
          </cell>
          <cell r="D3545" t="str">
            <v>SOJA</v>
          </cell>
          <cell r="E3545">
            <v>25767.857142857141</v>
          </cell>
        </row>
        <row r="3546">
          <cell r="A3546" t="str">
            <v>MT</v>
          </cell>
          <cell r="B3546">
            <v>2010</v>
          </cell>
          <cell r="D3546" t="str">
            <v>SOJA</v>
          </cell>
          <cell r="E3546">
            <v>0</v>
          </cell>
        </row>
        <row r="3547">
          <cell r="A3547" t="str">
            <v>MT</v>
          </cell>
          <cell r="B3547">
            <v>2010</v>
          </cell>
          <cell r="D3547" t="str">
            <v>SOJA</v>
          </cell>
          <cell r="E3547">
            <v>29132.142857142855</v>
          </cell>
        </row>
        <row r="3548">
          <cell r="A3548" t="str">
            <v>MT</v>
          </cell>
          <cell r="B3548">
            <v>2010</v>
          </cell>
          <cell r="D3548" t="str">
            <v>SOJA</v>
          </cell>
          <cell r="E3548">
            <v>0</v>
          </cell>
        </row>
        <row r="3549">
          <cell r="A3549" t="str">
            <v>MT</v>
          </cell>
          <cell r="B3549">
            <v>2010</v>
          </cell>
          <cell r="D3549" t="str">
            <v>SOJA</v>
          </cell>
          <cell r="E3549">
            <v>29046.428571428572</v>
          </cell>
        </row>
        <row r="3550">
          <cell r="A3550" t="str">
            <v>TO</v>
          </cell>
          <cell r="B3550">
            <v>2010</v>
          </cell>
          <cell r="D3550" t="str">
            <v>SOJA</v>
          </cell>
          <cell r="E3550">
            <v>96.428571428571416</v>
          </cell>
        </row>
        <row r="3551">
          <cell r="A3551" t="str">
            <v>GO</v>
          </cell>
          <cell r="B3551">
            <v>2010</v>
          </cell>
          <cell r="D3551" t="str">
            <v>SOJA</v>
          </cell>
          <cell r="E3551">
            <v>3353.571428571428</v>
          </cell>
        </row>
        <row r="3552">
          <cell r="A3552" t="str">
            <v>GO</v>
          </cell>
          <cell r="B3552">
            <v>2010</v>
          </cell>
          <cell r="D3552" t="str">
            <v>SOJA</v>
          </cell>
          <cell r="E3552">
            <v>899.99999999999989</v>
          </cell>
        </row>
        <row r="3553">
          <cell r="A3553" t="str">
            <v>MS</v>
          </cell>
          <cell r="B3553">
            <v>2010</v>
          </cell>
          <cell r="D3553" t="str">
            <v>SOJA</v>
          </cell>
          <cell r="E3553">
            <v>2067.8571428571427</v>
          </cell>
        </row>
        <row r="3554">
          <cell r="A3554" t="str">
            <v>MS</v>
          </cell>
          <cell r="B3554">
            <v>2010</v>
          </cell>
          <cell r="D3554" t="str">
            <v>SOJA</v>
          </cell>
          <cell r="E3554">
            <v>0</v>
          </cell>
        </row>
        <row r="3555">
          <cell r="A3555" t="str">
            <v>PR</v>
          </cell>
          <cell r="B3555">
            <v>2010</v>
          </cell>
          <cell r="D3555" t="str">
            <v>MILHO</v>
          </cell>
          <cell r="E3555">
            <v>1760.0000000000002</v>
          </cell>
        </row>
        <row r="3556">
          <cell r="A3556" t="str">
            <v>PR</v>
          </cell>
          <cell r="B3556">
            <v>2010</v>
          </cell>
          <cell r="D3556" t="str">
            <v>MILHO</v>
          </cell>
          <cell r="E3556">
            <v>0</v>
          </cell>
        </row>
        <row r="3557">
          <cell r="A3557" t="str">
            <v>PR</v>
          </cell>
          <cell r="B3557">
            <v>2010</v>
          </cell>
          <cell r="D3557" t="str">
            <v>SOJA</v>
          </cell>
          <cell r="E3557">
            <v>0</v>
          </cell>
        </row>
        <row r="3558">
          <cell r="A3558" t="str">
            <v>MT</v>
          </cell>
          <cell r="B3558">
            <v>2010</v>
          </cell>
          <cell r="D3558" t="str">
            <v>SOJA</v>
          </cell>
          <cell r="E3558">
            <v>28350</v>
          </cell>
        </row>
        <row r="3559">
          <cell r="A3559" t="str">
            <v>MT</v>
          </cell>
          <cell r="B3559">
            <v>2010</v>
          </cell>
          <cell r="D3559" t="str">
            <v>SOJA</v>
          </cell>
          <cell r="E3559">
            <v>0</v>
          </cell>
        </row>
        <row r="3560">
          <cell r="A3560" t="str">
            <v>MT</v>
          </cell>
          <cell r="B3560">
            <v>2010</v>
          </cell>
          <cell r="D3560" t="str">
            <v>SOJA</v>
          </cell>
          <cell r="E3560">
            <v>9707.1428571428569</v>
          </cell>
        </row>
        <row r="3561">
          <cell r="A3561" t="str">
            <v>MT</v>
          </cell>
          <cell r="B3561">
            <v>2010</v>
          </cell>
          <cell r="D3561" t="str">
            <v>SOJA</v>
          </cell>
          <cell r="E3561">
            <v>28350</v>
          </cell>
        </row>
        <row r="3562">
          <cell r="A3562" t="str">
            <v>MT</v>
          </cell>
          <cell r="B3562">
            <v>2010</v>
          </cell>
          <cell r="D3562" t="str">
            <v>SOJA</v>
          </cell>
          <cell r="E3562">
            <v>19424.999999999996</v>
          </cell>
        </row>
        <row r="3563">
          <cell r="A3563" t="str">
            <v>BA</v>
          </cell>
          <cell r="B3563">
            <v>2010</v>
          </cell>
          <cell r="D3563" t="str">
            <v>MILHO</v>
          </cell>
          <cell r="E3563">
            <v>3366.0000000000005</v>
          </cell>
        </row>
        <row r="3564">
          <cell r="A3564" t="str">
            <v>RS</v>
          </cell>
          <cell r="B3564">
            <v>2010</v>
          </cell>
          <cell r="D3564" t="str">
            <v>MILHO</v>
          </cell>
          <cell r="E3564">
            <v>0</v>
          </cell>
        </row>
        <row r="3565">
          <cell r="A3565" t="str">
            <v>RS</v>
          </cell>
          <cell r="B3565">
            <v>2010</v>
          </cell>
          <cell r="D3565" t="str">
            <v>MILHO</v>
          </cell>
          <cell r="E3565">
            <v>11440.000000000002</v>
          </cell>
        </row>
        <row r="3566">
          <cell r="A3566" t="str">
            <v>MS</v>
          </cell>
          <cell r="B3566">
            <v>2010</v>
          </cell>
          <cell r="D3566" t="str">
            <v>SOJA</v>
          </cell>
          <cell r="E3566">
            <v>0</v>
          </cell>
        </row>
        <row r="3567">
          <cell r="A3567" t="str">
            <v>MS</v>
          </cell>
          <cell r="B3567">
            <v>2010</v>
          </cell>
          <cell r="D3567" t="str">
            <v>SOJA</v>
          </cell>
          <cell r="E3567">
            <v>6889.2857142857138</v>
          </cell>
        </row>
        <row r="3568">
          <cell r="A3568" t="str">
            <v>MS</v>
          </cell>
          <cell r="B3568">
            <v>2010</v>
          </cell>
          <cell r="D3568" t="str">
            <v>SOJA</v>
          </cell>
          <cell r="E3568">
            <v>4135.7142857142853</v>
          </cell>
        </row>
        <row r="3569">
          <cell r="A3569" t="str">
            <v>MS</v>
          </cell>
          <cell r="B3569">
            <v>2010</v>
          </cell>
          <cell r="D3569" t="str">
            <v>SOJA</v>
          </cell>
          <cell r="E3569">
            <v>0</v>
          </cell>
        </row>
        <row r="3570">
          <cell r="A3570" t="str">
            <v>MS</v>
          </cell>
          <cell r="B3570">
            <v>2010</v>
          </cell>
          <cell r="D3570" t="str">
            <v>SOJA</v>
          </cell>
          <cell r="E3570">
            <v>3450</v>
          </cell>
        </row>
        <row r="3571">
          <cell r="A3571" t="str">
            <v>GO</v>
          </cell>
          <cell r="B3571">
            <v>2010</v>
          </cell>
          <cell r="D3571" t="str">
            <v>SOJA</v>
          </cell>
          <cell r="E3571">
            <v>899.99999999999989</v>
          </cell>
        </row>
        <row r="3572">
          <cell r="A3572" t="str">
            <v>MT</v>
          </cell>
          <cell r="B3572">
            <v>2010</v>
          </cell>
          <cell r="D3572" t="str">
            <v>SOJA</v>
          </cell>
          <cell r="E3572">
            <v>9707.1428571428569</v>
          </cell>
        </row>
        <row r="3573">
          <cell r="A3573" t="str">
            <v>MT</v>
          </cell>
          <cell r="B3573">
            <v>2010</v>
          </cell>
          <cell r="D3573" t="str">
            <v>SOJA</v>
          </cell>
          <cell r="E3573">
            <v>0</v>
          </cell>
        </row>
        <row r="3574">
          <cell r="A3574" t="str">
            <v>RS</v>
          </cell>
          <cell r="B3574">
            <v>2010</v>
          </cell>
          <cell r="D3574" t="str">
            <v>MILHO</v>
          </cell>
          <cell r="E3574">
            <v>0</v>
          </cell>
        </row>
        <row r="3575">
          <cell r="A3575" t="str">
            <v>RS</v>
          </cell>
          <cell r="B3575">
            <v>2010</v>
          </cell>
          <cell r="D3575" t="str">
            <v>MILHO</v>
          </cell>
          <cell r="E3575">
            <v>5753.0000000000009</v>
          </cell>
        </row>
        <row r="3576">
          <cell r="A3576" t="str">
            <v>RS</v>
          </cell>
          <cell r="B3576">
            <v>2010</v>
          </cell>
          <cell r="D3576" t="str">
            <v>SOJA</v>
          </cell>
          <cell r="E3576">
            <v>4360.7142857142853</v>
          </cell>
        </row>
        <row r="3577">
          <cell r="A3577" t="str">
            <v>MT</v>
          </cell>
          <cell r="B3577">
            <v>2010</v>
          </cell>
          <cell r="D3577" t="str">
            <v>SOJA</v>
          </cell>
          <cell r="E3577">
            <v>0</v>
          </cell>
        </row>
        <row r="3578">
          <cell r="A3578" t="str">
            <v>MT</v>
          </cell>
          <cell r="B3578">
            <v>2010</v>
          </cell>
          <cell r="D3578" t="str">
            <v>SOJA</v>
          </cell>
          <cell r="E3578">
            <v>29132.142857142855</v>
          </cell>
        </row>
        <row r="3579">
          <cell r="A3579" t="str">
            <v>RS</v>
          </cell>
          <cell r="B3579">
            <v>2010</v>
          </cell>
          <cell r="D3579" t="str">
            <v>MILHO</v>
          </cell>
          <cell r="E3579">
            <v>4004.0000000000005</v>
          </cell>
        </row>
        <row r="3580">
          <cell r="A3580" t="str">
            <v>RS</v>
          </cell>
          <cell r="B3580">
            <v>2010</v>
          </cell>
          <cell r="D3580" t="str">
            <v>MILHO</v>
          </cell>
          <cell r="E3580">
            <v>4598</v>
          </cell>
        </row>
        <row r="3581">
          <cell r="A3581" t="str">
            <v>RS</v>
          </cell>
          <cell r="B3581">
            <v>2010</v>
          </cell>
          <cell r="D3581" t="str">
            <v>MILHO</v>
          </cell>
          <cell r="E3581">
            <v>0</v>
          </cell>
        </row>
        <row r="3582">
          <cell r="A3582" t="str">
            <v>RS</v>
          </cell>
          <cell r="B3582">
            <v>2010</v>
          </cell>
          <cell r="D3582" t="str">
            <v>SOJA</v>
          </cell>
          <cell r="E3582">
            <v>1092.8571428571427</v>
          </cell>
        </row>
        <row r="3583">
          <cell r="A3583" t="str">
            <v>RS</v>
          </cell>
          <cell r="B3583">
            <v>2010</v>
          </cell>
          <cell r="D3583" t="str">
            <v>SOJA</v>
          </cell>
          <cell r="E3583">
            <v>0</v>
          </cell>
        </row>
        <row r="3584">
          <cell r="A3584" t="str">
            <v>MS</v>
          </cell>
          <cell r="B3584">
            <v>2010</v>
          </cell>
          <cell r="D3584" t="str">
            <v>SOJA</v>
          </cell>
          <cell r="E3584">
            <v>4135.7142857142853</v>
          </cell>
        </row>
        <row r="3585">
          <cell r="A3585" t="str">
            <v>MS</v>
          </cell>
          <cell r="B3585">
            <v>2010</v>
          </cell>
          <cell r="D3585" t="str">
            <v>SOJA</v>
          </cell>
          <cell r="E3585">
            <v>1382.1428571428571</v>
          </cell>
        </row>
        <row r="3586">
          <cell r="A3586" t="str">
            <v>MS</v>
          </cell>
          <cell r="B3586">
            <v>2010</v>
          </cell>
          <cell r="D3586" t="str">
            <v>SOJA</v>
          </cell>
          <cell r="E3586">
            <v>2067.8571428571427</v>
          </cell>
        </row>
        <row r="3587">
          <cell r="A3587" t="str">
            <v>MS</v>
          </cell>
          <cell r="B3587">
            <v>2010</v>
          </cell>
          <cell r="D3587" t="str">
            <v>SOJA</v>
          </cell>
          <cell r="E3587">
            <v>0</v>
          </cell>
        </row>
        <row r="3588">
          <cell r="A3588" t="str">
            <v>SC</v>
          </cell>
          <cell r="B3588">
            <v>2010</v>
          </cell>
          <cell r="D3588" t="str">
            <v>MILHO</v>
          </cell>
          <cell r="E3588">
            <v>4202</v>
          </cell>
        </row>
        <row r="3589">
          <cell r="A3589" t="str">
            <v>MT</v>
          </cell>
          <cell r="B3589">
            <v>2010</v>
          </cell>
          <cell r="D3589" t="str">
            <v>SOJA</v>
          </cell>
          <cell r="E3589">
            <v>0</v>
          </cell>
        </row>
        <row r="3590">
          <cell r="A3590" t="str">
            <v>MT</v>
          </cell>
          <cell r="B3590">
            <v>2010</v>
          </cell>
          <cell r="D3590" t="str">
            <v>SOJA</v>
          </cell>
          <cell r="E3590">
            <v>14603.571428571429</v>
          </cell>
        </row>
        <row r="3591">
          <cell r="A3591" t="str">
            <v>MT</v>
          </cell>
          <cell r="B3591">
            <v>2010</v>
          </cell>
          <cell r="D3591" t="str">
            <v>SOJA</v>
          </cell>
          <cell r="E3591">
            <v>0</v>
          </cell>
        </row>
        <row r="3592">
          <cell r="A3592" t="str">
            <v>MT</v>
          </cell>
          <cell r="B3592">
            <v>2010</v>
          </cell>
          <cell r="D3592" t="str">
            <v>SOJA</v>
          </cell>
          <cell r="E3592">
            <v>12889.285714285712</v>
          </cell>
        </row>
        <row r="3593">
          <cell r="A3593" t="str">
            <v>PI</v>
          </cell>
          <cell r="B3593">
            <v>2010</v>
          </cell>
          <cell r="D3593" t="str">
            <v>SOJA</v>
          </cell>
          <cell r="E3593">
            <v>96.428571428571416</v>
          </cell>
        </row>
        <row r="3594">
          <cell r="A3594" t="str">
            <v>MT</v>
          </cell>
          <cell r="B3594">
            <v>2010</v>
          </cell>
          <cell r="D3594" t="str">
            <v>SOJA</v>
          </cell>
          <cell r="E3594">
            <v>29046.428571428572</v>
          </cell>
        </row>
        <row r="3595">
          <cell r="A3595" t="str">
            <v>MT</v>
          </cell>
          <cell r="B3595">
            <v>2010</v>
          </cell>
          <cell r="D3595" t="str">
            <v>SOJA</v>
          </cell>
          <cell r="E3595">
            <v>8164.2857142857147</v>
          </cell>
        </row>
        <row r="3596">
          <cell r="A3596" t="str">
            <v>TO</v>
          </cell>
          <cell r="B3596">
            <v>2010</v>
          </cell>
          <cell r="D3596" t="str">
            <v>SOJA</v>
          </cell>
          <cell r="E3596">
            <v>9685.7142857142844</v>
          </cell>
        </row>
        <row r="3597">
          <cell r="A3597" t="str">
            <v>MA</v>
          </cell>
          <cell r="B3597">
            <v>2010</v>
          </cell>
          <cell r="D3597" t="str">
            <v>SOJA</v>
          </cell>
          <cell r="E3597">
            <v>3867.8571428571427</v>
          </cell>
        </row>
        <row r="3598">
          <cell r="A3598" t="str">
            <v>RS</v>
          </cell>
          <cell r="B3598">
            <v>2010</v>
          </cell>
          <cell r="D3598" t="str">
            <v>MILHO</v>
          </cell>
          <cell r="E3598">
            <v>0</v>
          </cell>
        </row>
        <row r="3599">
          <cell r="A3599" t="str">
            <v>RS</v>
          </cell>
          <cell r="B3599">
            <v>2010</v>
          </cell>
          <cell r="D3599" t="str">
            <v>SOJA</v>
          </cell>
          <cell r="E3599">
            <v>5453.5714285714284</v>
          </cell>
        </row>
        <row r="3600">
          <cell r="A3600" t="str">
            <v>RS</v>
          </cell>
          <cell r="B3600">
            <v>2010</v>
          </cell>
          <cell r="D3600" t="str">
            <v>SOJA</v>
          </cell>
          <cell r="E3600">
            <v>10907.142857142857</v>
          </cell>
        </row>
        <row r="3601">
          <cell r="A3601" t="str">
            <v>RS</v>
          </cell>
          <cell r="B3601">
            <v>2010</v>
          </cell>
          <cell r="D3601" t="str">
            <v>SOJA</v>
          </cell>
          <cell r="E3601">
            <v>0</v>
          </cell>
        </row>
        <row r="3602">
          <cell r="A3602" t="str">
            <v>MT</v>
          </cell>
          <cell r="B3602">
            <v>2010</v>
          </cell>
          <cell r="D3602" t="str">
            <v>SOJA</v>
          </cell>
          <cell r="E3602">
            <v>25510.714285714283</v>
          </cell>
        </row>
        <row r="3603">
          <cell r="A3603" t="str">
            <v>MT</v>
          </cell>
          <cell r="B3603">
            <v>2010</v>
          </cell>
          <cell r="D3603" t="str">
            <v>SOJA</v>
          </cell>
          <cell r="E3603">
            <v>14571.428571428571</v>
          </cell>
        </row>
        <row r="3604">
          <cell r="A3604" t="str">
            <v>MT</v>
          </cell>
          <cell r="B3604">
            <v>2010</v>
          </cell>
          <cell r="D3604" t="str">
            <v>SOJA</v>
          </cell>
          <cell r="E3604">
            <v>11335.714285714286</v>
          </cell>
        </row>
        <row r="3605">
          <cell r="A3605" t="str">
            <v>MT</v>
          </cell>
          <cell r="B3605">
            <v>2010</v>
          </cell>
          <cell r="D3605" t="str">
            <v>SOJA</v>
          </cell>
          <cell r="E3605">
            <v>30610.714285714283</v>
          </cell>
        </row>
        <row r="3606">
          <cell r="A3606" t="str">
            <v>BA</v>
          </cell>
          <cell r="B3606">
            <v>2010</v>
          </cell>
          <cell r="D3606" t="str">
            <v>SOJA</v>
          </cell>
          <cell r="E3606">
            <v>8250</v>
          </cell>
        </row>
        <row r="3607">
          <cell r="A3607" t="str">
            <v>PI</v>
          </cell>
          <cell r="B3607">
            <v>2010</v>
          </cell>
          <cell r="D3607" t="str">
            <v>SOJA</v>
          </cell>
          <cell r="E3607">
            <v>42.857142857142854</v>
          </cell>
        </row>
        <row r="3608">
          <cell r="A3608" t="str">
            <v>GO</v>
          </cell>
          <cell r="B3608">
            <v>2010</v>
          </cell>
          <cell r="D3608" t="str">
            <v>SOJA</v>
          </cell>
          <cell r="E3608">
            <v>0</v>
          </cell>
        </row>
        <row r="3609">
          <cell r="A3609" t="str">
            <v>GO</v>
          </cell>
          <cell r="B3609">
            <v>2010</v>
          </cell>
          <cell r="D3609" t="str">
            <v>SOJA</v>
          </cell>
          <cell r="E3609">
            <v>33503.571428571428</v>
          </cell>
        </row>
        <row r="3610">
          <cell r="A3610" t="str">
            <v>TO</v>
          </cell>
          <cell r="B3610">
            <v>2010</v>
          </cell>
          <cell r="D3610" t="str">
            <v>SOJA</v>
          </cell>
          <cell r="E3610">
            <v>0</v>
          </cell>
        </row>
        <row r="3611">
          <cell r="A3611" t="str">
            <v>TO</v>
          </cell>
          <cell r="B3611">
            <v>2010</v>
          </cell>
          <cell r="D3611" t="str">
            <v>SOJA</v>
          </cell>
          <cell r="E3611">
            <v>11614.285714285714</v>
          </cell>
        </row>
        <row r="3612">
          <cell r="A3612" t="str">
            <v>MA</v>
          </cell>
          <cell r="B3612">
            <v>2010</v>
          </cell>
          <cell r="D3612" t="str">
            <v>SOJA</v>
          </cell>
          <cell r="E3612">
            <v>482.14285714285717</v>
          </cell>
        </row>
        <row r="3613">
          <cell r="A3613" t="str">
            <v>GO</v>
          </cell>
          <cell r="B3613">
            <v>2010</v>
          </cell>
          <cell r="D3613" t="str">
            <v>SOJA</v>
          </cell>
          <cell r="E3613">
            <v>6300</v>
          </cell>
        </row>
        <row r="3614">
          <cell r="A3614" t="str">
            <v>GO</v>
          </cell>
          <cell r="B3614">
            <v>2010</v>
          </cell>
          <cell r="D3614" t="str">
            <v>SOJA</v>
          </cell>
          <cell r="E3614">
            <v>0</v>
          </cell>
        </row>
        <row r="3615">
          <cell r="A3615" t="str">
            <v>GO</v>
          </cell>
          <cell r="B3615">
            <v>2010</v>
          </cell>
          <cell r="D3615" t="str">
            <v>SOJA</v>
          </cell>
          <cell r="E3615">
            <v>7189.2857142857138</v>
          </cell>
        </row>
        <row r="3616">
          <cell r="A3616" t="str">
            <v>MA</v>
          </cell>
          <cell r="B3616">
            <v>2010</v>
          </cell>
          <cell r="D3616" t="str">
            <v>SOJA</v>
          </cell>
          <cell r="E3616">
            <v>1939.2857142857142</v>
          </cell>
        </row>
        <row r="3617">
          <cell r="A3617" t="str">
            <v>PR</v>
          </cell>
          <cell r="B3617">
            <v>2010</v>
          </cell>
          <cell r="D3617" t="str">
            <v>MILHO</v>
          </cell>
          <cell r="E3617">
            <v>6149</v>
          </cell>
        </row>
        <row r="3618">
          <cell r="A3618" t="str">
            <v>PR</v>
          </cell>
          <cell r="B3618">
            <v>2010</v>
          </cell>
          <cell r="D3618" t="str">
            <v>MILHO</v>
          </cell>
          <cell r="E3618">
            <v>0</v>
          </cell>
        </row>
        <row r="3619">
          <cell r="A3619" t="str">
            <v>PR</v>
          </cell>
          <cell r="B3619">
            <v>2010</v>
          </cell>
          <cell r="D3619" t="str">
            <v>SOJA</v>
          </cell>
          <cell r="E3619">
            <v>9214.2857142857138</v>
          </cell>
        </row>
        <row r="3620">
          <cell r="A3620" t="str">
            <v>PR</v>
          </cell>
          <cell r="B3620">
            <v>2010</v>
          </cell>
          <cell r="D3620" t="str">
            <v>SOJA</v>
          </cell>
          <cell r="E3620">
            <v>0</v>
          </cell>
        </row>
        <row r="3621">
          <cell r="A3621" t="str">
            <v>TO</v>
          </cell>
          <cell r="B3621">
            <v>2010</v>
          </cell>
          <cell r="D3621" t="str">
            <v>SOJA</v>
          </cell>
          <cell r="E3621">
            <v>9685.7142857142844</v>
          </cell>
        </row>
        <row r="3622">
          <cell r="A3622" t="str">
            <v>PI</v>
          </cell>
          <cell r="B3622">
            <v>2010</v>
          </cell>
          <cell r="D3622" t="str">
            <v>SOJA</v>
          </cell>
          <cell r="E3622">
            <v>96.428571428571416</v>
          </cell>
        </row>
        <row r="3623">
          <cell r="A3623" t="str">
            <v>MA</v>
          </cell>
          <cell r="B3623">
            <v>2010</v>
          </cell>
          <cell r="D3623" t="str">
            <v>SOJA</v>
          </cell>
          <cell r="E3623">
            <v>2903.5714285714284</v>
          </cell>
        </row>
        <row r="3624">
          <cell r="A3624" t="str">
            <v>MA</v>
          </cell>
          <cell r="B3624">
            <v>2010</v>
          </cell>
          <cell r="D3624" t="str">
            <v>SOJA</v>
          </cell>
          <cell r="E3624">
            <v>4842.8571428571422</v>
          </cell>
        </row>
        <row r="3625">
          <cell r="A3625" t="str">
            <v>PR</v>
          </cell>
          <cell r="B3625">
            <v>2010</v>
          </cell>
          <cell r="D3625" t="str">
            <v>MILHO</v>
          </cell>
          <cell r="E3625">
            <v>7909.0000000000009</v>
          </cell>
        </row>
        <row r="3626">
          <cell r="A3626" t="str">
            <v>PR</v>
          </cell>
          <cell r="B3626">
            <v>2010</v>
          </cell>
          <cell r="D3626" t="str">
            <v>MILHO</v>
          </cell>
          <cell r="E3626">
            <v>0</v>
          </cell>
        </row>
        <row r="3627">
          <cell r="A3627" t="str">
            <v>PR</v>
          </cell>
          <cell r="B3627">
            <v>2010</v>
          </cell>
          <cell r="D3627" t="str">
            <v>SOJA</v>
          </cell>
          <cell r="E3627">
            <v>6910.7142857142853</v>
          </cell>
        </row>
        <row r="3628">
          <cell r="A3628" t="str">
            <v>PR</v>
          </cell>
          <cell r="B3628">
            <v>2010</v>
          </cell>
          <cell r="D3628" t="str">
            <v>MILHO</v>
          </cell>
          <cell r="E3628">
            <v>0</v>
          </cell>
        </row>
        <row r="3629">
          <cell r="A3629" t="str">
            <v>PR</v>
          </cell>
          <cell r="B3629">
            <v>2010</v>
          </cell>
          <cell r="D3629" t="str">
            <v>MILHO</v>
          </cell>
          <cell r="E3629">
            <v>4389</v>
          </cell>
        </row>
        <row r="3630">
          <cell r="A3630" t="str">
            <v>PR</v>
          </cell>
          <cell r="B3630">
            <v>2010</v>
          </cell>
          <cell r="D3630" t="str">
            <v>SOJA</v>
          </cell>
          <cell r="E3630">
            <v>5067.8571428571431</v>
          </cell>
        </row>
        <row r="3631">
          <cell r="A3631" t="str">
            <v>PR</v>
          </cell>
          <cell r="B3631">
            <v>2010</v>
          </cell>
          <cell r="D3631" t="str">
            <v>MILHO</v>
          </cell>
          <cell r="E3631">
            <v>0</v>
          </cell>
        </row>
        <row r="3632">
          <cell r="A3632" t="str">
            <v>PR</v>
          </cell>
          <cell r="B3632">
            <v>2010</v>
          </cell>
          <cell r="D3632" t="str">
            <v>MILHO</v>
          </cell>
          <cell r="E3632">
            <v>5709.0000000000009</v>
          </cell>
        </row>
        <row r="3633">
          <cell r="A3633" t="str">
            <v>PR</v>
          </cell>
          <cell r="B3633">
            <v>2010</v>
          </cell>
          <cell r="D3633" t="str">
            <v>SOJA</v>
          </cell>
          <cell r="E3633">
            <v>2764.2857142857142</v>
          </cell>
        </row>
        <row r="3634">
          <cell r="A3634" t="str">
            <v>MG</v>
          </cell>
          <cell r="B3634">
            <v>2010</v>
          </cell>
          <cell r="D3634" t="str">
            <v>MILHO</v>
          </cell>
          <cell r="E3634">
            <v>902</v>
          </cell>
        </row>
        <row r="3635">
          <cell r="A3635" t="str">
            <v>MG</v>
          </cell>
          <cell r="B3635">
            <v>2010</v>
          </cell>
          <cell r="D3635" t="str">
            <v>MILHO</v>
          </cell>
          <cell r="E3635">
            <v>902</v>
          </cell>
        </row>
        <row r="3636">
          <cell r="A3636" t="str">
            <v>MG</v>
          </cell>
          <cell r="B3636">
            <v>2010</v>
          </cell>
          <cell r="D3636" t="str">
            <v>MILHO</v>
          </cell>
          <cell r="E3636">
            <v>1804</v>
          </cell>
        </row>
        <row r="3637">
          <cell r="A3637" t="str">
            <v>MG</v>
          </cell>
          <cell r="B3637">
            <v>2010</v>
          </cell>
          <cell r="D3637" t="str">
            <v>MILHO</v>
          </cell>
          <cell r="E3637">
            <v>4510</v>
          </cell>
        </row>
        <row r="3638">
          <cell r="A3638" t="str">
            <v>MG</v>
          </cell>
          <cell r="B3638">
            <v>2010</v>
          </cell>
          <cell r="D3638" t="str">
            <v>MILHO</v>
          </cell>
          <cell r="E3638">
            <v>9020</v>
          </cell>
        </row>
        <row r="3639">
          <cell r="A3639" t="str">
            <v>MG</v>
          </cell>
          <cell r="B3639">
            <v>2010</v>
          </cell>
          <cell r="D3639" t="str">
            <v>SOJA</v>
          </cell>
          <cell r="E3639">
            <v>846.42857142857144</v>
          </cell>
        </row>
        <row r="3640">
          <cell r="A3640" t="str">
            <v>MG</v>
          </cell>
          <cell r="B3640">
            <v>2010</v>
          </cell>
          <cell r="D3640" t="str">
            <v>SOJA</v>
          </cell>
          <cell r="E3640">
            <v>1682.1428571428571</v>
          </cell>
        </row>
        <row r="3641">
          <cell r="A3641" t="str">
            <v>MG</v>
          </cell>
          <cell r="B3641">
            <v>2010</v>
          </cell>
          <cell r="D3641" t="str">
            <v>SOJA</v>
          </cell>
          <cell r="E3641">
            <v>1682.1428571428571</v>
          </cell>
        </row>
        <row r="3642">
          <cell r="A3642" t="str">
            <v>MG</v>
          </cell>
          <cell r="B3642">
            <v>2010</v>
          </cell>
          <cell r="D3642" t="str">
            <v>SOJA</v>
          </cell>
          <cell r="E3642">
            <v>1682.1428571428571</v>
          </cell>
        </row>
        <row r="3643">
          <cell r="A3643" t="str">
            <v>MG</v>
          </cell>
          <cell r="B3643">
            <v>2010</v>
          </cell>
          <cell r="D3643" t="str">
            <v>SOJA</v>
          </cell>
          <cell r="E3643">
            <v>1682.1428571428571</v>
          </cell>
        </row>
        <row r="3644">
          <cell r="A3644" t="str">
            <v>MG</v>
          </cell>
          <cell r="B3644">
            <v>2010</v>
          </cell>
          <cell r="D3644" t="str">
            <v>SOJA</v>
          </cell>
          <cell r="E3644">
            <v>16853.571428571428</v>
          </cell>
        </row>
        <row r="3645">
          <cell r="A3645" t="str">
            <v>MG</v>
          </cell>
          <cell r="B3645">
            <v>2010</v>
          </cell>
          <cell r="D3645" t="str">
            <v>SOJA</v>
          </cell>
          <cell r="E3645">
            <v>1071.4285714285713</v>
          </cell>
        </row>
        <row r="3646">
          <cell r="A3646" t="str">
            <v>GO</v>
          </cell>
          <cell r="B3646">
            <v>2010</v>
          </cell>
          <cell r="D3646" t="str">
            <v>MILHO</v>
          </cell>
          <cell r="E3646">
            <v>0</v>
          </cell>
        </row>
        <row r="3647">
          <cell r="A3647" t="str">
            <v>GO</v>
          </cell>
          <cell r="B3647">
            <v>2010</v>
          </cell>
          <cell r="D3647" t="str">
            <v>SOJA</v>
          </cell>
          <cell r="E3647">
            <v>8378.5714285714275</v>
          </cell>
        </row>
        <row r="3648">
          <cell r="A3648" t="str">
            <v>PR</v>
          </cell>
          <cell r="B3648">
            <v>2010</v>
          </cell>
          <cell r="D3648" t="str">
            <v>MILHO</v>
          </cell>
          <cell r="E3648">
            <v>27225</v>
          </cell>
        </row>
        <row r="3649">
          <cell r="A3649" t="str">
            <v>PR</v>
          </cell>
          <cell r="B3649">
            <v>2010</v>
          </cell>
          <cell r="D3649" t="str">
            <v>MILHO</v>
          </cell>
          <cell r="E3649">
            <v>0</v>
          </cell>
        </row>
        <row r="3650">
          <cell r="A3650" t="str">
            <v>PR</v>
          </cell>
          <cell r="B3650">
            <v>2010</v>
          </cell>
          <cell r="D3650" t="str">
            <v>SOJA</v>
          </cell>
          <cell r="E3650">
            <v>0</v>
          </cell>
        </row>
        <row r="3651">
          <cell r="A3651" t="str">
            <v>PR</v>
          </cell>
          <cell r="B3651">
            <v>2010</v>
          </cell>
          <cell r="D3651" t="str">
            <v>SOJA</v>
          </cell>
          <cell r="E3651">
            <v>56207.142857142855</v>
          </cell>
        </row>
        <row r="3652">
          <cell r="A3652" t="str">
            <v>PR</v>
          </cell>
          <cell r="B3652">
            <v>2010</v>
          </cell>
          <cell r="D3652" t="str">
            <v>MILHO</v>
          </cell>
          <cell r="E3652">
            <v>7029</v>
          </cell>
        </row>
        <row r="3653">
          <cell r="A3653" t="str">
            <v>PR</v>
          </cell>
          <cell r="B3653">
            <v>2010</v>
          </cell>
          <cell r="D3653" t="str">
            <v>MILHO</v>
          </cell>
          <cell r="E3653">
            <v>0</v>
          </cell>
        </row>
        <row r="3654">
          <cell r="A3654" t="str">
            <v>PR</v>
          </cell>
          <cell r="B3654">
            <v>2010</v>
          </cell>
          <cell r="D3654" t="str">
            <v>SOJA</v>
          </cell>
          <cell r="E3654">
            <v>0</v>
          </cell>
        </row>
        <row r="3655">
          <cell r="A3655" t="str">
            <v>PR</v>
          </cell>
          <cell r="B3655">
            <v>2010</v>
          </cell>
          <cell r="D3655" t="str">
            <v>SOJA</v>
          </cell>
          <cell r="E3655">
            <v>9214.2857142857138</v>
          </cell>
        </row>
        <row r="3656">
          <cell r="A3656" t="str">
            <v>PR</v>
          </cell>
          <cell r="B3656">
            <v>2010</v>
          </cell>
          <cell r="D3656" t="str">
            <v>MILHO</v>
          </cell>
          <cell r="E3656">
            <v>8778</v>
          </cell>
        </row>
        <row r="3657">
          <cell r="A3657" t="str">
            <v>PR</v>
          </cell>
          <cell r="B3657">
            <v>2010</v>
          </cell>
          <cell r="D3657" t="str">
            <v>MILHO</v>
          </cell>
          <cell r="E3657">
            <v>0</v>
          </cell>
        </row>
        <row r="3658">
          <cell r="A3658" t="str">
            <v>PR</v>
          </cell>
          <cell r="B3658">
            <v>2010</v>
          </cell>
          <cell r="D3658" t="str">
            <v>SOJA</v>
          </cell>
          <cell r="E3658">
            <v>18428.571428571428</v>
          </cell>
        </row>
        <row r="3659">
          <cell r="A3659" t="str">
            <v>PR</v>
          </cell>
          <cell r="B3659">
            <v>2010</v>
          </cell>
          <cell r="D3659" t="str">
            <v>MILHO</v>
          </cell>
          <cell r="E3659">
            <v>0</v>
          </cell>
        </row>
        <row r="3660">
          <cell r="A3660" t="str">
            <v>PR</v>
          </cell>
          <cell r="B3660">
            <v>2010</v>
          </cell>
          <cell r="D3660" t="str">
            <v>MILHO</v>
          </cell>
          <cell r="E3660">
            <v>8778</v>
          </cell>
        </row>
        <row r="3661">
          <cell r="A3661" t="str">
            <v>PR</v>
          </cell>
          <cell r="B3661">
            <v>2010</v>
          </cell>
          <cell r="D3661" t="str">
            <v>SOJA</v>
          </cell>
          <cell r="E3661">
            <v>9214.2857142857138</v>
          </cell>
        </row>
        <row r="3662">
          <cell r="A3662" t="str">
            <v>RS</v>
          </cell>
          <cell r="B3662">
            <v>2010</v>
          </cell>
          <cell r="D3662" t="str">
            <v>MILHO</v>
          </cell>
          <cell r="E3662">
            <v>0</v>
          </cell>
        </row>
        <row r="3663">
          <cell r="A3663" t="str">
            <v>RS</v>
          </cell>
          <cell r="B3663">
            <v>2010</v>
          </cell>
          <cell r="D3663" t="str">
            <v>SOJA</v>
          </cell>
          <cell r="E3663">
            <v>0</v>
          </cell>
        </row>
        <row r="3664">
          <cell r="A3664" t="str">
            <v>RS</v>
          </cell>
          <cell r="B3664">
            <v>2010</v>
          </cell>
          <cell r="D3664" t="str">
            <v>SOJA</v>
          </cell>
          <cell r="E3664">
            <v>0</v>
          </cell>
        </row>
        <row r="3665">
          <cell r="A3665" t="str">
            <v>PR</v>
          </cell>
          <cell r="B3665">
            <v>2010</v>
          </cell>
          <cell r="D3665" t="str">
            <v>MILHO</v>
          </cell>
          <cell r="E3665">
            <v>4389</v>
          </cell>
        </row>
        <row r="3666">
          <cell r="A3666" t="str">
            <v>PR</v>
          </cell>
          <cell r="B3666">
            <v>2010</v>
          </cell>
          <cell r="D3666" t="str">
            <v>MILHO</v>
          </cell>
          <cell r="E3666">
            <v>0</v>
          </cell>
        </row>
        <row r="3667">
          <cell r="A3667" t="str">
            <v>PR</v>
          </cell>
          <cell r="B3667">
            <v>2010</v>
          </cell>
          <cell r="D3667" t="str">
            <v>SOJA</v>
          </cell>
          <cell r="E3667">
            <v>2764.2857142857142</v>
          </cell>
        </row>
        <row r="3668">
          <cell r="A3668" t="str">
            <v>PR</v>
          </cell>
          <cell r="B3668">
            <v>2010</v>
          </cell>
          <cell r="D3668" t="str">
            <v>SOJA</v>
          </cell>
          <cell r="E3668">
            <v>0</v>
          </cell>
        </row>
        <row r="3669">
          <cell r="A3669" t="str">
            <v>MT</v>
          </cell>
          <cell r="B3669">
            <v>2010</v>
          </cell>
          <cell r="D3669" t="str">
            <v>SOJA</v>
          </cell>
          <cell r="E3669">
            <v>24203.571428571428</v>
          </cell>
        </row>
        <row r="3670">
          <cell r="A3670" t="str">
            <v>MT</v>
          </cell>
          <cell r="B3670">
            <v>2010</v>
          </cell>
          <cell r="D3670" t="str">
            <v>SOJA</v>
          </cell>
          <cell r="E3670">
            <v>10200</v>
          </cell>
        </row>
        <row r="3671">
          <cell r="A3671" t="str">
            <v>BA</v>
          </cell>
          <cell r="B3671">
            <v>2010</v>
          </cell>
          <cell r="D3671" t="str">
            <v>SOJA</v>
          </cell>
          <cell r="E3671">
            <v>6192.8571428571431</v>
          </cell>
        </row>
        <row r="3672">
          <cell r="A3672" t="str">
            <v>MT</v>
          </cell>
          <cell r="B3672">
            <v>2010</v>
          </cell>
          <cell r="D3672" t="str">
            <v>SOJA</v>
          </cell>
          <cell r="E3672">
            <v>3064.2857142857142</v>
          </cell>
        </row>
        <row r="3673">
          <cell r="A3673" t="str">
            <v>MT</v>
          </cell>
          <cell r="B3673">
            <v>2010</v>
          </cell>
          <cell r="D3673" t="str">
            <v>SOJA</v>
          </cell>
          <cell r="E3673">
            <v>40821.428571428572</v>
          </cell>
        </row>
        <row r="3674">
          <cell r="A3674" t="str">
            <v>MT</v>
          </cell>
          <cell r="B3674">
            <v>2010</v>
          </cell>
          <cell r="D3674" t="str">
            <v>SOJA</v>
          </cell>
          <cell r="E3674">
            <v>48557.142857142855</v>
          </cell>
        </row>
        <row r="3675">
          <cell r="A3675" t="str">
            <v>MT</v>
          </cell>
          <cell r="B3675">
            <v>2010</v>
          </cell>
          <cell r="D3675" t="str">
            <v>SOJA</v>
          </cell>
          <cell r="E3675">
            <v>0</v>
          </cell>
        </row>
        <row r="3676">
          <cell r="A3676" t="str">
            <v>BA</v>
          </cell>
          <cell r="B3676">
            <v>2010</v>
          </cell>
          <cell r="D3676" t="str">
            <v>SOJA</v>
          </cell>
          <cell r="E3676">
            <v>10317.857142857143</v>
          </cell>
        </row>
        <row r="3677">
          <cell r="A3677" t="str">
            <v>RS</v>
          </cell>
          <cell r="B3677">
            <v>2010</v>
          </cell>
          <cell r="D3677" t="str">
            <v>SOJA</v>
          </cell>
          <cell r="E3677">
            <v>546.42857142857133</v>
          </cell>
        </row>
        <row r="3678">
          <cell r="A3678" t="str">
            <v>RS</v>
          </cell>
          <cell r="B3678">
            <v>2010</v>
          </cell>
          <cell r="D3678" t="str">
            <v>MILHO</v>
          </cell>
          <cell r="E3678">
            <v>0</v>
          </cell>
        </row>
        <row r="3679">
          <cell r="A3679" t="str">
            <v>RS</v>
          </cell>
          <cell r="B3679">
            <v>2010</v>
          </cell>
          <cell r="D3679" t="str">
            <v>SOJA</v>
          </cell>
          <cell r="E3679">
            <v>19639.285714285714</v>
          </cell>
        </row>
        <row r="3680">
          <cell r="A3680" t="str">
            <v>RS</v>
          </cell>
          <cell r="B3680">
            <v>2010</v>
          </cell>
          <cell r="D3680" t="str">
            <v>MILHO</v>
          </cell>
          <cell r="E3680">
            <v>0</v>
          </cell>
        </row>
        <row r="3681">
          <cell r="A3681" t="str">
            <v>RS</v>
          </cell>
          <cell r="B3681">
            <v>2010</v>
          </cell>
          <cell r="D3681" t="str">
            <v>MILHO</v>
          </cell>
          <cell r="E3681">
            <v>6897</v>
          </cell>
        </row>
        <row r="3682">
          <cell r="A3682" t="str">
            <v>RS</v>
          </cell>
          <cell r="B3682">
            <v>2010</v>
          </cell>
          <cell r="D3682" t="str">
            <v>SOJA</v>
          </cell>
          <cell r="E3682">
            <v>5453.5714285714284</v>
          </cell>
        </row>
        <row r="3683">
          <cell r="A3683" t="str">
            <v>RS</v>
          </cell>
          <cell r="B3683">
            <v>2010</v>
          </cell>
          <cell r="D3683" t="str">
            <v>SOJA</v>
          </cell>
          <cell r="E3683">
            <v>0</v>
          </cell>
        </row>
        <row r="3684">
          <cell r="A3684" t="str">
            <v>RS</v>
          </cell>
          <cell r="B3684">
            <v>2010</v>
          </cell>
          <cell r="D3684" t="str">
            <v>MILHO</v>
          </cell>
          <cell r="E3684">
            <v>0</v>
          </cell>
        </row>
        <row r="3685">
          <cell r="A3685" t="str">
            <v>RS</v>
          </cell>
          <cell r="B3685">
            <v>2010</v>
          </cell>
          <cell r="D3685" t="str">
            <v>SOJA</v>
          </cell>
          <cell r="E3685">
            <v>5453.5714285714284</v>
          </cell>
        </row>
        <row r="3686">
          <cell r="A3686" t="str">
            <v>RS</v>
          </cell>
          <cell r="B3686">
            <v>2010</v>
          </cell>
          <cell r="D3686" t="str">
            <v>SOJA</v>
          </cell>
          <cell r="E3686">
            <v>0</v>
          </cell>
        </row>
        <row r="3687">
          <cell r="A3687" t="str">
            <v>PR</v>
          </cell>
          <cell r="B3687">
            <v>2010</v>
          </cell>
          <cell r="D3687" t="str">
            <v>MILHO</v>
          </cell>
          <cell r="E3687">
            <v>0</v>
          </cell>
        </row>
        <row r="3688">
          <cell r="A3688" t="str">
            <v>PR</v>
          </cell>
          <cell r="B3688">
            <v>2010</v>
          </cell>
          <cell r="D3688" t="str">
            <v>SOJA</v>
          </cell>
          <cell r="E3688">
            <v>14035.714285714284</v>
          </cell>
        </row>
        <row r="3689">
          <cell r="A3689" t="str">
            <v>PR</v>
          </cell>
          <cell r="B3689">
            <v>2010</v>
          </cell>
          <cell r="D3689" t="str">
            <v>MILHO</v>
          </cell>
          <cell r="E3689">
            <v>0</v>
          </cell>
        </row>
        <row r="3690">
          <cell r="A3690" t="str">
            <v>PR</v>
          </cell>
          <cell r="B3690">
            <v>2010</v>
          </cell>
          <cell r="D3690" t="str">
            <v>SOJA</v>
          </cell>
          <cell r="E3690">
            <v>16842.857142857141</v>
          </cell>
        </row>
        <row r="3691">
          <cell r="A3691" t="str">
            <v>PR</v>
          </cell>
          <cell r="B3691">
            <v>2010</v>
          </cell>
          <cell r="D3691" t="str">
            <v>MILHO</v>
          </cell>
          <cell r="E3691">
            <v>0</v>
          </cell>
        </row>
        <row r="3692">
          <cell r="A3692" t="str">
            <v>PR</v>
          </cell>
          <cell r="B3692">
            <v>2010</v>
          </cell>
          <cell r="D3692" t="str">
            <v>SOJA</v>
          </cell>
          <cell r="E3692">
            <v>22467.857142857141</v>
          </cell>
        </row>
        <row r="3693">
          <cell r="A3693" t="str">
            <v>PR</v>
          </cell>
          <cell r="B3693">
            <v>2010</v>
          </cell>
          <cell r="D3693" t="str">
            <v>MILHO</v>
          </cell>
          <cell r="E3693">
            <v>0</v>
          </cell>
        </row>
        <row r="3694">
          <cell r="A3694" t="str">
            <v>PR</v>
          </cell>
          <cell r="B3694">
            <v>2010</v>
          </cell>
          <cell r="D3694" t="str">
            <v>SOJA</v>
          </cell>
          <cell r="E3694">
            <v>22467.857142857141</v>
          </cell>
        </row>
        <row r="3695">
          <cell r="A3695" t="str">
            <v>SP</v>
          </cell>
          <cell r="B3695">
            <v>2010</v>
          </cell>
          <cell r="D3695" t="str">
            <v>MILHO</v>
          </cell>
          <cell r="E3695">
            <v>2629.0000000000005</v>
          </cell>
        </row>
        <row r="3696">
          <cell r="A3696" t="str">
            <v>SP</v>
          </cell>
          <cell r="B3696">
            <v>2010</v>
          </cell>
          <cell r="D3696" t="str">
            <v>MILHO</v>
          </cell>
          <cell r="E3696">
            <v>0</v>
          </cell>
        </row>
        <row r="3697">
          <cell r="A3697" t="str">
            <v>PR</v>
          </cell>
          <cell r="B3697">
            <v>2010</v>
          </cell>
          <cell r="D3697" t="str">
            <v>MILHO</v>
          </cell>
          <cell r="E3697">
            <v>0</v>
          </cell>
        </row>
        <row r="3698">
          <cell r="A3698" t="str">
            <v>PR</v>
          </cell>
          <cell r="B3698">
            <v>2010</v>
          </cell>
          <cell r="D3698" t="str">
            <v>SOJA</v>
          </cell>
          <cell r="E3698">
            <v>14035.714285714284</v>
          </cell>
        </row>
        <row r="3699">
          <cell r="A3699" t="str">
            <v>PR</v>
          </cell>
          <cell r="B3699">
            <v>2010</v>
          </cell>
          <cell r="D3699" t="str">
            <v>SOJA</v>
          </cell>
          <cell r="E3699">
            <v>32764.285714285714</v>
          </cell>
        </row>
        <row r="3700">
          <cell r="A3700" t="str">
            <v>PR</v>
          </cell>
          <cell r="B3700">
            <v>2010</v>
          </cell>
          <cell r="D3700" t="str">
            <v>SOJA</v>
          </cell>
          <cell r="E3700">
            <v>0</v>
          </cell>
        </row>
        <row r="3701">
          <cell r="A3701" t="str">
            <v>MT</v>
          </cell>
          <cell r="B3701">
            <v>2010</v>
          </cell>
          <cell r="D3701" t="str">
            <v>SOJA</v>
          </cell>
          <cell r="E3701">
            <v>0</v>
          </cell>
        </row>
        <row r="3702">
          <cell r="A3702" t="str">
            <v>MT</v>
          </cell>
          <cell r="B3702">
            <v>2010</v>
          </cell>
          <cell r="D3702" t="str">
            <v>SOJA</v>
          </cell>
          <cell r="E3702">
            <v>51546.428571428572</v>
          </cell>
        </row>
        <row r="3703">
          <cell r="A3703" t="str">
            <v>MT</v>
          </cell>
          <cell r="B3703">
            <v>2010</v>
          </cell>
          <cell r="D3703" t="str">
            <v>SOJA</v>
          </cell>
          <cell r="E3703">
            <v>0</v>
          </cell>
        </row>
        <row r="3704">
          <cell r="A3704" t="str">
            <v>MT</v>
          </cell>
          <cell r="B3704">
            <v>2010</v>
          </cell>
          <cell r="D3704" t="str">
            <v>SOJA</v>
          </cell>
          <cell r="E3704">
            <v>25767.857142857141</v>
          </cell>
        </row>
        <row r="3705">
          <cell r="A3705" t="str">
            <v>MT</v>
          </cell>
          <cell r="B3705">
            <v>2010</v>
          </cell>
          <cell r="D3705" t="str">
            <v>SOJA</v>
          </cell>
          <cell r="E3705">
            <v>0</v>
          </cell>
        </row>
        <row r="3706">
          <cell r="A3706" t="str">
            <v>MT</v>
          </cell>
          <cell r="B3706">
            <v>2010</v>
          </cell>
          <cell r="D3706" t="str">
            <v>SOJA</v>
          </cell>
          <cell r="E3706">
            <v>16317.857142857143</v>
          </cell>
        </row>
        <row r="3707">
          <cell r="A3707" t="str">
            <v>MS</v>
          </cell>
          <cell r="B3707">
            <v>2010</v>
          </cell>
          <cell r="D3707" t="str">
            <v>SOJA</v>
          </cell>
          <cell r="E3707">
            <v>12557.142857142857</v>
          </cell>
        </row>
        <row r="3708">
          <cell r="A3708" t="str">
            <v>MS</v>
          </cell>
          <cell r="B3708">
            <v>2010</v>
          </cell>
          <cell r="D3708" t="str">
            <v>SOJA</v>
          </cell>
          <cell r="E3708">
            <v>0</v>
          </cell>
        </row>
        <row r="3709">
          <cell r="A3709" t="str">
            <v>PR</v>
          </cell>
          <cell r="B3709">
            <v>2010</v>
          </cell>
          <cell r="D3709" t="str">
            <v>MILHO</v>
          </cell>
          <cell r="E3709">
            <v>14047</v>
          </cell>
        </row>
        <row r="3710">
          <cell r="A3710" t="str">
            <v>PR</v>
          </cell>
          <cell r="B3710">
            <v>2010</v>
          </cell>
          <cell r="D3710" t="str">
            <v>MILHO</v>
          </cell>
          <cell r="E3710">
            <v>0</v>
          </cell>
        </row>
        <row r="3711">
          <cell r="A3711" t="str">
            <v>PR</v>
          </cell>
          <cell r="B3711">
            <v>2010</v>
          </cell>
          <cell r="D3711" t="str">
            <v>SOJA</v>
          </cell>
          <cell r="E3711">
            <v>0</v>
          </cell>
        </row>
        <row r="3712">
          <cell r="A3712" t="str">
            <v>PR</v>
          </cell>
          <cell r="B3712">
            <v>2010</v>
          </cell>
          <cell r="D3712" t="str">
            <v>SOJA</v>
          </cell>
          <cell r="E3712">
            <v>36857.142857142855</v>
          </cell>
        </row>
        <row r="3713">
          <cell r="A3713" t="str">
            <v>PR</v>
          </cell>
          <cell r="B3713">
            <v>2010</v>
          </cell>
          <cell r="D3713" t="str">
            <v>MILHO</v>
          </cell>
          <cell r="E3713">
            <v>7898.0000000000009</v>
          </cell>
        </row>
        <row r="3714">
          <cell r="A3714" t="str">
            <v>PR</v>
          </cell>
          <cell r="B3714">
            <v>2010</v>
          </cell>
          <cell r="D3714" t="str">
            <v>MILHO</v>
          </cell>
          <cell r="E3714">
            <v>0</v>
          </cell>
        </row>
        <row r="3715">
          <cell r="A3715" t="str">
            <v>PR</v>
          </cell>
          <cell r="B3715">
            <v>2010</v>
          </cell>
          <cell r="D3715" t="str">
            <v>MILHO</v>
          </cell>
          <cell r="E3715">
            <v>8778</v>
          </cell>
        </row>
        <row r="3716">
          <cell r="A3716" t="str">
            <v>PR</v>
          </cell>
          <cell r="B3716">
            <v>2010</v>
          </cell>
          <cell r="D3716" t="str">
            <v>SOJA</v>
          </cell>
          <cell r="E3716">
            <v>0</v>
          </cell>
        </row>
        <row r="3717">
          <cell r="A3717" t="str">
            <v>PR</v>
          </cell>
          <cell r="B3717">
            <v>2010</v>
          </cell>
          <cell r="D3717" t="str">
            <v>SOJA</v>
          </cell>
          <cell r="E3717">
            <v>20271.428571428572</v>
          </cell>
        </row>
        <row r="3718">
          <cell r="A3718" t="str">
            <v>BA</v>
          </cell>
          <cell r="B3718">
            <v>2010</v>
          </cell>
          <cell r="D3718" t="str">
            <v>SOJA</v>
          </cell>
          <cell r="E3718">
            <v>5153.5714285714275</v>
          </cell>
        </row>
        <row r="3719">
          <cell r="A3719" t="str">
            <v>BA</v>
          </cell>
          <cell r="B3719">
            <v>2010</v>
          </cell>
          <cell r="D3719" t="str">
            <v>SOJA</v>
          </cell>
          <cell r="E3719">
            <v>30953.571428571428</v>
          </cell>
        </row>
        <row r="3720">
          <cell r="A3720" t="str">
            <v>BA</v>
          </cell>
          <cell r="B3720">
            <v>2010</v>
          </cell>
          <cell r="D3720" t="str">
            <v>SOJA</v>
          </cell>
          <cell r="E3720">
            <v>5153.5714285714275</v>
          </cell>
        </row>
        <row r="3721">
          <cell r="A3721" t="str">
            <v>MT</v>
          </cell>
          <cell r="B3721">
            <v>2010</v>
          </cell>
          <cell r="D3721" t="str">
            <v>SOJA</v>
          </cell>
          <cell r="E3721">
            <v>0</v>
          </cell>
        </row>
        <row r="3722">
          <cell r="A3722" t="str">
            <v>MT</v>
          </cell>
          <cell r="B3722">
            <v>2010</v>
          </cell>
          <cell r="D3722" t="str">
            <v>SOJA</v>
          </cell>
          <cell r="E3722">
            <v>0</v>
          </cell>
        </row>
        <row r="3723">
          <cell r="A3723" t="str">
            <v>MT</v>
          </cell>
          <cell r="B3723">
            <v>2010</v>
          </cell>
          <cell r="D3723" t="str">
            <v>SOJA</v>
          </cell>
          <cell r="E3723">
            <v>29046.428571428572</v>
          </cell>
        </row>
        <row r="3724">
          <cell r="A3724" t="str">
            <v>MT</v>
          </cell>
          <cell r="B3724">
            <v>2010</v>
          </cell>
          <cell r="D3724" t="str">
            <v>SOJA</v>
          </cell>
          <cell r="E3724">
            <v>0</v>
          </cell>
        </row>
        <row r="3725">
          <cell r="A3725" t="str">
            <v>MT</v>
          </cell>
          <cell r="B3725">
            <v>2010</v>
          </cell>
          <cell r="D3725" t="str">
            <v>SOJA</v>
          </cell>
          <cell r="E3725">
            <v>0</v>
          </cell>
        </row>
        <row r="3726">
          <cell r="A3726" t="str">
            <v>MT</v>
          </cell>
          <cell r="B3726">
            <v>2010</v>
          </cell>
          <cell r="D3726" t="str">
            <v>SOJA</v>
          </cell>
          <cell r="E3726">
            <v>58092.857142857145</v>
          </cell>
        </row>
        <row r="3727">
          <cell r="A3727" t="str">
            <v>TO</v>
          </cell>
          <cell r="B3727">
            <v>2010</v>
          </cell>
          <cell r="D3727" t="str">
            <v>SOJA</v>
          </cell>
          <cell r="E3727">
            <v>2903.5714285714284</v>
          </cell>
        </row>
        <row r="3728">
          <cell r="A3728" t="str">
            <v>TO</v>
          </cell>
          <cell r="B3728">
            <v>2010</v>
          </cell>
          <cell r="D3728" t="str">
            <v>SOJA</v>
          </cell>
          <cell r="E3728">
            <v>0</v>
          </cell>
        </row>
        <row r="3729">
          <cell r="A3729" t="str">
            <v>BA</v>
          </cell>
          <cell r="B3729">
            <v>2010</v>
          </cell>
          <cell r="D3729" t="str">
            <v>MILHO</v>
          </cell>
          <cell r="E3729">
            <v>10934.000000000002</v>
          </cell>
        </row>
        <row r="3730">
          <cell r="A3730" t="str">
            <v>BA</v>
          </cell>
          <cell r="B3730">
            <v>2010</v>
          </cell>
          <cell r="D3730" t="str">
            <v>SOJA</v>
          </cell>
          <cell r="E3730">
            <v>3096.4285714285716</v>
          </cell>
        </row>
        <row r="3731">
          <cell r="A3731" t="str">
            <v>GO</v>
          </cell>
          <cell r="B3731">
            <v>2010</v>
          </cell>
          <cell r="D3731" t="str">
            <v>SOJA</v>
          </cell>
          <cell r="E3731">
            <v>0</v>
          </cell>
        </row>
        <row r="3732">
          <cell r="A3732" t="str">
            <v>GO</v>
          </cell>
          <cell r="B3732">
            <v>2010</v>
          </cell>
          <cell r="D3732" t="str">
            <v>SOJA</v>
          </cell>
          <cell r="E3732">
            <v>19500</v>
          </cell>
        </row>
        <row r="3733">
          <cell r="A3733" t="str">
            <v>GO</v>
          </cell>
          <cell r="B3733">
            <v>2010</v>
          </cell>
          <cell r="D3733" t="str">
            <v>SOJA</v>
          </cell>
          <cell r="E3733">
            <v>2871.4285714285716</v>
          </cell>
        </row>
        <row r="3734">
          <cell r="A3734" t="str">
            <v>GO</v>
          </cell>
          <cell r="B3734">
            <v>2010</v>
          </cell>
          <cell r="D3734" t="str">
            <v>SOJA</v>
          </cell>
          <cell r="E3734">
            <v>3942.8571428571431</v>
          </cell>
        </row>
        <row r="3735">
          <cell r="A3735" t="str">
            <v>GO</v>
          </cell>
          <cell r="B3735">
            <v>2010</v>
          </cell>
          <cell r="D3735" t="str">
            <v>SOJA</v>
          </cell>
          <cell r="E3735">
            <v>5571.4285714285716</v>
          </cell>
        </row>
        <row r="3736">
          <cell r="A3736" t="str">
            <v>GO</v>
          </cell>
          <cell r="B3736">
            <v>2010</v>
          </cell>
          <cell r="D3736" t="str">
            <v>SOJA</v>
          </cell>
          <cell r="E3736">
            <v>5742.8571428571431</v>
          </cell>
        </row>
        <row r="3737">
          <cell r="A3737" t="str">
            <v>GO</v>
          </cell>
          <cell r="B3737">
            <v>2010</v>
          </cell>
          <cell r="D3737" t="str">
            <v>SOJA</v>
          </cell>
          <cell r="E3737">
            <v>5742.8571428571431</v>
          </cell>
        </row>
        <row r="3738">
          <cell r="A3738" t="str">
            <v>GO</v>
          </cell>
          <cell r="B3738">
            <v>2010</v>
          </cell>
          <cell r="D3738" t="str">
            <v>SOJA</v>
          </cell>
          <cell r="E3738">
            <v>0</v>
          </cell>
        </row>
        <row r="3739">
          <cell r="A3739" t="str">
            <v>GO</v>
          </cell>
          <cell r="B3739">
            <v>2010</v>
          </cell>
          <cell r="D3739" t="str">
            <v>MILHO</v>
          </cell>
          <cell r="E3739">
            <v>0</v>
          </cell>
        </row>
        <row r="3740">
          <cell r="A3740" t="str">
            <v>GO</v>
          </cell>
          <cell r="B3740">
            <v>2010</v>
          </cell>
          <cell r="D3740" t="str">
            <v>SOJA</v>
          </cell>
          <cell r="E3740">
            <v>0</v>
          </cell>
        </row>
        <row r="3741">
          <cell r="A3741" t="str">
            <v>GO</v>
          </cell>
          <cell r="B3741">
            <v>2010</v>
          </cell>
          <cell r="D3741" t="str">
            <v>SOJA</v>
          </cell>
          <cell r="E3741">
            <v>13928.571428571429</v>
          </cell>
        </row>
        <row r="3742">
          <cell r="A3742" t="str">
            <v>MT</v>
          </cell>
          <cell r="B3742">
            <v>2010</v>
          </cell>
          <cell r="D3742" t="str">
            <v>SOJA</v>
          </cell>
          <cell r="E3742">
            <v>8378.5714285714275</v>
          </cell>
        </row>
        <row r="3743">
          <cell r="A3743" t="str">
            <v>MT</v>
          </cell>
          <cell r="B3743">
            <v>2010</v>
          </cell>
          <cell r="D3743" t="str">
            <v>SOJA</v>
          </cell>
          <cell r="E3743">
            <v>0</v>
          </cell>
        </row>
        <row r="3744">
          <cell r="A3744" t="str">
            <v>GO</v>
          </cell>
          <cell r="B3744">
            <v>2010</v>
          </cell>
          <cell r="D3744" t="str">
            <v>SOJA</v>
          </cell>
          <cell r="E3744">
            <v>0</v>
          </cell>
        </row>
        <row r="3745">
          <cell r="A3745" t="str">
            <v>GO</v>
          </cell>
          <cell r="B3745">
            <v>2010</v>
          </cell>
          <cell r="D3745" t="str">
            <v>SOJA</v>
          </cell>
          <cell r="E3745">
            <v>6696.4285714285716</v>
          </cell>
        </row>
        <row r="3746">
          <cell r="A3746" t="str">
            <v>SP</v>
          </cell>
          <cell r="B3746">
            <v>2010</v>
          </cell>
          <cell r="D3746" t="str">
            <v>SOJA</v>
          </cell>
          <cell r="E3746">
            <v>0</v>
          </cell>
        </row>
        <row r="3747">
          <cell r="A3747" t="str">
            <v>SP</v>
          </cell>
          <cell r="B3747">
            <v>2010</v>
          </cell>
          <cell r="D3747" t="str">
            <v>SOJA</v>
          </cell>
          <cell r="E3747">
            <v>24642.857142857141</v>
          </cell>
        </row>
        <row r="3748">
          <cell r="A3748" t="str">
            <v>MT</v>
          </cell>
          <cell r="B3748">
            <v>2010</v>
          </cell>
          <cell r="D3748" t="str">
            <v>SOJA</v>
          </cell>
          <cell r="E3748">
            <v>0</v>
          </cell>
        </row>
        <row r="3749">
          <cell r="A3749" t="str">
            <v>MT</v>
          </cell>
          <cell r="B3749">
            <v>2010</v>
          </cell>
          <cell r="D3749" t="str">
            <v>SOJA</v>
          </cell>
          <cell r="E3749">
            <v>38849.999999999993</v>
          </cell>
        </row>
        <row r="3750">
          <cell r="A3750" t="str">
            <v>MT</v>
          </cell>
          <cell r="B3750">
            <v>2010</v>
          </cell>
          <cell r="D3750" t="str">
            <v>SOJA</v>
          </cell>
          <cell r="E3750">
            <v>23625</v>
          </cell>
        </row>
        <row r="3751">
          <cell r="A3751" t="str">
            <v>MT</v>
          </cell>
          <cell r="B3751">
            <v>2010</v>
          </cell>
          <cell r="D3751" t="str">
            <v>SOJA</v>
          </cell>
          <cell r="E3751">
            <v>24278.571428571428</v>
          </cell>
        </row>
        <row r="3752">
          <cell r="A3752" t="str">
            <v>MT</v>
          </cell>
          <cell r="B3752">
            <v>2010</v>
          </cell>
          <cell r="D3752" t="str">
            <v>SOJA</v>
          </cell>
          <cell r="E3752">
            <v>0</v>
          </cell>
        </row>
        <row r="3753">
          <cell r="A3753" t="str">
            <v>MA</v>
          </cell>
          <cell r="B3753">
            <v>2010</v>
          </cell>
          <cell r="D3753" t="str">
            <v>SOJA</v>
          </cell>
          <cell r="E3753">
            <v>0</v>
          </cell>
        </row>
        <row r="3754">
          <cell r="A3754" t="str">
            <v>MA</v>
          </cell>
          <cell r="B3754">
            <v>2010</v>
          </cell>
          <cell r="D3754" t="str">
            <v>SOJA</v>
          </cell>
          <cell r="E3754">
            <v>10714.285714285714</v>
          </cell>
        </row>
        <row r="3755">
          <cell r="A3755" t="str">
            <v>MG</v>
          </cell>
          <cell r="B3755">
            <v>2010</v>
          </cell>
          <cell r="D3755" t="str">
            <v>SOJA</v>
          </cell>
          <cell r="E3755">
            <v>8089.2857142857138</v>
          </cell>
        </row>
        <row r="3756">
          <cell r="A3756" t="str">
            <v>MT</v>
          </cell>
          <cell r="B3756">
            <v>2010</v>
          </cell>
          <cell r="D3756" t="str">
            <v>SOJA</v>
          </cell>
          <cell r="E3756">
            <v>0</v>
          </cell>
        </row>
        <row r="3757">
          <cell r="A3757" t="str">
            <v>MT</v>
          </cell>
          <cell r="B3757">
            <v>2010</v>
          </cell>
          <cell r="D3757" t="str">
            <v>SOJA</v>
          </cell>
          <cell r="E3757">
            <v>12889.285714285712</v>
          </cell>
        </row>
        <row r="3758">
          <cell r="A3758" t="str">
            <v>MT</v>
          </cell>
          <cell r="B3758">
            <v>2010</v>
          </cell>
          <cell r="D3758" t="str">
            <v>SOJA</v>
          </cell>
          <cell r="E3758">
            <v>0</v>
          </cell>
        </row>
        <row r="3759">
          <cell r="A3759" t="str">
            <v>MT</v>
          </cell>
          <cell r="B3759">
            <v>2010</v>
          </cell>
          <cell r="D3759" t="str">
            <v>SOJA</v>
          </cell>
          <cell r="E3759">
            <v>17185.714285714283</v>
          </cell>
        </row>
        <row r="3760">
          <cell r="A3760" t="str">
            <v>MT</v>
          </cell>
          <cell r="B3760">
            <v>2010</v>
          </cell>
          <cell r="D3760" t="str">
            <v>SOJA</v>
          </cell>
          <cell r="E3760">
            <v>0</v>
          </cell>
        </row>
        <row r="3761">
          <cell r="A3761" t="str">
            <v>MT</v>
          </cell>
          <cell r="B3761">
            <v>2010</v>
          </cell>
          <cell r="D3761" t="str">
            <v>SOJA</v>
          </cell>
          <cell r="E3761">
            <v>48557.142857142855</v>
          </cell>
        </row>
        <row r="3762">
          <cell r="A3762" t="str">
            <v>MT</v>
          </cell>
          <cell r="B3762">
            <v>2010</v>
          </cell>
          <cell r="D3762" t="str">
            <v>SOJA</v>
          </cell>
          <cell r="E3762">
            <v>0</v>
          </cell>
        </row>
        <row r="3763">
          <cell r="A3763" t="str">
            <v>MT</v>
          </cell>
          <cell r="B3763">
            <v>2010</v>
          </cell>
          <cell r="D3763" t="str">
            <v>SOJA</v>
          </cell>
          <cell r="E3763">
            <v>48407.142857142855</v>
          </cell>
        </row>
        <row r="3764">
          <cell r="A3764" t="str">
            <v>TO</v>
          </cell>
          <cell r="B3764">
            <v>2010</v>
          </cell>
          <cell r="D3764" t="str">
            <v>SOJA</v>
          </cell>
          <cell r="E3764">
            <v>0</v>
          </cell>
        </row>
        <row r="3765">
          <cell r="A3765" t="str">
            <v>TO</v>
          </cell>
          <cell r="B3765">
            <v>2010</v>
          </cell>
          <cell r="D3765" t="str">
            <v>SOJA</v>
          </cell>
          <cell r="E3765">
            <v>11614.285714285714</v>
          </cell>
        </row>
        <row r="3766">
          <cell r="A3766" t="str">
            <v>GO</v>
          </cell>
          <cell r="B3766">
            <v>2010</v>
          </cell>
          <cell r="D3766" t="str">
            <v>SOJA</v>
          </cell>
          <cell r="E3766">
            <v>0</v>
          </cell>
        </row>
        <row r="3767">
          <cell r="A3767" t="str">
            <v>GO</v>
          </cell>
          <cell r="B3767">
            <v>2010</v>
          </cell>
          <cell r="D3767" t="str">
            <v>SOJA</v>
          </cell>
          <cell r="E3767">
            <v>17582.142857142855</v>
          </cell>
        </row>
        <row r="3768">
          <cell r="A3768" t="str">
            <v>GO</v>
          </cell>
          <cell r="B3768">
            <v>2010</v>
          </cell>
          <cell r="D3768" t="str">
            <v>SOJA</v>
          </cell>
          <cell r="E3768">
            <v>0</v>
          </cell>
        </row>
        <row r="3769">
          <cell r="A3769" t="str">
            <v>GO</v>
          </cell>
          <cell r="B3769">
            <v>2010</v>
          </cell>
          <cell r="D3769" t="str">
            <v>SOJA</v>
          </cell>
          <cell r="E3769">
            <v>14389.285714285714</v>
          </cell>
        </row>
        <row r="3770">
          <cell r="A3770" t="str">
            <v>MS</v>
          </cell>
          <cell r="B3770">
            <v>2010</v>
          </cell>
          <cell r="D3770" t="str">
            <v>SOJA</v>
          </cell>
          <cell r="E3770">
            <v>4135.7142857142853</v>
          </cell>
        </row>
        <row r="3771">
          <cell r="A3771" t="str">
            <v>MS</v>
          </cell>
          <cell r="B3771">
            <v>2010</v>
          </cell>
          <cell r="D3771" t="str">
            <v>SOJA</v>
          </cell>
          <cell r="E3771">
            <v>0</v>
          </cell>
        </row>
        <row r="3772">
          <cell r="A3772" t="str">
            <v>PR</v>
          </cell>
          <cell r="B3772">
            <v>2010</v>
          </cell>
          <cell r="D3772" t="str">
            <v>MILHO</v>
          </cell>
          <cell r="E3772">
            <v>5269</v>
          </cell>
        </row>
        <row r="3773">
          <cell r="A3773" t="str">
            <v>PR</v>
          </cell>
          <cell r="B3773">
            <v>2010</v>
          </cell>
          <cell r="D3773" t="str">
            <v>MILHO</v>
          </cell>
          <cell r="E3773">
            <v>0</v>
          </cell>
        </row>
        <row r="3774">
          <cell r="A3774" t="str">
            <v>PR</v>
          </cell>
          <cell r="B3774">
            <v>2010</v>
          </cell>
          <cell r="D3774" t="str">
            <v>SOJA</v>
          </cell>
          <cell r="E3774">
            <v>0</v>
          </cell>
        </row>
        <row r="3775">
          <cell r="A3775" t="str">
            <v>PR</v>
          </cell>
          <cell r="B3775">
            <v>2010</v>
          </cell>
          <cell r="D3775" t="str">
            <v>SOJA</v>
          </cell>
          <cell r="E3775">
            <v>12857.142857142857</v>
          </cell>
        </row>
        <row r="3776">
          <cell r="A3776" t="str">
            <v>BA</v>
          </cell>
          <cell r="B3776">
            <v>2010</v>
          </cell>
          <cell r="D3776" t="str">
            <v>SOJA</v>
          </cell>
          <cell r="E3776">
            <v>2067.8571428571427</v>
          </cell>
        </row>
        <row r="3777">
          <cell r="A3777" t="str">
            <v>MT</v>
          </cell>
          <cell r="B3777">
            <v>2010</v>
          </cell>
          <cell r="D3777" t="str">
            <v>SOJA</v>
          </cell>
          <cell r="E3777">
            <v>47250</v>
          </cell>
        </row>
        <row r="3778">
          <cell r="A3778" t="str">
            <v>MT</v>
          </cell>
          <cell r="B3778">
            <v>2010</v>
          </cell>
          <cell r="D3778" t="str">
            <v>SOJA</v>
          </cell>
          <cell r="E3778">
            <v>0</v>
          </cell>
        </row>
        <row r="3779">
          <cell r="A3779" t="str">
            <v>MT</v>
          </cell>
          <cell r="B3779">
            <v>2010</v>
          </cell>
          <cell r="D3779" t="str">
            <v>SOJA</v>
          </cell>
          <cell r="E3779">
            <v>24278.571428571428</v>
          </cell>
        </row>
        <row r="3780">
          <cell r="A3780" t="str">
            <v>MT</v>
          </cell>
          <cell r="B3780">
            <v>2010</v>
          </cell>
          <cell r="D3780" t="str">
            <v>SOJA</v>
          </cell>
          <cell r="E3780">
            <v>51974.999999999993</v>
          </cell>
        </row>
        <row r="3781">
          <cell r="A3781" t="str">
            <v>MT</v>
          </cell>
          <cell r="B3781">
            <v>2010</v>
          </cell>
          <cell r="D3781" t="str">
            <v>SOJA</v>
          </cell>
          <cell r="E3781">
            <v>9707.1428571428569</v>
          </cell>
        </row>
        <row r="3782">
          <cell r="A3782" t="str">
            <v>BA</v>
          </cell>
          <cell r="B3782">
            <v>2010</v>
          </cell>
          <cell r="D3782" t="str">
            <v>SOJA</v>
          </cell>
          <cell r="E3782">
            <v>4125</v>
          </cell>
        </row>
        <row r="3783">
          <cell r="A3783" t="str">
            <v>BA</v>
          </cell>
          <cell r="B3783">
            <v>2010</v>
          </cell>
          <cell r="D3783" t="str">
            <v>MILHO</v>
          </cell>
          <cell r="E3783">
            <v>0</v>
          </cell>
        </row>
        <row r="3784">
          <cell r="A3784" t="str">
            <v>BA</v>
          </cell>
          <cell r="B3784">
            <v>2010</v>
          </cell>
          <cell r="D3784" t="str">
            <v>SOJA</v>
          </cell>
          <cell r="E3784">
            <v>3610.7142857142858</v>
          </cell>
        </row>
        <row r="3785">
          <cell r="A3785" t="str">
            <v>BA</v>
          </cell>
          <cell r="B3785">
            <v>2010</v>
          </cell>
          <cell r="D3785" t="str">
            <v>SOJA</v>
          </cell>
          <cell r="E3785">
            <v>5153.5714285714275</v>
          </cell>
        </row>
        <row r="3786">
          <cell r="A3786" t="str">
            <v>RS</v>
          </cell>
          <cell r="B3786">
            <v>2010</v>
          </cell>
          <cell r="D3786" t="str">
            <v>MILHO</v>
          </cell>
          <cell r="E3786">
            <v>1144.0000000000002</v>
          </cell>
        </row>
        <row r="3787">
          <cell r="A3787" t="str">
            <v>RS</v>
          </cell>
          <cell r="B3787">
            <v>2010</v>
          </cell>
          <cell r="D3787" t="str">
            <v>MILHO</v>
          </cell>
          <cell r="E3787">
            <v>0</v>
          </cell>
        </row>
        <row r="3788">
          <cell r="A3788" t="str">
            <v>RS</v>
          </cell>
          <cell r="B3788">
            <v>2010</v>
          </cell>
          <cell r="D3788" t="str">
            <v>SOJA</v>
          </cell>
          <cell r="E3788">
            <v>0</v>
          </cell>
        </row>
        <row r="3789">
          <cell r="A3789" t="str">
            <v>RS</v>
          </cell>
          <cell r="B3789">
            <v>2010</v>
          </cell>
          <cell r="D3789" t="str">
            <v>SOJA</v>
          </cell>
          <cell r="E3789">
            <v>1092.8571428571427</v>
          </cell>
        </row>
        <row r="3790">
          <cell r="A3790" t="str">
            <v>MS</v>
          </cell>
          <cell r="B3790">
            <v>2010</v>
          </cell>
          <cell r="D3790" t="str">
            <v>SOJA</v>
          </cell>
          <cell r="E3790">
            <v>11024.999999999998</v>
          </cell>
        </row>
        <row r="3791">
          <cell r="A3791" t="str">
            <v>MS</v>
          </cell>
          <cell r="B3791">
            <v>2010</v>
          </cell>
          <cell r="D3791" t="str">
            <v>SOJA</v>
          </cell>
          <cell r="E3791">
            <v>0</v>
          </cell>
        </row>
        <row r="3792">
          <cell r="A3792" t="str">
            <v>MS</v>
          </cell>
          <cell r="B3792">
            <v>2010</v>
          </cell>
          <cell r="D3792" t="str">
            <v>SOJA</v>
          </cell>
          <cell r="E3792">
            <v>0</v>
          </cell>
        </row>
        <row r="3793">
          <cell r="A3793" t="str">
            <v>MS</v>
          </cell>
          <cell r="B3793">
            <v>2010</v>
          </cell>
          <cell r="D3793" t="str">
            <v>SOJA</v>
          </cell>
          <cell r="E3793">
            <v>13789.285714285712</v>
          </cell>
        </row>
        <row r="3794">
          <cell r="A3794" t="str">
            <v>MS</v>
          </cell>
          <cell r="B3794">
            <v>2010</v>
          </cell>
          <cell r="D3794" t="str">
            <v>SOJA</v>
          </cell>
          <cell r="E3794">
            <v>0</v>
          </cell>
        </row>
        <row r="3795">
          <cell r="A3795" t="str">
            <v>MS</v>
          </cell>
          <cell r="B3795">
            <v>2010</v>
          </cell>
          <cell r="D3795" t="str">
            <v>SOJA</v>
          </cell>
          <cell r="E3795">
            <v>34457.142857142855</v>
          </cell>
        </row>
        <row r="3796">
          <cell r="A3796" t="str">
            <v>GO</v>
          </cell>
          <cell r="B3796">
            <v>2010</v>
          </cell>
          <cell r="D3796" t="str">
            <v>SOJA</v>
          </cell>
          <cell r="E3796">
            <v>8989.2857142857138</v>
          </cell>
        </row>
        <row r="3797">
          <cell r="A3797" t="str">
            <v>GO</v>
          </cell>
          <cell r="B3797">
            <v>2010</v>
          </cell>
          <cell r="D3797" t="str">
            <v>SOJA</v>
          </cell>
          <cell r="E3797">
            <v>8989.2857142857138</v>
          </cell>
        </row>
        <row r="3798">
          <cell r="A3798" t="str">
            <v>MT</v>
          </cell>
          <cell r="B3798">
            <v>2010</v>
          </cell>
          <cell r="D3798" t="str">
            <v>SOJA</v>
          </cell>
          <cell r="E3798">
            <v>24278.571428571428</v>
          </cell>
        </row>
        <row r="3799">
          <cell r="A3799" t="str">
            <v>MT</v>
          </cell>
          <cell r="B3799">
            <v>2010</v>
          </cell>
          <cell r="D3799" t="str">
            <v>SOJA</v>
          </cell>
          <cell r="E3799">
            <v>0</v>
          </cell>
        </row>
        <row r="3800">
          <cell r="A3800" t="str">
            <v>RS</v>
          </cell>
          <cell r="B3800">
            <v>2010</v>
          </cell>
          <cell r="D3800" t="str">
            <v>MILHO</v>
          </cell>
          <cell r="E3800">
            <v>1727.0000000000002</v>
          </cell>
        </row>
        <row r="3801">
          <cell r="A3801" t="str">
            <v>RS</v>
          </cell>
          <cell r="B3801">
            <v>2010</v>
          </cell>
          <cell r="D3801" t="str">
            <v>MILHO</v>
          </cell>
          <cell r="E3801">
            <v>0</v>
          </cell>
        </row>
        <row r="3802">
          <cell r="A3802" t="str">
            <v>RS</v>
          </cell>
          <cell r="B3802">
            <v>2010</v>
          </cell>
          <cell r="D3802" t="str">
            <v>SOJA</v>
          </cell>
          <cell r="E3802">
            <v>2185.7142857142853</v>
          </cell>
        </row>
        <row r="3803">
          <cell r="A3803" t="str">
            <v>RS</v>
          </cell>
          <cell r="B3803">
            <v>2010</v>
          </cell>
          <cell r="D3803" t="str">
            <v>SOJA</v>
          </cell>
          <cell r="E3803">
            <v>0</v>
          </cell>
        </row>
        <row r="3804">
          <cell r="A3804" t="str">
            <v>MT</v>
          </cell>
          <cell r="B3804">
            <v>2010</v>
          </cell>
          <cell r="D3804" t="str">
            <v>SOJA</v>
          </cell>
          <cell r="E3804">
            <v>0</v>
          </cell>
        </row>
        <row r="3805">
          <cell r="A3805" t="str">
            <v>MT</v>
          </cell>
          <cell r="B3805">
            <v>2010</v>
          </cell>
          <cell r="D3805" t="str">
            <v>SOJA</v>
          </cell>
          <cell r="E3805">
            <v>14571.428571428571</v>
          </cell>
        </row>
        <row r="3806">
          <cell r="A3806" t="str">
            <v>RS</v>
          </cell>
          <cell r="B3806">
            <v>2010</v>
          </cell>
          <cell r="D3806" t="str">
            <v>MILHO</v>
          </cell>
          <cell r="E3806">
            <v>1144.0000000000002</v>
          </cell>
        </row>
        <row r="3807">
          <cell r="A3807" t="str">
            <v>RS</v>
          </cell>
          <cell r="B3807">
            <v>2010</v>
          </cell>
          <cell r="D3807" t="str">
            <v>SOJA</v>
          </cell>
          <cell r="E3807">
            <v>1092.8571428571427</v>
          </cell>
        </row>
        <row r="3808">
          <cell r="A3808" t="str">
            <v>RS</v>
          </cell>
          <cell r="B3808">
            <v>2010</v>
          </cell>
          <cell r="D3808" t="str">
            <v>SOJA</v>
          </cell>
          <cell r="E3808">
            <v>546.42857142857133</v>
          </cell>
        </row>
        <row r="3809">
          <cell r="A3809" t="str">
            <v>RS</v>
          </cell>
          <cell r="B3809">
            <v>2010</v>
          </cell>
          <cell r="D3809" t="str">
            <v>MILHO</v>
          </cell>
          <cell r="E3809">
            <v>1727.0000000000002</v>
          </cell>
        </row>
        <row r="3810">
          <cell r="A3810" t="str">
            <v>RS</v>
          </cell>
          <cell r="B3810">
            <v>2010</v>
          </cell>
          <cell r="D3810" t="str">
            <v>MILHO</v>
          </cell>
          <cell r="E3810">
            <v>0</v>
          </cell>
        </row>
        <row r="3811">
          <cell r="A3811" t="str">
            <v>RS</v>
          </cell>
          <cell r="B3811">
            <v>2010</v>
          </cell>
          <cell r="D3811" t="str">
            <v>SOJA</v>
          </cell>
          <cell r="E3811">
            <v>3278.5714285714284</v>
          </cell>
        </row>
        <row r="3812">
          <cell r="A3812" t="str">
            <v>RS</v>
          </cell>
          <cell r="B3812">
            <v>2010</v>
          </cell>
          <cell r="D3812" t="str">
            <v>SOJA</v>
          </cell>
          <cell r="E3812">
            <v>0</v>
          </cell>
        </row>
        <row r="3813">
          <cell r="A3813" t="str">
            <v>MS</v>
          </cell>
          <cell r="B3813">
            <v>2010</v>
          </cell>
          <cell r="D3813" t="str">
            <v>SOJA</v>
          </cell>
          <cell r="E3813">
            <v>0</v>
          </cell>
        </row>
        <row r="3814">
          <cell r="A3814" t="str">
            <v>MS</v>
          </cell>
          <cell r="B3814">
            <v>2010</v>
          </cell>
          <cell r="D3814" t="str">
            <v>SOJA</v>
          </cell>
          <cell r="E3814">
            <v>13789.285714285712</v>
          </cell>
        </row>
        <row r="3815">
          <cell r="A3815" t="str">
            <v>MS</v>
          </cell>
          <cell r="B3815">
            <v>2010</v>
          </cell>
          <cell r="D3815" t="str">
            <v>SOJA</v>
          </cell>
          <cell r="E3815">
            <v>11721.428571428571</v>
          </cell>
        </row>
        <row r="3816">
          <cell r="A3816" t="str">
            <v>MS</v>
          </cell>
          <cell r="B3816">
            <v>2010</v>
          </cell>
          <cell r="D3816" t="str">
            <v>SOJA</v>
          </cell>
          <cell r="E3816">
            <v>0</v>
          </cell>
        </row>
        <row r="3817">
          <cell r="A3817" t="str">
            <v>MS</v>
          </cell>
          <cell r="B3817">
            <v>2010</v>
          </cell>
          <cell r="D3817" t="str">
            <v>SOJA</v>
          </cell>
          <cell r="E3817">
            <v>31703.571428571428</v>
          </cell>
        </row>
        <row r="3818">
          <cell r="A3818" t="str">
            <v>MS</v>
          </cell>
          <cell r="B3818">
            <v>2010</v>
          </cell>
          <cell r="D3818" t="str">
            <v>SOJA</v>
          </cell>
          <cell r="E3818">
            <v>0</v>
          </cell>
        </row>
        <row r="3819">
          <cell r="A3819" t="str">
            <v>MS</v>
          </cell>
          <cell r="B3819">
            <v>2010</v>
          </cell>
          <cell r="D3819" t="str">
            <v>SOJA</v>
          </cell>
          <cell r="E3819">
            <v>6203.5714285714284</v>
          </cell>
        </row>
        <row r="3820">
          <cell r="A3820" t="str">
            <v>SC</v>
          </cell>
          <cell r="B3820">
            <v>2010</v>
          </cell>
          <cell r="D3820" t="str">
            <v>MILHO</v>
          </cell>
          <cell r="E3820">
            <v>54615</v>
          </cell>
        </row>
        <row r="3821">
          <cell r="A3821" t="str">
            <v>SC</v>
          </cell>
          <cell r="B3821">
            <v>2010</v>
          </cell>
          <cell r="D3821" t="str">
            <v>SOJA</v>
          </cell>
          <cell r="E3821">
            <v>4242.8571428571431</v>
          </cell>
        </row>
        <row r="3822">
          <cell r="A3822" t="str">
            <v>MT</v>
          </cell>
          <cell r="B3822">
            <v>2010</v>
          </cell>
          <cell r="D3822" t="str">
            <v>SOJA</v>
          </cell>
          <cell r="E3822">
            <v>8592.8571428571413</v>
          </cell>
        </row>
        <row r="3823">
          <cell r="A3823" t="str">
            <v>MT</v>
          </cell>
          <cell r="B3823">
            <v>2010</v>
          </cell>
          <cell r="D3823" t="str">
            <v>SOJA</v>
          </cell>
          <cell r="E3823">
            <v>0</v>
          </cell>
        </row>
        <row r="3824">
          <cell r="A3824" t="str">
            <v>MT</v>
          </cell>
          <cell r="B3824">
            <v>2010</v>
          </cell>
          <cell r="D3824" t="str">
            <v>SOJA</v>
          </cell>
          <cell r="E3824">
            <v>0</v>
          </cell>
        </row>
        <row r="3825">
          <cell r="A3825" t="str">
            <v>MT</v>
          </cell>
          <cell r="B3825">
            <v>2010</v>
          </cell>
          <cell r="D3825" t="str">
            <v>SOJA</v>
          </cell>
          <cell r="E3825">
            <v>4296.4285714285706</v>
          </cell>
        </row>
        <row r="3826">
          <cell r="A3826" t="str">
            <v>PI</v>
          </cell>
          <cell r="B3826">
            <v>2010</v>
          </cell>
          <cell r="D3826" t="str">
            <v>SOJA</v>
          </cell>
          <cell r="E3826">
            <v>0</v>
          </cell>
        </row>
        <row r="3827">
          <cell r="A3827" t="str">
            <v>PI</v>
          </cell>
          <cell r="B3827">
            <v>2010</v>
          </cell>
          <cell r="D3827" t="str">
            <v>SOJA</v>
          </cell>
          <cell r="E3827">
            <v>32025</v>
          </cell>
        </row>
        <row r="3828">
          <cell r="A3828" t="str">
            <v>PI</v>
          </cell>
          <cell r="B3828">
            <v>2010</v>
          </cell>
          <cell r="D3828" t="str">
            <v>SOJA</v>
          </cell>
          <cell r="E3828">
            <v>36599.999999999993</v>
          </cell>
        </row>
        <row r="3829">
          <cell r="A3829" t="str">
            <v>GO</v>
          </cell>
          <cell r="B3829">
            <v>2010</v>
          </cell>
          <cell r="D3829" t="str">
            <v>SOJA</v>
          </cell>
          <cell r="E3829">
            <v>0</v>
          </cell>
        </row>
        <row r="3830">
          <cell r="A3830" t="str">
            <v>GO</v>
          </cell>
          <cell r="B3830">
            <v>2010</v>
          </cell>
          <cell r="D3830" t="str">
            <v>SOJA</v>
          </cell>
          <cell r="E3830">
            <v>23378.571428571431</v>
          </cell>
        </row>
        <row r="3831">
          <cell r="A3831" t="str">
            <v>MT</v>
          </cell>
          <cell r="B3831">
            <v>2010</v>
          </cell>
          <cell r="D3831" t="str">
            <v>SOJA</v>
          </cell>
          <cell r="E3831">
            <v>9685.7142857142844</v>
          </cell>
        </row>
        <row r="3832">
          <cell r="A3832" t="str">
            <v>TO</v>
          </cell>
          <cell r="B3832">
            <v>2010</v>
          </cell>
          <cell r="D3832" t="str">
            <v>SOJA</v>
          </cell>
          <cell r="E3832">
            <v>0</v>
          </cell>
        </row>
        <row r="3833">
          <cell r="A3833" t="str">
            <v>TO</v>
          </cell>
          <cell r="B3833">
            <v>2010</v>
          </cell>
          <cell r="D3833" t="str">
            <v>SOJA</v>
          </cell>
          <cell r="E3833">
            <v>27107.142857142859</v>
          </cell>
        </row>
        <row r="3834">
          <cell r="A3834" t="str">
            <v>MA</v>
          </cell>
          <cell r="B3834">
            <v>2010</v>
          </cell>
          <cell r="D3834" t="str">
            <v>SOJA</v>
          </cell>
          <cell r="E3834">
            <v>0</v>
          </cell>
        </row>
        <row r="3835">
          <cell r="A3835" t="str">
            <v>MA</v>
          </cell>
          <cell r="B3835">
            <v>2010</v>
          </cell>
          <cell r="D3835" t="str">
            <v>SOJA</v>
          </cell>
          <cell r="E3835">
            <v>40660.714285714283</v>
          </cell>
        </row>
        <row r="3836">
          <cell r="A3836" t="str">
            <v>RS</v>
          </cell>
          <cell r="B3836">
            <v>2010</v>
          </cell>
          <cell r="D3836" t="str">
            <v>MILHO</v>
          </cell>
          <cell r="E3836">
            <v>0</v>
          </cell>
        </row>
        <row r="3837">
          <cell r="A3837" t="str">
            <v>RS</v>
          </cell>
          <cell r="B3837">
            <v>2010</v>
          </cell>
          <cell r="D3837" t="str">
            <v>SOJA</v>
          </cell>
          <cell r="E3837">
            <v>3278.5714285714284</v>
          </cell>
        </row>
        <row r="3838">
          <cell r="A3838" t="str">
            <v>RS</v>
          </cell>
          <cell r="B3838">
            <v>2010</v>
          </cell>
          <cell r="D3838" t="str">
            <v>SOJA</v>
          </cell>
          <cell r="E3838">
            <v>17453.571428571424</v>
          </cell>
        </row>
        <row r="3839">
          <cell r="A3839" t="str">
            <v>RS</v>
          </cell>
          <cell r="B3839">
            <v>2010</v>
          </cell>
          <cell r="D3839" t="str">
            <v>SOJA</v>
          </cell>
          <cell r="E3839">
            <v>0</v>
          </cell>
        </row>
        <row r="3840">
          <cell r="A3840" t="str">
            <v>MT</v>
          </cell>
          <cell r="B3840">
            <v>2010</v>
          </cell>
          <cell r="D3840" t="str">
            <v>SOJA</v>
          </cell>
          <cell r="E3840">
            <v>5100</v>
          </cell>
        </row>
        <row r="3841">
          <cell r="A3841" t="str">
            <v>MT</v>
          </cell>
          <cell r="B3841">
            <v>2010</v>
          </cell>
          <cell r="D3841" t="str">
            <v>SOJA</v>
          </cell>
          <cell r="E3841">
            <v>0</v>
          </cell>
        </row>
        <row r="3842">
          <cell r="A3842" t="str">
            <v>MT</v>
          </cell>
          <cell r="B3842">
            <v>2010</v>
          </cell>
          <cell r="D3842" t="str">
            <v>SOJA</v>
          </cell>
          <cell r="E3842">
            <v>20410.714285714286</v>
          </cell>
        </row>
        <row r="3843">
          <cell r="A3843" t="str">
            <v>MT</v>
          </cell>
          <cell r="B3843">
            <v>2010</v>
          </cell>
          <cell r="D3843" t="str">
            <v>SOJA</v>
          </cell>
          <cell r="E3843">
            <v>12289.285714285714</v>
          </cell>
        </row>
        <row r="3844">
          <cell r="A3844" t="str">
            <v>MT</v>
          </cell>
          <cell r="B3844">
            <v>2010</v>
          </cell>
          <cell r="D3844" t="str">
            <v>SOJA</v>
          </cell>
          <cell r="E3844">
            <v>20410.714285714286</v>
          </cell>
        </row>
        <row r="3845">
          <cell r="A3845" t="str">
            <v>BA</v>
          </cell>
          <cell r="B3845">
            <v>2010</v>
          </cell>
          <cell r="D3845" t="str">
            <v>SOJA</v>
          </cell>
          <cell r="E3845">
            <v>92850</v>
          </cell>
        </row>
        <row r="3846">
          <cell r="A3846" t="str">
            <v>PI</v>
          </cell>
          <cell r="B3846">
            <v>2010</v>
          </cell>
          <cell r="D3846" t="str">
            <v>SOJA</v>
          </cell>
          <cell r="E3846">
            <v>0</v>
          </cell>
        </row>
        <row r="3847">
          <cell r="A3847" t="str">
            <v>PI</v>
          </cell>
          <cell r="B3847">
            <v>2010</v>
          </cell>
          <cell r="D3847" t="str">
            <v>SOJA</v>
          </cell>
          <cell r="E3847">
            <v>32935.714285714283</v>
          </cell>
        </row>
        <row r="3848">
          <cell r="A3848" t="str">
            <v>GO</v>
          </cell>
          <cell r="B3848">
            <v>2010</v>
          </cell>
          <cell r="D3848" t="str">
            <v>MILHO</v>
          </cell>
          <cell r="E3848">
            <v>2629.0000000000005</v>
          </cell>
        </row>
        <row r="3849">
          <cell r="A3849" t="str">
            <v>GO</v>
          </cell>
          <cell r="B3849">
            <v>2010</v>
          </cell>
          <cell r="D3849" t="str">
            <v>SOJA</v>
          </cell>
          <cell r="E3849">
            <v>0</v>
          </cell>
        </row>
        <row r="3850">
          <cell r="A3850" t="str">
            <v>GO</v>
          </cell>
          <cell r="B3850">
            <v>2010</v>
          </cell>
          <cell r="D3850" t="str">
            <v>SOJA</v>
          </cell>
          <cell r="E3850">
            <v>20935.714285714283</v>
          </cell>
        </row>
        <row r="3851">
          <cell r="A3851" t="str">
            <v>TO</v>
          </cell>
          <cell r="B3851">
            <v>2010</v>
          </cell>
          <cell r="D3851" t="str">
            <v>SOJA</v>
          </cell>
          <cell r="E3851">
            <v>0</v>
          </cell>
        </row>
        <row r="3852">
          <cell r="A3852" t="str">
            <v>TO</v>
          </cell>
          <cell r="B3852">
            <v>2010</v>
          </cell>
          <cell r="D3852" t="str">
            <v>SOJA</v>
          </cell>
          <cell r="E3852">
            <v>29046.428571428572</v>
          </cell>
        </row>
        <row r="3853">
          <cell r="A3853" t="str">
            <v>MA</v>
          </cell>
          <cell r="B3853">
            <v>2010</v>
          </cell>
          <cell r="D3853" t="str">
            <v>SOJA</v>
          </cell>
          <cell r="E3853">
            <v>0</v>
          </cell>
        </row>
        <row r="3854">
          <cell r="A3854" t="str">
            <v>MA</v>
          </cell>
          <cell r="B3854">
            <v>2010</v>
          </cell>
          <cell r="D3854" t="str">
            <v>SOJA</v>
          </cell>
          <cell r="E3854">
            <v>29046.428571428572</v>
          </cell>
        </row>
        <row r="3855">
          <cell r="A3855" t="str">
            <v>GO</v>
          </cell>
          <cell r="B3855">
            <v>2010</v>
          </cell>
          <cell r="D3855" t="str">
            <v>SOJA</v>
          </cell>
          <cell r="E3855">
            <v>5399.9999999999991</v>
          </cell>
        </row>
        <row r="3856">
          <cell r="A3856" t="str">
            <v>GO</v>
          </cell>
          <cell r="B3856">
            <v>2010</v>
          </cell>
          <cell r="D3856" t="str">
            <v>SOJA</v>
          </cell>
          <cell r="E3856">
            <v>0</v>
          </cell>
        </row>
        <row r="3857">
          <cell r="A3857" t="str">
            <v>GO</v>
          </cell>
          <cell r="B3857">
            <v>2010</v>
          </cell>
          <cell r="D3857" t="str">
            <v>SOJA</v>
          </cell>
          <cell r="E3857">
            <v>12589.285714285714</v>
          </cell>
        </row>
        <row r="3858">
          <cell r="A3858" t="str">
            <v>MA</v>
          </cell>
          <cell r="B3858">
            <v>2010</v>
          </cell>
          <cell r="D3858" t="str">
            <v>SOJA</v>
          </cell>
          <cell r="E3858">
            <v>0</v>
          </cell>
        </row>
        <row r="3859">
          <cell r="A3859" t="str">
            <v>MA</v>
          </cell>
          <cell r="B3859">
            <v>2010</v>
          </cell>
          <cell r="D3859" t="str">
            <v>SOJA</v>
          </cell>
          <cell r="E3859">
            <v>24203.571428571428</v>
          </cell>
        </row>
        <row r="3860">
          <cell r="A3860" t="str">
            <v>PR</v>
          </cell>
          <cell r="B3860">
            <v>2010</v>
          </cell>
          <cell r="D3860" t="str">
            <v>MILHO</v>
          </cell>
          <cell r="E3860">
            <v>8778</v>
          </cell>
        </row>
        <row r="3861">
          <cell r="A3861" t="str">
            <v>PR</v>
          </cell>
          <cell r="B3861">
            <v>2010</v>
          </cell>
          <cell r="D3861" t="str">
            <v>MILHO</v>
          </cell>
          <cell r="E3861">
            <v>0</v>
          </cell>
        </row>
        <row r="3862">
          <cell r="A3862" t="str">
            <v>PR</v>
          </cell>
          <cell r="B3862">
            <v>2010</v>
          </cell>
          <cell r="D3862" t="str">
            <v>SOJA</v>
          </cell>
          <cell r="E3862">
            <v>23035.714285714286</v>
          </cell>
        </row>
        <row r="3863">
          <cell r="A3863" t="str">
            <v>PR</v>
          </cell>
          <cell r="B3863">
            <v>2010</v>
          </cell>
          <cell r="D3863" t="str">
            <v>SOJA</v>
          </cell>
          <cell r="E3863">
            <v>0</v>
          </cell>
        </row>
        <row r="3864">
          <cell r="A3864" t="str">
            <v>TO</v>
          </cell>
          <cell r="B3864">
            <v>2010</v>
          </cell>
          <cell r="D3864" t="str">
            <v>SOJA</v>
          </cell>
          <cell r="E3864">
            <v>0</v>
          </cell>
        </row>
        <row r="3865">
          <cell r="A3865" t="str">
            <v>TO</v>
          </cell>
          <cell r="B3865">
            <v>2010</v>
          </cell>
          <cell r="D3865" t="str">
            <v>SOJA</v>
          </cell>
          <cell r="E3865">
            <v>24203.571428571428</v>
          </cell>
        </row>
        <row r="3866">
          <cell r="A3866" t="str">
            <v>PI</v>
          </cell>
          <cell r="B3866">
            <v>2010</v>
          </cell>
          <cell r="D3866" t="str">
            <v>SOJA</v>
          </cell>
          <cell r="E3866">
            <v>0</v>
          </cell>
        </row>
        <row r="3867">
          <cell r="A3867" t="str">
            <v>PI</v>
          </cell>
          <cell r="B3867">
            <v>2010</v>
          </cell>
          <cell r="D3867" t="str">
            <v>SOJA</v>
          </cell>
          <cell r="E3867">
            <v>32025</v>
          </cell>
        </row>
        <row r="3868">
          <cell r="A3868" t="str">
            <v>MA</v>
          </cell>
          <cell r="B3868">
            <v>2010</v>
          </cell>
          <cell r="D3868" t="str">
            <v>SOJA</v>
          </cell>
          <cell r="E3868">
            <v>24203.571428571428</v>
          </cell>
        </row>
        <row r="3869">
          <cell r="A3869" t="str">
            <v>MA</v>
          </cell>
          <cell r="B3869">
            <v>2010</v>
          </cell>
          <cell r="D3869" t="str">
            <v>SOJA</v>
          </cell>
          <cell r="E3869">
            <v>14517.857142857143</v>
          </cell>
        </row>
        <row r="3870">
          <cell r="A3870" t="str">
            <v>PR</v>
          </cell>
          <cell r="B3870">
            <v>2010</v>
          </cell>
          <cell r="D3870" t="str">
            <v>MILHO</v>
          </cell>
          <cell r="E3870">
            <v>3509.0000000000005</v>
          </cell>
        </row>
        <row r="3871">
          <cell r="A3871" t="str">
            <v>PR</v>
          </cell>
          <cell r="B3871">
            <v>2010</v>
          </cell>
          <cell r="D3871" t="str">
            <v>MILHO</v>
          </cell>
          <cell r="E3871">
            <v>0</v>
          </cell>
        </row>
        <row r="3872">
          <cell r="A3872" t="str">
            <v>PR</v>
          </cell>
          <cell r="B3872">
            <v>2010</v>
          </cell>
          <cell r="D3872" t="str">
            <v>SOJA</v>
          </cell>
          <cell r="E3872">
            <v>0</v>
          </cell>
        </row>
        <row r="3873">
          <cell r="A3873" t="str">
            <v>PR</v>
          </cell>
          <cell r="B3873">
            <v>2010</v>
          </cell>
          <cell r="D3873" t="str">
            <v>SOJA</v>
          </cell>
          <cell r="E3873">
            <v>15664.285714285712</v>
          </cell>
        </row>
        <row r="3874">
          <cell r="A3874" t="str">
            <v>PR</v>
          </cell>
          <cell r="B3874">
            <v>2010</v>
          </cell>
          <cell r="D3874" t="str">
            <v>MILHO</v>
          </cell>
          <cell r="E3874">
            <v>880.00000000000011</v>
          </cell>
        </row>
        <row r="3875">
          <cell r="A3875" t="str">
            <v>PR</v>
          </cell>
          <cell r="B3875">
            <v>2010</v>
          </cell>
          <cell r="D3875" t="str">
            <v>SOJA</v>
          </cell>
          <cell r="E3875">
            <v>7371.4285714285706</v>
          </cell>
        </row>
        <row r="3876">
          <cell r="A3876" t="str">
            <v>PR</v>
          </cell>
          <cell r="B3876">
            <v>2010</v>
          </cell>
          <cell r="D3876" t="str">
            <v>MILHO</v>
          </cell>
          <cell r="E3876">
            <v>4389</v>
          </cell>
        </row>
        <row r="3877">
          <cell r="A3877" t="str">
            <v>PR</v>
          </cell>
          <cell r="B3877">
            <v>2010</v>
          </cell>
          <cell r="D3877" t="str">
            <v>MILHO</v>
          </cell>
          <cell r="E3877">
            <v>0</v>
          </cell>
        </row>
        <row r="3878">
          <cell r="A3878" t="str">
            <v>PR</v>
          </cell>
          <cell r="B3878">
            <v>2010</v>
          </cell>
          <cell r="D3878" t="str">
            <v>SOJA</v>
          </cell>
          <cell r="E3878">
            <v>0</v>
          </cell>
        </row>
        <row r="3879">
          <cell r="A3879" t="str">
            <v>PR</v>
          </cell>
          <cell r="B3879">
            <v>2010</v>
          </cell>
          <cell r="D3879" t="str">
            <v>SOJA</v>
          </cell>
          <cell r="E3879">
            <v>11057.142857142857</v>
          </cell>
        </row>
        <row r="3880">
          <cell r="A3880" t="str">
            <v>MG</v>
          </cell>
          <cell r="B3880">
            <v>2010</v>
          </cell>
          <cell r="D3880" t="str">
            <v>MILHO</v>
          </cell>
          <cell r="E3880">
            <v>902</v>
          </cell>
        </row>
        <row r="3881">
          <cell r="A3881" t="str">
            <v>MG</v>
          </cell>
          <cell r="B3881">
            <v>2010</v>
          </cell>
          <cell r="D3881" t="str">
            <v>MILHO</v>
          </cell>
          <cell r="E3881">
            <v>902</v>
          </cell>
        </row>
        <row r="3882">
          <cell r="A3882" t="str">
            <v>MG</v>
          </cell>
          <cell r="B3882">
            <v>2010</v>
          </cell>
          <cell r="D3882" t="str">
            <v>MILHO</v>
          </cell>
          <cell r="E3882">
            <v>902</v>
          </cell>
        </row>
        <row r="3883">
          <cell r="A3883" t="str">
            <v>MG</v>
          </cell>
          <cell r="B3883">
            <v>2010</v>
          </cell>
          <cell r="D3883" t="str">
            <v>MILHO</v>
          </cell>
          <cell r="E3883">
            <v>902</v>
          </cell>
        </row>
        <row r="3884">
          <cell r="A3884" t="str">
            <v>MG</v>
          </cell>
          <cell r="B3884">
            <v>2010</v>
          </cell>
          <cell r="D3884" t="str">
            <v>MILHO</v>
          </cell>
          <cell r="E3884">
            <v>902</v>
          </cell>
        </row>
        <row r="3885">
          <cell r="A3885" t="str">
            <v>MG</v>
          </cell>
          <cell r="B3885">
            <v>2010</v>
          </cell>
          <cell r="D3885" t="str">
            <v>MILHO</v>
          </cell>
          <cell r="E3885">
            <v>902</v>
          </cell>
        </row>
        <row r="3886">
          <cell r="A3886" t="str">
            <v>MG</v>
          </cell>
          <cell r="B3886">
            <v>2010</v>
          </cell>
          <cell r="D3886" t="str">
            <v>MILHO</v>
          </cell>
          <cell r="E3886">
            <v>902</v>
          </cell>
        </row>
        <row r="3887">
          <cell r="A3887" t="str">
            <v>MG</v>
          </cell>
          <cell r="B3887">
            <v>2010</v>
          </cell>
          <cell r="D3887" t="str">
            <v>MILHO</v>
          </cell>
          <cell r="E3887">
            <v>902</v>
          </cell>
        </row>
        <row r="3888">
          <cell r="A3888" t="str">
            <v>MG</v>
          </cell>
          <cell r="B3888">
            <v>2010</v>
          </cell>
          <cell r="D3888" t="str">
            <v>MILHO</v>
          </cell>
          <cell r="E3888">
            <v>902</v>
          </cell>
        </row>
        <row r="3889">
          <cell r="A3889" t="str">
            <v>MG</v>
          </cell>
          <cell r="B3889">
            <v>2010</v>
          </cell>
          <cell r="D3889" t="str">
            <v>MILHO</v>
          </cell>
          <cell r="E3889">
            <v>902</v>
          </cell>
        </row>
        <row r="3890">
          <cell r="A3890" t="str">
            <v>MG</v>
          </cell>
          <cell r="B3890">
            <v>2010</v>
          </cell>
          <cell r="D3890" t="str">
            <v>MILHO</v>
          </cell>
          <cell r="E3890">
            <v>902</v>
          </cell>
        </row>
        <row r="3891">
          <cell r="A3891" t="str">
            <v>MG</v>
          </cell>
          <cell r="B3891">
            <v>2010</v>
          </cell>
          <cell r="D3891" t="str">
            <v>MILHO</v>
          </cell>
          <cell r="E3891">
            <v>902</v>
          </cell>
        </row>
        <row r="3892">
          <cell r="A3892" t="str">
            <v>MG</v>
          </cell>
          <cell r="B3892">
            <v>2010</v>
          </cell>
          <cell r="D3892" t="str">
            <v>MILHO</v>
          </cell>
          <cell r="E3892">
            <v>902</v>
          </cell>
        </row>
        <row r="3893">
          <cell r="A3893" t="str">
            <v>MG</v>
          </cell>
          <cell r="B3893">
            <v>2010</v>
          </cell>
          <cell r="D3893" t="str">
            <v>MILHO</v>
          </cell>
          <cell r="E3893">
            <v>902</v>
          </cell>
        </row>
        <row r="3894">
          <cell r="A3894" t="str">
            <v>MG</v>
          </cell>
          <cell r="B3894">
            <v>2010</v>
          </cell>
          <cell r="D3894" t="str">
            <v>MILHO</v>
          </cell>
          <cell r="E3894">
            <v>902</v>
          </cell>
        </row>
        <row r="3895">
          <cell r="A3895" t="str">
            <v>MG</v>
          </cell>
          <cell r="B3895">
            <v>2010</v>
          </cell>
          <cell r="D3895" t="str">
            <v>MILHO</v>
          </cell>
          <cell r="E3895">
            <v>902</v>
          </cell>
        </row>
        <row r="3896">
          <cell r="A3896" t="str">
            <v>MG</v>
          </cell>
          <cell r="B3896">
            <v>2010</v>
          </cell>
          <cell r="D3896" t="str">
            <v>MILHO</v>
          </cell>
          <cell r="E3896">
            <v>902</v>
          </cell>
        </row>
        <row r="3897">
          <cell r="A3897" t="str">
            <v>MG</v>
          </cell>
          <cell r="B3897">
            <v>2010</v>
          </cell>
          <cell r="D3897" t="str">
            <v>MILHO</v>
          </cell>
          <cell r="E3897">
            <v>902</v>
          </cell>
        </row>
        <row r="3898">
          <cell r="A3898" t="str">
            <v>MG</v>
          </cell>
          <cell r="B3898">
            <v>2010</v>
          </cell>
          <cell r="D3898" t="str">
            <v>MILHO</v>
          </cell>
          <cell r="E3898">
            <v>902</v>
          </cell>
        </row>
        <row r="3899">
          <cell r="A3899" t="str">
            <v>MG</v>
          </cell>
          <cell r="B3899">
            <v>2010</v>
          </cell>
          <cell r="D3899" t="str">
            <v>MILHO</v>
          </cell>
          <cell r="E3899">
            <v>1804</v>
          </cell>
        </row>
        <row r="3900">
          <cell r="A3900" t="str">
            <v>MG</v>
          </cell>
          <cell r="B3900">
            <v>2010</v>
          </cell>
          <cell r="D3900" t="str">
            <v>MILHO</v>
          </cell>
          <cell r="E3900">
            <v>1804</v>
          </cell>
        </row>
        <row r="3901">
          <cell r="A3901" t="str">
            <v>MG</v>
          </cell>
          <cell r="B3901">
            <v>2010</v>
          </cell>
          <cell r="D3901" t="str">
            <v>MILHO</v>
          </cell>
          <cell r="E3901">
            <v>1804</v>
          </cell>
        </row>
        <row r="3902">
          <cell r="A3902" t="str">
            <v>MG</v>
          </cell>
          <cell r="B3902">
            <v>2010</v>
          </cell>
          <cell r="D3902" t="str">
            <v>MILHO</v>
          </cell>
          <cell r="E3902">
            <v>1804</v>
          </cell>
        </row>
        <row r="3903">
          <cell r="A3903" t="str">
            <v>MG</v>
          </cell>
          <cell r="B3903">
            <v>2010</v>
          </cell>
          <cell r="D3903" t="str">
            <v>MILHO</v>
          </cell>
          <cell r="E3903">
            <v>1804</v>
          </cell>
        </row>
        <row r="3904">
          <cell r="A3904" t="str">
            <v>MG</v>
          </cell>
          <cell r="B3904">
            <v>2010</v>
          </cell>
          <cell r="D3904" t="str">
            <v>MILHO</v>
          </cell>
          <cell r="E3904">
            <v>1804</v>
          </cell>
        </row>
        <row r="3905">
          <cell r="A3905" t="str">
            <v>MG</v>
          </cell>
          <cell r="B3905">
            <v>2010</v>
          </cell>
          <cell r="D3905" t="str">
            <v>MILHO</v>
          </cell>
          <cell r="E3905">
            <v>1804</v>
          </cell>
        </row>
        <row r="3906">
          <cell r="A3906" t="str">
            <v>MG</v>
          </cell>
          <cell r="B3906">
            <v>2010</v>
          </cell>
          <cell r="D3906" t="str">
            <v>MILHO</v>
          </cell>
          <cell r="E3906">
            <v>1804</v>
          </cell>
        </row>
        <row r="3907">
          <cell r="A3907" t="str">
            <v>MG</v>
          </cell>
          <cell r="B3907">
            <v>2010</v>
          </cell>
          <cell r="D3907" t="str">
            <v>MILHO</v>
          </cell>
          <cell r="E3907">
            <v>1804</v>
          </cell>
        </row>
        <row r="3908">
          <cell r="A3908" t="str">
            <v>MG</v>
          </cell>
          <cell r="B3908">
            <v>2010</v>
          </cell>
          <cell r="D3908" t="str">
            <v>MILHO</v>
          </cell>
          <cell r="E3908">
            <v>2706</v>
          </cell>
        </row>
        <row r="3909">
          <cell r="A3909" t="str">
            <v>MG</v>
          </cell>
          <cell r="B3909">
            <v>2010</v>
          </cell>
          <cell r="D3909" t="str">
            <v>MILHO</v>
          </cell>
          <cell r="E3909">
            <v>2706</v>
          </cell>
        </row>
        <row r="3910">
          <cell r="A3910" t="str">
            <v>MG</v>
          </cell>
          <cell r="B3910">
            <v>2010</v>
          </cell>
          <cell r="D3910" t="str">
            <v>MILHO</v>
          </cell>
          <cell r="E3910">
            <v>2706</v>
          </cell>
        </row>
        <row r="3911">
          <cell r="A3911" t="str">
            <v>MG</v>
          </cell>
          <cell r="B3911">
            <v>2010</v>
          </cell>
          <cell r="D3911" t="str">
            <v>MILHO</v>
          </cell>
          <cell r="E3911">
            <v>3608</v>
          </cell>
        </row>
        <row r="3912">
          <cell r="A3912" t="str">
            <v>MG</v>
          </cell>
          <cell r="B3912">
            <v>2010</v>
          </cell>
          <cell r="D3912" t="str">
            <v>MILHO</v>
          </cell>
          <cell r="E3912">
            <v>6314.0000000000009</v>
          </cell>
        </row>
        <row r="3913">
          <cell r="A3913" t="str">
            <v>MG</v>
          </cell>
          <cell r="B3913">
            <v>2010</v>
          </cell>
          <cell r="D3913" t="str">
            <v>MILHO</v>
          </cell>
          <cell r="E3913">
            <v>9020</v>
          </cell>
        </row>
        <row r="3914">
          <cell r="A3914" t="str">
            <v>MG</v>
          </cell>
          <cell r="B3914">
            <v>2010</v>
          </cell>
          <cell r="D3914" t="str">
            <v>MILHO</v>
          </cell>
          <cell r="E3914">
            <v>9020</v>
          </cell>
        </row>
        <row r="3915">
          <cell r="A3915" t="str">
            <v>MG</v>
          </cell>
          <cell r="B3915">
            <v>2010</v>
          </cell>
          <cell r="D3915" t="str">
            <v>MILHO</v>
          </cell>
          <cell r="E3915">
            <v>0</v>
          </cell>
        </row>
        <row r="3916">
          <cell r="A3916" t="str">
            <v>MG</v>
          </cell>
          <cell r="B3916">
            <v>2010</v>
          </cell>
          <cell r="D3916" t="str">
            <v>SOJA</v>
          </cell>
          <cell r="E3916">
            <v>846.42857142857144</v>
          </cell>
        </row>
        <row r="3917">
          <cell r="A3917" t="str">
            <v>MG</v>
          </cell>
          <cell r="B3917">
            <v>2010</v>
          </cell>
          <cell r="D3917" t="str">
            <v>SOJA</v>
          </cell>
          <cell r="E3917">
            <v>846.42857142857144</v>
          </cell>
        </row>
        <row r="3918">
          <cell r="A3918" t="str">
            <v>MG</v>
          </cell>
          <cell r="B3918">
            <v>2010</v>
          </cell>
          <cell r="D3918" t="str">
            <v>SOJA</v>
          </cell>
          <cell r="E3918">
            <v>846.42857142857144</v>
          </cell>
        </row>
        <row r="3919">
          <cell r="A3919" t="str">
            <v>MG</v>
          </cell>
          <cell r="B3919">
            <v>2010</v>
          </cell>
          <cell r="D3919" t="str">
            <v>SOJA</v>
          </cell>
          <cell r="E3919">
            <v>846.42857142857144</v>
          </cell>
        </row>
        <row r="3920">
          <cell r="A3920" t="str">
            <v>MG</v>
          </cell>
          <cell r="B3920">
            <v>2010</v>
          </cell>
          <cell r="D3920" t="str">
            <v>SOJA</v>
          </cell>
          <cell r="E3920">
            <v>1682.1428571428571</v>
          </cell>
        </row>
        <row r="3921">
          <cell r="A3921" t="str">
            <v>MG</v>
          </cell>
          <cell r="B3921">
            <v>2010</v>
          </cell>
          <cell r="D3921" t="str">
            <v>SOJA</v>
          </cell>
          <cell r="E3921">
            <v>1682.1428571428571</v>
          </cell>
        </row>
        <row r="3922">
          <cell r="A3922" t="str">
            <v>MG</v>
          </cell>
          <cell r="B3922">
            <v>2010</v>
          </cell>
          <cell r="D3922" t="str">
            <v>SOJA</v>
          </cell>
          <cell r="E3922">
            <v>1682.1428571428571</v>
          </cell>
        </row>
        <row r="3923">
          <cell r="A3923" t="str">
            <v>MG</v>
          </cell>
          <cell r="B3923">
            <v>2010</v>
          </cell>
          <cell r="D3923" t="str">
            <v>SOJA</v>
          </cell>
          <cell r="E3923">
            <v>0</v>
          </cell>
        </row>
        <row r="3924">
          <cell r="A3924" t="str">
            <v>MG</v>
          </cell>
          <cell r="B3924">
            <v>2010</v>
          </cell>
          <cell r="D3924" t="str">
            <v>SOJA</v>
          </cell>
          <cell r="E3924">
            <v>16853.571428571428</v>
          </cell>
        </row>
        <row r="3925">
          <cell r="A3925" t="str">
            <v>GO</v>
          </cell>
          <cell r="B3925">
            <v>2010</v>
          </cell>
          <cell r="D3925" t="str">
            <v>MILHO</v>
          </cell>
          <cell r="E3925">
            <v>880.00000000000011</v>
          </cell>
        </row>
        <row r="3926">
          <cell r="A3926" t="str">
            <v>GO</v>
          </cell>
          <cell r="B3926">
            <v>2010</v>
          </cell>
          <cell r="D3926" t="str">
            <v>MILHO</v>
          </cell>
          <cell r="E3926">
            <v>0</v>
          </cell>
        </row>
        <row r="3927">
          <cell r="A3927" t="str">
            <v>GO</v>
          </cell>
          <cell r="B3927">
            <v>2010</v>
          </cell>
          <cell r="D3927" t="str">
            <v>SOJA</v>
          </cell>
          <cell r="E3927">
            <v>0</v>
          </cell>
        </row>
        <row r="3928">
          <cell r="A3928" t="str">
            <v>GO</v>
          </cell>
          <cell r="B3928">
            <v>2010</v>
          </cell>
          <cell r="D3928" t="str">
            <v>SOJA</v>
          </cell>
          <cell r="E3928">
            <v>12557.142857142857</v>
          </cell>
        </row>
        <row r="3929">
          <cell r="A3929" t="str">
            <v>PR</v>
          </cell>
          <cell r="B3929">
            <v>2010</v>
          </cell>
          <cell r="D3929" t="str">
            <v>MILHO</v>
          </cell>
          <cell r="E3929">
            <v>20196</v>
          </cell>
        </row>
        <row r="3930">
          <cell r="A3930" t="str">
            <v>PR</v>
          </cell>
          <cell r="B3930">
            <v>2010</v>
          </cell>
          <cell r="D3930" t="str">
            <v>MILHO</v>
          </cell>
          <cell r="E3930">
            <v>0</v>
          </cell>
        </row>
        <row r="3931">
          <cell r="A3931" t="str">
            <v>PR</v>
          </cell>
          <cell r="B3931">
            <v>2010</v>
          </cell>
          <cell r="D3931" t="str">
            <v>SOJA</v>
          </cell>
          <cell r="E3931">
            <v>35935.714285714283</v>
          </cell>
        </row>
        <row r="3932">
          <cell r="A3932" t="str">
            <v>PR</v>
          </cell>
          <cell r="B3932">
            <v>2010</v>
          </cell>
          <cell r="D3932" t="str">
            <v>SOJA</v>
          </cell>
          <cell r="E3932">
            <v>0</v>
          </cell>
        </row>
        <row r="3933">
          <cell r="A3933" t="str">
            <v>PR</v>
          </cell>
          <cell r="B3933">
            <v>2010</v>
          </cell>
          <cell r="D3933" t="str">
            <v>MILHO</v>
          </cell>
          <cell r="E3933">
            <v>0</v>
          </cell>
        </row>
        <row r="3934">
          <cell r="A3934" t="str">
            <v>PR</v>
          </cell>
          <cell r="B3934">
            <v>2010</v>
          </cell>
          <cell r="D3934" t="str">
            <v>MILHO</v>
          </cell>
          <cell r="E3934">
            <v>8778</v>
          </cell>
        </row>
        <row r="3935">
          <cell r="A3935" t="str">
            <v>PR</v>
          </cell>
          <cell r="B3935">
            <v>2010</v>
          </cell>
          <cell r="D3935" t="str">
            <v>SOJA</v>
          </cell>
          <cell r="E3935">
            <v>18428.571428571428</v>
          </cell>
        </row>
        <row r="3936">
          <cell r="A3936" t="str">
            <v>PR</v>
          </cell>
          <cell r="B3936">
            <v>2010</v>
          </cell>
          <cell r="D3936" t="str">
            <v>SOJA</v>
          </cell>
          <cell r="E3936">
            <v>0</v>
          </cell>
        </row>
        <row r="3937">
          <cell r="A3937" t="str">
            <v>PR</v>
          </cell>
          <cell r="B3937">
            <v>2010</v>
          </cell>
          <cell r="D3937" t="str">
            <v>MILHO</v>
          </cell>
          <cell r="E3937">
            <v>4389</v>
          </cell>
        </row>
        <row r="3938">
          <cell r="A3938" t="str">
            <v>PR</v>
          </cell>
          <cell r="B3938">
            <v>2010</v>
          </cell>
          <cell r="D3938" t="str">
            <v>MILHO</v>
          </cell>
          <cell r="E3938">
            <v>0</v>
          </cell>
        </row>
        <row r="3939">
          <cell r="A3939" t="str">
            <v>PR</v>
          </cell>
          <cell r="B3939">
            <v>2010</v>
          </cell>
          <cell r="D3939" t="str">
            <v>SOJA</v>
          </cell>
          <cell r="E3939">
            <v>0</v>
          </cell>
        </row>
        <row r="3940">
          <cell r="A3940" t="str">
            <v>PR</v>
          </cell>
          <cell r="B3940">
            <v>2010</v>
          </cell>
          <cell r="D3940" t="str">
            <v>SOJA</v>
          </cell>
          <cell r="E3940">
            <v>23035.714285714286</v>
          </cell>
        </row>
        <row r="3941">
          <cell r="A3941" t="str">
            <v>PR</v>
          </cell>
          <cell r="B3941">
            <v>2010</v>
          </cell>
          <cell r="D3941" t="str">
            <v>MILHO</v>
          </cell>
          <cell r="E3941">
            <v>0</v>
          </cell>
        </row>
        <row r="3942">
          <cell r="A3942" t="str">
            <v>PR</v>
          </cell>
          <cell r="B3942">
            <v>2010</v>
          </cell>
          <cell r="D3942" t="str">
            <v>MILHO</v>
          </cell>
          <cell r="E3942">
            <v>4389</v>
          </cell>
        </row>
        <row r="3943">
          <cell r="A3943" t="str">
            <v>PR</v>
          </cell>
          <cell r="B3943">
            <v>2010</v>
          </cell>
          <cell r="D3943" t="str">
            <v>SOJA</v>
          </cell>
          <cell r="E3943">
            <v>0</v>
          </cell>
        </row>
        <row r="3944">
          <cell r="A3944" t="str">
            <v>PR</v>
          </cell>
          <cell r="B3944">
            <v>2010</v>
          </cell>
          <cell r="D3944" t="str">
            <v>SOJA</v>
          </cell>
          <cell r="E3944">
            <v>13821.428571428571</v>
          </cell>
        </row>
        <row r="3945">
          <cell r="A3945" t="str">
            <v>RS</v>
          </cell>
          <cell r="B3945">
            <v>2010</v>
          </cell>
          <cell r="D3945" t="str">
            <v>SOJA</v>
          </cell>
          <cell r="E3945">
            <v>0</v>
          </cell>
        </row>
        <row r="3946">
          <cell r="A3946" t="str">
            <v>RS</v>
          </cell>
          <cell r="B3946">
            <v>2010</v>
          </cell>
          <cell r="D3946" t="str">
            <v>SOJA</v>
          </cell>
          <cell r="E3946">
            <v>0</v>
          </cell>
        </row>
        <row r="3947">
          <cell r="A3947" t="str">
            <v>PR</v>
          </cell>
          <cell r="B3947">
            <v>2010</v>
          </cell>
          <cell r="D3947" t="str">
            <v>MILHO</v>
          </cell>
          <cell r="E3947">
            <v>8778</v>
          </cell>
        </row>
        <row r="3948">
          <cell r="A3948" t="str">
            <v>PR</v>
          </cell>
          <cell r="B3948">
            <v>2010</v>
          </cell>
          <cell r="D3948" t="str">
            <v>MILHO</v>
          </cell>
          <cell r="E3948">
            <v>0</v>
          </cell>
        </row>
        <row r="3949">
          <cell r="A3949" t="str">
            <v>PR</v>
          </cell>
          <cell r="B3949">
            <v>2010</v>
          </cell>
          <cell r="D3949" t="str">
            <v>SOJA</v>
          </cell>
          <cell r="E3949">
            <v>11057.142857142857</v>
          </cell>
        </row>
        <row r="3950">
          <cell r="A3950" t="str">
            <v>PR</v>
          </cell>
          <cell r="B3950">
            <v>2010</v>
          </cell>
          <cell r="D3950" t="str">
            <v>SOJA</v>
          </cell>
          <cell r="E3950">
            <v>0</v>
          </cell>
        </row>
        <row r="3951">
          <cell r="A3951" t="str">
            <v>MT</v>
          </cell>
          <cell r="B3951">
            <v>2010</v>
          </cell>
          <cell r="D3951" t="str">
            <v>SOJA</v>
          </cell>
          <cell r="E3951">
            <v>4842.8571428571422</v>
          </cell>
        </row>
        <row r="3952">
          <cell r="A3952" t="str">
            <v>MT</v>
          </cell>
          <cell r="B3952">
            <v>2010</v>
          </cell>
          <cell r="D3952" t="str">
            <v>SOJA</v>
          </cell>
          <cell r="E3952">
            <v>15310.714285714284</v>
          </cell>
        </row>
        <row r="3953">
          <cell r="A3953" t="str">
            <v>BA</v>
          </cell>
          <cell r="B3953">
            <v>2010</v>
          </cell>
          <cell r="D3953" t="str">
            <v>SOJA</v>
          </cell>
          <cell r="E3953">
            <v>17539.285714285714</v>
          </cell>
        </row>
        <row r="3954">
          <cell r="A3954" t="str">
            <v>MT</v>
          </cell>
          <cell r="B3954">
            <v>2010</v>
          </cell>
          <cell r="D3954" t="str">
            <v>SOJA</v>
          </cell>
          <cell r="E3954">
            <v>7146.4285714285716</v>
          </cell>
        </row>
        <row r="3955">
          <cell r="A3955" t="str">
            <v>MT</v>
          </cell>
          <cell r="B3955">
            <v>2010</v>
          </cell>
          <cell r="D3955" t="str">
            <v>SOJA</v>
          </cell>
          <cell r="E3955">
            <v>0</v>
          </cell>
        </row>
        <row r="3956">
          <cell r="A3956" t="str">
            <v>MT</v>
          </cell>
          <cell r="B3956">
            <v>2010</v>
          </cell>
          <cell r="D3956" t="str">
            <v>SOJA</v>
          </cell>
          <cell r="E3956">
            <v>0</v>
          </cell>
        </row>
        <row r="3957">
          <cell r="A3957" t="str">
            <v>MT</v>
          </cell>
          <cell r="B3957">
            <v>2010</v>
          </cell>
          <cell r="D3957" t="str">
            <v>SOJA</v>
          </cell>
          <cell r="E3957">
            <v>35710.714285714283</v>
          </cell>
        </row>
        <row r="3958">
          <cell r="A3958" t="str">
            <v>MT</v>
          </cell>
          <cell r="B3958">
            <v>2010</v>
          </cell>
          <cell r="D3958" t="str">
            <v>SOJA</v>
          </cell>
          <cell r="E3958">
            <v>4853.5714285714284</v>
          </cell>
        </row>
        <row r="3959">
          <cell r="A3959" t="str">
            <v>MT</v>
          </cell>
          <cell r="B3959">
            <v>2010</v>
          </cell>
          <cell r="D3959" t="str">
            <v>SOJA</v>
          </cell>
          <cell r="E3959">
            <v>0</v>
          </cell>
        </row>
        <row r="3960">
          <cell r="A3960" t="str">
            <v>BA</v>
          </cell>
          <cell r="B3960">
            <v>2010</v>
          </cell>
          <cell r="D3960" t="str">
            <v>SOJA</v>
          </cell>
          <cell r="E3960">
            <v>82532.142857142855</v>
          </cell>
        </row>
        <row r="3961">
          <cell r="A3961" t="str">
            <v>RS</v>
          </cell>
          <cell r="B3961">
            <v>2010</v>
          </cell>
          <cell r="D3961" t="str">
            <v>SOJA</v>
          </cell>
          <cell r="E3961">
            <v>3267.8571428571422</v>
          </cell>
        </row>
        <row r="3962">
          <cell r="A3962" t="str">
            <v>RS</v>
          </cell>
          <cell r="B3962">
            <v>2010</v>
          </cell>
          <cell r="D3962" t="str">
            <v>SOJA</v>
          </cell>
          <cell r="E3962">
            <v>5453.5714285714284</v>
          </cell>
        </row>
        <row r="3963">
          <cell r="A3963" t="str">
            <v>RS</v>
          </cell>
          <cell r="B3963">
            <v>2010</v>
          </cell>
          <cell r="D3963" t="str">
            <v>SOJA</v>
          </cell>
          <cell r="E3963">
            <v>14185.714285714284</v>
          </cell>
        </row>
        <row r="3964">
          <cell r="A3964" t="str">
            <v>RS</v>
          </cell>
          <cell r="B3964">
            <v>2010</v>
          </cell>
          <cell r="D3964" t="str">
            <v>SOJA</v>
          </cell>
          <cell r="E3964">
            <v>66557.142857142855</v>
          </cell>
        </row>
        <row r="3965">
          <cell r="A3965" t="str">
            <v>RS</v>
          </cell>
          <cell r="B3965">
            <v>2010</v>
          </cell>
          <cell r="D3965" t="str">
            <v>MILHO</v>
          </cell>
          <cell r="E3965">
            <v>1155.0000000000002</v>
          </cell>
        </row>
        <row r="3966">
          <cell r="A3966" t="str">
            <v>RS</v>
          </cell>
          <cell r="B3966">
            <v>2010</v>
          </cell>
          <cell r="D3966" t="str">
            <v>MILHO</v>
          </cell>
          <cell r="E3966">
            <v>0</v>
          </cell>
        </row>
        <row r="3967">
          <cell r="A3967" t="str">
            <v>RS</v>
          </cell>
          <cell r="B3967">
            <v>2010</v>
          </cell>
          <cell r="D3967" t="str">
            <v>SOJA</v>
          </cell>
          <cell r="E3967">
            <v>6546.4285714285716</v>
          </cell>
        </row>
        <row r="3968">
          <cell r="A3968" t="str">
            <v>RS</v>
          </cell>
          <cell r="B3968">
            <v>2010</v>
          </cell>
          <cell r="D3968" t="str">
            <v>SOJA</v>
          </cell>
          <cell r="E3968">
            <v>0</v>
          </cell>
        </row>
        <row r="3969">
          <cell r="A3969" t="str">
            <v>RS</v>
          </cell>
          <cell r="B3969">
            <v>2010</v>
          </cell>
          <cell r="D3969" t="str">
            <v>MILHO</v>
          </cell>
          <cell r="E3969">
            <v>0</v>
          </cell>
        </row>
        <row r="3970">
          <cell r="A3970" t="str">
            <v>RS</v>
          </cell>
          <cell r="B3970">
            <v>2010</v>
          </cell>
          <cell r="D3970" t="str">
            <v>SOJA</v>
          </cell>
          <cell r="E3970">
            <v>27278.571428571428</v>
          </cell>
        </row>
        <row r="3971">
          <cell r="A3971" t="str">
            <v>RS</v>
          </cell>
          <cell r="B3971">
            <v>2010</v>
          </cell>
          <cell r="D3971" t="str">
            <v>SOJA</v>
          </cell>
          <cell r="E3971">
            <v>0</v>
          </cell>
        </row>
        <row r="3972">
          <cell r="A3972" t="str">
            <v>PR</v>
          </cell>
          <cell r="B3972">
            <v>2010</v>
          </cell>
          <cell r="D3972" t="str">
            <v>MILHO</v>
          </cell>
          <cell r="E3972">
            <v>0</v>
          </cell>
        </row>
        <row r="3973">
          <cell r="A3973" t="str">
            <v>PR</v>
          </cell>
          <cell r="B3973">
            <v>2010</v>
          </cell>
          <cell r="D3973" t="str">
            <v>SOJA</v>
          </cell>
          <cell r="E3973">
            <v>0</v>
          </cell>
        </row>
        <row r="3974">
          <cell r="A3974" t="str">
            <v>PR</v>
          </cell>
          <cell r="B3974">
            <v>2010</v>
          </cell>
          <cell r="D3974" t="str">
            <v>SOJA</v>
          </cell>
          <cell r="E3974">
            <v>3739.2857142857142</v>
          </cell>
        </row>
        <row r="3975">
          <cell r="A3975" t="str">
            <v>PR</v>
          </cell>
          <cell r="B3975">
            <v>2010</v>
          </cell>
          <cell r="D3975" t="str">
            <v>MILHO</v>
          </cell>
          <cell r="E3975">
            <v>0</v>
          </cell>
        </row>
        <row r="3976">
          <cell r="A3976" t="str">
            <v>PR</v>
          </cell>
          <cell r="B3976">
            <v>2010</v>
          </cell>
          <cell r="D3976" t="str">
            <v>SOJA</v>
          </cell>
          <cell r="E3976">
            <v>2807.1428571428573</v>
          </cell>
        </row>
        <row r="3977">
          <cell r="A3977" t="str">
            <v>PR</v>
          </cell>
          <cell r="B3977">
            <v>2010</v>
          </cell>
          <cell r="D3977" t="str">
            <v>SOJA</v>
          </cell>
          <cell r="E3977">
            <v>0</v>
          </cell>
        </row>
        <row r="3978">
          <cell r="A3978" t="str">
            <v>PR</v>
          </cell>
          <cell r="B3978">
            <v>2010</v>
          </cell>
          <cell r="D3978" t="str">
            <v>MILHO</v>
          </cell>
          <cell r="E3978">
            <v>0</v>
          </cell>
        </row>
        <row r="3979">
          <cell r="A3979" t="str">
            <v>PR</v>
          </cell>
          <cell r="B3979">
            <v>2010</v>
          </cell>
          <cell r="D3979" t="str">
            <v>SOJA</v>
          </cell>
          <cell r="E3979">
            <v>0</v>
          </cell>
        </row>
        <row r="3980">
          <cell r="A3980" t="str">
            <v>PR</v>
          </cell>
          <cell r="B3980">
            <v>2010</v>
          </cell>
          <cell r="D3980" t="str">
            <v>SOJA</v>
          </cell>
          <cell r="E3980">
            <v>3739.2857142857142</v>
          </cell>
        </row>
        <row r="3981">
          <cell r="A3981" t="str">
            <v>PR</v>
          </cell>
          <cell r="B3981">
            <v>2010</v>
          </cell>
          <cell r="D3981" t="str">
            <v>MILHO</v>
          </cell>
          <cell r="E3981">
            <v>0</v>
          </cell>
        </row>
        <row r="3982">
          <cell r="A3982" t="str">
            <v>PR</v>
          </cell>
          <cell r="B3982">
            <v>2010</v>
          </cell>
          <cell r="D3982" t="str">
            <v>SOJA</v>
          </cell>
          <cell r="E3982">
            <v>0</v>
          </cell>
        </row>
        <row r="3983">
          <cell r="A3983" t="str">
            <v>PR</v>
          </cell>
          <cell r="B3983">
            <v>2010</v>
          </cell>
          <cell r="D3983" t="str">
            <v>SOJA</v>
          </cell>
          <cell r="E3983">
            <v>3739.2857142857142</v>
          </cell>
        </row>
        <row r="3984">
          <cell r="A3984" t="str">
            <v>SP</v>
          </cell>
          <cell r="B3984">
            <v>2010</v>
          </cell>
          <cell r="D3984" t="str">
            <v>MILHO</v>
          </cell>
          <cell r="E3984">
            <v>7029</v>
          </cell>
        </row>
        <row r="3985">
          <cell r="A3985" t="str">
            <v>SP</v>
          </cell>
          <cell r="B3985">
            <v>2010</v>
          </cell>
          <cell r="D3985" t="str">
            <v>MILHO</v>
          </cell>
          <cell r="E3985">
            <v>0</v>
          </cell>
        </row>
        <row r="3986">
          <cell r="A3986" t="str">
            <v>PR</v>
          </cell>
          <cell r="B3986">
            <v>2010</v>
          </cell>
          <cell r="D3986" t="str">
            <v>MILHO</v>
          </cell>
          <cell r="E3986">
            <v>0</v>
          </cell>
        </row>
        <row r="3987">
          <cell r="A3987" t="str">
            <v>PR</v>
          </cell>
          <cell r="B3987">
            <v>2010</v>
          </cell>
          <cell r="D3987" t="str">
            <v>SOJA</v>
          </cell>
          <cell r="E3987">
            <v>2807.1428571428573</v>
          </cell>
        </row>
        <row r="3988">
          <cell r="A3988" t="str">
            <v>PR</v>
          </cell>
          <cell r="B3988">
            <v>2010</v>
          </cell>
          <cell r="D3988" t="str">
            <v>SOJA</v>
          </cell>
          <cell r="E3988">
            <v>9364.2857142857138</v>
          </cell>
        </row>
        <row r="3989">
          <cell r="A3989" t="str">
            <v>PR</v>
          </cell>
          <cell r="B3989">
            <v>2010</v>
          </cell>
          <cell r="D3989" t="str">
            <v>SOJA</v>
          </cell>
          <cell r="E3989">
            <v>0</v>
          </cell>
        </row>
        <row r="3990">
          <cell r="A3990" t="str">
            <v>MT</v>
          </cell>
          <cell r="B3990">
            <v>2010</v>
          </cell>
          <cell r="D3990" t="str">
            <v>SOJA</v>
          </cell>
          <cell r="E3990">
            <v>0</v>
          </cell>
        </row>
        <row r="3991">
          <cell r="A3991" t="str">
            <v>MT</v>
          </cell>
          <cell r="B3991">
            <v>2010</v>
          </cell>
          <cell r="D3991" t="str">
            <v>SOJA</v>
          </cell>
          <cell r="E3991">
            <v>30064.285714285714</v>
          </cell>
        </row>
        <row r="3992">
          <cell r="A3992" t="str">
            <v>MT</v>
          </cell>
          <cell r="B3992">
            <v>2010</v>
          </cell>
          <cell r="D3992" t="str">
            <v>SOJA</v>
          </cell>
          <cell r="E3992">
            <v>0</v>
          </cell>
        </row>
        <row r="3993">
          <cell r="A3993" t="str">
            <v>MT</v>
          </cell>
          <cell r="B3993">
            <v>2010</v>
          </cell>
          <cell r="D3993" t="str">
            <v>SOJA</v>
          </cell>
          <cell r="E3993">
            <v>0</v>
          </cell>
        </row>
        <row r="3994">
          <cell r="A3994" t="str">
            <v>MT</v>
          </cell>
          <cell r="B3994">
            <v>2010</v>
          </cell>
          <cell r="D3994" t="str">
            <v>SOJA</v>
          </cell>
          <cell r="E3994">
            <v>3439.2857142857142</v>
          </cell>
        </row>
        <row r="3995">
          <cell r="A3995" t="str">
            <v>MS</v>
          </cell>
          <cell r="B3995">
            <v>2010</v>
          </cell>
          <cell r="D3995" t="str">
            <v>MILHO</v>
          </cell>
          <cell r="E3995">
            <v>880.00000000000011</v>
          </cell>
        </row>
        <row r="3996">
          <cell r="A3996" t="str">
            <v>MS</v>
          </cell>
          <cell r="B3996">
            <v>2010</v>
          </cell>
          <cell r="D3996" t="str">
            <v>SOJA</v>
          </cell>
          <cell r="E3996">
            <v>0</v>
          </cell>
        </row>
        <row r="3997">
          <cell r="A3997" t="str">
            <v>MS</v>
          </cell>
          <cell r="B3997">
            <v>2010</v>
          </cell>
          <cell r="D3997" t="str">
            <v>SOJA</v>
          </cell>
          <cell r="E3997">
            <v>10885.714285714286</v>
          </cell>
        </row>
        <row r="3998">
          <cell r="A3998" t="str">
            <v>PR</v>
          </cell>
          <cell r="B3998">
            <v>2010</v>
          </cell>
          <cell r="D3998" t="str">
            <v>MILHO</v>
          </cell>
          <cell r="E3998">
            <v>12738.000000000002</v>
          </cell>
        </row>
        <row r="3999">
          <cell r="A3999" t="str">
            <v>PR</v>
          </cell>
          <cell r="B3999">
            <v>2010</v>
          </cell>
          <cell r="D3999" t="str">
            <v>MILHO</v>
          </cell>
          <cell r="E3999">
            <v>0</v>
          </cell>
        </row>
        <row r="4000">
          <cell r="A4000" t="str">
            <v>PR</v>
          </cell>
          <cell r="B4000">
            <v>2010</v>
          </cell>
          <cell r="D4000" t="str">
            <v>SOJA</v>
          </cell>
          <cell r="E4000">
            <v>0</v>
          </cell>
        </row>
        <row r="4001">
          <cell r="A4001" t="str">
            <v>PR</v>
          </cell>
          <cell r="B4001">
            <v>2010</v>
          </cell>
          <cell r="D4001" t="str">
            <v>SOJA</v>
          </cell>
          <cell r="E4001">
            <v>55285.714285714283</v>
          </cell>
        </row>
        <row r="4002">
          <cell r="A4002" t="str">
            <v>PR</v>
          </cell>
          <cell r="B4002">
            <v>2010</v>
          </cell>
          <cell r="D4002" t="str">
            <v>MILHO</v>
          </cell>
          <cell r="E4002">
            <v>7898.0000000000009</v>
          </cell>
        </row>
        <row r="4003">
          <cell r="A4003" t="str">
            <v>PR</v>
          </cell>
          <cell r="B4003">
            <v>2010</v>
          </cell>
          <cell r="D4003" t="str">
            <v>MILHO</v>
          </cell>
          <cell r="E4003">
            <v>4389</v>
          </cell>
        </row>
        <row r="4004">
          <cell r="A4004" t="str">
            <v>PR</v>
          </cell>
          <cell r="B4004">
            <v>2010</v>
          </cell>
          <cell r="D4004" t="str">
            <v>MILHO</v>
          </cell>
          <cell r="E4004">
            <v>0</v>
          </cell>
        </row>
        <row r="4005">
          <cell r="A4005" t="str">
            <v>PR</v>
          </cell>
          <cell r="B4005">
            <v>2010</v>
          </cell>
          <cell r="D4005" t="str">
            <v>SOJA</v>
          </cell>
          <cell r="E4005">
            <v>0</v>
          </cell>
        </row>
        <row r="4006">
          <cell r="A4006" t="str">
            <v>BA</v>
          </cell>
          <cell r="B4006">
            <v>2010</v>
          </cell>
          <cell r="D4006" t="str">
            <v>SOJA</v>
          </cell>
          <cell r="E4006">
            <v>41271.428571428572</v>
          </cell>
        </row>
        <row r="4007">
          <cell r="A4007" t="str">
            <v>BA</v>
          </cell>
          <cell r="B4007">
            <v>2010</v>
          </cell>
          <cell r="D4007" t="str">
            <v>SOJA</v>
          </cell>
          <cell r="E4007">
            <v>175382.14285714284</v>
          </cell>
        </row>
        <row r="4008">
          <cell r="A4008" t="str">
            <v>BA</v>
          </cell>
          <cell r="B4008">
            <v>2010</v>
          </cell>
          <cell r="D4008" t="str">
            <v>SOJA</v>
          </cell>
          <cell r="E4008">
            <v>30953.571428571428</v>
          </cell>
        </row>
        <row r="4009">
          <cell r="A4009" t="str">
            <v>BA</v>
          </cell>
          <cell r="B4009">
            <v>2010</v>
          </cell>
          <cell r="D4009" t="str">
            <v>SOJA</v>
          </cell>
          <cell r="E4009">
            <v>28885.714285714286</v>
          </cell>
        </row>
        <row r="4010">
          <cell r="A4010" t="str">
            <v>MT</v>
          </cell>
          <cell r="B4010">
            <v>2010</v>
          </cell>
          <cell r="D4010" t="str">
            <v>SOJA</v>
          </cell>
          <cell r="E4010">
            <v>0</v>
          </cell>
        </row>
        <row r="4011">
          <cell r="A4011" t="str">
            <v>MT</v>
          </cell>
          <cell r="B4011">
            <v>2010</v>
          </cell>
          <cell r="D4011" t="str">
            <v>SOJA</v>
          </cell>
          <cell r="E4011">
            <v>4842.8571428571422</v>
          </cell>
        </row>
        <row r="4012">
          <cell r="A4012" t="str">
            <v>MT</v>
          </cell>
          <cell r="B4012">
            <v>2010</v>
          </cell>
          <cell r="D4012" t="str">
            <v>SOJA</v>
          </cell>
          <cell r="E4012">
            <v>0</v>
          </cell>
        </row>
        <row r="4013">
          <cell r="A4013" t="str">
            <v>MT</v>
          </cell>
          <cell r="B4013">
            <v>2010</v>
          </cell>
          <cell r="D4013" t="str">
            <v>SOJA</v>
          </cell>
          <cell r="E4013">
            <v>0</v>
          </cell>
        </row>
        <row r="4014">
          <cell r="A4014" t="str">
            <v>MT</v>
          </cell>
          <cell r="B4014">
            <v>2010</v>
          </cell>
          <cell r="D4014" t="str">
            <v>SOJA</v>
          </cell>
          <cell r="E4014">
            <v>0</v>
          </cell>
        </row>
        <row r="4015">
          <cell r="A4015" t="str">
            <v>MT</v>
          </cell>
          <cell r="B4015">
            <v>2010</v>
          </cell>
          <cell r="D4015" t="str">
            <v>SOJA</v>
          </cell>
          <cell r="E4015">
            <v>9685.7142857142844</v>
          </cell>
        </row>
        <row r="4016">
          <cell r="A4016" t="str">
            <v>TO</v>
          </cell>
          <cell r="B4016">
            <v>2010</v>
          </cell>
          <cell r="D4016" t="str">
            <v>SOJA</v>
          </cell>
          <cell r="E4016">
            <v>0</v>
          </cell>
        </row>
        <row r="4017">
          <cell r="A4017" t="str">
            <v>TO</v>
          </cell>
          <cell r="B4017">
            <v>2010</v>
          </cell>
          <cell r="D4017" t="str">
            <v>SOJA</v>
          </cell>
          <cell r="E4017">
            <v>12107.142857142857</v>
          </cell>
        </row>
        <row r="4018">
          <cell r="A4018" t="str">
            <v>BA</v>
          </cell>
          <cell r="B4018">
            <v>2010</v>
          </cell>
          <cell r="D4018" t="str">
            <v>MILHO</v>
          </cell>
          <cell r="E4018">
            <v>2519</v>
          </cell>
        </row>
        <row r="4019">
          <cell r="A4019" t="str">
            <v>BA</v>
          </cell>
          <cell r="B4019">
            <v>2010</v>
          </cell>
          <cell r="D4019" t="str">
            <v>SOJA</v>
          </cell>
          <cell r="E4019">
            <v>17539.285714285714</v>
          </cell>
        </row>
        <row r="4020">
          <cell r="A4020" t="str">
            <v>GO</v>
          </cell>
          <cell r="B4020">
            <v>2010</v>
          </cell>
          <cell r="D4020" t="str">
            <v>MILHO</v>
          </cell>
          <cell r="E4020">
            <v>1749.0000000000002</v>
          </cell>
        </row>
        <row r="4021">
          <cell r="A4021" t="str">
            <v>GO</v>
          </cell>
          <cell r="B4021">
            <v>2010</v>
          </cell>
          <cell r="D4021" t="str">
            <v>MILHO</v>
          </cell>
          <cell r="E4021">
            <v>0</v>
          </cell>
        </row>
        <row r="4022">
          <cell r="A4022" t="str">
            <v>GO</v>
          </cell>
          <cell r="B4022">
            <v>2010</v>
          </cell>
          <cell r="D4022" t="str">
            <v>SOJA</v>
          </cell>
          <cell r="E4022">
            <v>0</v>
          </cell>
        </row>
        <row r="4023">
          <cell r="A4023" t="str">
            <v>GO</v>
          </cell>
          <cell r="B4023">
            <v>2010</v>
          </cell>
          <cell r="D4023" t="str">
            <v>SOJA</v>
          </cell>
          <cell r="E4023">
            <v>7767.8571428571422</v>
          </cell>
        </row>
        <row r="4024">
          <cell r="A4024" t="str">
            <v>GO</v>
          </cell>
          <cell r="B4024">
            <v>2010</v>
          </cell>
          <cell r="D4024" t="str">
            <v>SOJA</v>
          </cell>
          <cell r="E4024">
            <v>2871.4285714285716</v>
          </cell>
        </row>
        <row r="4025">
          <cell r="A4025" t="str">
            <v>GO</v>
          </cell>
          <cell r="B4025">
            <v>2010</v>
          </cell>
          <cell r="D4025" t="str">
            <v>SOJA</v>
          </cell>
          <cell r="E4025">
            <v>4671.4285714285716</v>
          </cell>
        </row>
        <row r="4026">
          <cell r="A4026" t="str">
            <v>GO</v>
          </cell>
          <cell r="B4026">
            <v>2010</v>
          </cell>
          <cell r="D4026" t="str">
            <v>SOJA</v>
          </cell>
          <cell r="E4026">
            <v>0</v>
          </cell>
        </row>
        <row r="4027">
          <cell r="A4027" t="str">
            <v>GO</v>
          </cell>
          <cell r="B4027">
            <v>2010</v>
          </cell>
          <cell r="D4027" t="str">
            <v>SOJA</v>
          </cell>
          <cell r="E4027">
            <v>7542.8571428571431</v>
          </cell>
        </row>
        <row r="4028">
          <cell r="A4028" t="str">
            <v>GO</v>
          </cell>
          <cell r="B4028">
            <v>2010</v>
          </cell>
          <cell r="D4028" t="str">
            <v>SOJA</v>
          </cell>
          <cell r="E4028">
            <v>7542.8571428571431</v>
          </cell>
        </row>
        <row r="4029">
          <cell r="A4029" t="str">
            <v>GO</v>
          </cell>
          <cell r="B4029">
            <v>2010</v>
          </cell>
          <cell r="D4029" t="str">
            <v>SOJA</v>
          </cell>
          <cell r="E4029">
            <v>9160.7142857142862</v>
          </cell>
        </row>
        <row r="4030">
          <cell r="A4030" t="str">
            <v>GO</v>
          </cell>
          <cell r="B4030">
            <v>2010</v>
          </cell>
          <cell r="D4030" t="str">
            <v>MILHO</v>
          </cell>
          <cell r="E4030">
            <v>0</v>
          </cell>
        </row>
        <row r="4031">
          <cell r="A4031" t="str">
            <v>GO</v>
          </cell>
          <cell r="B4031">
            <v>2010</v>
          </cell>
          <cell r="D4031" t="str">
            <v>SOJA</v>
          </cell>
          <cell r="E4031">
            <v>0</v>
          </cell>
        </row>
        <row r="4032">
          <cell r="A4032" t="str">
            <v>GO</v>
          </cell>
          <cell r="B4032">
            <v>2010</v>
          </cell>
          <cell r="D4032" t="str">
            <v>SOJA</v>
          </cell>
          <cell r="E4032">
            <v>17142.857142857141</v>
          </cell>
        </row>
        <row r="4033">
          <cell r="A4033" t="str">
            <v>MT</v>
          </cell>
          <cell r="B4033">
            <v>2010</v>
          </cell>
          <cell r="D4033" t="str">
            <v>SOJA</v>
          </cell>
          <cell r="E4033">
            <v>4189.2857142857138</v>
          </cell>
        </row>
        <row r="4034">
          <cell r="A4034" t="str">
            <v>MT</v>
          </cell>
          <cell r="B4034">
            <v>2010</v>
          </cell>
          <cell r="D4034" t="str">
            <v>SOJA</v>
          </cell>
          <cell r="E4034">
            <v>0</v>
          </cell>
        </row>
        <row r="4035">
          <cell r="A4035" t="str">
            <v>GO</v>
          </cell>
          <cell r="B4035">
            <v>2010</v>
          </cell>
          <cell r="D4035" t="str">
            <v>MILHO</v>
          </cell>
          <cell r="E4035">
            <v>0</v>
          </cell>
        </row>
        <row r="4036">
          <cell r="A4036" t="str">
            <v>GO</v>
          </cell>
          <cell r="B4036">
            <v>2010</v>
          </cell>
          <cell r="D4036" t="str">
            <v>MILHO</v>
          </cell>
          <cell r="E4036">
            <v>6138.0000000000009</v>
          </cell>
        </row>
        <row r="4037">
          <cell r="A4037" t="str">
            <v>GO</v>
          </cell>
          <cell r="B4037">
            <v>2010</v>
          </cell>
          <cell r="D4037" t="str">
            <v>SOJA</v>
          </cell>
          <cell r="E4037">
            <v>0</v>
          </cell>
        </row>
        <row r="4038">
          <cell r="A4038" t="str">
            <v>GO</v>
          </cell>
          <cell r="B4038">
            <v>2010</v>
          </cell>
          <cell r="D4038" t="str">
            <v>SOJA</v>
          </cell>
          <cell r="E4038">
            <v>2507.1428571428573</v>
          </cell>
        </row>
        <row r="4039">
          <cell r="A4039" t="str">
            <v>SP</v>
          </cell>
          <cell r="B4039">
            <v>2010</v>
          </cell>
          <cell r="D4039" t="str">
            <v>SOJA</v>
          </cell>
          <cell r="E4039">
            <v>0</v>
          </cell>
        </row>
        <row r="4040">
          <cell r="A4040" t="str">
            <v>SP</v>
          </cell>
          <cell r="B4040">
            <v>2010</v>
          </cell>
          <cell r="D4040" t="str">
            <v>SOJA</v>
          </cell>
          <cell r="E4040">
            <v>18214.285714285714</v>
          </cell>
        </row>
        <row r="4041">
          <cell r="A4041" t="str">
            <v>MT</v>
          </cell>
          <cell r="B4041">
            <v>2010</v>
          </cell>
          <cell r="D4041" t="str">
            <v>SOJA</v>
          </cell>
          <cell r="E4041">
            <v>0</v>
          </cell>
        </row>
        <row r="4042">
          <cell r="A4042" t="str">
            <v>MT</v>
          </cell>
          <cell r="B4042">
            <v>2010</v>
          </cell>
          <cell r="D4042" t="str">
            <v>SOJA</v>
          </cell>
          <cell r="E4042">
            <v>11335.714285714286</v>
          </cell>
        </row>
        <row r="4043">
          <cell r="A4043" t="str">
            <v>MT</v>
          </cell>
          <cell r="B4043">
            <v>2010</v>
          </cell>
          <cell r="D4043" t="str">
            <v>SOJA</v>
          </cell>
          <cell r="E4043">
            <v>14571.428571428571</v>
          </cell>
        </row>
        <row r="4044">
          <cell r="A4044" t="str">
            <v>MT</v>
          </cell>
          <cell r="B4044">
            <v>2010</v>
          </cell>
          <cell r="D4044" t="str">
            <v>SOJA</v>
          </cell>
          <cell r="E4044">
            <v>0</v>
          </cell>
        </row>
        <row r="4045">
          <cell r="A4045" t="str">
            <v>MA</v>
          </cell>
          <cell r="B4045">
            <v>2010</v>
          </cell>
          <cell r="D4045" t="str">
            <v>SOJA</v>
          </cell>
          <cell r="E4045">
            <v>0</v>
          </cell>
        </row>
        <row r="4046">
          <cell r="A4046" t="str">
            <v>MA</v>
          </cell>
          <cell r="B4046">
            <v>2010</v>
          </cell>
          <cell r="D4046" t="str">
            <v>SOJA</v>
          </cell>
          <cell r="E4046">
            <v>32142.857142857138</v>
          </cell>
        </row>
        <row r="4047">
          <cell r="A4047" t="str">
            <v>MG</v>
          </cell>
          <cell r="B4047">
            <v>2010</v>
          </cell>
          <cell r="D4047" t="str">
            <v>SOJA</v>
          </cell>
          <cell r="E4047">
            <v>0</v>
          </cell>
        </row>
        <row r="4048">
          <cell r="A4048" t="str">
            <v>MG</v>
          </cell>
          <cell r="B4048">
            <v>2010</v>
          </cell>
          <cell r="D4048" t="str">
            <v>SOJA</v>
          </cell>
          <cell r="E4048">
            <v>12589.285714285714</v>
          </cell>
        </row>
        <row r="4049">
          <cell r="A4049" t="str">
            <v>MT</v>
          </cell>
          <cell r="B4049">
            <v>2010</v>
          </cell>
          <cell r="D4049" t="str">
            <v>SOJA</v>
          </cell>
          <cell r="E4049">
            <v>0</v>
          </cell>
        </row>
        <row r="4050">
          <cell r="A4050" t="str">
            <v>MT</v>
          </cell>
          <cell r="B4050">
            <v>2010</v>
          </cell>
          <cell r="D4050" t="str">
            <v>SOJA</v>
          </cell>
          <cell r="E4050">
            <v>0</v>
          </cell>
        </row>
        <row r="4051">
          <cell r="A4051" t="str">
            <v>MT</v>
          </cell>
          <cell r="B4051">
            <v>2010</v>
          </cell>
          <cell r="D4051" t="str">
            <v>SOJA</v>
          </cell>
          <cell r="E4051">
            <v>0</v>
          </cell>
        </row>
        <row r="4052">
          <cell r="A4052" t="str">
            <v>MT</v>
          </cell>
          <cell r="B4052">
            <v>2010</v>
          </cell>
          <cell r="D4052" t="str">
            <v>SOJA</v>
          </cell>
          <cell r="E4052">
            <v>19360.714285714283</v>
          </cell>
        </row>
        <row r="4053">
          <cell r="A4053" t="str">
            <v>MT</v>
          </cell>
          <cell r="B4053">
            <v>2010</v>
          </cell>
          <cell r="D4053" t="str">
            <v>SOJA</v>
          </cell>
          <cell r="E4053">
            <v>0</v>
          </cell>
        </row>
        <row r="4054">
          <cell r="A4054" t="str">
            <v>TO</v>
          </cell>
          <cell r="B4054">
            <v>2010</v>
          </cell>
          <cell r="D4054" t="str">
            <v>SOJA</v>
          </cell>
          <cell r="E4054">
            <v>0</v>
          </cell>
        </row>
        <row r="4055">
          <cell r="A4055" t="str">
            <v>TO</v>
          </cell>
          <cell r="B4055">
            <v>2010</v>
          </cell>
          <cell r="D4055" t="str">
            <v>SOJA</v>
          </cell>
          <cell r="E4055">
            <v>14517.857142857143</v>
          </cell>
        </row>
        <row r="4056">
          <cell r="A4056" t="str">
            <v>GO</v>
          </cell>
          <cell r="B4056">
            <v>2010</v>
          </cell>
          <cell r="D4056" t="str">
            <v>SOJA</v>
          </cell>
          <cell r="E4056">
            <v>0</v>
          </cell>
        </row>
        <row r="4057">
          <cell r="A4057" t="str">
            <v>GO</v>
          </cell>
          <cell r="B4057">
            <v>2010</v>
          </cell>
          <cell r="D4057" t="str">
            <v>SOJA</v>
          </cell>
          <cell r="E4057">
            <v>13403.571428571429</v>
          </cell>
        </row>
        <row r="4058">
          <cell r="A4058" t="str">
            <v>GO</v>
          </cell>
          <cell r="B4058">
            <v>2010</v>
          </cell>
          <cell r="D4058" t="str">
            <v>SOJA</v>
          </cell>
          <cell r="E4058">
            <v>0</v>
          </cell>
        </row>
        <row r="4059">
          <cell r="A4059" t="str">
            <v>MS</v>
          </cell>
          <cell r="B4059">
            <v>2010</v>
          </cell>
          <cell r="D4059" t="str">
            <v>SOJA</v>
          </cell>
          <cell r="E4059">
            <v>4135.7142857142853</v>
          </cell>
        </row>
        <row r="4060">
          <cell r="A4060" t="str">
            <v>MS</v>
          </cell>
          <cell r="B4060">
            <v>2010</v>
          </cell>
          <cell r="D4060" t="str">
            <v>SOJA</v>
          </cell>
          <cell r="E4060">
            <v>0</v>
          </cell>
        </row>
        <row r="4061">
          <cell r="A4061" t="str">
            <v>PR</v>
          </cell>
          <cell r="B4061">
            <v>2010</v>
          </cell>
          <cell r="D4061" t="str">
            <v>MILHO</v>
          </cell>
          <cell r="E4061">
            <v>4389</v>
          </cell>
        </row>
        <row r="4062">
          <cell r="A4062" t="str">
            <v>PR</v>
          </cell>
          <cell r="B4062">
            <v>2010</v>
          </cell>
          <cell r="D4062" t="str">
            <v>MILHO</v>
          </cell>
          <cell r="E4062">
            <v>0</v>
          </cell>
        </row>
        <row r="4063">
          <cell r="A4063" t="str">
            <v>PR</v>
          </cell>
          <cell r="B4063">
            <v>2010</v>
          </cell>
          <cell r="D4063" t="str">
            <v>SOJA</v>
          </cell>
          <cell r="E4063">
            <v>6428.5714285714284</v>
          </cell>
        </row>
        <row r="4064">
          <cell r="A4064" t="str">
            <v>PR</v>
          </cell>
          <cell r="B4064">
            <v>2010</v>
          </cell>
          <cell r="D4064" t="str">
            <v>SOJA</v>
          </cell>
          <cell r="E4064">
            <v>0</v>
          </cell>
        </row>
        <row r="4065">
          <cell r="A4065" t="str">
            <v>BA</v>
          </cell>
          <cell r="B4065">
            <v>2010</v>
          </cell>
          <cell r="D4065" t="str">
            <v>SOJA</v>
          </cell>
          <cell r="E4065">
            <v>10317.857142857143</v>
          </cell>
        </row>
        <row r="4066">
          <cell r="A4066" t="str">
            <v>MT</v>
          </cell>
          <cell r="B4066">
            <v>2010</v>
          </cell>
          <cell r="D4066" t="str">
            <v>SOJA</v>
          </cell>
          <cell r="E4066">
            <v>27878.571428571428</v>
          </cell>
        </row>
        <row r="4067">
          <cell r="A4067" t="str">
            <v>MT</v>
          </cell>
          <cell r="B4067">
            <v>2010</v>
          </cell>
          <cell r="D4067" t="str">
            <v>SOJA</v>
          </cell>
          <cell r="E4067">
            <v>0</v>
          </cell>
        </row>
        <row r="4068">
          <cell r="A4068" t="str">
            <v>MT</v>
          </cell>
          <cell r="B4068">
            <v>2010</v>
          </cell>
          <cell r="D4068" t="str">
            <v>SOJA</v>
          </cell>
          <cell r="E4068">
            <v>14571.428571428571</v>
          </cell>
        </row>
        <row r="4069">
          <cell r="A4069" t="str">
            <v>MT</v>
          </cell>
          <cell r="B4069">
            <v>2010</v>
          </cell>
          <cell r="D4069" t="str">
            <v>MILHO</v>
          </cell>
          <cell r="E4069">
            <v>0</v>
          </cell>
        </row>
        <row r="4070">
          <cell r="A4070" t="str">
            <v>MT</v>
          </cell>
          <cell r="B4070">
            <v>2010</v>
          </cell>
          <cell r="D4070" t="str">
            <v>SOJA</v>
          </cell>
          <cell r="E4070">
            <v>18900</v>
          </cell>
        </row>
        <row r="4071">
          <cell r="A4071" t="str">
            <v>MT</v>
          </cell>
          <cell r="B4071">
            <v>2010</v>
          </cell>
          <cell r="D4071" t="str">
            <v>SOJA</v>
          </cell>
          <cell r="E4071">
            <v>4853.5714285714284</v>
          </cell>
        </row>
        <row r="4072">
          <cell r="A4072" t="str">
            <v>BA</v>
          </cell>
          <cell r="B4072">
            <v>2010</v>
          </cell>
          <cell r="D4072" t="str">
            <v>SOJA</v>
          </cell>
          <cell r="E4072">
            <v>72214.285714285725</v>
          </cell>
        </row>
        <row r="4073">
          <cell r="A4073" t="str">
            <v>BA</v>
          </cell>
          <cell r="B4073">
            <v>2010</v>
          </cell>
          <cell r="D4073" t="str">
            <v>MILHO</v>
          </cell>
          <cell r="E4073">
            <v>0</v>
          </cell>
        </row>
        <row r="4074">
          <cell r="A4074" t="str">
            <v>BA</v>
          </cell>
          <cell r="B4074">
            <v>2010</v>
          </cell>
          <cell r="D4074" t="str">
            <v>SOJA</v>
          </cell>
          <cell r="E4074">
            <v>39203.571428571428</v>
          </cell>
        </row>
        <row r="4075">
          <cell r="A4075" t="str">
            <v>BA</v>
          </cell>
          <cell r="B4075">
            <v>2010</v>
          </cell>
          <cell r="D4075" t="str">
            <v>SOJA</v>
          </cell>
          <cell r="E4075">
            <v>22692.857142857141</v>
          </cell>
        </row>
        <row r="4076">
          <cell r="A4076" t="str">
            <v>RS</v>
          </cell>
          <cell r="B4076">
            <v>2010</v>
          </cell>
          <cell r="D4076" t="str">
            <v>SOJA</v>
          </cell>
          <cell r="E4076">
            <v>2185.7142857142853</v>
          </cell>
        </row>
        <row r="4077">
          <cell r="A4077" t="str">
            <v>RS</v>
          </cell>
          <cell r="B4077">
            <v>2010</v>
          </cell>
          <cell r="D4077" t="str">
            <v>SOJA</v>
          </cell>
          <cell r="E4077">
            <v>3267.8571428571422</v>
          </cell>
        </row>
        <row r="4078">
          <cell r="A4078" t="str">
            <v>RS</v>
          </cell>
          <cell r="B4078">
            <v>2010</v>
          </cell>
          <cell r="D4078" t="str">
            <v>SOJA</v>
          </cell>
          <cell r="E4078">
            <v>3267.8571428571422</v>
          </cell>
        </row>
        <row r="4079">
          <cell r="A4079" t="str">
            <v>RS</v>
          </cell>
          <cell r="B4079">
            <v>2010</v>
          </cell>
          <cell r="D4079" t="str">
            <v>SOJA</v>
          </cell>
          <cell r="E4079">
            <v>16360.714285714284</v>
          </cell>
        </row>
        <row r="4080">
          <cell r="A4080" t="str">
            <v>RS</v>
          </cell>
          <cell r="B4080">
            <v>2010</v>
          </cell>
          <cell r="D4080" t="str">
            <v>SOJA</v>
          </cell>
          <cell r="E4080">
            <v>0</v>
          </cell>
        </row>
        <row r="4081">
          <cell r="A4081" t="str">
            <v>MS</v>
          </cell>
          <cell r="B4081">
            <v>2010</v>
          </cell>
          <cell r="D4081" t="str">
            <v>SOJA</v>
          </cell>
          <cell r="E4081">
            <v>8271.4285714285706</v>
          </cell>
        </row>
        <row r="4082">
          <cell r="A4082" t="str">
            <v>MS</v>
          </cell>
          <cell r="B4082">
            <v>2010</v>
          </cell>
          <cell r="D4082" t="str">
            <v>SOJA</v>
          </cell>
          <cell r="E4082">
            <v>0</v>
          </cell>
        </row>
        <row r="4083">
          <cell r="A4083" t="str">
            <v>MS</v>
          </cell>
          <cell r="B4083">
            <v>2010</v>
          </cell>
          <cell r="D4083" t="str">
            <v>SOJA</v>
          </cell>
          <cell r="E4083">
            <v>6889.2857142857138</v>
          </cell>
        </row>
        <row r="4084">
          <cell r="A4084" t="str">
            <v>MS</v>
          </cell>
          <cell r="B4084">
            <v>2010</v>
          </cell>
          <cell r="D4084" t="str">
            <v>SOJA</v>
          </cell>
          <cell r="E4084">
            <v>0</v>
          </cell>
        </row>
        <row r="4085">
          <cell r="A4085" t="str">
            <v>MS</v>
          </cell>
          <cell r="B4085">
            <v>2010</v>
          </cell>
          <cell r="D4085" t="str">
            <v>SOJA</v>
          </cell>
          <cell r="E4085">
            <v>0</v>
          </cell>
        </row>
        <row r="4086">
          <cell r="A4086" t="str">
            <v>MS</v>
          </cell>
          <cell r="B4086">
            <v>2010</v>
          </cell>
          <cell r="D4086" t="str">
            <v>SOJA</v>
          </cell>
          <cell r="E4086">
            <v>20678.571428571428</v>
          </cell>
        </row>
        <row r="4087">
          <cell r="A4087" t="str">
            <v>GO</v>
          </cell>
          <cell r="B4087">
            <v>2010</v>
          </cell>
          <cell r="D4087" t="str">
            <v>SOJA</v>
          </cell>
          <cell r="E4087">
            <v>8989.2857142857138</v>
          </cell>
        </row>
        <row r="4088">
          <cell r="A4088" t="str">
            <v>GO</v>
          </cell>
          <cell r="B4088">
            <v>2010</v>
          </cell>
          <cell r="D4088" t="str">
            <v>SOJA</v>
          </cell>
          <cell r="E4088">
            <v>11689.285714285716</v>
          </cell>
        </row>
        <row r="4089">
          <cell r="A4089" t="str">
            <v>MT</v>
          </cell>
          <cell r="B4089">
            <v>2010</v>
          </cell>
          <cell r="D4089" t="str">
            <v>SOJA</v>
          </cell>
          <cell r="E4089">
            <v>14571.428571428571</v>
          </cell>
        </row>
        <row r="4090">
          <cell r="A4090" t="str">
            <v>MT</v>
          </cell>
          <cell r="B4090">
            <v>2010</v>
          </cell>
          <cell r="D4090" t="str">
            <v>SOJA</v>
          </cell>
          <cell r="E4090">
            <v>0</v>
          </cell>
        </row>
        <row r="4091">
          <cell r="A4091" t="str">
            <v>RS</v>
          </cell>
          <cell r="B4091">
            <v>2010</v>
          </cell>
          <cell r="D4091" t="str">
            <v>MILHO</v>
          </cell>
          <cell r="E4091">
            <v>572.00000000000011</v>
          </cell>
        </row>
        <row r="4092">
          <cell r="A4092" t="str">
            <v>RS</v>
          </cell>
          <cell r="B4092">
            <v>2010</v>
          </cell>
          <cell r="D4092" t="str">
            <v>MILHO</v>
          </cell>
          <cell r="E4092">
            <v>0</v>
          </cell>
        </row>
        <row r="4093">
          <cell r="A4093" t="str">
            <v>RS</v>
          </cell>
          <cell r="B4093">
            <v>2010</v>
          </cell>
          <cell r="D4093" t="str">
            <v>SOJA</v>
          </cell>
          <cell r="E4093">
            <v>2185.7142857142853</v>
          </cell>
        </row>
        <row r="4094">
          <cell r="A4094" t="str">
            <v>RS</v>
          </cell>
          <cell r="B4094">
            <v>2010</v>
          </cell>
          <cell r="D4094" t="str">
            <v>SOJA</v>
          </cell>
          <cell r="E4094">
            <v>0</v>
          </cell>
        </row>
        <row r="4095">
          <cell r="A4095" t="str">
            <v>MT</v>
          </cell>
          <cell r="B4095">
            <v>2010</v>
          </cell>
          <cell r="D4095" t="str">
            <v>SOJA</v>
          </cell>
          <cell r="E4095">
            <v>0</v>
          </cell>
        </row>
        <row r="4096">
          <cell r="A4096" t="str">
            <v>RS</v>
          </cell>
          <cell r="B4096">
            <v>2010</v>
          </cell>
          <cell r="D4096" t="str">
            <v>SOJA</v>
          </cell>
          <cell r="E4096">
            <v>7639.2857142857147</v>
          </cell>
        </row>
        <row r="4097">
          <cell r="A4097" t="str">
            <v>RS</v>
          </cell>
          <cell r="B4097">
            <v>2010</v>
          </cell>
          <cell r="D4097" t="str">
            <v>SOJA</v>
          </cell>
          <cell r="E4097">
            <v>11453.571428571428</v>
          </cell>
        </row>
        <row r="4098">
          <cell r="A4098" t="str">
            <v>RS</v>
          </cell>
          <cell r="B4098">
            <v>2010</v>
          </cell>
          <cell r="D4098" t="str">
            <v>SOJA</v>
          </cell>
          <cell r="E4098">
            <v>5453.5714285714284</v>
          </cell>
        </row>
        <row r="4099">
          <cell r="A4099" t="str">
            <v>RS</v>
          </cell>
          <cell r="B4099">
            <v>2010</v>
          </cell>
          <cell r="D4099" t="str">
            <v>SOJA</v>
          </cell>
          <cell r="E4099">
            <v>8732.1428571428569</v>
          </cell>
        </row>
        <row r="4100">
          <cell r="A4100" t="str">
            <v>RS</v>
          </cell>
          <cell r="B4100">
            <v>2010</v>
          </cell>
          <cell r="D4100" t="str">
            <v>MILHO</v>
          </cell>
          <cell r="E4100">
            <v>1155.0000000000002</v>
          </cell>
        </row>
        <row r="4101">
          <cell r="A4101" t="str">
            <v>RS</v>
          </cell>
          <cell r="B4101">
            <v>2010</v>
          </cell>
          <cell r="D4101" t="str">
            <v>MILHO</v>
          </cell>
          <cell r="E4101">
            <v>0</v>
          </cell>
        </row>
        <row r="4102">
          <cell r="A4102" t="str">
            <v>RS</v>
          </cell>
          <cell r="B4102">
            <v>2010</v>
          </cell>
          <cell r="D4102" t="str">
            <v>SOJA</v>
          </cell>
          <cell r="E4102">
            <v>8732.1428571428569</v>
          </cell>
        </row>
        <row r="4103">
          <cell r="A4103" t="str">
            <v>RS</v>
          </cell>
          <cell r="B4103">
            <v>2010</v>
          </cell>
          <cell r="D4103" t="str">
            <v>SOJA</v>
          </cell>
          <cell r="E4103">
            <v>0</v>
          </cell>
        </row>
        <row r="4104">
          <cell r="A4104" t="str">
            <v>MS</v>
          </cell>
          <cell r="B4104">
            <v>2010</v>
          </cell>
          <cell r="D4104" t="str">
            <v>SOJA</v>
          </cell>
          <cell r="E4104">
            <v>0</v>
          </cell>
        </row>
        <row r="4105">
          <cell r="A4105" t="str">
            <v>MS</v>
          </cell>
          <cell r="B4105">
            <v>2010</v>
          </cell>
          <cell r="D4105" t="str">
            <v>SOJA</v>
          </cell>
          <cell r="E4105">
            <v>10339.285714285714</v>
          </cell>
        </row>
        <row r="4106">
          <cell r="A4106" t="str">
            <v>MS</v>
          </cell>
          <cell r="B4106">
            <v>2010</v>
          </cell>
          <cell r="D4106" t="str">
            <v>SOJA</v>
          </cell>
          <cell r="E4106">
            <v>8271.4285714285706</v>
          </cell>
        </row>
        <row r="4107">
          <cell r="A4107" t="str">
            <v>MS</v>
          </cell>
          <cell r="B4107">
            <v>2010</v>
          </cell>
          <cell r="D4107" t="str">
            <v>SOJA</v>
          </cell>
          <cell r="E4107">
            <v>24117.857142857145</v>
          </cell>
        </row>
        <row r="4108">
          <cell r="A4108" t="str">
            <v>MS</v>
          </cell>
          <cell r="B4108">
            <v>2010</v>
          </cell>
          <cell r="D4108" t="str">
            <v>SOJA</v>
          </cell>
          <cell r="E4108">
            <v>0</v>
          </cell>
        </row>
        <row r="4109">
          <cell r="A4109" t="str">
            <v>MS</v>
          </cell>
          <cell r="B4109">
            <v>2010</v>
          </cell>
          <cell r="D4109" t="str">
            <v>SOJA</v>
          </cell>
          <cell r="E4109">
            <v>0</v>
          </cell>
        </row>
        <row r="4110">
          <cell r="A4110" t="str">
            <v>MS</v>
          </cell>
          <cell r="B4110">
            <v>2010</v>
          </cell>
          <cell r="D4110" t="str">
            <v>SOJA</v>
          </cell>
          <cell r="E4110">
            <v>5517.8571428571431</v>
          </cell>
        </row>
        <row r="4111">
          <cell r="A4111" t="str">
            <v>SC</v>
          </cell>
          <cell r="B4111">
            <v>2010</v>
          </cell>
          <cell r="D4111" t="str">
            <v>MILHO</v>
          </cell>
          <cell r="E4111">
            <v>29403.000000000004</v>
          </cell>
        </row>
        <row r="4112">
          <cell r="A4112" t="str">
            <v>SC</v>
          </cell>
          <cell r="B4112">
            <v>2010</v>
          </cell>
          <cell r="D4112" t="str">
            <v>SOJA</v>
          </cell>
          <cell r="E4112">
            <v>62817.857142857145</v>
          </cell>
        </row>
        <row r="4113">
          <cell r="A4113" t="str">
            <v>MT</v>
          </cell>
          <cell r="B4113">
            <v>2010</v>
          </cell>
          <cell r="D4113" t="str">
            <v>SOJA</v>
          </cell>
          <cell r="E4113">
            <v>0</v>
          </cell>
        </row>
        <row r="4114">
          <cell r="A4114" t="str">
            <v>PI</v>
          </cell>
          <cell r="B4114">
            <v>2010</v>
          </cell>
          <cell r="D4114" t="str">
            <v>SOJA</v>
          </cell>
          <cell r="E4114">
            <v>20132.142857142855</v>
          </cell>
        </row>
        <row r="4115">
          <cell r="A4115" t="str">
            <v>PI</v>
          </cell>
          <cell r="B4115">
            <v>2010</v>
          </cell>
          <cell r="D4115" t="str">
            <v>SOJA</v>
          </cell>
          <cell r="E4115">
            <v>0</v>
          </cell>
        </row>
        <row r="4116">
          <cell r="A4116" t="str">
            <v>PI</v>
          </cell>
          <cell r="B4116">
            <v>2010</v>
          </cell>
          <cell r="D4116" t="str">
            <v>SOJA</v>
          </cell>
          <cell r="E4116">
            <v>0</v>
          </cell>
        </row>
        <row r="4117">
          <cell r="A4117" t="str">
            <v>PI</v>
          </cell>
          <cell r="B4117">
            <v>2010</v>
          </cell>
          <cell r="D4117" t="str">
            <v>SOJA</v>
          </cell>
          <cell r="E4117">
            <v>20132.142857142855</v>
          </cell>
        </row>
        <row r="4118">
          <cell r="A4118" t="str">
            <v>GO</v>
          </cell>
          <cell r="B4118">
            <v>2010</v>
          </cell>
          <cell r="D4118" t="str">
            <v>SOJA</v>
          </cell>
          <cell r="E4118">
            <v>0</v>
          </cell>
        </row>
        <row r="4119">
          <cell r="A4119" t="str">
            <v>GO</v>
          </cell>
          <cell r="B4119">
            <v>2010</v>
          </cell>
          <cell r="D4119" t="str">
            <v>SOJA</v>
          </cell>
          <cell r="E4119">
            <v>4500</v>
          </cell>
        </row>
        <row r="4120">
          <cell r="A4120" t="str">
            <v>MT</v>
          </cell>
          <cell r="B4120">
            <v>2010</v>
          </cell>
          <cell r="D4120" t="str">
            <v>SOJA</v>
          </cell>
          <cell r="E4120">
            <v>0</v>
          </cell>
        </row>
        <row r="4121">
          <cell r="A4121" t="str">
            <v>TO</v>
          </cell>
          <cell r="B4121">
            <v>2010</v>
          </cell>
          <cell r="D4121" t="str">
            <v>SOJA</v>
          </cell>
          <cell r="E4121">
            <v>0</v>
          </cell>
        </row>
        <row r="4122">
          <cell r="A4122" t="str">
            <v>TO</v>
          </cell>
          <cell r="B4122">
            <v>2010</v>
          </cell>
          <cell r="D4122" t="str">
            <v>SOJA</v>
          </cell>
          <cell r="E4122">
            <v>11614.285714285714</v>
          </cell>
        </row>
        <row r="4123">
          <cell r="A4123" t="str">
            <v>MA</v>
          </cell>
          <cell r="B4123">
            <v>2010</v>
          </cell>
          <cell r="D4123" t="str">
            <v>SOJA</v>
          </cell>
          <cell r="E4123">
            <v>0</v>
          </cell>
        </row>
        <row r="4124">
          <cell r="A4124" t="str">
            <v>MA</v>
          </cell>
          <cell r="B4124">
            <v>2010</v>
          </cell>
          <cell r="D4124" t="str">
            <v>SOJA</v>
          </cell>
          <cell r="E4124">
            <v>13553.571428571429</v>
          </cell>
        </row>
        <row r="4125">
          <cell r="A4125" t="str">
            <v>RS</v>
          </cell>
          <cell r="B4125">
            <v>2010</v>
          </cell>
          <cell r="D4125" t="str">
            <v>MILHO</v>
          </cell>
          <cell r="E4125">
            <v>0</v>
          </cell>
        </row>
        <row r="4126">
          <cell r="A4126" t="str">
            <v>RS</v>
          </cell>
          <cell r="B4126">
            <v>2010</v>
          </cell>
          <cell r="D4126" t="str">
            <v>SOJA</v>
          </cell>
          <cell r="E4126">
            <v>2185.7142857142853</v>
          </cell>
        </row>
        <row r="4127">
          <cell r="A4127" t="str">
            <v>RS</v>
          </cell>
          <cell r="B4127">
            <v>2010</v>
          </cell>
          <cell r="D4127" t="str">
            <v>SOJA</v>
          </cell>
          <cell r="E4127">
            <v>16371.428571428571</v>
          </cell>
        </row>
        <row r="4128">
          <cell r="A4128" t="str">
            <v>RS</v>
          </cell>
          <cell r="B4128">
            <v>2010</v>
          </cell>
          <cell r="D4128" t="str">
            <v>SOJA</v>
          </cell>
          <cell r="E4128">
            <v>0</v>
          </cell>
        </row>
        <row r="4129">
          <cell r="A4129" t="str">
            <v>MT</v>
          </cell>
          <cell r="B4129">
            <v>2010</v>
          </cell>
          <cell r="D4129" t="str">
            <v>SOJA</v>
          </cell>
          <cell r="E4129">
            <v>2035.7142857142856</v>
          </cell>
        </row>
        <row r="4130">
          <cell r="A4130" t="str">
            <v>MT</v>
          </cell>
          <cell r="B4130">
            <v>2010</v>
          </cell>
          <cell r="D4130" t="str">
            <v>SOJA</v>
          </cell>
          <cell r="E4130">
            <v>0</v>
          </cell>
        </row>
        <row r="4131">
          <cell r="A4131" t="str">
            <v>MT</v>
          </cell>
          <cell r="B4131">
            <v>2010</v>
          </cell>
          <cell r="D4131" t="str">
            <v>SOJA</v>
          </cell>
          <cell r="E4131">
            <v>0</v>
          </cell>
        </row>
        <row r="4132">
          <cell r="A4132" t="str">
            <v>BA</v>
          </cell>
          <cell r="B4132">
            <v>2010</v>
          </cell>
          <cell r="D4132" t="str">
            <v>SOJA</v>
          </cell>
          <cell r="E4132">
            <v>30953.571428571428</v>
          </cell>
        </row>
        <row r="4133">
          <cell r="A4133" t="str">
            <v>PI</v>
          </cell>
          <cell r="B4133">
            <v>2010</v>
          </cell>
          <cell r="D4133" t="str">
            <v>SOJA</v>
          </cell>
          <cell r="E4133">
            <v>1832.1428571428571</v>
          </cell>
        </row>
        <row r="4134">
          <cell r="A4134" t="str">
            <v>PI</v>
          </cell>
          <cell r="B4134">
            <v>2010</v>
          </cell>
          <cell r="D4134" t="str">
            <v>SOJA</v>
          </cell>
          <cell r="E4134">
            <v>0</v>
          </cell>
        </row>
        <row r="4135">
          <cell r="A4135" t="str">
            <v>PI</v>
          </cell>
          <cell r="B4135">
            <v>2010</v>
          </cell>
          <cell r="D4135" t="str">
            <v>SOJA</v>
          </cell>
          <cell r="E4135">
            <v>20132.142857142855</v>
          </cell>
        </row>
        <row r="4136">
          <cell r="A4136" t="str">
            <v>PI</v>
          </cell>
          <cell r="B4136">
            <v>2010</v>
          </cell>
          <cell r="D4136" t="str">
            <v>SOJA</v>
          </cell>
          <cell r="E4136">
            <v>0</v>
          </cell>
        </row>
        <row r="4137">
          <cell r="A4137" t="str">
            <v>GO</v>
          </cell>
          <cell r="B4137">
            <v>2010</v>
          </cell>
          <cell r="D4137" t="str">
            <v>MILHO</v>
          </cell>
          <cell r="E4137">
            <v>4378</v>
          </cell>
        </row>
        <row r="4138">
          <cell r="A4138" t="str">
            <v>GO</v>
          </cell>
          <cell r="B4138">
            <v>2010</v>
          </cell>
          <cell r="D4138" t="str">
            <v>SOJA</v>
          </cell>
          <cell r="E4138">
            <v>0</v>
          </cell>
        </row>
        <row r="4139">
          <cell r="A4139" t="str">
            <v>TO</v>
          </cell>
          <cell r="B4139">
            <v>2010</v>
          </cell>
          <cell r="D4139" t="str">
            <v>SOJA</v>
          </cell>
          <cell r="E4139">
            <v>0</v>
          </cell>
        </row>
        <row r="4140">
          <cell r="A4140" t="str">
            <v>TO</v>
          </cell>
          <cell r="B4140">
            <v>2010</v>
          </cell>
          <cell r="D4140" t="str">
            <v>SOJA</v>
          </cell>
          <cell r="E4140">
            <v>7746.4285714285716</v>
          </cell>
        </row>
        <row r="4141">
          <cell r="A4141" t="str">
            <v>MA</v>
          </cell>
          <cell r="B4141">
            <v>2010</v>
          </cell>
          <cell r="D4141" t="str">
            <v>SOJA</v>
          </cell>
          <cell r="E4141">
            <v>11614.285714285714</v>
          </cell>
        </row>
        <row r="4142">
          <cell r="A4142" t="str">
            <v>MA</v>
          </cell>
          <cell r="B4142">
            <v>2010</v>
          </cell>
          <cell r="D4142" t="str">
            <v>SOJA</v>
          </cell>
          <cell r="E4142">
            <v>0</v>
          </cell>
        </row>
        <row r="4143">
          <cell r="A4143" t="str">
            <v>GO</v>
          </cell>
          <cell r="B4143">
            <v>2010</v>
          </cell>
          <cell r="D4143" t="str">
            <v>SOJA</v>
          </cell>
          <cell r="E4143">
            <v>899.99999999999989</v>
          </cell>
        </row>
        <row r="4144">
          <cell r="A4144" t="str">
            <v>GO</v>
          </cell>
          <cell r="B4144">
            <v>2010</v>
          </cell>
          <cell r="D4144" t="str">
            <v>SOJA</v>
          </cell>
          <cell r="E4144">
            <v>2699.9999999999995</v>
          </cell>
        </row>
        <row r="4145">
          <cell r="A4145" t="str">
            <v>GO</v>
          </cell>
          <cell r="B4145">
            <v>2010</v>
          </cell>
          <cell r="D4145" t="str">
            <v>SOJA</v>
          </cell>
          <cell r="E4145">
            <v>0</v>
          </cell>
        </row>
        <row r="4146">
          <cell r="A4146" t="str">
            <v>MA</v>
          </cell>
          <cell r="B4146">
            <v>2010</v>
          </cell>
          <cell r="D4146" t="str">
            <v>SOJA</v>
          </cell>
          <cell r="E4146">
            <v>0</v>
          </cell>
        </row>
        <row r="4147">
          <cell r="A4147" t="str">
            <v>MA</v>
          </cell>
          <cell r="B4147">
            <v>2010</v>
          </cell>
          <cell r="D4147" t="str">
            <v>SOJA</v>
          </cell>
          <cell r="E4147">
            <v>11614.285714285714</v>
          </cell>
        </row>
        <row r="4148">
          <cell r="A4148" t="str">
            <v>PR</v>
          </cell>
          <cell r="B4148">
            <v>2010</v>
          </cell>
          <cell r="D4148" t="str">
            <v>MILHO</v>
          </cell>
          <cell r="E4148">
            <v>2640</v>
          </cell>
        </row>
        <row r="4149">
          <cell r="A4149" t="str">
            <v>PR</v>
          </cell>
          <cell r="B4149">
            <v>2010</v>
          </cell>
          <cell r="D4149" t="str">
            <v>MILHO</v>
          </cell>
          <cell r="E4149">
            <v>0</v>
          </cell>
        </row>
        <row r="4150">
          <cell r="A4150" t="str">
            <v>PR</v>
          </cell>
          <cell r="B4150">
            <v>2010</v>
          </cell>
          <cell r="D4150" t="str">
            <v>SOJA</v>
          </cell>
          <cell r="E4150">
            <v>9214.2857142857138</v>
          </cell>
        </row>
        <row r="4151">
          <cell r="A4151" t="str">
            <v>PR</v>
          </cell>
          <cell r="B4151">
            <v>2010</v>
          </cell>
          <cell r="D4151" t="str">
            <v>SOJA</v>
          </cell>
          <cell r="E4151">
            <v>0</v>
          </cell>
        </row>
        <row r="4152">
          <cell r="A4152" t="str">
            <v>TO</v>
          </cell>
          <cell r="B4152">
            <v>2010</v>
          </cell>
          <cell r="D4152" t="str">
            <v>SOJA</v>
          </cell>
          <cell r="E4152">
            <v>5710.7142857142853</v>
          </cell>
        </row>
        <row r="4153">
          <cell r="A4153" t="str">
            <v>TO</v>
          </cell>
          <cell r="B4153">
            <v>2010</v>
          </cell>
          <cell r="D4153" t="str">
            <v>SOJA</v>
          </cell>
          <cell r="E4153">
            <v>0</v>
          </cell>
        </row>
        <row r="4154">
          <cell r="A4154" t="str">
            <v>PI</v>
          </cell>
          <cell r="B4154">
            <v>2010</v>
          </cell>
          <cell r="D4154" t="str">
            <v>SOJA</v>
          </cell>
          <cell r="E4154">
            <v>0</v>
          </cell>
        </row>
        <row r="4155">
          <cell r="A4155" t="str">
            <v>PI</v>
          </cell>
          <cell r="B4155">
            <v>2010</v>
          </cell>
          <cell r="D4155" t="str">
            <v>SOJA</v>
          </cell>
          <cell r="E4155">
            <v>17292.857142857145</v>
          </cell>
        </row>
        <row r="4156">
          <cell r="A4156" t="str">
            <v>MA</v>
          </cell>
          <cell r="B4156">
            <v>2010</v>
          </cell>
          <cell r="D4156" t="str">
            <v>SOJA</v>
          </cell>
          <cell r="E4156">
            <v>0</v>
          </cell>
        </row>
        <row r="4157">
          <cell r="A4157" t="str">
            <v>MA</v>
          </cell>
          <cell r="B4157">
            <v>2010</v>
          </cell>
          <cell r="D4157" t="str">
            <v>SOJA</v>
          </cell>
          <cell r="E4157">
            <v>7746.4285714285716</v>
          </cell>
        </row>
        <row r="4158">
          <cell r="A4158" t="str">
            <v>MA</v>
          </cell>
          <cell r="B4158">
            <v>2010</v>
          </cell>
          <cell r="D4158" t="str">
            <v>SOJA</v>
          </cell>
          <cell r="E4158">
            <v>0</v>
          </cell>
        </row>
        <row r="4159">
          <cell r="A4159" t="str">
            <v>MA</v>
          </cell>
          <cell r="B4159">
            <v>2010</v>
          </cell>
          <cell r="D4159" t="str">
            <v>SOJA</v>
          </cell>
          <cell r="E4159">
            <v>2903.5714285714284</v>
          </cell>
        </row>
        <row r="4160">
          <cell r="A4160" t="str">
            <v>PR</v>
          </cell>
          <cell r="B4160">
            <v>2010</v>
          </cell>
          <cell r="D4160" t="str">
            <v>MILHO</v>
          </cell>
          <cell r="E4160">
            <v>0</v>
          </cell>
        </row>
        <row r="4161">
          <cell r="A4161" t="str">
            <v>PR</v>
          </cell>
          <cell r="B4161">
            <v>2010</v>
          </cell>
          <cell r="D4161" t="str">
            <v>MILHO</v>
          </cell>
          <cell r="E4161">
            <v>3509.0000000000005</v>
          </cell>
        </row>
        <row r="4162">
          <cell r="A4162" t="str">
            <v>PR</v>
          </cell>
          <cell r="B4162">
            <v>2010</v>
          </cell>
          <cell r="D4162" t="str">
            <v>SOJA</v>
          </cell>
          <cell r="E4162">
            <v>0</v>
          </cell>
        </row>
        <row r="4163">
          <cell r="A4163" t="str">
            <v>PR</v>
          </cell>
          <cell r="B4163">
            <v>2010</v>
          </cell>
          <cell r="D4163" t="str">
            <v>SOJA</v>
          </cell>
          <cell r="E4163">
            <v>4607.1428571428569</v>
          </cell>
        </row>
        <row r="4164">
          <cell r="A4164" t="str">
            <v>PR</v>
          </cell>
          <cell r="B4164">
            <v>2010</v>
          </cell>
          <cell r="D4164" t="str">
            <v>MILHO</v>
          </cell>
          <cell r="E4164">
            <v>1760.0000000000002</v>
          </cell>
        </row>
        <row r="4165">
          <cell r="A4165" t="str">
            <v>PR</v>
          </cell>
          <cell r="B4165">
            <v>2010</v>
          </cell>
          <cell r="D4165" t="str">
            <v>SOJA</v>
          </cell>
          <cell r="E4165">
            <v>0</v>
          </cell>
        </row>
        <row r="4166">
          <cell r="A4166" t="str">
            <v>PR</v>
          </cell>
          <cell r="B4166">
            <v>2010</v>
          </cell>
          <cell r="D4166" t="str">
            <v>SOJA</v>
          </cell>
          <cell r="E4166">
            <v>5528.5714285714284</v>
          </cell>
        </row>
        <row r="4167">
          <cell r="A4167" t="str">
            <v>PR</v>
          </cell>
          <cell r="B4167">
            <v>2010</v>
          </cell>
          <cell r="D4167" t="str">
            <v>MILHO</v>
          </cell>
          <cell r="E4167">
            <v>880.00000000000011</v>
          </cell>
        </row>
        <row r="4168">
          <cell r="A4168" t="str">
            <v>PR</v>
          </cell>
          <cell r="B4168">
            <v>2010</v>
          </cell>
          <cell r="D4168" t="str">
            <v>MILHO</v>
          </cell>
          <cell r="E4168">
            <v>0</v>
          </cell>
        </row>
        <row r="4169">
          <cell r="A4169" t="str">
            <v>PR</v>
          </cell>
          <cell r="B4169">
            <v>2010</v>
          </cell>
          <cell r="D4169" t="str">
            <v>SOJA</v>
          </cell>
          <cell r="E4169">
            <v>4607.1428571428569</v>
          </cell>
        </row>
        <row r="4170">
          <cell r="A4170" t="str">
            <v>PR</v>
          </cell>
          <cell r="B4170">
            <v>2010</v>
          </cell>
          <cell r="D4170" t="str">
            <v>SOJA</v>
          </cell>
          <cell r="E4170">
            <v>0</v>
          </cell>
        </row>
        <row r="4171">
          <cell r="A4171" t="str">
            <v>MG</v>
          </cell>
          <cell r="B4171">
            <v>2010</v>
          </cell>
          <cell r="D4171" t="str">
            <v>MILHO</v>
          </cell>
          <cell r="E4171">
            <v>902</v>
          </cell>
        </row>
        <row r="4172">
          <cell r="A4172" t="str">
            <v>MG</v>
          </cell>
          <cell r="B4172">
            <v>2010</v>
          </cell>
          <cell r="D4172" t="str">
            <v>MILHO</v>
          </cell>
          <cell r="E4172">
            <v>902</v>
          </cell>
        </row>
        <row r="4173">
          <cell r="A4173" t="str">
            <v>MG</v>
          </cell>
          <cell r="B4173">
            <v>2010</v>
          </cell>
          <cell r="D4173" t="str">
            <v>MILHO</v>
          </cell>
          <cell r="E4173">
            <v>902</v>
          </cell>
        </row>
        <row r="4174">
          <cell r="A4174" t="str">
            <v>MG</v>
          </cell>
          <cell r="B4174">
            <v>2010</v>
          </cell>
          <cell r="D4174" t="str">
            <v>MILHO</v>
          </cell>
          <cell r="E4174">
            <v>902</v>
          </cell>
        </row>
        <row r="4175">
          <cell r="A4175" t="str">
            <v>MG</v>
          </cell>
          <cell r="B4175">
            <v>2010</v>
          </cell>
          <cell r="D4175" t="str">
            <v>MILHO</v>
          </cell>
          <cell r="E4175">
            <v>902</v>
          </cell>
        </row>
        <row r="4176">
          <cell r="A4176" t="str">
            <v>MG</v>
          </cell>
          <cell r="B4176">
            <v>2010</v>
          </cell>
          <cell r="D4176" t="str">
            <v>MILHO</v>
          </cell>
          <cell r="E4176">
            <v>902</v>
          </cell>
        </row>
        <row r="4177">
          <cell r="A4177" t="str">
            <v>MG</v>
          </cell>
          <cell r="B4177">
            <v>2010</v>
          </cell>
          <cell r="D4177" t="str">
            <v>MILHO</v>
          </cell>
          <cell r="E4177">
            <v>902</v>
          </cell>
        </row>
        <row r="4178">
          <cell r="A4178" t="str">
            <v>MG</v>
          </cell>
          <cell r="B4178">
            <v>2010</v>
          </cell>
          <cell r="D4178" t="str">
            <v>MILHO</v>
          </cell>
          <cell r="E4178">
            <v>902</v>
          </cell>
        </row>
        <row r="4179">
          <cell r="A4179" t="str">
            <v>MG</v>
          </cell>
          <cell r="B4179">
            <v>2010</v>
          </cell>
          <cell r="D4179" t="str">
            <v>MILHO</v>
          </cell>
          <cell r="E4179">
            <v>902</v>
          </cell>
        </row>
        <row r="4180">
          <cell r="A4180" t="str">
            <v>MG</v>
          </cell>
          <cell r="B4180">
            <v>2010</v>
          </cell>
          <cell r="D4180" t="str">
            <v>MILHO</v>
          </cell>
          <cell r="E4180">
            <v>902</v>
          </cell>
        </row>
        <row r="4181">
          <cell r="A4181" t="str">
            <v>MG</v>
          </cell>
          <cell r="B4181">
            <v>2010</v>
          </cell>
          <cell r="D4181" t="str">
            <v>MILHO</v>
          </cell>
          <cell r="E4181">
            <v>902</v>
          </cell>
        </row>
        <row r="4182">
          <cell r="A4182" t="str">
            <v>MG</v>
          </cell>
          <cell r="B4182">
            <v>2010</v>
          </cell>
          <cell r="D4182" t="str">
            <v>MILHO</v>
          </cell>
          <cell r="E4182">
            <v>902</v>
          </cell>
        </row>
        <row r="4183">
          <cell r="A4183" t="str">
            <v>MG</v>
          </cell>
          <cell r="B4183">
            <v>2010</v>
          </cell>
          <cell r="D4183" t="str">
            <v>MILHO</v>
          </cell>
          <cell r="E4183">
            <v>902</v>
          </cell>
        </row>
        <row r="4184">
          <cell r="A4184" t="str">
            <v>MG</v>
          </cell>
          <cell r="B4184">
            <v>2010</v>
          </cell>
          <cell r="D4184" t="str">
            <v>MILHO</v>
          </cell>
          <cell r="E4184">
            <v>902</v>
          </cell>
        </row>
        <row r="4185">
          <cell r="A4185" t="str">
            <v>MG</v>
          </cell>
          <cell r="B4185">
            <v>2010</v>
          </cell>
          <cell r="D4185" t="str">
            <v>MILHO</v>
          </cell>
          <cell r="E4185">
            <v>902</v>
          </cell>
        </row>
        <row r="4186">
          <cell r="A4186" t="str">
            <v>MG</v>
          </cell>
          <cell r="B4186">
            <v>2010</v>
          </cell>
          <cell r="D4186" t="str">
            <v>MILHO</v>
          </cell>
          <cell r="E4186">
            <v>1804</v>
          </cell>
        </row>
        <row r="4187">
          <cell r="A4187" t="str">
            <v>MG</v>
          </cell>
          <cell r="B4187">
            <v>2010</v>
          </cell>
          <cell r="D4187" t="str">
            <v>MILHO</v>
          </cell>
          <cell r="E4187">
            <v>1804</v>
          </cell>
        </row>
        <row r="4188">
          <cell r="A4188" t="str">
            <v>MG</v>
          </cell>
          <cell r="B4188">
            <v>2010</v>
          </cell>
          <cell r="D4188" t="str">
            <v>MILHO</v>
          </cell>
          <cell r="E4188">
            <v>1804</v>
          </cell>
        </row>
        <row r="4189">
          <cell r="A4189" t="str">
            <v>MG</v>
          </cell>
          <cell r="B4189">
            <v>2010</v>
          </cell>
          <cell r="D4189" t="str">
            <v>MILHO</v>
          </cell>
          <cell r="E4189">
            <v>1804</v>
          </cell>
        </row>
        <row r="4190">
          <cell r="A4190" t="str">
            <v>MG</v>
          </cell>
          <cell r="B4190">
            <v>2010</v>
          </cell>
          <cell r="D4190" t="str">
            <v>MILHO</v>
          </cell>
          <cell r="E4190">
            <v>1804</v>
          </cell>
        </row>
        <row r="4191">
          <cell r="A4191" t="str">
            <v>MG</v>
          </cell>
          <cell r="B4191">
            <v>2010</v>
          </cell>
          <cell r="D4191" t="str">
            <v>MILHO</v>
          </cell>
          <cell r="E4191">
            <v>1804</v>
          </cell>
        </row>
        <row r="4192">
          <cell r="A4192" t="str">
            <v>MG</v>
          </cell>
          <cell r="B4192">
            <v>2010</v>
          </cell>
          <cell r="D4192" t="str">
            <v>MILHO</v>
          </cell>
          <cell r="E4192">
            <v>1804</v>
          </cell>
        </row>
        <row r="4193">
          <cell r="A4193" t="str">
            <v>MG</v>
          </cell>
          <cell r="B4193">
            <v>2010</v>
          </cell>
          <cell r="D4193" t="str">
            <v>MILHO</v>
          </cell>
          <cell r="E4193">
            <v>1804</v>
          </cell>
        </row>
        <row r="4194">
          <cell r="A4194" t="str">
            <v>MG</v>
          </cell>
          <cell r="B4194">
            <v>2010</v>
          </cell>
          <cell r="D4194" t="str">
            <v>MILHO</v>
          </cell>
          <cell r="E4194">
            <v>1804</v>
          </cell>
        </row>
        <row r="4195">
          <cell r="A4195" t="str">
            <v>MG</v>
          </cell>
          <cell r="B4195">
            <v>2010</v>
          </cell>
          <cell r="D4195" t="str">
            <v>MILHO</v>
          </cell>
          <cell r="E4195">
            <v>1804</v>
          </cell>
        </row>
        <row r="4196">
          <cell r="A4196" t="str">
            <v>MG</v>
          </cell>
          <cell r="B4196">
            <v>2010</v>
          </cell>
          <cell r="D4196" t="str">
            <v>MILHO</v>
          </cell>
          <cell r="E4196">
            <v>2706</v>
          </cell>
        </row>
        <row r="4197">
          <cell r="A4197" t="str">
            <v>MG</v>
          </cell>
          <cell r="B4197">
            <v>2010</v>
          </cell>
          <cell r="D4197" t="str">
            <v>MILHO</v>
          </cell>
          <cell r="E4197">
            <v>2706</v>
          </cell>
        </row>
        <row r="4198">
          <cell r="A4198" t="str">
            <v>MG</v>
          </cell>
          <cell r="B4198">
            <v>2010</v>
          </cell>
          <cell r="D4198" t="str">
            <v>MILHO</v>
          </cell>
          <cell r="E4198">
            <v>2706</v>
          </cell>
        </row>
        <row r="4199">
          <cell r="A4199" t="str">
            <v>MG</v>
          </cell>
          <cell r="B4199">
            <v>2010</v>
          </cell>
          <cell r="D4199" t="str">
            <v>MILHO</v>
          </cell>
          <cell r="E4199">
            <v>2706</v>
          </cell>
        </row>
        <row r="4200">
          <cell r="A4200" t="str">
            <v>MG</v>
          </cell>
          <cell r="B4200">
            <v>2010</v>
          </cell>
          <cell r="D4200" t="str">
            <v>MILHO</v>
          </cell>
          <cell r="E4200">
            <v>2706</v>
          </cell>
        </row>
        <row r="4201">
          <cell r="A4201" t="str">
            <v>MG</v>
          </cell>
          <cell r="B4201">
            <v>2010</v>
          </cell>
          <cell r="D4201" t="str">
            <v>MILHO</v>
          </cell>
          <cell r="E4201">
            <v>2706</v>
          </cell>
        </row>
        <row r="4202">
          <cell r="A4202" t="str">
            <v>MG</v>
          </cell>
          <cell r="B4202">
            <v>2010</v>
          </cell>
          <cell r="D4202" t="str">
            <v>MILHO</v>
          </cell>
          <cell r="E4202">
            <v>2706</v>
          </cell>
        </row>
        <row r="4203">
          <cell r="A4203" t="str">
            <v>MG</v>
          </cell>
          <cell r="B4203">
            <v>2010</v>
          </cell>
          <cell r="D4203" t="str">
            <v>MILHO</v>
          </cell>
          <cell r="E4203">
            <v>2706</v>
          </cell>
        </row>
        <row r="4204">
          <cell r="A4204" t="str">
            <v>MG</v>
          </cell>
          <cell r="B4204">
            <v>2010</v>
          </cell>
          <cell r="D4204" t="str">
            <v>MILHO</v>
          </cell>
          <cell r="E4204">
            <v>3608</v>
          </cell>
        </row>
        <row r="4205">
          <cell r="A4205" t="str">
            <v>MG</v>
          </cell>
          <cell r="B4205">
            <v>2010</v>
          </cell>
          <cell r="D4205" t="str">
            <v>MILHO</v>
          </cell>
          <cell r="E4205">
            <v>3608</v>
          </cell>
        </row>
        <row r="4206">
          <cell r="A4206" t="str">
            <v>MG</v>
          </cell>
          <cell r="B4206">
            <v>2010</v>
          </cell>
          <cell r="D4206" t="str">
            <v>MILHO</v>
          </cell>
          <cell r="E4206">
            <v>4510</v>
          </cell>
        </row>
        <row r="4207">
          <cell r="A4207" t="str">
            <v>MG</v>
          </cell>
          <cell r="B4207">
            <v>2010</v>
          </cell>
          <cell r="D4207" t="str">
            <v>MILHO</v>
          </cell>
          <cell r="E4207">
            <v>4510</v>
          </cell>
        </row>
        <row r="4208">
          <cell r="A4208" t="str">
            <v>MG</v>
          </cell>
          <cell r="B4208">
            <v>2010</v>
          </cell>
          <cell r="D4208" t="str">
            <v>MILHO</v>
          </cell>
          <cell r="E4208">
            <v>5412</v>
          </cell>
        </row>
        <row r="4209">
          <cell r="A4209" t="str">
            <v>MG</v>
          </cell>
          <cell r="B4209">
            <v>2010</v>
          </cell>
          <cell r="D4209" t="str">
            <v>MILHO</v>
          </cell>
          <cell r="E4209">
            <v>8118</v>
          </cell>
        </row>
        <row r="4210">
          <cell r="A4210" t="str">
            <v>MG</v>
          </cell>
          <cell r="B4210">
            <v>2010</v>
          </cell>
          <cell r="D4210" t="str">
            <v>MILHO</v>
          </cell>
          <cell r="E4210">
            <v>11726</v>
          </cell>
        </row>
        <row r="4211">
          <cell r="A4211" t="str">
            <v>MG</v>
          </cell>
          <cell r="B4211">
            <v>2010</v>
          </cell>
          <cell r="D4211" t="str">
            <v>MILHO</v>
          </cell>
          <cell r="E4211">
            <v>13530.000000000002</v>
          </cell>
        </row>
        <row r="4212">
          <cell r="A4212" t="str">
            <v>MG</v>
          </cell>
          <cell r="B4212">
            <v>2010</v>
          </cell>
          <cell r="D4212" t="str">
            <v>MILHO</v>
          </cell>
          <cell r="E4212">
            <v>18040</v>
          </cell>
        </row>
        <row r="4213">
          <cell r="A4213" t="str">
            <v>MG</v>
          </cell>
          <cell r="B4213">
            <v>2010</v>
          </cell>
          <cell r="D4213" t="str">
            <v>MILHO</v>
          </cell>
          <cell r="E4213">
            <v>0</v>
          </cell>
        </row>
        <row r="4214">
          <cell r="A4214" t="str">
            <v>MG</v>
          </cell>
          <cell r="B4214">
            <v>2010</v>
          </cell>
          <cell r="D4214" t="str">
            <v>SOJA</v>
          </cell>
          <cell r="E4214">
            <v>846.42857142857144</v>
          </cell>
        </row>
        <row r="4215">
          <cell r="A4215" t="str">
            <v>MG</v>
          </cell>
          <cell r="B4215">
            <v>2010</v>
          </cell>
          <cell r="D4215" t="str">
            <v>SOJA</v>
          </cell>
          <cell r="E4215">
            <v>846.42857142857144</v>
          </cell>
        </row>
        <row r="4216">
          <cell r="A4216" t="str">
            <v>MG</v>
          </cell>
          <cell r="B4216">
            <v>2010</v>
          </cell>
          <cell r="D4216" t="str">
            <v>SOJA</v>
          </cell>
          <cell r="E4216">
            <v>1071.4285714285713</v>
          </cell>
        </row>
        <row r="4217">
          <cell r="A4217" t="str">
            <v>MG</v>
          </cell>
          <cell r="B4217">
            <v>2010</v>
          </cell>
          <cell r="D4217" t="str">
            <v>SOJA</v>
          </cell>
          <cell r="E4217">
            <v>1682.1428571428571</v>
          </cell>
        </row>
        <row r="4218">
          <cell r="A4218" t="str">
            <v>MG</v>
          </cell>
          <cell r="B4218">
            <v>2010</v>
          </cell>
          <cell r="D4218" t="str">
            <v>SOJA</v>
          </cell>
          <cell r="E4218">
            <v>1682.1428571428571</v>
          </cell>
        </row>
        <row r="4219">
          <cell r="A4219" t="str">
            <v>MG</v>
          </cell>
          <cell r="B4219">
            <v>2010</v>
          </cell>
          <cell r="D4219" t="str">
            <v>SOJA</v>
          </cell>
          <cell r="E4219">
            <v>1682.1428571428571</v>
          </cell>
        </row>
        <row r="4220">
          <cell r="A4220" t="str">
            <v>MG</v>
          </cell>
          <cell r="B4220">
            <v>2010</v>
          </cell>
          <cell r="D4220" t="str">
            <v>SOJA</v>
          </cell>
          <cell r="E4220">
            <v>1682.1428571428571</v>
          </cell>
        </row>
        <row r="4221">
          <cell r="A4221" t="str">
            <v>MG</v>
          </cell>
          <cell r="B4221">
            <v>2010</v>
          </cell>
          <cell r="D4221" t="str">
            <v>SOJA</v>
          </cell>
          <cell r="E4221">
            <v>1682.1428571428571</v>
          </cell>
        </row>
        <row r="4222">
          <cell r="A4222" t="str">
            <v>MG</v>
          </cell>
          <cell r="B4222">
            <v>2010</v>
          </cell>
          <cell r="D4222" t="str">
            <v>SOJA</v>
          </cell>
          <cell r="E4222">
            <v>0</v>
          </cell>
        </row>
        <row r="4223">
          <cell r="A4223" t="str">
            <v>MG</v>
          </cell>
          <cell r="B4223">
            <v>2010</v>
          </cell>
          <cell r="D4223" t="str">
            <v>SOJA</v>
          </cell>
          <cell r="E4223">
            <v>8432.1428571428569</v>
          </cell>
        </row>
        <row r="4224">
          <cell r="A4224" t="str">
            <v>GO</v>
          </cell>
          <cell r="B4224">
            <v>2010</v>
          </cell>
          <cell r="D4224" t="str">
            <v>MILHO</v>
          </cell>
          <cell r="E4224">
            <v>880.00000000000011</v>
          </cell>
        </row>
        <row r="4225">
          <cell r="A4225" t="str">
            <v>GO</v>
          </cell>
          <cell r="B4225">
            <v>2010</v>
          </cell>
          <cell r="D4225" t="str">
            <v>MILHO</v>
          </cell>
          <cell r="E4225">
            <v>0</v>
          </cell>
        </row>
        <row r="4226">
          <cell r="A4226" t="str">
            <v>GO</v>
          </cell>
          <cell r="B4226">
            <v>2010</v>
          </cell>
          <cell r="D4226" t="str">
            <v>SOJA</v>
          </cell>
          <cell r="E4226">
            <v>0</v>
          </cell>
        </row>
        <row r="4227">
          <cell r="A4227" t="str">
            <v>GO</v>
          </cell>
          <cell r="B4227">
            <v>2010</v>
          </cell>
          <cell r="D4227" t="str">
            <v>SOJA</v>
          </cell>
          <cell r="E4227">
            <v>10050</v>
          </cell>
        </row>
        <row r="4228">
          <cell r="A4228" t="str">
            <v>PR</v>
          </cell>
          <cell r="B4228">
            <v>2010</v>
          </cell>
          <cell r="D4228" t="str">
            <v>MILHO</v>
          </cell>
          <cell r="E4228">
            <v>0</v>
          </cell>
        </row>
        <row r="4229">
          <cell r="A4229" t="str">
            <v>PR</v>
          </cell>
          <cell r="B4229">
            <v>2010</v>
          </cell>
          <cell r="D4229" t="str">
            <v>SOJA</v>
          </cell>
          <cell r="E4229">
            <v>23035.714285714286</v>
          </cell>
        </row>
        <row r="4230">
          <cell r="A4230" t="str">
            <v>PR</v>
          </cell>
          <cell r="B4230">
            <v>2010</v>
          </cell>
          <cell r="D4230" t="str">
            <v>SOJA</v>
          </cell>
          <cell r="E4230">
            <v>0</v>
          </cell>
        </row>
        <row r="4231">
          <cell r="A4231" t="str">
            <v>PR</v>
          </cell>
          <cell r="B4231">
            <v>2010</v>
          </cell>
          <cell r="D4231" t="str">
            <v>MILHO</v>
          </cell>
          <cell r="E4231">
            <v>1760.0000000000002</v>
          </cell>
        </row>
        <row r="4232">
          <cell r="A4232" t="str">
            <v>PR</v>
          </cell>
          <cell r="B4232">
            <v>2010</v>
          </cell>
          <cell r="D4232" t="str">
            <v>MILHO</v>
          </cell>
          <cell r="E4232">
            <v>0</v>
          </cell>
        </row>
        <row r="4233">
          <cell r="A4233" t="str">
            <v>PR</v>
          </cell>
          <cell r="B4233">
            <v>2010</v>
          </cell>
          <cell r="D4233" t="str">
            <v>SOJA</v>
          </cell>
          <cell r="E4233">
            <v>0</v>
          </cell>
        </row>
        <row r="4234">
          <cell r="A4234" t="str">
            <v>PR</v>
          </cell>
          <cell r="B4234">
            <v>2010</v>
          </cell>
          <cell r="D4234" t="str">
            <v>SOJA</v>
          </cell>
          <cell r="E4234">
            <v>4607.1428571428569</v>
          </cell>
        </row>
        <row r="4235">
          <cell r="A4235" t="str">
            <v>PR</v>
          </cell>
          <cell r="B4235">
            <v>2010</v>
          </cell>
          <cell r="D4235" t="str">
            <v>MILHO</v>
          </cell>
          <cell r="E4235">
            <v>1760.0000000000002</v>
          </cell>
        </row>
        <row r="4236">
          <cell r="A4236" t="str">
            <v>PR</v>
          </cell>
          <cell r="B4236">
            <v>2010</v>
          </cell>
          <cell r="D4236" t="str">
            <v>MILHO</v>
          </cell>
          <cell r="E4236">
            <v>0</v>
          </cell>
        </row>
        <row r="4237">
          <cell r="A4237" t="str">
            <v>PR</v>
          </cell>
          <cell r="B4237">
            <v>2010</v>
          </cell>
          <cell r="D4237" t="str">
            <v>SOJA</v>
          </cell>
          <cell r="E4237">
            <v>0</v>
          </cell>
        </row>
        <row r="4238">
          <cell r="A4238" t="str">
            <v>PR</v>
          </cell>
          <cell r="B4238">
            <v>2010</v>
          </cell>
          <cell r="D4238" t="str">
            <v>SOJA</v>
          </cell>
          <cell r="E4238">
            <v>11978.571428571428</v>
          </cell>
        </row>
        <row r="4239">
          <cell r="A4239" t="str">
            <v>PR</v>
          </cell>
          <cell r="B4239">
            <v>2010</v>
          </cell>
          <cell r="D4239" t="str">
            <v>MILHO</v>
          </cell>
          <cell r="E4239">
            <v>2640</v>
          </cell>
        </row>
        <row r="4240">
          <cell r="A4240" t="str">
            <v>PR</v>
          </cell>
          <cell r="B4240">
            <v>2010</v>
          </cell>
          <cell r="D4240" t="str">
            <v>MILHO</v>
          </cell>
          <cell r="E4240">
            <v>0</v>
          </cell>
        </row>
        <row r="4241">
          <cell r="A4241" t="str">
            <v>PR</v>
          </cell>
          <cell r="B4241">
            <v>2010</v>
          </cell>
          <cell r="D4241" t="str">
            <v>SOJA</v>
          </cell>
          <cell r="E4241">
            <v>0</v>
          </cell>
        </row>
        <row r="4242">
          <cell r="A4242" t="str">
            <v>PR</v>
          </cell>
          <cell r="B4242">
            <v>2010</v>
          </cell>
          <cell r="D4242" t="str">
            <v>SOJA</v>
          </cell>
          <cell r="E4242">
            <v>4607.1428571428569</v>
          </cell>
        </row>
        <row r="4243">
          <cell r="A4243" t="str">
            <v>RS</v>
          </cell>
          <cell r="B4243">
            <v>2010</v>
          </cell>
          <cell r="D4243" t="str">
            <v>SOJA</v>
          </cell>
          <cell r="E4243">
            <v>0</v>
          </cell>
        </row>
        <row r="4244">
          <cell r="A4244" t="str">
            <v>RS</v>
          </cell>
          <cell r="B4244">
            <v>2010</v>
          </cell>
          <cell r="D4244" t="str">
            <v>SOJA</v>
          </cell>
          <cell r="E4244">
            <v>0</v>
          </cell>
        </row>
        <row r="4245">
          <cell r="A4245" t="str">
            <v>PR</v>
          </cell>
          <cell r="B4245">
            <v>2010</v>
          </cell>
          <cell r="D4245" t="str">
            <v>MILHO</v>
          </cell>
          <cell r="E4245">
            <v>4389</v>
          </cell>
        </row>
        <row r="4246">
          <cell r="A4246" t="str">
            <v>PR</v>
          </cell>
          <cell r="B4246">
            <v>2010</v>
          </cell>
          <cell r="D4246" t="str">
            <v>MILHO</v>
          </cell>
          <cell r="E4246">
            <v>0</v>
          </cell>
        </row>
        <row r="4247">
          <cell r="A4247" t="str">
            <v>PR</v>
          </cell>
          <cell r="B4247">
            <v>2010</v>
          </cell>
          <cell r="D4247" t="str">
            <v>SOJA</v>
          </cell>
          <cell r="E4247">
            <v>13821.428571428571</v>
          </cell>
        </row>
        <row r="4248">
          <cell r="A4248" t="str">
            <v>PR</v>
          </cell>
          <cell r="B4248">
            <v>2010</v>
          </cell>
          <cell r="D4248" t="str">
            <v>SOJA</v>
          </cell>
          <cell r="E4248">
            <v>0</v>
          </cell>
        </row>
        <row r="4249">
          <cell r="A4249" t="str">
            <v>MT</v>
          </cell>
          <cell r="B4249">
            <v>2010</v>
          </cell>
          <cell r="D4249" t="str">
            <v>SOJA</v>
          </cell>
          <cell r="E4249">
            <v>0</v>
          </cell>
        </row>
        <row r="4250">
          <cell r="A4250" t="str">
            <v>MT</v>
          </cell>
          <cell r="B4250">
            <v>2010</v>
          </cell>
          <cell r="D4250" t="str">
            <v>SOJA</v>
          </cell>
          <cell r="E4250">
            <v>0</v>
          </cell>
        </row>
        <row r="4251">
          <cell r="A4251" t="str">
            <v>BA</v>
          </cell>
          <cell r="B4251">
            <v>2010</v>
          </cell>
          <cell r="D4251" t="str">
            <v>SOJA</v>
          </cell>
          <cell r="E4251">
            <v>6192.8571428571431</v>
          </cell>
        </row>
        <row r="4252">
          <cell r="A4252" t="str">
            <v>MT</v>
          </cell>
          <cell r="B4252">
            <v>2010</v>
          </cell>
          <cell r="D4252" t="str">
            <v>SOJA</v>
          </cell>
          <cell r="E4252">
            <v>0</v>
          </cell>
        </row>
        <row r="4253">
          <cell r="A4253" t="str">
            <v>MT</v>
          </cell>
          <cell r="B4253">
            <v>2010</v>
          </cell>
          <cell r="D4253" t="str">
            <v>SOJA</v>
          </cell>
          <cell r="E4253">
            <v>0</v>
          </cell>
        </row>
        <row r="4254">
          <cell r="A4254" t="str">
            <v>BA</v>
          </cell>
          <cell r="B4254">
            <v>2010</v>
          </cell>
          <cell r="D4254" t="str">
            <v>SOJA</v>
          </cell>
          <cell r="E4254">
            <v>36107.142857142862</v>
          </cell>
        </row>
        <row r="4255">
          <cell r="A4255" t="str">
            <v>RS</v>
          </cell>
          <cell r="B4255">
            <v>2010</v>
          </cell>
          <cell r="D4255" t="str">
            <v>SOJA</v>
          </cell>
          <cell r="E4255">
            <v>5453.5714285714284</v>
          </cell>
        </row>
        <row r="4256">
          <cell r="A4256" t="str">
            <v>RS</v>
          </cell>
          <cell r="B4256">
            <v>2010</v>
          </cell>
          <cell r="D4256" t="str">
            <v>SOJA</v>
          </cell>
          <cell r="E4256">
            <v>7639.2857142857147</v>
          </cell>
        </row>
        <row r="4257">
          <cell r="A4257" t="str">
            <v>RS</v>
          </cell>
          <cell r="B4257">
            <v>2010</v>
          </cell>
          <cell r="D4257" t="str">
            <v>SOJA</v>
          </cell>
          <cell r="E4257">
            <v>15825</v>
          </cell>
        </row>
        <row r="4258">
          <cell r="A4258" t="str">
            <v>RS</v>
          </cell>
          <cell r="B4258">
            <v>2010</v>
          </cell>
          <cell r="D4258" t="str">
            <v>SOJA</v>
          </cell>
          <cell r="E4258">
            <v>23999.999999999996</v>
          </cell>
        </row>
        <row r="4259">
          <cell r="A4259" t="str">
            <v>RS</v>
          </cell>
          <cell r="B4259">
            <v>2010</v>
          </cell>
          <cell r="D4259" t="str">
            <v>SOJA</v>
          </cell>
          <cell r="E4259">
            <v>44732.142857142855</v>
          </cell>
        </row>
        <row r="4260">
          <cell r="A4260" t="str">
            <v>RS</v>
          </cell>
          <cell r="B4260">
            <v>2010</v>
          </cell>
          <cell r="D4260" t="str">
            <v>MILHO</v>
          </cell>
          <cell r="E4260">
            <v>572.00000000000011</v>
          </cell>
        </row>
        <row r="4261">
          <cell r="A4261" t="str">
            <v>RS</v>
          </cell>
          <cell r="B4261">
            <v>2010</v>
          </cell>
          <cell r="D4261" t="str">
            <v>MILHO</v>
          </cell>
          <cell r="E4261">
            <v>0</v>
          </cell>
        </row>
        <row r="4262">
          <cell r="A4262" t="str">
            <v>RS</v>
          </cell>
          <cell r="B4262">
            <v>2010</v>
          </cell>
          <cell r="D4262" t="str">
            <v>SOJA</v>
          </cell>
          <cell r="E4262">
            <v>10907.142857142857</v>
          </cell>
        </row>
        <row r="4263">
          <cell r="A4263" t="str">
            <v>RS</v>
          </cell>
          <cell r="B4263">
            <v>2010</v>
          </cell>
          <cell r="D4263" t="str">
            <v>SOJA</v>
          </cell>
          <cell r="E4263">
            <v>0</v>
          </cell>
        </row>
        <row r="4264">
          <cell r="A4264" t="str">
            <v>RS</v>
          </cell>
          <cell r="B4264">
            <v>2010</v>
          </cell>
          <cell r="D4264" t="str">
            <v>MILHO</v>
          </cell>
          <cell r="E4264">
            <v>0</v>
          </cell>
        </row>
        <row r="4265">
          <cell r="A4265" t="str">
            <v>RS</v>
          </cell>
          <cell r="B4265">
            <v>2010</v>
          </cell>
          <cell r="D4265" t="str">
            <v>SOJA</v>
          </cell>
          <cell r="E4265">
            <v>16371.428571428571</v>
          </cell>
        </row>
        <row r="4266">
          <cell r="A4266" t="str">
            <v>RS</v>
          </cell>
          <cell r="B4266">
            <v>2010</v>
          </cell>
          <cell r="D4266" t="str">
            <v>SOJA</v>
          </cell>
          <cell r="E4266">
            <v>0</v>
          </cell>
        </row>
        <row r="4267">
          <cell r="A4267" t="str">
            <v>PR</v>
          </cell>
          <cell r="B4267">
            <v>2010</v>
          </cell>
          <cell r="D4267" t="str">
            <v>MILHO</v>
          </cell>
          <cell r="E4267">
            <v>0</v>
          </cell>
        </row>
        <row r="4268">
          <cell r="A4268" t="str">
            <v>PR</v>
          </cell>
          <cell r="B4268">
            <v>2010</v>
          </cell>
          <cell r="D4268" t="str">
            <v>SOJA</v>
          </cell>
          <cell r="E4268">
            <v>0</v>
          </cell>
        </row>
        <row r="4269">
          <cell r="A4269" t="str">
            <v>PR</v>
          </cell>
          <cell r="B4269">
            <v>2010</v>
          </cell>
          <cell r="D4269" t="str">
            <v>MILHO</v>
          </cell>
          <cell r="E4269">
            <v>0</v>
          </cell>
        </row>
        <row r="4270">
          <cell r="A4270" t="str">
            <v>PR</v>
          </cell>
          <cell r="B4270">
            <v>2010</v>
          </cell>
          <cell r="D4270" t="str">
            <v>SOJA</v>
          </cell>
          <cell r="E4270">
            <v>0</v>
          </cell>
        </row>
        <row r="4271">
          <cell r="A4271" t="str">
            <v>PR</v>
          </cell>
          <cell r="B4271">
            <v>2010</v>
          </cell>
          <cell r="D4271" t="str">
            <v>MILHO</v>
          </cell>
          <cell r="E4271">
            <v>0</v>
          </cell>
        </row>
        <row r="4272">
          <cell r="A4272" t="str">
            <v>PR</v>
          </cell>
          <cell r="B4272">
            <v>2010</v>
          </cell>
          <cell r="D4272" t="str">
            <v>SOJA</v>
          </cell>
          <cell r="E4272">
            <v>0</v>
          </cell>
        </row>
        <row r="4273">
          <cell r="A4273" t="str">
            <v>PR</v>
          </cell>
          <cell r="B4273">
            <v>2010</v>
          </cell>
          <cell r="D4273" t="str">
            <v>MILHO</v>
          </cell>
          <cell r="E4273">
            <v>0</v>
          </cell>
        </row>
        <row r="4274">
          <cell r="A4274" t="str">
            <v>PR</v>
          </cell>
          <cell r="B4274">
            <v>2010</v>
          </cell>
          <cell r="D4274" t="str">
            <v>SOJA</v>
          </cell>
          <cell r="E4274">
            <v>0</v>
          </cell>
        </row>
        <row r="4275">
          <cell r="A4275" t="str">
            <v>SP</v>
          </cell>
          <cell r="B4275">
            <v>2010</v>
          </cell>
          <cell r="D4275" t="str">
            <v>MILHO</v>
          </cell>
          <cell r="E4275">
            <v>0</v>
          </cell>
        </row>
        <row r="4276">
          <cell r="A4276" t="str">
            <v>SP</v>
          </cell>
          <cell r="B4276">
            <v>2010</v>
          </cell>
          <cell r="D4276" t="str">
            <v>MILHO</v>
          </cell>
          <cell r="E4276">
            <v>8778</v>
          </cell>
        </row>
        <row r="4277">
          <cell r="A4277" t="str">
            <v>PR</v>
          </cell>
          <cell r="B4277">
            <v>2010</v>
          </cell>
          <cell r="D4277" t="str">
            <v>MILHO</v>
          </cell>
          <cell r="E4277">
            <v>0</v>
          </cell>
        </row>
        <row r="4278">
          <cell r="A4278" t="str">
            <v>PR</v>
          </cell>
          <cell r="B4278">
            <v>2010</v>
          </cell>
          <cell r="D4278" t="str">
            <v>SOJA</v>
          </cell>
          <cell r="E4278">
            <v>1875</v>
          </cell>
        </row>
        <row r="4279">
          <cell r="A4279" t="str">
            <v>PR</v>
          </cell>
          <cell r="B4279">
            <v>2010</v>
          </cell>
          <cell r="D4279" t="str">
            <v>SOJA</v>
          </cell>
          <cell r="E4279">
            <v>3739.2857142857142</v>
          </cell>
        </row>
        <row r="4280">
          <cell r="A4280" t="str">
            <v>PR</v>
          </cell>
          <cell r="B4280">
            <v>2010</v>
          </cell>
          <cell r="D4280" t="str">
            <v>SOJA</v>
          </cell>
          <cell r="E4280">
            <v>0</v>
          </cell>
        </row>
        <row r="4281">
          <cell r="A4281" t="str">
            <v>MT</v>
          </cell>
          <cell r="B4281">
            <v>2010</v>
          </cell>
          <cell r="D4281" t="str">
            <v>SOJA</v>
          </cell>
          <cell r="E4281">
            <v>0</v>
          </cell>
        </row>
        <row r="4282">
          <cell r="A4282" t="str">
            <v>MT</v>
          </cell>
          <cell r="B4282">
            <v>2010</v>
          </cell>
          <cell r="D4282" t="str">
            <v>SOJA</v>
          </cell>
          <cell r="E4282">
            <v>0</v>
          </cell>
        </row>
        <row r="4283">
          <cell r="A4283" t="str">
            <v>MT</v>
          </cell>
          <cell r="B4283">
            <v>2010</v>
          </cell>
          <cell r="D4283" t="str">
            <v>SOJA</v>
          </cell>
          <cell r="E4283">
            <v>0</v>
          </cell>
        </row>
        <row r="4284">
          <cell r="A4284" t="str">
            <v>MS</v>
          </cell>
          <cell r="B4284">
            <v>2010</v>
          </cell>
          <cell r="D4284" t="str">
            <v>MILHO</v>
          </cell>
          <cell r="E4284">
            <v>1749.0000000000002</v>
          </cell>
        </row>
        <row r="4285">
          <cell r="A4285" t="str">
            <v>MS</v>
          </cell>
          <cell r="B4285">
            <v>2010</v>
          </cell>
          <cell r="D4285" t="str">
            <v>MILHO</v>
          </cell>
          <cell r="E4285">
            <v>0</v>
          </cell>
        </row>
        <row r="4286">
          <cell r="A4286" t="str">
            <v>MS</v>
          </cell>
          <cell r="B4286">
            <v>2010</v>
          </cell>
          <cell r="D4286" t="str">
            <v>SOJA</v>
          </cell>
          <cell r="E4286">
            <v>0</v>
          </cell>
        </row>
        <row r="4287">
          <cell r="A4287" t="str">
            <v>MS</v>
          </cell>
          <cell r="B4287">
            <v>2010</v>
          </cell>
          <cell r="D4287" t="str">
            <v>SOJA</v>
          </cell>
          <cell r="E4287">
            <v>4189.2857142857138</v>
          </cell>
        </row>
        <row r="4288">
          <cell r="A4288" t="str">
            <v>PR</v>
          </cell>
          <cell r="B4288">
            <v>2010</v>
          </cell>
          <cell r="D4288" t="str">
            <v>MILHO</v>
          </cell>
          <cell r="E4288">
            <v>5709.0000000000009</v>
          </cell>
        </row>
        <row r="4289">
          <cell r="A4289" t="str">
            <v>PR</v>
          </cell>
          <cell r="B4289">
            <v>2010</v>
          </cell>
          <cell r="D4289" t="str">
            <v>MILHO</v>
          </cell>
          <cell r="E4289">
            <v>0</v>
          </cell>
        </row>
        <row r="4290">
          <cell r="A4290" t="str">
            <v>PR</v>
          </cell>
          <cell r="B4290">
            <v>2010</v>
          </cell>
          <cell r="D4290" t="str">
            <v>SOJA</v>
          </cell>
          <cell r="E4290">
            <v>0</v>
          </cell>
        </row>
        <row r="4291">
          <cell r="A4291" t="str">
            <v>PR</v>
          </cell>
          <cell r="B4291">
            <v>2010</v>
          </cell>
          <cell r="D4291" t="str">
            <v>SOJA</v>
          </cell>
          <cell r="E4291">
            <v>36857.142857142855</v>
          </cell>
        </row>
        <row r="4292">
          <cell r="A4292" t="str">
            <v>PR</v>
          </cell>
          <cell r="B4292">
            <v>2010</v>
          </cell>
          <cell r="D4292" t="str">
            <v>MILHO</v>
          </cell>
          <cell r="E4292">
            <v>4389</v>
          </cell>
        </row>
        <row r="4293">
          <cell r="A4293" t="str">
            <v>PR</v>
          </cell>
          <cell r="B4293">
            <v>2010</v>
          </cell>
          <cell r="D4293" t="str">
            <v>SOJA</v>
          </cell>
          <cell r="E4293">
            <v>0</v>
          </cell>
        </row>
        <row r="4294">
          <cell r="A4294" t="str">
            <v>BA</v>
          </cell>
          <cell r="B4294">
            <v>2010</v>
          </cell>
          <cell r="D4294" t="str">
            <v>SOJA</v>
          </cell>
          <cell r="E4294">
            <v>25789.285714285714</v>
          </cell>
        </row>
        <row r="4295">
          <cell r="A4295" t="str">
            <v>BA</v>
          </cell>
          <cell r="B4295">
            <v>2010</v>
          </cell>
          <cell r="D4295" t="str">
            <v>SOJA</v>
          </cell>
          <cell r="E4295">
            <v>61896.428571428572</v>
          </cell>
        </row>
        <row r="4296">
          <cell r="A4296" t="str">
            <v>BA</v>
          </cell>
          <cell r="B4296">
            <v>2010</v>
          </cell>
          <cell r="D4296" t="str">
            <v>SOJA</v>
          </cell>
          <cell r="E4296">
            <v>49521.428571428572</v>
          </cell>
        </row>
        <row r="4297">
          <cell r="A4297" t="str">
            <v>BA</v>
          </cell>
          <cell r="B4297">
            <v>2010</v>
          </cell>
          <cell r="D4297" t="str">
            <v>SOJA</v>
          </cell>
          <cell r="E4297">
            <v>14442.857142857143</v>
          </cell>
        </row>
        <row r="4298">
          <cell r="A4298" t="str">
            <v>MT</v>
          </cell>
          <cell r="B4298">
            <v>2010</v>
          </cell>
          <cell r="D4298" t="str">
            <v>SOJA</v>
          </cell>
          <cell r="E4298">
            <v>0</v>
          </cell>
        </row>
        <row r="4299">
          <cell r="A4299" t="str">
            <v>MT</v>
          </cell>
          <cell r="B4299">
            <v>2010</v>
          </cell>
          <cell r="D4299" t="str">
            <v>SOJA</v>
          </cell>
          <cell r="E4299">
            <v>0</v>
          </cell>
        </row>
        <row r="4300">
          <cell r="A4300" t="str">
            <v>MT</v>
          </cell>
          <cell r="B4300">
            <v>2010</v>
          </cell>
          <cell r="D4300" t="str">
            <v>SOJA</v>
          </cell>
          <cell r="E4300">
            <v>0</v>
          </cell>
        </row>
        <row r="4301">
          <cell r="A4301" t="str">
            <v>MT</v>
          </cell>
          <cell r="B4301">
            <v>2010</v>
          </cell>
          <cell r="D4301" t="str">
            <v>SOJA</v>
          </cell>
          <cell r="E4301">
            <v>0</v>
          </cell>
        </row>
        <row r="4302">
          <cell r="A4302" t="str">
            <v>TO</v>
          </cell>
          <cell r="B4302">
            <v>2010</v>
          </cell>
          <cell r="D4302" t="str">
            <v>SOJA</v>
          </cell>
          <cell r="E4302">
            <v>6289.2857142857147</v>
          </cell>
        </row>
        <row r="4303">
          <cell r="A4303" t="str">
            <v>TO</v>
          </cell>
          <cell r="B4303">
            <v>2010</v>
          </cell>
          <cell r="D4303" t="str">
            <v>SOJA</v>
          </cell>
          <cell r="E4303">
            <v>0</v>
          </cell>
        </row>
        <row r="4304">
          <cell r="A4304" t="str">
            <v>BA</v>
          </cell>
          <cell r="B4304">
            <v>2010</v>
          </cell>
          <cell r="D4304" t="str">
            <v>MILHO</v>
          </cell>
          <cell r="E4304">
            <v>14289.000000000002</v>
          </cell>
        </row>
        <row r="4305">
          <cell r="A4305" t="str">
            <v>BA</v>
          </cell>
          <cell r="B4305">
            <v>2010</v>
          </cell>
          <cell r="D4305" t="str">
            <v>SOJA</v>
          </cell>
          <cell r="E4305">
            <v>8250</v>
          </cell>
        </row>
        <row r="4306">
          <cell r="A4306" t="str">
            <v>GO</v>
          </cell>
          <cell r="B4306">
            <v>2010</v>
          </cell>
          <cell r="D4306" t="str">
            <v>MILHO</v>
          </cell>
          <cell r="E4306">
            <v>0</v>
          </cell>
        </row>
        <row r="4307">
          <cell r="A4307" t="str">
            <v>GO</v>
          </cell>
          <cell r="B4307">
            <v>2010</v>
          </cell>
          <cell r="D4307" t="str">
            <v>MILHO</v>
          </cell>
          <cell r="E4307">
            <v>2629.0000000000005</v>
          </cell>
        </row>
        <row r="4308">
          <cell r="A4308" t="str">
            <v>GO</v>
          </cell>
          <cell r="B4308">
            <v>2010</v>
          </cell>
          <cell r="D4308" t="str">
            <v>SOJA</v>
          </cell>
          <cell r="E4308">
            <v>0</v>
          </cell>
        </row>
        <row r="4309">
          <cell r="A4309" t="str">
            <v>GO</v>
          </cell>
          <cell r="B4309">
            <v>2010</v>
          </cell>
          <cell r="D4309" t="str">
            <v>SOJA</v>
          </cell>
          <cell r="E4309">
            <v>2742.8571428571427</v>
          </cell>
        </row>
        <row r="4310">
          <cell r="A4310" t="str">
            <v>GO</v>
          </cell>
          <cell r="B4310">
            <v>2010</v>
          </cell>
          <cell r="D4310" t="str">
            <v>SOJA</v>
          </cell>
          <cell r="E4310">
            <v>1971.4285714285716</v>
          </cell>
        </row>
        <row r="4311">
          <cell r="A4311" t="str">
            <v>GO</v>
          </cell>
          <cell r="B4311">
            <v>2010</v>
          </cell>
          <cell r="D4311" t="str">
            <v>SOJA</v>
          </cell>
          <cell r="E4311">
            <v>2871.4285714285716</v>
          </cell>
        </row>
        <row r="4312">
          <cell r="A4312" t="str">
            <v>GO</v>
          </cell>
          <cell r="B4312">
            <v>2010</v>
          </cell>
          <cell r="D4312" t="str">
            <v>SOJA</v>
          </cell>
          <cell r="E4312">
            <v>2871.4285714285716</v>
          </cell>
        </row>
        <row r="4313">
          <cell r="A4313" t="str">
            <v>GO</v>
          </cell>
          <cell r="B4313">
            <v>2010</v>
          </cell>
          <cell r="D4313" t="str">
            <v>SOJA</v>
          </cell>
          <cell r="E4313">
            <v>3942.8571428571431</v>
          </cell>
        </row>
        <row r="4314">
          <cell r="A4314" t="str">
            <v>GO</v>
          </cell>
          <cell r="B4314">
            <v>2010</v>
          </cell>
          <cell r="D4314" t="str">
            <v>SOJA</v>
          </cell>
          <cell r="E4314">
            <v>5742.8571428571431</v>
          </cell>
        </row>
        <row r="4315">
          <cell r="A4315" t="str">
            <v>GO</v>
          </cell>
          <cell r="B4315">
            <v>2010</v>
          </cell>
          <cell r="D4315" t="str">
            <v>SOJA</v>
          </cell>
          <cell r="E4315">
            <v>0</v>
          </cell>
        </row>
        <row r="4316">
          <cell r="A4316" t="str">
            <v>GO</v>
          </cell>
          <cell r="B4316">
            <v>2010</v>
          </cell>
          <cell r="D4316" t="str">
            <v>MILHO</v>
          </cell>
          <cell r="E4316">
            <v>0</v>
          </cell>
        </row>
        <row r="4317">
          <cell r="A4317" t="str">
            <v>GO</v>
          </cell>
          <cell r="B4317">
            <v>2010</v>
          </cell>
          <cell r="D4317" t="str">
            <v>SOJA</v>
          </cell>
          <cell r="E4317">
            <v>6471.4285714285716</v>
          </cell>
        </row>
        <row r="4318">
          <cell r="A4318" t="str">
            <v>MT</v>
          </cell>
          <cell r="B4318">
            <v>2010</v>
          </cell>
          <cell r="D4318" t="str">
            <v>SOJA</v>
          </cell>
          <cell r="E4318">
            <v>0</v>
          </cell>
        </row>
        <row r="4319">
          <cell r="A4319" t="str">
            <v>GO</v>
          </cell>
          <cell r="B4319">
            <v>2010</v>
          </cell>
          <cell r="D4319" t="str">
            <v>MILHO</v>
          </cell>
          <cell r="E4319">
            <v>0</v>
          </cell>
        </row>
        <row r="4320">
          <cell r="A4320" t="str">
            <v>GO</v>
          </cell>
          <cell r="B4320">
            <v>2010</v>
          </cell>
          <cell r="D4320" t="str">
            <v>MILHO</v>
          </cell>
          <cell r="E4320">
            <v>2629.0000000000005</v>
          </cell>
        </row>
        <row r="4321">
          <cell r="A4321" t="str">
            <v>GO</v>
          </cell>
          <cell r="B4321">
            <v>2010</v>
          </cell>
          <cell r="D4321" t="str">
            <v>SOJA</v>
          </cell>
          <cell r="E4321">
            <v>0</v>
          </cell>
        </row>
        <row r="4322">
          <cell r="A4322" t="str">
            <v>GO</v>
          </cell>
          <cell r="B4322">
            <v>2010</v>
          </cell>
          <cell r="D4322" t="str">
            <v>SOJA</v>
          </cell>
          <cell r="E4322">
            <v>2507.1428571428573</v>
          </cell>
        </row>
        <row r="4323">
          <cell r="A4323" t="str">
            <v>SP</v>
          </cell>
          <cell r="B4323">
            <v>2010</v>
          </cell>
          <cell r="D4323" t="str">
            <v>SOJA</v>
          </cell>
          <cell r="E4323">
            <v>3214.2857142857142</v>
          </cell>
        </row>
        <row r="4324">
          <cell r="A4324" t="str">
            <v>SP</v>
          </cell>
          <cell r="B4324">
            <v>2010</v>
          </cell>
          <cell r="D4324" t="str">
            <v>SOJA</v>
          </cell>
          <cell r="E4324">
            <v>0</v>
          </cell>
        </row>
        <row r="4325">
          <cell r="A4325" t="str">
            <v>MT</v>
          </cell>
          <cell r="B4325">
            <v>2010</v>
          </cell>
          <cell r="D4325" t="str">
            <v>MILHO</v>
          </cell>
          <cell r="E4325">
            <v>8536</v>
          </cell>
        </row>
        <row r="4326">
          <cell r="A4326" t="str">
            <v>MT</v>
          </cell>
          <cell r="B4326">
            <v>2010</v>
          </cell>
          <cell r="D4326" t="str">
            <v>MILHO</v>
          </cell>
          <cell r="E4326">
            <v>0</v>
          </cell>
        </row>
        <row r="4327">
          <cell r="A4327" t="str">
            <v>MT</v>
          </cell>
          <cell r="B4327">
            <v>2010</v>
          </cell>
          <cell r="D4327" t="str">
            <v>SOJA</v>
          </cell>
          <cell r="E4327">
            <v>0</v>
          </cell>
        </row>
        <row r="4328">
          <cell r="A4328" t="str">
            <v>MT</v>
          </cell>
          <cell r="B4328">
            <v>2010</v>
          </cell>
          <cell r="D4328" t="str">
            <v>SOJA</v>
          </cell>
          <cell r="E4328">
            <v>0</v>
          </cell>
        </row>
        <row r="4329">
          <cell r="A4329" t="str">
            <v>MT</v>
          </cell>
          <cell r="B4329">
            <v>2010</v>
          </cell>
          <cell r="D4329" t="str">
            <v>SOJA</v>
          </cell>
          <cell r="E4329">
            <v>0</v>
          </cell>
        </row>
        <row r="4330">
          <cell r="A4330" t="str">
            <v>MA</v>
          </cell>
          <cell r="B4330">
            <v>2010</v>
          </cell>
          <cell r="D4330" t="str">
            <v>SOJA</v>
          </cell>
          <cell r="E4330">
            <v>17142.857142857141</v>
          </cell>
        </row>
        <row r="4331">
          <cell r="A4331" t="str">
            <v>MA</v>
          </cell>
          <cell r="B4331">
            <v>2010</v>
          </cell>
          <cell r="D4331" t="str">
            <v>SOJA</v>
          </cell>
          <cell r="E4331">
            <v>0</v>
          </cell>
        </row>
        <row r="4332">
          <cell r="A4332" t="str">
            <v>MG</v>
          </cell>
          <cell r="B4332">
            <v>2010</v>
          </cell>
          <cell r="D4332" t="str">
            <v>SOJA</v>
          </cell>
          <cell r="E4332">
            <v>0</v>
          </cell>
        </row>
        <row r="4333">
          <cell r="A4333" t="str">
            <v>MG</v>
          </cell>
          <cell r="B4333">
            <v>2010</v>
          </cell>
          <cell r="D4333" t="str">
            <v>SOJA</v>
          </cell>
          <cell r="E4333">
            <v>4500</v>
          </cell>
        </row>
        <row r="4334">
          <cell r="A4334" t="str">
            <v>MT</v>
          </cell>
          <cell r="B4334">
            <v>2010</v>
          </cell>
          <cell r="D4334" t="str">
            <v>SOJA</v>
          </cell>
          <cell r="E4334">
            <v>0</v>
          </cell>
        </row>
        <row r="4335">
          <cell r="A4335" t="str">
            <v>MT</v>
          </cell>
          <cell r="B4335">
            <v>2010</v>
          </cell>
          <cell r="D4335" t="str">
            <v>SOJA</v>
          </cell>
          <cell r="E4335">
            <v>0</v>
          </cell>
        </row>
        <row r="4336">
          <cell r="A4336" t="str">
            <v>MT</v>
          </cell>
          <cell r="B4336">
            <v>2010</v>
          </cell>
          <cell r="D4336" t="str">
            <v>SOJA</v>
          </cell>
          <cell r="E4336">
            <v>4853.5714285714284</v>
          </cell>
        </row>
        <row r="4337">
          <cell r="A4337" t="str">
            <v>MT</v>
          </cell>
          <cell r="B4337">
            <v>2010</v>
          </cell>
          <cell r="D4337" t="str">
            <v>SOJA</v>
          </cell>
          <cell r="E4337">
            <v>0</v>
          </cell>
        </row>
        <row r="4338">
          <cell r="A4338" t="str">
            <v>TO</v>
          </cell>
          <cell r="B4338">
            <v>2010</v>
          </cell>
          <cell r="D4338" t="str">
            <v>SOJA</v>
          </cell>
          <cell r="E4338">
            <v>0</v>
          </cell>
        </row>
        <row r="4339">
          <cell r="A4339" t="str">
            <v>TO</v>
          </cell>
          <cell r="B4339">
            <v>2010</v>
          </cell>
          <cell r="D4339" t="str">
            <v>SOJA</v>
          </cell>
          <cell r="E4339">
            <v>17325.000000000004</v>
          </cell>
        </row>
        <row r="4340">
          <cell r="A4340" t="str">
            <v>GO</v>
          </cell>
          <cell r="B4340">
            <v>2010</v>
          </cell>
          <cell r="D4340" t="str">
            <v>MILHO</v>
          </cell>
          <cell r="E4340">
            <v>0</v>
          </cell>
        </row>
        <row r="4341">
          <cell r="A4341" t="str">
            <v>GO</v>
          </cell>
          <cell r="B4341">
            <v>2010</v>
          </cell>
          <cell r="D4341" t="str">
            <v>SOJA</v>
          </cell>
          <cell r="E4341">
            <v>3353.571428571428</v>
          </cell>
        </row>
        <row r="4342">
          <cell r="A4342" t="str">
            <v>GO</v>
          </cell>
          <cell r="B4342">
            <v>2010</v>
          </cell>
          <cell r="D4342" t="str">
            <v>SOJA</v>
          </cell>
          <cell r="E4342">
            <v>0</v>
          </cell>
        </row>
        <row r="4343">
          <cell r="A4343" t="str">
            <v>GO</v>
          </cell>
          <cell r="B4343">
            <v>2010</v>
          </cell>
          <cell r="D4343" t="str">
            <v>SOJA</v>
          </cell>
          <cell r="E4343">
            <v>0</v>
          </cell>
        </row>
        <row r="4344">
          <cell r="A4344" t="str">
            <v>GO</v>
          </cell>
          <cell r="B4344">
            <v>2010</v>
          </cell>
          <cell r="D4344" t="str">
            <v>SOJA</v>
          </cell>
          <cell r="E4344">
            <v>2699.9999999999995</v>
          </cell>
        </row>
        <row r="4345">
          <cell r="A4345" t="str">
            <v>PR</v>
          </cell>
          <cell r="B4345">
            <v>2010</v>
          </cell>
          <cell r="D4345" t="str">
            <v>SOJA</v>
          </cell>
          <cell r="E4345">
            <v>0</v>
          </cell>
        </row>
        <row r="4346">
          <cell r="A4346" t="str">
            <v>BA</v>
          </cell>
          <cell r="B4346">
            <v>2010</v>
          </cell>
          <cell r="D4346" t="str">
            <v>SOJA</v>
          </cell>
          <cell r="E4346">
            <v>4125</v>
          </cell>
        </row>
        <row r="4347">
          <cell r="A4347" t="str">
            <v>MT</v>
          </cell>
          <cell r="B4347">
            <v>2010</v>
          </cell>
          <cell r="D4347" t="str">
            <v>SOJA</v>
          </cell>
          <cell r="E4347">
            <v>8507.1428571428587</v>
          </cell>
        </row>
        <row r="4348">
          <cell r="A4348" t="str">
            <v>MT</v>
          </cell>
          <cell r="B4348">
            <v>2010</v>
          </cell>
          <cell r="D4348" t="str">
            <v>SOJA</v>
          </cell>
          <cell r="E4348">
            <v>0</v>
          </cell>
        </row>
        <row r="4349">
          <cell r="A4349" t="str">
            <v>MT</v>
          </cell>
          <cell r="B4349">
            <v>2010</v>
          </cell>
          <cell r="D4349" t="str">
            <v>MILHO</v>
          </cell>
          <cell r="E4349">
            <v>0</v>
          </cell>
        </row>
        <row r="4350">
          <cell r="A4350" t="str">
            <v>MT</v>
          </cell>
          <cell r="B4350">
            <v>2010</v>
          </cell>
          <cell r="D4350" t="str">
            <v>SOJA</v>
          </cell>
          <cell r="E4350">
            <v>14175</v>
          </cell>
        </row>
        <row r="4351">
          <cell r="A4351" t="str">
            <v>BA</v>
          </cell>
          <cell r="B4351">
            <v>2010</v>
          </cell>
          <cell r="D4351" t="str">
            <v>MILHO</v>
          </cell>
          <cell r="E4351">
            <v>1683.0000000000002</v>
          </cell>
        </row>
        <row r="4352">
          <cell r="A4352" t="str">
            <v>BA</v>
          </cell>
          <cell r="B4352">
            <v>2010</v>
          </cell>
          <cell r="D4352" t="str">
            <v>SOJA</v>
          </cell>
          <cell r="E4352">
            <v>46425</v>
          </cell>
        </row>
        <row r="4353">
          <cell r="A4353" t="str">
            <v>BA</v>
          </cell>
          <cell r="B4353">
            <v>2010</v>
          </cell>
          <cell r="D4353" t="str">
            <v>MILHO</v>
          </cell>
          <cell r="E4353">
            <v>0</v>
          </cell>
        </row>
        <row r="4354">
          <cell r="A4354" t="str">
            <v>BA</v>
          </cell>
          <cell r="B4354">
            <v>2010</v>
          </cell>
          <cell r="D4354" t="str">
            <v>SOJA</v>
          </cell>
          <cell r="E4354">
            <v>14442.857142857143</v>
          </cell>
        </row>
        <row r="4355">
          <cell r="A4355" t="str">
            <v>BA</v>
          </cell>
          <cell r="B4355">
            <v>2010</v>
          </cell>
          <cell r="D4355" t="str">
            <v>SOJA</v>
          </cell>
          <cell r="E4355">
            <v>6192.8571428571431</v>
          </cell>
        </row>
        <row r="4356">
          <cell r="A4356" t="str">
            <v>RS</v>
          </cell>
          <cell r="B4356">
            <v>2010</v>
          </cell>
          <cell r="D4356" t="str">
            <v>SOJA</v>
          </cell>
          <cell r="E4356">
            <v>3267.8571428571422</v>
          </cell>
        </row>
        <row r="4357">
          <cell r="A4357" t="str">
            <v>RS</v>
          </cell>
          <cell r="B4357">
            <v>2010</v>
          </cell>
          <cell r="D4357" t="str">
            <v>SOJA</v>
          </cell>
          <cell r="E4357">
            <v>3267.8571428571422</v>
          </cell>
        </row>
        <row r="4358">
          <cell r="A4358" t="str">
            <v>RS</v>
          </cell>
          <cell r="B4358">
            <v>2010</v>
          </cell>
          <cell r="D4358" t="str">
            <v>SOJA</v>
          </cell>
          <cell r="E4358">
            <v>6546.4285714285716</v>
          </cell>
        </row>
        <row r="4359">
          <cell r="A4359" t="str">
            <v>RS</v>
          </cell>
          <cell r="B4359">
            <v>2010</v>
          </cell>
          <cell r="D4359" t="str">
            <v>SOJA</v>
          </cell>
          <cell r="E4359">
            <v>16360.714285714284</v>
          </cell>
        </row>
        <row r="4360">
          <cell r="A4360" t="str">
            <v>RS</v>
          </cell>
          <cell r="B4360">
            <v>2010</v>
          </cell>
          <cell r="D4360" t="str">
            <v>SOJA</v>
          </cell>
          <cell r="E4360">
            <v>0</v>
          </cell>
        </row>
        <row r="4361">
          <cell r="A4361" t="str">
            <v>MS</v>
          </cell>
          <cell r="B4361">
            <v>2010</v>
          </cell>
          <cell r="D4361" t="str">
            <v>SOJA</v>
          </cell>
          <cell r="E4361">
            <v>1382.1428571428571</v>
          </cell>
        </row>
        <row r="4362">
          <cell r="A4362" t="str">
            <v>MS</v>
          </cell>
          <cell r="B4362">
            <v>2010</v>
          </cell>
          <cell r="D4362" t="str">
            <v>SOJA</v>
          </cell>
          <cell r="E4362">
            <v>0</v>
          </cell>
        </row>
        <row r="4363">
          <cell r="A4363" t="str">
            <v>MS</v>
          </cell>
          <cell r="B4363">
            <v>2010</v>
          </cell>
          <cell r="D4363" t="str">
            <v>SOJA</v>
          </cell>
          <cell r="E4363">
            <v>2753.571428571428</v>
          </cell>
        </row>
        <row r="4364">
          <cell r="A4364" t="str">
            <v>MS</v>
          </cell>
          <cell r="B4364">
            <v>2010</v>
          </cell>
          <cell r="D4364" t="str">
            <v>SOJA</v>
          </cell>
          <cell r="E4364">
            <v>0</v>
          </cell>
        </row>
        <row r="4365">
          <cell r="A4365" t="str">
            <v>MS</v>
          </cell>
          <cell r="B4365">
            <v>2010</v>
          </cell>
          <cell r="D4365" t="str">
            <v>SOJA</v>
          </cell>
          <cell r="E4365">
            <v>0</v>
          </cell>
        </row>
        <row r="4366">
          <cell r="A4366" t="str">
            <v>MS</v>
          </cell>
          <cell r="B4366">
            <v>2010</v>
          </cell>
          <cell r="D4366" t="str">
            <v>SOJA</v>
          </cell>
          <cell r="E4366">
            <v>13789.285714285712</v>
          </cell>
        </row>
        <row r="4367">
          <cell r="A4367" t="str">
            <v>GO</v>
          </cell>
          <cell r="B4367">
            <v>2010</v>
          </cell>
          <cell r="D4367" t="str">
            <v>SOJA</v>
          </cell>
          <cell r="E4367">
            <v>0</v>
          </cell>
        </row>
        <row r="4368">
          <cell r="A4368" t="str">
            <v>GO</v>
          </cell>
          <cell r="B4368">
            <v>2010</v>
          </cell>
          <cell r="D4368" t="str">
            <v>SOJA</v>
          </cell>
          <cell r="E4368">
            <v>4500</v>
          </cell>
        </row>
        <row r="4369">
          <cell r="A4369" t="str">
            <v>GO</v>
          </cell>
          <cell r="B4369">
            <v>2010</v>
          </cell>
          <cell r="D4369" t="str">
            <v>SOJA</v>
          </cell>
          <cell r="E4369">
            <v>6300</v>
          </cell>
        </row>
        <row r="4370">
          <cell r="A4370" t="str">
            <v>MT</v>
          </cell>
          <cell r="B4370">
            <v>2010</v>
          </cell>
          <cell r="D4370" t="str">
            <v>SOJA</v>
          </cell>
          <cell r="E4370">
            <v>0</v>
          </cell>
        </row>
        <row r="4371">
          <cell r="A4371" t="str">
            <v>RS</v>
          </cell>
          <cell r="B4371">
            <v>2010</v>
          </cell>
          <cell r="D4371" t="str">
            <v>MILHO</v>
          </cell>
          <cell r="E4371">
            <v>0</v>
          </cell>
        </row>
        <row r="4372">
          <cell r="A4372" t="str">
            <v>RS</v>
          </cell>
          <cell r="B4372">
            <v>2010</v>
          </cell>
          <cell r="D4372" t="str">
            <v>SOJA</v>
          </cell>
          <cell r="E4372">
            <v>3278.5714285714284</v>
          </cell>
        </row>
        <row r="4373">
          <cell r="A4373" t="str">
            <v>RS</v>
          </cell>
          <cell r="B4373">
            <v>2010</v>
          </cell>
          <cell r="D4373" t="str">
            <v>SOJA</v>
          </cell>
          <cell r="E4373">
            <v>0</v>
          </cell>
        </row>
        <row r="4374">
          <cell r="A4374" t="str">
            <v>RS</v>
          </cell>
          <cell r="B4374">
            <v>2010</v>
          </cell>
          <cell r="D4374" t="str">
            <v>SOJA</v>
          </cell>
          <cell r="E4374">
            <v>8732.1428571428569</v>
          </cell>
        </row>
        <row r="4375">
          <cell r="A4375" t="str">
            <v>RS</v>
          </cell>
          <cell r="B4375">
            <v>2010</v>
          </cell>
          <cell r="D4375" t="str">
            <v>SOJA</v>
          </cell>
          <cell r="E4375">
            <v>11453.571428571428</v>
          </cell>
        </row>
        <row r="4376">
          <cell r="A4376" t="str">
            <v>RS</v>
          </cell>
          <cell r="B4376">
            <v>2010</v>
          </cell>
          <cell r="D4376" t="str">
            <v>SOJA</v>
          </cell>
          <cell r="E4376">
            <v>10907.142857142857</v>
          </cell>
        </row>
        <row r="4377">
          <cell r="A4377" t="str">
            <v>RS</v>
          </cell>
          <cell r="B4377">
            <v>2010</v>
          </cell>
          <cell r="D4377" t="str">
            <v>SOJA</v>
          </cell>
          <cell r="E4377">
            <v>16360.714285714284</v>
          </cell>
        </row>
        <row r="4378">
          <cell r="A4378" t="str">
            <v>RS</v>
          </cell>
          <cell r="B4378">
            <v>2010</v>
          </cell>
          <cell r="D4378" t="str">
            <v>MILHO</v>
          </cell>
          <cell r="E4378">
            <v>1727.0000000000002</v>
          </cell>
        </row>
        <row r="4379">
          <cell r="A4379" t="str">
            <v>RS</v>
          </cell>
          <cell r="B4379">
            <v>2010</v>
          </cell>
          <cell r="D4379" t="str">
            <v>MILHO</v>
          </cell>
          <cell r="E4379">
            <v>0</v>
          </cell>
        </row>
        <row r="4380">
          <cell r="A4380" t="str">
            <v>RS</v>
          </cell>
          <cell r="B4380">
            <v>2010</v>
          </cell>
          <cell r="D4380" t="str">
            <v>SOJA</v>
          </cell>
          <cell r="E4380">
            <v>1092.8571428571427</v>
          </cell>
        </row>
        <row r="4381">
          <cell r="A4381" t="str">
            <v>RS</v>
          </cell>
          <cell r="B4381">
            <v>2010</v>
          </cell>
          <cell r="D4381" t="str">
            <v>SOJA</v>
          </cell>
          <cell r="E4381">
            <v>0</v>
          </cell>
        </row>
        <row r="4382">
          <cell r="A4382" t="str">
            <v>MS</v>
          </cell>
          <cell r="B4382">
            <v>2010</v>
          </cell>
          <cell r="D4382" t="str">
            <v>SOJA</v>
          </cell>
          <cell r="E4382">
            <v>2753.571428571428</v>
          </cell>
        </row>
        <row r="4383">
          <cell r="A4383" t="str">
            <v>MS</v>
          </cell>
          <cell r="B4383">
            <v>2010</v>
          </cell>
          <cell r="D4383" t="str">
            <v>SOJA</v>
          </cell>
          <cell r="E4383">
            <v>0</v>
          </cell>
        </row>
        <row r="4384">
          <cell r="A4384" t="str">
            <v>MS</v>
          </cell>
          <cell r="B4384">
            <v>2010</v>
          </cell>
          <cell r="D4384" t="str">
            <v>SOJA</v>
          </cell>
          <cell r="E4384">
            <v>2753.571428571428</v>
          </cell>
        </row>
        <row r="4385">
          <cell r="A4385" t="str">
            <v>MS</v>
          </cell>
          <cell r="B4385">
            <v>2010</v>
          </cell>
          <cell r="D4385" t="str">
            <v>SOJA</v>
          </cell>
          <cell r="E4385">
            <v>17228.571428571428</v>
          </cell>
        </row>
        <row r="4386">
          <cell r="A4386" t="str">
            <v>MS</v>
          </cell>
          <cell r="B4386">
            <v>2010</v>
          </cell>
          <cell r="D4386" t="str">
            <v>SOJA</v>
          </cell>
          <cell r="E4386">
            <v>0</v>
          </cell>
        </row>
        <row r="4387">
          <cell r="A4387" t="str">
            <v>MS</v>
          </cell>
          <cell r="B4387">
            <v>2010</v>
          </cell>
          <cell r="D4387" t="str">
            <v>SOJA</v>
          </cell>
          <cell r="E4387">
            <v>2067.8571428571427</v>
          </cell>
        </row>
        <row r="4388">
          <cell r="A4388" t="str">
            <v>SC</v>
          </cell>
          <cell r="B4388">
            <v>2010</v>
          </cell>
          <cell r="D4388" t="str">
            <v>MILHO</v>
          </cell>
          <cell r="E4388">
            <v>16808</v>
          </cell>
        </row>
        <row r="4389">
          <cell r="A4389" t="str">
            <v>SC</v>
          </cell>
          <cell r="B4389">
            <v>2010</v>
          </cell>
          <cell r="D4389" t="str">
            <v>SOJA</v>
          </cell>
          <cell r="E4389">
            <v>50935.714285714283</v>
          </cell>
        </row>
        <row r="4390">
          <cell r="A4390" t="str">
            <v>MT</v>
          </cell>
          <cell r="B4390">
            <v>2010</v>
          </cell>
          <cell r="D4390" t="str">
            <v>MILHO</v>
          </cell>
          <cell r="E4390">
            <v>7678.0000000000009</v>
          </cell>
        </row>
        <row r="4391">
          <cell r="A4391" t="str">
            <v>MT</v>
          </cell>
          <cell r="B4391">
            <v>2010</v>
          </cell>
          <cell r="D4391" t="str">
            <v>MILHO</v>
          </cell>
          <cell r="E4391">
            <v>3410.0000000000005</v>
          </cell>
        </row>
        <row r="4392">
          <cell r="A4392" t="str">
            <v>PI</v>
          </cell>
          <cell r="B4392">
            <v>2010</v>
          </cell>
          <cell r="D4392" t="str">
            <v>SOJA</v>
          </cell>
          <cell r="E4392">
            <v>9149.9999999999982</v>
          </cell>
        </row>
        <row r="4393">
          <cell r="A4393" t="str">
            <v>PI</v>
          </cell>
          <cell r="B4393">
            <v>2010</v>
          </cell>
          <cell r="D4393" t="str">
            <v>SOJA</v>
          </cell>
          <cell r="E4393">
            <v>0</v>
          </cell>
        </row>
        <row r="4394">
          <cell r="A4394" t="str">
            <v>PI</v>
          </cell>
          <cell r="B4394">
            <v>2010</v>
          </cell>
          <cell r="D4394" t="str">
            <v>SOJA</v>
          </cell>
          <cell r="E4394">
            <v>7317.8571428571431</v>
          </cell>
        </row>
        <row r="4395">
          <cell r="A4395" t="str">
            <v>PI</v>
          </cell>
          <cell r="B4395">
            <v>2010</v>
          </cell>
          <cell r="D4395" t="str">
            <v>SOJA</v>
          </cell>
          <cell r="E4395">
            <v>0</v>
          </cell>
        </row>
        <row r="4396">
          <cell r="A4396" t="str">
            <v>GO</v>
          </cell>
          <cell r="B4396">
            <v>2010</v>
          </cell>
          <cell r="D4396" t="str">
            <v>SOJA</v>
          </cell>
          <cell r="E4396">
            <v>0</v>
          </cell>
        </row>
        <row r="4397">
          <cell r="A4397" t="str">
            <v>MT</v>
          </cell>
          <cell r="B4397">
            <v>2010</v>
          </cell>
          <cell r="D4397" t="str">
            <v>MILHO</v>
          </cell>
          <cell r="E4397">
            <v>4268</v>
          </cell>
        </row>
        <row r="4398">
          <cell r="A4398" t="str">
            <v>MT</v>
          </cell>
          <cell r="B4398">
            <v>2010</v>
          </cell>
          <cell r="D4398" t="str">
            <v>SOJA</v>
          </cell>
          <cell r="E4398">
            <v>0</v>
          </cell>
        </row>
        <row r="4399">
          <cell r="A4399" t="str">
            <v>TO</v>
          </cell>
          <cell r="B4399">
            <v>2010</v>
          </cell>
          <cell r="D4399" t="str">
            <v>SOJA</v>
          </cell>
          <cell r="E4399">
            <v>7746.4285714285716</v>
          </cell>
        </row>
        <row r="4400">
          <cell r="A4400" t="str">
            <v>MA</v>
          </cell>
          <cell r="B4400">
            <v>2010</v>
          </cell>
          <cell r="D4400" t="str">
            <v>SOJA</v>
          </cell>
          <cell r="E4400">
            <v>0</v>
          </cell>
        </row>
        <row r="4401">
          <cell r="A4401" t="str">
            <v>MA</v>
          </cell>
          <cell r="B4401">
            <v>2010</v>
          </cell>
          <cell r="D4401" t="str">
            <v>SOJA</v>
          </cell>
          <cell r="E4401">
            <v>11614.285714285714</v>
          </cell>
        </row>
        <row r="4402">
          <cell r="A4402" t="str">
            <v>RS</v>
          </cell>
          <cell r="B4402">
            <v>2010</v>
          </cell>
          <cell r="D4402" t="str">
            <v>MILHO</v>
          </cell>
          <cell r="E4402">
            <v>0</v>
          </cell>
        </row>
        <row r="4403">
          <cell r="A4403" t="str">
            <v>RS</v>
          </cell>
          <cell r="B4403">
            <v>2010</v>
          </cell>
          <cell r="D4403" t="str">
            <v>SOJA</v>
          </cell>
          <cell r="E4403">
            <v>2185.7142857142853</v>
          </cell>
        </row>
        <row r="4404">
          <cell r="A4404" t="str">
            <v>RS</v>
          </cell>
          <cell r="B4404">
            <v>2010</v>
          </cell>
          <cell r="D4404" t="str">
            <v>SOJA</v>
          </cell>
          <cell r="E4404">
            <v>16371.428571428571</v>
          </cell>
        </row>
        <row r="4405">
          <cell r="A4405" t="str">
            <v>RS</v>
          </cell>
          <cell r="B4405">
            <v>2010</v>
          </cell>
          <cell r="D4405" t="str">
            <v>SOJA</v>
          </cell>
          <cell r="E4405">
            <v>0</v>
          </cell>
        </row>
        <row r="4406">
          <cell r="A4406" t="str">
            <v>MT</v>
          </cell>
          <cell r="B4406">
            <v>2010</v>
          </cell>
          <cell r="D4406" t="str">
            <v>SOJA</v>
          </cell>
          <cell r="E4406">
            <v>0</v>
          </cell>
        </row>
        <row r="4407">
          <cell r="A4407" t="str">
            <v>MT</v>
          </cell>
          <cell r="B4407">
            <v>2010</v>
          </cell>
          <cell r="D4407" t="str">
            <v>MILHO</v>
          </cell>
          <cell r="E4407">
            <v>4268</v>
          </cell>
        </row>
        <row r="4408">
          <cell r="A4408" t="str">
            <v>MT</v>
          </cell>
          <cell r="B4408">
            <v>2010</v>
          </cell>
          <cell r="D4408" t="str">
            <v>SOJA</v>
          </cell>
          <cell r="E4408">
            <v>0</v>
          </cell>
        </row>
        <row r="4409">
          <cell r="A4409" t="str">
            <v>MT</v>
          </cell>
          <cell r="B4409">
            <v>2010</v>
          </cell>
          <cell r="D4409" t="str">
            <v>SOJA</v>
          </cell>
          <cell r="E4409">
            <v>0</v>
          </cell>
        </row>
        <row r="4410">
          <cell r="A4410" t="str">
            <v>BA</v>
          </cell>
          <cell r="B4410">
            <v>2010</v>
          </cell>
          <cell r="D4410" t="str">
            <v>SOJA</v>
          </cell>
          <cell r="E4410">
            <v>2067.8571428571427</v>
          </cell>
        </row>
        <row r="4411">
          <cell r="A4411" t="str">
            <v>PI</v>
          </cell>
          <cell r="B4411">
            <v>2010</v>
          </cell>
          <cell r="D4411" t="str">
            <v>SOJA</v>
          </cell>
          <cell r="E4411">
            <v>2742.8571428571427</v>
          </cell>
        </row>
        <row r="4412">
          <cell r="A4412" t="str">
            <v>PI</v>
          </cell>
          <cell r="B4412">
            <v>2010</v>
          </cell>
          <cell r="D4412" t="str">
            <v>SOJA</v>
          </cell>
          <cell r="E4412">
            <v>0</v>
          </cell>
        </row>
        <row r="4413">
          <cell r="A4413" t="str">
            <v>PI</v>
          </cell>
          <cell r="B4413">
            <v>2010</v>
          </cell>
          <cell r="D4413" t="str">
            <v>SOJA</v>
          </cell>
          <cell r="E4413">
            <v>10928.571428571428</v>
          </cell>
        </row>
        <row r="4414">
          <cell r="A4414" t="str">
            <v>PI</v>
          </cell>
          <cell r="B4414">
            <v>2010</v>
          </cell>
          <cell r="D4414" t="str">
            <v>SOJA</v>
          </cell>
          <cell r="E4414">
            <v>0</v>
          </cell>
        </row>
        <row r="4415">
          <cell r="A4415" t="str">
            <v>GO</v>
          </cell>
          <cell r="B4415">
            <v>2010</v>
          </cell>
          <cell r="D4415" t="str">
            <v>MILHO</v>
          </cell>
          <cell r="E4415">
            <v>7018.0000000000009</v>
          </cell>
        </row>
        <row r="4416">
          <cell r="A4416" t="str">
            <v>GO</v>
          </cell>
          <cell r="B4416">
            <v>2010</v>
          </cell>
          <cell r="D4416" t="str">
            <v>SOJA</v>
          </cell>
          <cell r="E4416">
            <v>0</v>
          </cell>
        </row>
        <row r="4417">
          <cell r="A4417" t="str">
            <v>TO</v>
          </cell>
          <cell r="B4417">
            <v>2010</v>
          </cell>
          <cell r="D4417" t="str">
            <v>SOJA</v>
          </cell>
          <cell r="E4417">
            <v>0</v>
          </cell>
        </row>
        <row r="4418">
          <cell r="A4418" t="str">
            <v>TO</v>
          </cell>
          <cell r="B4418">
            <v>2010</v>
          </cell>
          <cell r="D4418" t="str">
            <v>SOJA</v>
          </cell>
          <cell r="E4418">
            <v>4842.8571428571422</v>
          </cell>
        </row>
        <row r="4419">
          <cell r="A4419" t="str">
            <v>MA</v>
          </cell>
          <cell r="B4419">
            <v>2010</v>
          </cell>
          <cell r="D4419" t="str">
            <v>SOJA</v>
          </cell>
          <cell r="E4419">
            <v>7264.2857142857147</v>
          </cell>
        </row>
        <row r="4420">
          <cell r="A4420" t="str">
            <v>MA</v>
          </cell>
          <cell r="B4420">
            <v>2010</v>
          </cell>
          <cell r="D4420" t="str">
            <v>SOJA</v>
          </cell>
          <cell r="E4420">
            <v>0</v>
          </cell>
        </row>
        <row r="4421">
          <cell r="A4421" t="str">
            <v>GO</v>
          </cell>
          <cell r="B4421">
            <v>2010</v>
          </cell>
          <cell r="D4421" t="str">
            <v>SOJA</v>
          </cell>
          <cell r="E4421">
            <v>0</v>
          </cell>
        </row>
        <row r="4422">
          <cell r="A4422" t="str">
            <v>MA</v>
          </cell>
          <cell r="B4422">
            <v>2010</v>
          </cell>
          <cell r="D4422" t="str">
            <v>SOJA</v>
          </cell>
          <cell r="E4422">
            <v>5807.1428571428569</v>
          </cell>
        </row>
        <row r="4423">
          <cell r="A4423" t="str">
            <v>PR</v>
          </cell>
          <cell r="B4423">
            <v>2010</v>
          </cell>
          <cell r="D4423" t="str">
            <v>MILHO</v>
          </cell>
          <cell r="E4423">
            <v>0</v>
          </cell>
        </row>
        <row r="4424">
          <cell r="A4424" t="str">
            <v>PR</v>
          </cell>
          <cell r="B4424">
            <v>2010</v>
          </cell>
          <cell r="D4424" t="str">
            <v>SOJA</v>
          </cell>
          <cell r="E4424">
            <v>4607.1428571428569</v>
          </cell>
        </row>
        <row r="4425">
          <cell r="A4425" t="str">
            <v>PR</v>
          </cell>
          <cell r="B4425">
            <v>2010</v>
          </cell>
          <cell r="D4425" t="str">
            <v>SOJA</v>
          </cell>
          <cell r="E4425">
            <v>0</v>
          </cell>
        </row>
        <row r="4426">
          <cell r="A4426" t="str">
            <v>TO</v>
          </cell>
          <cell r="B4426">
            <v>2010</v>
          </cell>
          <cell r="D4426" t="str">
            <v>SOJA</v>
          </cell>
          <cell r="E4426">
            <v>3867.8571428571427</v>
          </cell>
        </row>
        <row r="4427">
          <cell r="A4427" t="str">
            <v>TO</v>
          </cell>
          <cell r="B4427">
            <v>2010</v>
          </cell>
          <cell r="D4427" t="str">
            <v>SOJA</v>
          </cell>
          <cell r="E4427">
            <v>0</v>
          </cell>
        </row>
        <row r="4428">
          <cell r="A4428" t="str">
            <v>PI</v>
          </cell>
          <cell r="B4428">
            <v>2010</v>
          </cell>
          <cell r="D4428" t="str">
            <v>SOJA</v>
          </cell>
          <cell r="E4428">
            <v>5485.7142857142853</v>
          </cell>
        </row>
        <row r="4429">
          <cell r="A4429" t="str">
            <v>PI</v>
          </cell>
          <cell r="B4429">
            <v>2010</v>
          </cell>
          <cell r="D4429" t="str">
            <v>SOJA</v>
          </cell>
          <cell r="E4429">
            <v>0</v>
          </cell>
        </row>
        <row r="4430">
          <cell r="A4430" t="str">
            <v>MA</v>
          </cell>
          <cell r="B4430">
            <v>2010</v>
          </cell>
          <cell r="D4430" t="str">
            <v>SOJA</v>
          </cell>
          <cell r="E4430">
            <v>3867.8571428571427</v>
          </cell>
        </row>
        <row r="4431">
          <cell r="A4431" t="str">
            <v>MA</v>
          </cell>
          <cell r="B4431">
            <v>2010</v>
          </cell>
          <cell r="D4431" t="str">
            <v>SOJA</v>
          </cell>
          <cell r="E4431">
            <v>0</v>
          </cell>
        </row>
        <row r="4432">
          <cell r="A4432" t="str">
            <v>MA</v>
          </cell>
          <cell r="B4432">
            <v>2010</v>
          </cell>
          <cell r="D4432" t="str">
            <v>SOJA</v>
          </cell>
          <cell r="E4432">
            <v>0</v>
          </cell>
        </row>
        <row r="4433">
          <cell r="A4433" t="str">
            <v>PR</v>
          </cell>
          <cell r="B4433">
            <v>2010</v>
          </cell>
          <cell r="D4433" t="str">
            <v>SOJA</v>
          </cell>
          <cell r="E4433">
            <v>0</v>
          </cell>
        </row>
        <row r="4434">
          <cell r="A4434" t="str">
            <v>PR</v>
          </cell>
          <cell r="B4434">
            <v>2010</v>
          </cell>
          <cell r="D4434" t="str">
            <v>SOJA</v>
          </cell>
          <cell r="E4434">
            <v>0</v>
          </cell>
        </row>
        <row r="4435">
          <cell r="A4435" t="str">
            <v>PR</v>
          </cell>
          <cell r="B4435">
            <v>2010</v>
          </cell>
          <cell r="D4435" t="str">
            <v>MILHO</v>
          </cell>
          <cell r="E4435">
            <v>0</v>
          </cell>
        </row>
        <row r="4436">
          <cell r="A4436" t="str">
            <v>PR</v>
          </cell>
          <cell r="B4436">
            <v>2010</v>
          </cell>
          <cell r="D4436" t="str">
            <v>SOJA</v>
          </cell>
          <cell r="E4436">
            <v>0</v>
          </cell>
        </row>
        <row r="4437">
          <cell r="A4437" t="str">
            <v>MG</v>
          </cell>
          <cell r="B4437">
            <v>2010</v>
          </cell>
          <cell r="D4437" t="str">
            <v>MILHO</v>
          </cell>
          <cell r="E4437">
            <v>902</v>
          </cell>
        </row>
        <row r="4438">
          <cell r="A4438" t="str">
            <v>MG</v>
          </cell>
          <cell r="B4438">
            <v>2010</v>
          </cell>
          <cell r="D4438" t="str">
            <v>MILHO</v>
          </cell>
          <cell r="E4438">
            <v>902</v>
          </cell>
        </row>
        <row r="4439">
          <cell r="A4439" t="str">
            <v>MG</v>
          </cell>
          <cell r="B4439">
            <v>2010</v>
          </cell>
          <cell r="D4439" t="str">
            <v>MILHO</v>
          </cell>
          <cell r="E4439">
            <v>902</v>
          </cell>
        </row>
        <row r="4440">
          <cell r="A4440" t="str">
            <v>MG</v>
          </cell>
          <cell r="B4440">
            <v>2010</v>
          </cell>
          <cell r="D4440" t="str">
            <v>MILHO</v>
          </cell>
          <cell r="E4440">
            <v>902</v>
          </cell>
        </row>
        <row r="4441">
          <cell r="A4441" t="str">
            <v>MG</v>
          </cell>
          <cell r="B4441">
            <v>2010</v>
          </cell>
          <cell r="D4441" t="str">
            <v>MILHO</v>
          </cell>
          <cell r="E4441">
            <v>902</v>
          </cell>
        </row>
        <row r="4442">
          <cell r="A4442" t="str">
            <v>MG</v>
          </cell>
          <cell r="B4442">
            <v>2010</v>
          </cell>
          <cell r="D4442" t="str">
            <v>MILHO</v>
          </cell>
          <cell r="E4442">
            <v>902</v>
          </cell>
        </row>
        <row r="4443">
          <cell r="A4443" t="str">
            <v>MG</v>
          </cell>
          <cell r="B4443">
            <v>2010</v>
          </cell>
          <cell r="D4443" t="str">
            <v>MILHO</v>
          </cell>
          <cell r="E4443">
            <v>902</v>
          </cell>
        </row>
        <row r="4444">
          <cell r="A4444" t="str">
            <v>MG</v>
          </cell>
          <cell r="B4444">
            <v>2010</v>
          </cell>
          <cell r="D4444" t="str">
            <v>MILHO</v>
          </cell>
          <cell r="E4444">
            <v>902</v>
          </cell>
        </row>
        <row r="4445">
          <cell r="A4445" t="str">
            <v>MG</v>
          </cell>
          <cell r="B4445">
            <v>2010</v>
          </cell>
          <cell r="D4445" t="str">
            <v>MILHO</v>
          </cell>
          <cell r="E4445">
            <v>902</v>
          </cell>
        </row>
        <row r="4446">
          <cell r="A4446" t="str">
            <v>MG</v>
          </cell>
          <cell r="B4446">
            <v>2010</v>
          </cell>
          <cell r="D4446" t="str">
            <v>MILHO</v>
          </cell>
          <cell r="E4446">
            <v>902</v>
          </cell>
        </row>
        <row r="4447">
          <cell r="A4447" t="str">
            <v>MG</v>
          </cell>
          <cell r="B4447">
            <v>2010</v>
          </cell>
          <cell r="D4447" t="str">
            <v>MILHO</v>
          </cell>
          <cell r="E4447">
            <v>902</v>
          </cell>
        </row>
        <row r="4448">
          <cell r="A4448" t="str">
            <v>MG</v>
          </cell>
          <cell r="B4448">
            <v>2010</v>
          </cell>
          <cell r="D4448" t="str">
            <v>MILHO</v>
          </cell>
          <cell r="E4448">
            <v>902</v>
          </cell>
        </row>
        <row r="4449">
          <cell r="A4449" t="str">
            <v>MG</v>
          </cell>
          <cell r="B4449">
            <v>2010</v>
          </cell>
          <cell r="D4449" t="str">
            <v>MILHO</v>
          </cell>
          <cell r="E4449">
            <v>902</v>
          </cell>
        </row>
        <row r="4450">
          <cell r="A4450" t="str">
            <v>MG</v>
          </cell>
          <cell r="B4450">
            <v>2010</v>
          </cell>
          <cell r="D4450" t="str">
            <v>MILHO</v>
          </cell>
          <cell r="E4450">
            <v>902</v>
          </cell>
        </row>
        <row r="4451">
          <cell r="A4451" t="str">
            <v>MG</v>
          </cell>
          <cell r="B4451">
            <v>2010</v>
          </cell>
          <cell r="D4451" t="str">
            <v>MILHO</v>
          </cell>
          <cell r="E4451">
            <v>902</v>
          </cell>
        </row>
        <row r="4452">
          <cell r="A4452" t="str">
            <v>MG</v>
          </cell>
          <cell r="B4452">
            <v>2010</v>
          </cell>
          <cell r="D4452" t="str">
            <v>MILHO</v>
          </cell>
          <cell r="E4452">
            <v>902</v>
          </cell>
        </row>
        <row r="4453">
          <cell r="A4453" t="str">
            <v>MG</v>
          </cell>
          <cell r="B4453">
            <v>2010</v>
          </cell>
          <cell r="D4453" t="str">
            <v>MILHO</v>
          </cell>
          <cell r="E4453">
            <v>902</v>
          </cell>
        </row>
        <row r="4454">
          <cell r="A4454" t="str">
            <v>MG</v>
          </cell>
          <cell r="B4454">
            <v>2010</v>
          </cell>
          <cell r="D4454" t="str">
            <v>MILHO</v>
          </cell>
          <cell r="E4454">
            <v>902</v>
          </cell>
        </row>
        <row r="4455">
          <cell r="A4455" t="str">
            <v>MG</v>
          </cell>
          <cell r="B4455">
            <v>2010</v>
          </cell>
          <cell r="D4455" t="str">
            <v>MILHO</v>
          </cell>
          <cell r="E4455">
            <v>902</v>
          </cell>
        </row>
        <row r="4456">
          <cell r="A4456" t="str">
            <v>MG</v>
          </cell>
          <cell r="B4456">
            <v>2010</v>
          </cell>
          <cell r="D4456" t="str">
            <v>MILHO</v>
          </cell>
          <cell r="E4456">
            <v>902</v>
          </cell>
        </row>
        <row r="4457">
          <cell r="A4457" t="str">
            <v>MG</v>
          </cell>
          <cell r="B4457">
            <v>2010</v>
          </cell>
          <cell r="D4457" t="str">
            <v>MILHO</v>
          </cell>
          <cell r="E4457">
            <v>902</v>
          </cell>
        </row>
        <row r="4458">
          <cell r="A4458" t="str">
            <v>MG</v>
          </cell>
          <cell r="B4458">
            <v>2010</v>
          </cell>
          <cell r="D4458" t="str">
            <v>MILHO</v>
          </cell>
          <cell r="E4458">
            <v>902</v>
          </cell>
        </row>
        <row r="4459">
          <cell r="A4459" t="str">
            <v>MG</v>
          </cell>
          <cell r="B4459">
            <v>2010</v>
          </cell>
          <cell r="D4459" t="str">
            <v>MILHO</v>
          </cell>
          <cell r="E4459">
            <v>902</v>
          </cell>
        </row>
        <row r="4460">
          <cell r="A4460" t="str">
            <v>MG</v>
          </cell>
          <cell r="B4460">
            <v>2010</v>
          </cell>
          <cell r="D4460" t="str">
            <v>MILHO</v>
          </cell>
          <cell r="E4460">
            <v>902</v>
          </cell>
        </row>
        <row r="4461">
          <cell r="A4461" t="str">
            <v>MG</v>
          </cell>
          <cell r="B4461">
            <v>2010</v>
          </cell>
          <cell r="D4461" t="str">
            <v>MILHO</v>
          </cell>
          <cell r="E4461">
            <v>1804</v>
          </cell>
        </row>
        <row r="4462">
          <cell r="A4462" t="str">
            <v>MG</v>
          </cell>
          <cell r="B4462">
            <v>2010</v>
          </cell>
          <cell r="D4462" t="str">
            <v>MILHO</v>
          </cell>
          <cell r="E4462">
            <v>1804</v>
          </cell>
        </row>
        <row r="4463">
          <cell r="A4463" t="str">
            <v>MG</v>
          </cell>
          <cell r="B4463">
            <v>2010</v>
          </cell>
          <cell r="D4463" t="str">
            <v>MILHO</v>
          </cell>
          <cell r="E4463">
            <v>1804</v>
          </cell>
        </row>
        <row r="4464">
          <cell r="A4464" t="str">
            <v>MG</v>
          </cell>
          <cell r="B4464">
            <v>2010</v>
          </cell>
          <cell r="D4464" t="str">
            <v>MILHO</v>
          </cell>
          <cell r="E4464">
            <v>1804</v>
          </cell>
        </row>
        <row r="4465">
          <cell r="A4465" t="str">
            <v>MG</v>
          </cell>
          <cell r="B4465">
            <v>2010</v>
          </cell>
          <cell r="D4465" t="str">
            <v>MILHO</v>
          </cell>
          <cell r="E4465">
            <v>2706</v>
          </cell>
        </row>
        <row r="4466">
          <cell r="A4466" t="str">
            <v>MG</v>
          </cell>
          <cell r="B4466">
            <v>2010</v>
          </cell>
          <cell r="D4466" t="str">
            <v>MILHO</v>
          </cell>
          <cell r="E4466">
            <v>2706</v>
          </cell>
        </row>
        <row r="4467">
          <cell r="A4467" t="str">
            <v>MG</v>
          </cell>
          <cell r="B4467">
            <v>2010</v>
          </cell>
          <cell r="D4467" t="str">
            <v>MILHO</v>
          </cell>
          <cell r="E4467">
            <v>3608</v>
          </cell>
        </row>
        <row r="4468">
          <cell r="A4468" t="str">
            <v>MG</v>
          </cell>
          <cell r="B4468">
            <v>2010</v>
          </cell>
          <cell r="D4468" t="str">
            <v>MILHO</v>
          </cell>
          <cell r="E4468">
            <v>4510</v>
          </cell>
        </row>
        <row r="4469">
          <cell r="A4469" t="str">
            <v>MG</v>
          </cell>
          <cell r="B4469">
            <v>2010</v>
          </cell>
          <cell r="D4469" t="str">
            <v>MILHO</v>
          </cell>
          <cell r="E4469">
            <v>4510</v>
          </cell>
        </row>
        <row r="4470">
          <cell r="A4470" t="str">
            <v>MG</v>
          </cell>
          <cell r="B4470">
            <v>2010</v>
          </cell>
          <cell r="D4470" t="str">
            <v>MILHO</v>
          </cell>
          <cell r="E4470">
            <v>0</v>
          </cell>
        </row>
        <row r="4471">
          <cell r="A4471" t="str">
            <v>MG</v>
          </cell>
          <cell r="B4471">
            <v>2010</v>
          </cell>
          <cell r="D4471" t="str">
            <v>SOJA</v>
          </cell>
          <cell r="E4471">
            <v>846.42857142857144</v>
          </cell>
        </row>
        <row r="4472">
          <cell r="A4472" t="str">
            <v>MG</v>
          </cell>
          <cell r="B4472">
            <v>2010</v>
          </cell>
          <cell r="D4472" t="str">
            <v>SOJA</v>
          </cell>
          <cell r="E4472">
            <v>846.42857142857144</v>
          </cell>
        </row>
        <row r="4473">
          <cell r="A4473" t="str">
            <v>MG</v>
          </cell>
          <cell r="B4473">
            <v>2010</v>
          </cell>
          <cell r="D4473" t="str">
            <v>SOJA</v>
          </cell>
          <cell r="E4473">
            <v>846.42857142857144</v>
          </cell>
        </row>
        <row r="4474">
          <cell r="A4474" t="str">
            <v>MG</v>
          </cell>
          <cell r="B4474">
            <v>2010</v>
          </cell>
          <cell r="D4474" t="str">
            <v>SOJA</v>
          </cell>
          <cell r="E4474">
            <v>8432.1428571428569</v>
          </cell>
        </row>
        <row r="4475">
          <cell r="A4475" t="str">
            <v>MG</v>
          </cell>
          <cell r="B4475">
            <v>2010</v>
          </cell>
          <cell r="D4475" t="str">
            <v>SOJA</v>
          </cell>
          <cell r="E4475">
            <v>0</v>
          </cell>
        </row>
        <row r="4476">
          <cell r="A4476" t="str">
            <v>GO</v>
          </cell>
          <cell r="B4476">
            <v>2010</v>
          </cell>
          <cell r="D4476" t="str">
            <v>MILHO</v>
          </cell>
          <cell r="E4476">
            <v>880.00000000000011</v>
          </cell>
        </row>
        <row r="4477">
          <cell r="A4477" t="str">
            <v>GO</v>
          </cell>
          <cell r="B4477">
            <v>2010</v>
          </cell>
          <cell r="D4477" t="str">
            <v>MILHO</v>
          </cell>
          <cell r="E4477">
            <v>0</v>
          </cell>
        </row>
        <row r="4478">
          <cell r="A4478" t="str">
            <v>GO</v>
          </cell>
          <cell r="B4478">
            <v>2010</v>
          </cell>
          <cell r="D4478" t="str">
            <v>SOJA</v>
          </cell>
          <cell r="E4478">
            <v>0</v>
          </cell>
        </row>
        <row r="4479">
          <cell r="A4479" t="str">
            <v>GO</v>
          </cell>
          <cell r="B4479">
            <v>2010</v>
          </cell>
          <cell r="D4479" t="str">
            <v>SOJA</v>
          </cell>
          <cell r="E4479">
            <v>6696.4285714285716</v>
          </cell>
        </row>
        <row r="4480">
          <cell r="A4480" t="str">
            <v>PR</v>
          </cell>
          <cell r="B4480">
            <v>2010</v>
          </cell>
          <cell r="D4480" t="str">
            <v>MILHO</v>
          </cell>
          <cell r="E4480">
            <v>13178</v>
          </cell>
        </row>
        <row r="4481">
          <cell r="A4481" t="str">
            <v>PR</v>
          </cell>
          <cell r="B4481">
            <v>2010</v>
          </cell>
          <cell r="D4481" t="str">
            <v>MILHO</v>
          </cell>
          <cell r="E4481">
            <v>0</v>
          </cell>
        </row>
        <row r="4482">
          <cell r="A4482" t="str">
            <v>PR</v>
          </cell>
          <cell r="B4482">
            <v>2010</v>
          </cell>
          <cell r="D4482" t="str">
            <v>SOJA</v>
          </cell>
          <cell r="E4482">
            <v>18428.571428571428</v>
          </cell>
        </row>
        <row r="4483">
          <cell r="A4483" t="str">
            <v>PR</v>
          </cell>
          <cell r="B4483">
            <v>2010</v>
          </cell>
          <cell r="D4483" t="str">
            <v>SOJA</v>
          </cell>
          <cell r="E4483">
            <v>0</v>
          </cell>
        </row>
        <row r="4484">
          <cell r="A4484" t="str">
            <v>PR</v>
          </cell>
          <cell r="B4484">
            <v>2010</v>
          </cell>
          <cell r="D4484" t="str">
            <v>MILHO</v>
          </cell>
          <cell r="E4484">
            <v>0</v>
          </cell>
        </row>
        <row r="4485">
          <cell r="A4485" t="str">
            <v>PR</v>
          </cell>
          <cell r="B4485">
            <v>2010</v>
          </cell>
          <cell r="D4485" t="str">
            <v>SOJA</v>
          </cell>
          <cell r="E4485">
            <v>0</v>
          </cell>
        </row>
        <row r="4486">
          <cell r="A4486" t="str">
            <v>PR</v>
          </cell>
          <cell r="B4486">
            <v>2010</v>
          </cell>
          <cell r="D4486" t="str">
            <v>SOJA</v>
          </cell>
          <cell r="E4486">
            <v>0</v>
          </cell>
        </row>
        <row r="4487">
          <cell r="A4487" t="str">
            <v>PR</v>
          </cell>
          <cell r="B4487">
            <v>2010</v>
          </cell>
          <cell r="D4487" t="str">
            <v>MILHO</v>
          </cell>
          <cell r="E4487">
            <v>0</v>
          </cell>
        </row>
        <row r="4488">
          <cell r="A4488" t="str">
            <v>RS</v>
          </cell>
          <cell r="B4488">
            <v>2010</v>
          </cell>
          <cell r="D4488" t="str">
            <v>SOJA</v>
          </cell>
          <cell r="E4488">
            <v>0</v>
          </cell>
        </row>
        <row r="4489">
          <cell r="A4489" t="str">
            <v>PR</v>
          </cell>
          <cell r="B4489">
            <v>2010</v>
          </cell>
          <cell r="D4489" t="str">
            <v>MILHO</v>
          </cell>
          <cell r="E4489">
            <v>0</v>
          </cell>
        </row>
        <row r="4490">
          <cell r="A4490" t="str">
            <v>PR</v>
          </cell>
          <cell r="B4490">
            <v>2010</v>
          </cell>
          <cell r="D4490" t="str">
            <v>SOJA</v>
          </cell>
          <cell r="E4490">
            <v>1842.8571428571427</v>
          </cell>
        </row>
        <row r="4491">
          <cell r="A4491" t="str">
            <v>PR</v>
          </cell>
          <cell r="B4491">
            <v>2010</v>
          </cell>
          <cell r="D4491" t="str">
            <v>SOJA</v>
          </cell>
          <cell r="E4491">
            <v>0</v>
          </cell>
        </row>
        <row r="4492">
          <cell r="A4492" t="str">
            <v>MT</v>
          </cell>
          <cell r="B4492">
            <v>2010</v>
          </cell>
          <cell r="D4492" t="str">
            <v>SOJA</v>
          </cell>
          <cell r="E4492">
            <v>0</v>
          </cell>
        </row>
        <row r="4493">
          <cell r="A4493" t="str">
            <v>MT</v>
          </cell>
          <cell r="B4493">
            <v>2010</v>
          </cell>
          <cell r="D4493" t="str">
            <v>SOJA</v>
          </cell>
          <cell r="E4493">
            <v>0</v>
          </cell>
        </row>
        <row r="4494">
          <cell r="A4494" t="str">
            <v>BA</v>
          </cell>
          <cell r="B4494">
            <v>2010</v>
          </cell>
          <cell r="D4494" t="str">
            <v>SOJA</v>
          </cell>
          <cell r="E4494">
            <v>1028.5714285714284</v>
          </cell>
        </row>
        <row r="4495">
          <cell r="A4495" t="str">
            <v>MT</v>
          </cell>
          <cell r="B4495">
            <v>2010</v>
          </cell>
          <cell r="D4495" t="str">
            <v>SOJA</v>
          </cell>
          <cell r="E4495">
            <v>0</v>
          </cell>
        </row>
        <row r="4496">
          <cell r="A4496" t="str">
            <v>MT</v>
          </cell>
          <cell r="B4496">
            <v>2010</v>
          </cell>
          <cell r="D4496" t="str">
            <v>SOJA</v>
          </cell>
          <cell r="E4496">
            <v>0</v>
          </cell>
        </row>
        <row r="4497">
          <cell r="A4497" t="str">
            <v>MT</v>
          </cell>
          <cell r="B4497">
            <v>2010</v>
          </cell>
          <cell r="D4497" t="str">
            <v>MILHO</v>
          </cell>
          <cell r="E4497">
            <v>0</v>
          </cell>
        </row>
        <row r="4498">
          <cell r="A4498" t="str">
            <v>MT</v>
          </cell>
          <cell r="B4498">
            <v>2010</v>
          </cell>
          <cell r="D4498" t="str">
            <v>SOJA</v>
          </cell>
          <cell r="E4498">
            <v>0</v>
          </cell>
        </row>
        <row r="4499">
          <cell r="A4499" t="str">
            <v>BA</v>
          </cell>
          <cell r="B4499">
            <v>2010</v>
          </cell>
          <cell r="D4499" t="str">
            <v>SOJA</v>
          </cell>
          <cell r="E4499">
            <v>4125</v>
          </cell>
        </row>
        <row r="4500">
          <cell r="A4500" t="str">
            <v>RS</v>
          </cell>
          <cell r="B4500">
            <v>2010</v>
          </cell>
          <cell r="D4500" t="str">
            <v>SOJA</v>
          </cell>
          <cell r="E4500">
            <v>546.42857142857133</v>
          </cell>
        </row>
        <row r="4501">
          <cell r="A4501" t="str">
            <v>RS</v>
          </cell>
          <cell r="B4501">
            <v>2010</v>
          </cell>
          <cell r="D4501" t="str">
            <v>SOJA</v>
          </cell>
          <cell r="E4501">
            <v>38185.714285714283</v>
          </cell>
        </row>
        <row r="4502">
          <cell r="A4502" t="str">
            <v>RS</v>
          </cell>
          <cell r="B4502">
            <v>2010</v>
          </cell>
          <cell r="D4502" t="str">
            <v>SOJA</v>
          </cell>
          <cell r="E4502">
            <v>18546.428571428572</v>
          </cell>
        </row>
        <row r="4503">
          <cell r="A4503" t="str">
            <v>RS</v>
          </cell>
          <cell r="B4503">
            <v>2010</v>
          </cell>
          <cell r="D4503" t="str">
            <v>MILHO</v>
          </cell>
          <cell r="E4503">
            <v>1155.0000000000002</v>
          </cell>
        </row>
        <row r="4504">
          <cell r="A4504" t="str">
            <v>RS</v>
          </cell>
          <cell r="B4504">
            <v>2010</v>
          </cell>
          <cell r="D4504" t="str">
            <v>SOJA</v>
          </cell>
          <cell r="E4504">
            <v>5453.5714285714284</v>
          </cell>
        </row>
        <row r="4505">
          <cell r="A4505" t="str">
            <v>RS</v>
          </cell>
          <cell r="B4505">
            <v>2010</v>
          </cell>
          <cell r="D4505" t="str">
            <v>SOJA</v>
          </cell>
          <cell r="E4505">
            <v>0</v>
          </cell>
        </row>
        <row r="4506">
          <cell r="A4506" t="str">
            <v>RS</v>
          </cell>
          <cell r="B4506">
            <v>2010</v>
          </cell>
          <cell r="D4506" t="str">
            <v>MILHO</v>
          </cell>
          <cell r="E4506">
            <v>0</v>
          </cell>
        </row>
        <row r="4507">
          <cell r="A4507" t="str">
            <v>RS</v>
          </cell>
          <cell r="B4507">
            <v>2010</v>
          </cell>
          <cell r="D4507" t="str">
            <v>SOJA</v>
          </cell>
          <cell r="E4507">
            <v>10907.142857142857</v>
          </cell>
        </row>
        <row r="4508">
          <cell r="A4508" t="str">
            <v>RS</v>
          </cell>
          <cell r="B4508">
            <v>2010</v>
          </cell>
          <cell r="D4508" t="str">
            <v>SOJA</v>
          </cell>
          <cell r="E4508">
            <v>0</v>
          </cell>
        </row>
        <row r="4509">
          <cell r="A4509" t="str">
            <v>PR</v>
          </cell>
          <cell r="B4509">
            <v>2010</v>
          </cell>
          <cell r="D4509" t="str">
            <v>MILHO</v>
          </cell>
          <cell r="E4509">
            <v>0</v>
          </cell>
        </row>
        <row r="4510">
          <cell r="A4510" t="str">
            <v>PR</v>
          </cell>
          <cell r="B4510">
            <v>2010</v>
          </cell>
          <cell r="D4510" t="str">
            <v>SOJA</v>
          </cell>
          <cell r="E4510">
            <v>0</v>
          </cell>
        </row>
        <row r="4511">
          <cell r="A4511" t="str">
            <v>PR</v>
          </cell>
          <cell r="B4511">
            <v>2010</v>
          </cell>
          <cell r="D4511" t="str">
            <v>SOJA</v>
          </cell>
          <cell r="E4511">
            <v>0</v>
          </cell>
        </row>
        <row r="4512">
          <cell r="A4512" t="str">
            <v>PR</v>
          </cell>
          <cell r="B4512">
            <v>2010</v>
          </cell>
          <cell r="D4512" t="str">
            <v>SOJA</v>
          </cell>
          <cell r="E4512">
            <v>0</v>
          </cell>
        </row>
        <row r="4513">
          <cell r="A4513" t="str">
            <v>PR</v>
          </cell>
          <cell r="B4513">
            <v>2010</v>
          </cell>
          <cell r="D4513" t="str">
            <v>MILHO</v>
          </cell>
          <cell r="E4513">
            <v>0</v>
          </cell>
        </row>
        <row r="4514">
          <cell r="A4514" t="str">
            <v>PR</v>
          </cell>
          <cell r="B4514">
            <v>2010</v>
          </cell>
          <cell r="D4514" t="str">
            <v>SOJA</v>
          </cell>
          <cell r="E4514">
            <v>0</v>
          </cell>
        </row>
        <row r="4515">
          <cell r="A4515" t="str">
            <v>SP</v>
          </cell>
          <cell r="B4515">
            <v>2010</v>
          </cell>
          <cell r="D4515" t="str">
            <v>MILHO</v>
          </cell>
          <cell r="E4515">
            <v>4389</v>
          </cell>
        </row>
        <row r="4516">
          <cell r="A4516" t="str">
            <v>SP</v>
          </cell>
          <cell r="B4516">
            <v>2010</v>
          </cell>
          <cell r="D4516" t="str">
            <v>MILHO</v>
          </cell>
          <cell r="E4516">
            <v>0</v>
          </cell>
        </row>
        <row r="4517">
          <cell r="A4517" t="str">
            <v>PR</v>
          </cell>
          <cell r="B4517">
            <v>2010</v>
          </cell>
          <cell r="D4517" t="str">
            <v>MILHO</v>
          </cell>
          <cell r="E4517">
            <v>0</v>
          </cell>
        </row>
        <row r="4518">
          <cell r="A4518" t="str">
            <v>PR</v>
          </cell>
          <cell r="B4518">
            <v>2010</v>
          </cell>
          <cell r="D4518" t="str">
            <v>SOJA</v>
          </cell>
          <cell r="E4518">
            <v>2807.1428571428573</v>
          </cell>
        </row>
        <row r="4519">
          <cell r="A4519" t="str">
            <v>PR</v>
          </cell>
          <cell r="B4519">
            <v>2010</v>
          </cell>
          <cell r="D4519" t="str">
            <v>SOJA</v>
          </cell>
          <cell r="E4519">
            <v>0</v>
          </cell>
        </row>
        <row r="4520">
          <cell r="A4520" t="str">
            <v>MT</v>
          </cell>
          <cell r="B4520">
            <v>2010</v>
          </cell>
          <cell r="D4520" t="str">
            <v>MILHO</v>
          </cell>
          <cell r="E4520">
            <v>3410.0000000000005</v>
          </cell>
        </row>
        <row r="4521">
          <cell r="A4521" t="str">
            <v>MT</v>
          </cell>
          <cell r="B4521">
            <v>2010</v>
          </cell>
          <cell r="D4521" t="str">
            <v>SOJA</v>
          </cell>
          <cell r="E4521">
            <v>0</v>
          </cell>
        </row>
        <row r="4522">
          <cell r="A4522" t="str">
            <v>MT</v>
          </cell>
          <cell r="B4522">
            <v>2010</v>
          </cell>
          <cell r="D4522" t="str">
            <v>MILHO</v>
          </cell>
          <cell r="E4522">
            <v>0</v>
          </cell>
        </row>
        <row r="4523">
          <cell r="A4523" t="str">
            <v>MT</v>
          </cell>
          <cell r="B4523">
            <v>2010</v>
          </cell>
          <cell r="D4523" t="str">
            <v>MILHO</v>
          </cell>
          <cell r="E4523">
            <v>10241.000000000002</v>
          </cell>
        </row>
        <row r="4524">
          <cell r="A4524" t="str">
            <v>MT</v>
          </cell>
          <cell r="B4524">
            <v>2010</v>
          </cell>
          <cell r="D4524" t="str">
            <v>SOJA</v>
          </cell>
          <cell r="E4524">
            <v>0</v>
          </cell>
        </row>
        <row r="4525">
          <cell r="A4525" t="str">
            <v>MS</v>
          </cell>
          <cell r="B4525">
            <v>2010</v>
          </cell>
          <cell r="D4525" t="str">
            <v>MILHO</v>
          </cell>
          <cell r="E4525">
            <v>2629.0000000000005</v>
          </cell>
        </row>
        <row r="4526">
          <cell r="A4526" t="str">
            <v>MS</v>
          </cell>
          <cell r="B4526">
            <v>2010</v>
          </cell>
          <cell r="D4526" t="str">
            <v>MILHO</v>
          </cell>
          <cell r="E4526">
            <v>0</v>
          </cell>
        </row>
        <row r="4527">
          <cell r="A4527" t="str">
            <v>PR</v>
          </cell>
          <cell r="B4527">
            <v>2010</v>
          </cell>
          <cell r="D4527" t="str">
            <v>MILHO</v>
          </cell>
          <cell r="E4527">
            <v>0</v>
          </cell>
        </row>
        <row r="4528">
          <cell r="A4528" t="str">
            <v>PR</v>
          </cell>
          <cell r="B4528">
            <v>2010</v>
          </cell>
          <cell r="D4528" t="str">
            <v>SOJA</v>
          </cell>
          <cell r="E4528">
            <v>0</v>
          </cell>
        </row>
        <row r="4529">
          <cell r="A4529" t="str">
            <v>PR</v>
          </cell>
          <cell r="B4529">
            <v>2010</v>
          </cell>
          <cell r="D4529" t="str">
            <v>SOJA</v>
          </cell>
          <cell r="E4529">
            <v>27642.857142857141</v>
          </cell>
        </row>
        <row r="4530">
          <cell r="A4530" t="str">
            <v>PR</v>
          </cell>
          <cell r="B4530">
            <v>2010</v>
          </cell>
          <cell r="D4530" t="str">
            <v>MILHO</v>
          </cell>
          <cell r="E4530">
            <v>3509.0000000000005</v>
          </cell>
        </row>
        <row r="4531">
          <cell r="A4531" t="str">
            <v>PR</v>
          </cell>
          <cell r="B4531">
            <v>2010</v>
          </cell>
          <cell r="D4531" t="str">
            <v>SOJA</v>
          </cell>
          <cell r="E4531">
            <v>0</v>
          </cell>
        </row>
        <row r="4532">
          <cell r="A4532" t="str">
            <v>BA</v>
          </cell>
          <cell r="B4532">
            <v>2010</v>
          </cell>
          <cell r="D4532" t="str">
            <v>SOJA</v>
          </cell>
          <cell r="E4532">
            <v>5153.5714285714275</v>
          </cell>
        </row>
        <row r="4533">
          <cell r="A4533" t="str">
            <v>BA</v>
          </cell>
          <cell r="B4533">
            <v>2010</v>
          </cell>
          <cell r="D4533" t="str">
            <v>SOJA</v>
          </cell>
          <cell r="E4533">
            <v>20635.714285714286</v>
          </cell>
        </row>
        <row r="4534">
          <cell r="A4534" t="str">
            <v>BA</v>
          </cell>
          <cell r="B4534">
            <v>2010</v>
          </cell>
          <cell r="D4534" t="str">
            <v>SOJA</v>
          </cell>
          <cell r="E4534">
            <v>3300</v>
          </cell>
        </row>
        <row r="4535">
          <cell r="A4535" t="str">
            <v>BA</v>
          </cell>
          <cell r="B4535">
            <v>2010</v>
          </cell>
          <cell r="D4535" t="str">
            <v>SOJA</v>
          </cell>
          <cell r="E4535">
            <v>1242.8571428571427</v>
          </cell>
        </row>
        <row r="4536">
          <cell r="A4536" t="str">
            <v>MT</v>
          </cell>
          <cell r="B4536">
            <v>2010</v>
          </cell>
          <cell r="D4536" t="str">
            <v>SOJA</v>
          </cell>
          <cell r="E4536">
            <v>0</v>
          </cell>
        </row>
        <row r="4537">
          <cell r="A4537" t="str">
            <v>MT</v>
          </cell>
          <cell r="B4537">
            <v>2010</v>
          </cell>
          <cell r="D4537" t="str">
            <v>SOJA</v>
          </cell>
          <cell r="E4537">
            <v>0</v>
          </cell>
        </row>
        <row r="4538">
          <cell r="A4538" t="str">
            <v>MT</v>
          </cell>
          <cell r="B4538">
            <v>2010</v>
          </cell>
          <cell r="D4538" t="str">
            <v>SOJA</v>
          </cell>
          <cell r="E4538">
            <v>0</v>
          </cell>
        </row>
        <row r="4539">
          <cell r="A4539" t="str">
            <v>MT</v>
          </cell>
          <cell r="B4539">
            <v>2010</v>
          </cell>
          <cell r="D4539" t="str">
            <v>MILHO</v>
          </cell>
          <cell r="E4539">
            <v>4268</v>
          </cell>
        </row>
        <row r="4540">
          <cell r="A4540" t="str">
            <v>MT</v>
          </cell>
          <cell r="B4540">
            <v>2010</v>
          </cell>
          <cell r="D4540" t="str">
            <v>SOJA</v>
          </cell>
          <cell r="E4540">
            <v>0</v>
          </cell>
        </row>
        <row r="4541">
          <cell r="A4541" t="str">
            <v>TO</v>
          </cell>
          <cell r="B4541">
            <v>2010</v>
          </cell>
          <cell r="D4541" t="str">
            <v>SOJA</v>
          </cell>
          <cell r="E4541">
            <v>4842.8571428571422</v>
          </cell>
        </row>
        <row r="4542">
          <cell r="A4542" t="str">
            <v>BA</v>
          </cell>
          <cell r="B4542">
            <v>2010</v>
          </cell>
          <cell r="D4542" t="str">
            <v>MILHO</v>
          </cell>
          <cell r="E4542">
            <v>14289.000000000002</v>
          </cell>
        </row>
        <row r="4543">
          <cell r="A4543" t="str">
            <v>BA</v>
          </cell>
          <cell r="B4543">
            <v>2010</v>
          </cell>
          <cell r="D4543" t="str">
            <v>SOJA</v>
          </cell>
          <cell r="E4543">
            <v>2067.8571428571427</v>
          </cell>
        </row>
        <row r="4544">
          <cell r="A4544" t="str">
            <v>GO</v>
          </cell>
          <cell r="B4544">
            <v>2010</v>
          </cell>
          <cell r="D4544" t="str">
            <v>MILHO</v>
          </cell>
          <cell r="E4544">
            <v>1749.0000000000002</v>
          </cell>
        </row>
        <row r="4545">
          <cell r="A4545" t="str">
            <v>GO</v>
          </cell>
          <cell r="B4545">
            <v>2010</v>
          </cell>
          <cell r="D4545" t="str">
            <v>MILHO</v>
          </cell>
          <cell r="E4545">
            <v>0</v>
          </cell>
        </row>
        <row r="4546">
          <cell r="A4546" t="str">
            <v>GO</v>
          </cell>
          <cell r="B4546">
            <v>2010</v>
          </cell>
          <cell r="D4546" t="str">
            <v>SOJA</v>
          </cell>
          <cell r="E4546">
            <v>0</v>
          </cell>
        </row>
        <row r="4547">
          <cell r="A4547" t="str">
            <v>GO</v>
          </cell>
          <cell r="B4547">
            <v>2010</v>
          </cell>
          <cell r="D4547" t="str">
            <v>SOJA</v>
          </cell>
          <cell r="E4547">
            <v>1971.4285714285716</v>
          </cell>
        </row>
        <row r="4548">
          <cell r="A4548" t="str">
            <v>GO</v>
          </cell>
          <cell r="B4548">
            <v>2010</v>
          </cell>
          <cell r="D4548" t="str">
            <v>SOJA</v>
          </cell>
          <cell r="E4548">
            <v>0</v>
          </cell>
        </row>
        <row r="4549">
          <cell r="A4549" t="str">
            <v>GO</v>
          </cell>
          <cell r="B4549">
            <v>2010</v>
          </cell>
          <cell r="D4549" t="str">
            <v>MILHO</v>
          </cell>
          <cell r="E4549">
            <v>0</v>
          </cell>
        </row>
        <row r="4550">
          <cell r="A4550" t="str">
            <v>GO</v>
          </cell>
          <cell r="B4550">
            <v>2010</v>
          </cell>
          <cell r="D4550" t="str">
            <v>SOJA</v>
          </cell>
          <cell r="E4550">
            <v>0</v>
          </cell>
        </row>
        <row r="4551">
          <cell r="A4551" t="str">
            <v>MT</v>
          </cell>
          <cell r="B4551">
            <v>2010</v>
          </cell>
          <cell r="D4551" t="str">
            <v>MILHO</v>
          </cell>
          <cell r="E4551">
            <v>2629.0000000000005</v>
          </cell>
        </row>
        <row r="4552">
          <cell r="A4552" t="str">
            <v>MT</v>
          </cell>
          <cell r="B4552">
            <v>2010</v>
          </cell>
          <cell r="D4552" t="str">
            <v>SOJA</v>
          </cell>
          <cell r="E4552">
            <v>0</v>
          </cell>
        </row>
        <row r="4553">
          <cell r="A4553" t="str">
            <v>GO</v>
          </cell>
          <cell r="B4553">
            <v>2010</v>
          </cell>
          <cell r="D4553" t="str">
            <v>MILHO</v>
          </cell>
          <cell r="E4553">
            <v>880.00000000000011</v>
          </cell>
        </row>
        <row r="4554">
          <cell r="A4554" t="str">
            <v>GO</v>
          </cell>
          <cell r="B4554">
            <v>2010</v>
          </cell>
          <cell r="D4554" t="str">
            <v>MILHO</v>
          </cell>
          <cell r="E4554">
            <v>0</v>
          </cell>
        </row>
        <row r="4555">
          <cell r="A4555" t="str">
            <v>GO</v>
          </cell>
          <cell r="B4555">
            <v>2010</v>
          </cell>
          <cell r="D4555" t="str">
            <v>SOJA</v>
          </cell>
          <cell r="E4555">
            <v>0</v>
          </cell>
        </row>
        <row r="4556">
          <cell r="A4556" t="str">
            <v>SP</v>
          </cell>
          <cell r="B4556">
            <v>2010</v>
          </cell>
          <cell r="D4556" t="str">
            <v>SOJA</v>
          </cell>
          <cell r="E4556">
            <v>0</v>
          </cell>
        </row>
        <row r="4557">
          <cell r="A4557" t="str">
            <v>MT</v>
          </cell>
          <cell r="B4557">
            <v>2010</v>
          </cell>
          <cell r="D4557" t="str">
            <v>MILHO</v>
          </cell>
          <cell r="E4557">
            <v>42658</v>
          </cell>
        </row>
        <row r="4558">
          <cell r="A4558" t="str">
            <v>MT</v>
          </cell>
          <cell r="B4558">
            <v>2010</v>
          </cell>
          <cell r="D4558" t="str">
            <v>MILHO</v>
          </cell>
          <cell r="E4558">
            <v>0</v>
          </cell>
        </row>
        <row r="4559">
          <cell r="A4559" t="str">
            <v>MT</v>
          </cell>
          <cell r="B4559">
            <v>2010</v>
          </cell>
          <cell r="D4559" t="str">
            <v>SOJA</v>
          </cell>
          <cell r="E4559">
            <v>0</v>
          </cell>
        </row>
        <row r="4560">
          <cell r="A4560" t="str">
            <v>MT</v>
          </cell>
          <cell r="B4560">
            <v>2010</v>
          </cell>
          <cell r="D4560" t="str">
            <v>MILHO</v>
          </cell>
          <cell r="E4560">
            <v>0</v>
          </cell>
        </row>
        <row r="4561">
          <cell r="A4561" t="str">
            <v>MT</v>
          </cell>
          <cell r="B4561">
            <v>2010</v>
          </cell>
          <cell r="D4561" t="str">
            <v>MILHO</v>
          </cell>
          <cell r="E4561">
            <v>8536</v>
          </cell>
        </row>
        <row r="4562">
          <cell r="A4562" t="str">
            <v>MA</v>
          </cell>
          <cell r="B4562">
            <v>2010</v>
          </cell>
          <cell r="D4562" t="str">
            <v>SOJA</v>
          </cell>
          <cell r="E4562">
            <v>12857.142857142857</v>
          </cell>
        </row>
        <row r="4563">
          <cell r="A4563" t="str">
            <v>MA</v>
          </cell>
          <cell r="B4563">
            <v>2010</v>
          </cell>
          <cell r="D4563" t="str">
            <v>SOJA</v>
          </cell>
          <cell r="E4563">
            <v>0</v>
          </cell>
        </row>
        <row r="4564">
          <cell r="A4564" t="str">
            <v>MG</v>
          </cell>
          <cell r="B4564">
            <v>2010</v>
          </cell>
          <cell r="D4564" t="str">
            <v>MILHO</v>
          </cell>
          <cell r="E4564">
            <v>880.00000000000011</v>
          </cell>
        </row>
        <row r="4565">
          <cell r="A4565" t="str">
            <v>MG</v>
          </cell>
          <cell r="B4565">
            <v>2010</v>
          </cell>
          <cell r="D4565" t="str">
            <v>SOJA</v>
          </cell>
          <cell r="E4565">
            <v>0</v>
          </cell>
        </row>
        <row r="4566">
          <cell r="A4566" t="str">
            <v>MT</v>
          </cell>
          <cell r="B4566">
            <v>2010</v>
          </cell>
          <cell r="D4566" t="str">
            <v>MILHO</v>
          </cell>
          <cell r="E4566">
            <v>0</v>
          </cell>
        </row>
        <row r="4567">
          <cell r="A4567" t="str">
            <v>MT</v>
          </cell>
          <cell r="B4567">
            <v>2010</v>
          </cell>
          <cell r="D4567" t="str">
            <v>MILHO</v>
          </cell>
          <cell r="E4567">
            <v>8536</v>
          </cell>
        </row>
        <row r="4568">
          <cell r="A4568" t="str">
            <v>MT</v>
          </cell>
          <cell r="B4568">
            <v>2010</v>
          </cell>
          <cell r="D4568" t="str">
            <v>SOJA</v>
          </cell>
          <cell r="E4568">
            <v>0</v>
          </cell>
        </row>
        <row r="4569">
          <cell r="A4569" t="str">
            <v>MT</v>
          </cell>
          <cell r="B4569">
            <v>2010</v>
          </cell>
          <cell r="D4569" t="str">
            <v>MILHO</v>
          </cell>
          <cell r="E4569">
            <v>0</v>
          </cell>
        </row>
        <row r="4570">
          <cell r="A4570" t="str">
            <v>MT</v>
          </cell>
          <cell r="B4570">
            <v>2010</v>
          </cell>
          <cell r="D4570" t="str">
            <v>MILHO</v>
          </cell>
          <cell r="E4570">
            <v>10241.000000000002</v>
          </cell>
        </row>
        <row r="4571">
          <cell r="A4571" t="str">
            <v>MT</v>
          </cell>
          <cell r="B4571">
            <v>2010</v>
          </cell>
          <cell r="D4571" t="str">
            <v>SOJA</v>
          </cell>
          <cell r="E4571">
            <v>0</v>
          </cell>
        </row>
        <row r="4572">
          <cell r="A4572" t="str">
            <v>MT</v>
          </cell>
          <cell r="B4572">
            <v>2010</v>
          </cell>
          <cell r="D4572" t="str">
            <v>MILHO</v>
          </cell>
          <cell r="E4572">
            <v>0</v>
          </cell>
        </row>
        <row r="4573">
          <cell r="A4573" t="str">
            <v>MT</v>
          </cell>
          <cell r="B4573">
            <v>2010</v>
          </cell>
          <cell r="D4573" t="str">
            <v>MILHO</v>
          </cell>
          <cell r="E4573">
            <v>8536</v>
          </cell>
        </row>
        <row r="4574">
          <cell r="A4574" t="str">
            <v>MT</v>
          </cell>
          <cell r="B4574">
            <v>2010</v>
          </cell>
          <cell r="D4574" t="str">
            <v>MILHO</v>
          </cell>
          <cell r="E4574">
            <v>8525</v>
          </cell>
        </row>
        <row r="4575">
          <cell r="A4575" t="str">
            <v>TO</v>
          </cell>
          <cell r="B4575">
            <v>2010</v>
          </cell>
          <cell r="D4575" t="str">
            <v>SOJA</v>
          </cell>
          <cell r="E4575">
            <v>0</v>
          </cell>
        </row>
        <row r="4576">
          <cell r="A4576" t="str">
            <v>GO</v>
          </cell>
          <cell r="B4576">
            <v>2010</v>
          </cell>
          <cell r="D4576" t="str">
            <v>MILHO</v>
          </cell>
          <cell r="E4576">
            <v>0</v>
          </cell>
        </row>
        <row r="4577">
          <cell r="A4577" t="str">
            <v>GO</v>
          </cell>
          <cell r="B4577">
            <v>2010</v>
          </cell>
          <cell r="D4577" t="str">
            <v>SOJA</v>
          </cell>
          <cell r="E4577">
            <v>0</v>
          </cell>
        </row>
        <row r="4578">
          <cell r="A4578" t="str">
            <v>GO</v>
          </cell>
          <cell r="B4578">
            <v>2010</v>
          </cell>
          <cell r="D4578" t="str">
            <v>SOJA</v>
          </cell>
          <cell r="E4578">
            <v>0</v>
          </cell>
        </row>
        <row r="4579">
          <cell r="A4579" t="str">
            <v>MS</v>
          </cell>
          <cell r="B4579">
            <v>2010</v>
          </cell>
          <cell r="D4579" t="str">
            <v>MILHO</v>
          </cell>
          <cell r="E4579">
            <v>847.00000000000011</v>
          </cell>
        </row>
        <row r="4580">
          <cell r="A4580" t="str">
            <v>PR</v>
          </cell>
          <cell r="B4580">
            <v>2010</v>
          </cell>
          <cell r="D4580" t="str">
            <v>SOJA</v>
          </cell>
          <cell r="E4580">
            <v>0</v>
          </cell>
        </row>
        <row r="4581">
          <cell r="A4581" t="str">
            <v>BA</v>
          </cell>
          <cell r="B4581">
            <v>2010</v>
          </cell>
          <cell r="D4581" t="str">
            <v>SOJA</v>
          </cell>
          <cell r="E4581">
            <v>1028.5714285714284</v>
          </cell>
        </row>
        <row r="4582">
          <cell r="A4582" t="str">
            <v>MT</v>
          </cell>
          <cell r="B4582">
            <v>2010</v>
          </cell>
          <cell r="D4582" t="str">
            <v>SOJA</v>
          </cell>
          <cell r="E4582">
            <v>0</v>
          </cell>
        </row>
        <row r="4583">
          <cell r="A4583" t="str">
            <v>MT</v>
          </cell>
          <cell r="B4583">
            <v>2010</v>
          </cell>
          <cell r="D4583" t="str">
            <v>MILHO</v>
          </cell>
          <cell r="E4583">
            <v>0</v>
          </cell>
        </row>
        <row r="4584">
          <cell r="A4584" t="str">
            <v>MT</v>
          </cell>
          <cell r="B4584">
            <v>2010</v>
          </cell>
          <cell r="D4584" t="str">
            <v>MILHO</v>
          </cell>
          <cell r="E4584">
            <v>8536</v>
          </cell>
        </row>
        <row r="4585">
          <cell r="A4585" t="str">
            <v>MT</v>
          </cell>
          <cell r="B4585">
            <v>2010</v>
          </cell>
          <cell r="D4585" t="str">
            <v>SOJA</v>
          </cell>
          <cell r="E4585">
            <v>0</v>
          </cell>
        </row>
        <row r="4586">
          <cell r="A4586" t="str">
            <v>MT</v>
          </cell>
          <cell r="B4586">
            <v>2010</v>
          </cell>
          <cell r="D4586" t="str">
            <v>MILHO</v>
          </cell>
          <cell r="E4586">
            <v>0</v>
          </cell>
        </row>
        <row r="4587">
          <cell r="A4587" t="str">
            <v>MT</v>
          </cell>
          <cell r="B4587">
            <v>2010</v>
          </cell>
          <cell r="D4587" t="str">
            <v>SOJA</v>
          </cell>
          <cell r="E4587">
            <v>4725</v>
          </cell>
        </row>
        <row r="4588">
          <cell r="A4588" t="str">
            <v>MT</v>
          </cell>
          <cell r="B4588">
            <v>2010</v>
          </cell>
          <cell r="D4588" t="str">
            <v>MILHO</v>
          </cell>
          <cell r="E4588">
            <v>8536</v>
          </cell>
        </row>
        <row r="4589">
          <cell r="A4589" t="str">
            <v>BA</v>
          </cell>
          <cell r="B4589">
            <v>2010</v>
          </cell>
          <cell r="D4589" t="str">
            <v>MILHO</v>
          </cell>
          <cell r="E4589">
            <v>8404</v>
          </cell>
        </row>
        <row r="4590">
          <cell r="A4590" t="str">
            <v>BA</v>
          </cell>
          <cell r="B4590">
            <v>2010</v>
          </cell>
          <cell r="D4590" t="str">
            <v>SOJA</v>
          </cell>
          <cell r="E4590">
            <v>5153.5714285714275</v>
          </cell>
        </row>
        <row r="4591">
          <cell r="A4591" t="str">
            <v>BA</v>
          </cell>
          <cell r="B4591">
            <v>2010</v>
          </cell>
          <cell r="D4591" t="str">
            <v>MILHO</v>
          </cell>
          <cell r="E4591">
            <v>0</v>
          </cell>
        </row>
        <row r="4592">
          <cell r="A4592" t="str">
            <v>BA</v>
          </cell>
          <cell r="B4592">
            <v>2010</v>
          </cell>
          <cell r="D4592" t="str">
            <v>SOJA</v>
          </cell>
          <cell r="E4592">
            <v>1242.8571428571427</v>
          </cell>
        </row>
        <row r="4593">
          <cell r="A4593" t="str">
            <v>BA</v>
          </cell>
          <cell r="B4593">
            <v>2010</v>
          </cell>
          <cell r="D4593" t="str">
            <v>SOJA</v>
          </cell>
          <cell r="E4593">
            <v>1028.5714285714284</v>
          </cell>
        </row>
        <row r="4594">
          <cell r="A4594" t="str">
            <v>RS</v>
          </cell>
          <cell r="B4594">
            <v>2010</v>
          </cell>
          <cell r="D4594" t="str">
            <v>SOJA</v>
          </cell>
          <cell r="E4594">
            <v>1092.8571428571427</v>
          </cell>
        </row>
        <row r="4595">
          <cell r="A4595" t="str">
            <v>RS</v>
          </cell>
          <cell r="B4595">
            <v>2010</v>
          </cell>
          <cell r="D4595" t="str">
            <v>SOJA</v>
          </cell>
          <cell r="E4595">
            <v>0</v>
          </cell>
        </row>
        <row r="4596">
          <cell r="A4596" t="str">
            <v>RS</v>
          </cell>
          <cell r="B4596">
            <v>2010</v>
          </cell>
          <cell r="D4596" t="str">
            <v>SOJA</v>
          </cell>
          <cell r="E4596">
            <v>7639.2857142857147</v>
          </cell>
        </row>
        <row r="4597">
          <cell r="A4597" t="str">
            <v>MS</v>
          </cell>
          <cell r="B4597">
            <v>2010</v>
          </cell>
          <cell r="D4597" t="str">
            <v>MILHO</v>
          </cell>
          <cell r="E4597">
            <v>1265</v>
          </cell>
        </row>
        <row r="4598">
          <cell r="A4598" t="str">
            <v>MS</v>
          </cell>
          <cell r="B4598">
            <v>2010</v>
          </cell>
          <cell r="D4598" t="str">
            <v>SOJA</v>
          </cell>
          <cell r="E4598">
            <v>0</v>
          </cell>
        </row>
        <row r="4599">
          <cell r="A4599" t="str">
            <v>MS</v>
          </cell>
          <cell r="B4599">
            <v>2010</v>
          </cell>
          <cell r="D4599" t="str">
            <v>SOJA</v>
          </cell>
          <cell r="E4599">
            <v>0</v>
          </cell>
        </row>
        <row r="4600">
          <cell r="A4600" t="str">
            <v>MS</v>
          </cell>
          <cell r="B4600">
            <v>2010</v>
          </cell>
          <cell r="D4600" t="str">
            <v>SOJA</v>
          </cell>
          <cell r="E4600">
            <v>0</v>
          </cell>
        </row>
        <row r="4601">
          <cell r="A4601" t="str">
            <v>GO</v>
          </cell>
          <cell r="B4601">
            <v>2010</v>
          </cell>
          <cell r="D4601" t="str">
            <v>SOJA</v>
          </cell>
          <cell r="E4601">
            <v>0</v>
          </cell>
        </row>
        <row r="4602">
          <cell r="A4602" t="str">
            <v>GO</v>
          </cell>
          <cell r="B4602">
            <v>2010</v>
          </cell>
          <cell r="D4602" t="str">
            <v>SOJA</v>
          </cell>
          <cell r="E4602">
            <v>3599.9999999999995</v>
          </cell>
        </row>
        <row r="4603">
          <cell r="A4603" t="str">
            <v>MT</v>
          </cell>
          <cell r="B4603">
            <v>2010</v>
          </cell>
          <cell r="D4603" t="str">
            <v>MILHO</v>
          </cell>
          <cell r="E4603">
            <v>0</v>
          </cell>
        </row>
        <row r="4604">
          <cell r="A4604" t="str">
            <v>MT</v>
          </cell>
          <cell r="B4604">
            <v>2010</v>
          </cell>
          <cell r="D4604" t="str">
            <v>MILHO</v>
          </cell>
          <cell r="E4604">
            <v>8536</v>
          </cell>
        </row>
        <row r="4605">
          <cell r="A4605" t="str">
            <v>RS</v>
          </cell>
          <cell r="B4605">
            <v>2010</v>
          </cell>
          <cell r="D4605" t="str">
            <v>MILHO</v>
          </cell>
          <cell r="E4605">
            <v>0</v>
          </cell>
        </row>
        <row r="4606">
          <cell r="A4606" t="str">
            <v>RS</v>
          </cell>
          <cell r="B4606">
            <v>2010</v>
          </cell>
          <cell r="D4606" t="str">
            <v>SOJA</v>
          </cell>
          <cell r="E4606">
            <v>2185.7142857142853</v>
          </cell>
        </row>
        <row r="4607">
          <cell r="A4607" t="str">
            <v>RS</v>
          </cell>
          <cell r="B4607">
            <v>2010</v>
          </cell>
          <cell r="D4607" t="str">
            <v>SOJA</v>
          </cell>
          <cell r="E4607">
            <v>0</v>
          </cell>
        </row>
        <row r="4608">
          <cell r="A4608" t="str">
            <v>MT</v>
          </cell>
          <cell r="B4608">
            <v>2010</v>
          </cell>
          <cell r="D4608" t="str">
            <v>MILHO</v>
          </cell>
          <cell r="E4608">
            <v>17061</v>
          </cell>
        </row>
        <row r="4609">
          <cell r="A4609" t="str">
            <v>RS</v>
          </cell>
          <cell r="B4609">
            <v>2010</v>
          </cell>
          <cell r="D4609" t="str">
            <v>SOJA</v>
          </cell>
          <cell r="E4609">
            <v>8732.1428571428569</v>
          </cell>
        </row>
        <row r="4610">
          <cell r="A4610" t="str">
            <v>RS</v>
          </cell>
          <cell r="B4610">
            <v>2010</v>
          </cell>
          <cell r="D4610" t="str">
            <v>SOJA</v>
          </cell>
          <cell r="E4610">
            <v>11453.571428571428</v>
          </cell>
        </row>
        <row r="4611">
          <cell r="A4611" t="str">
            <v>RS</v>
          </cell>
          <cell r="B4611">
            <v>2010</v>
          </cell>
          <cell r="D4611" t="str">
            <v>MILHO</v>
          </cell>
          <cell r="E4611">
            <v>1155.0000000000002</v>
          </cell>
        </row>
        <row r="4612">
          <cell r="A4612" t="str">
            <v>RS</v>
          </cell>
          <cell r="B4612">
            <v>2010</v>
          </cell>
          <cell r="D4612" t="str">
            <v>MILHO</v>
          </cell>
          <cell r="E4612">
            <v>0</v>
          </cell>
        </row>
        <row r="4613">
          <cell r="A4613" t="str">
            <v>RS</v>
          </cell>
          <cell r="B4613">
            <v>2010</v>
          </cell>
          <cell r="D4613" t="str">
            <v>SOJA</v>
          </cell>
          <cell r="E4613">
            <v>1092.8571428571427</v>
          </cell>
        </row>
        <row r="4614">
          <cell r="A4614" t="str">
            <v>RS</v>
          </cell>
          <cell r="B4614">
            <v>2010</v>
          </cell>
          <cell r="D4614" t="str">
            <v>SOJA</v>
          </cell>
          <cell r="E4614">
            <v>0</v>
          </cell>
        </row>
        <row r="4615">
          <cell r="A4615" t="str">
            <v>MS</v>
          </cell>
          <cell r="B4615">
            <v>2010</v>
          </cell>
          <cell r="D4615" t="str">
            <v>MILHO</v>
          </cell>
          <cell r="E4615">
            <v>1683.0000000000002</v>
          </cell>
        </row>
        <row r="4616">
          <cell r="A4616" t="str">
            <v>MS</v>
          </cell>
          <cell r="B4616">
            <v>2010</v>
          </cell>
          <cell r="D4616" t="str">
            <v>SOJA</v>
          </cell>
          <cell r="E4616">
            <v>0</v>
          </cell>
        </row>
        <row r="4617">
          <cell r="A4617" t="str">
            <v>MS</v>
          </cell>
          <cell r="B4617">
            <v>2010</v>
          </cell>
          <cell r="D4617" t="str">
            <v>SOJA</v>
          </cell>
          <cell r="E4617">
            <v>10339.285714285714</v>
          </cell>
        </row>
        <row r="4618">
          <cell r="A4618" t="str">
            <v>MS</v>
          </cell>
          <cell r="B4618">
            <v>2010</v>
          </cell>
          <cell r="D4618" t="str">
            <v>SOJA</v>
          </cell>
          <cell r="E4618">
            <v>0</v>
          </cell>
        </row>
        <row r="4619">
          <cell r="A4619" t="str">
            <v>SC</v>
          </cell>
          <cell r="B4619">
            <v>2010</v>
          </cell>
          <cell r="D4619" t="str">
            <v>MILHO</v>
          </cell>
          <cell r="E4619">
            <v>16808</v>
          </cell>
        </row>
        <row r="4620">
          <cell r="A4620" t="str">
            <v>SC</v>
          </cell>
          <cell r="B4620">
            <v>2010</v>
          </cell>
          <cell r="D4620" t="str">
            <v>SOJA</v>
          </cell>
          <cell r="E4620">
            <v>25467.857142857141</v>
          </cell>
        </row>
        <row r="4621">
          <cell r="A4621" t="str">
            <v>MT</v>
          </cell>
          <cell r="B4621">
            <v>2010</v>
          </cell>
          <cell r="D4621" t="str">
            <v>MILHO</v>
          </cell>
          <cell r="E4621">
            <v>0</v>
          </cell>
        </row>
        <row r="4622">
          <cell r="A4622" t="str">
            <v>MT</v>
          </cell>
          <cell r="B4622">
            <v>2010</v>
          </cell>
          <cell r="D4622" t="str">
            <v>MILHO</v>
          </cell>
          <cell r="E4622">
            <v>24761.000000000004</v>
          </cell>
        </row>
        <row r="4623">
          <cell r="A4623" t="str">
            <v>MT</v>
          </cell>
          <cell r="B4623">
            <v>2010</v>
          </cell>
          <cell r="D4623" t="str">
            <v>MILHO</v>
          </cell>
          <cell r="E4623">
            <v>0</v>
          </cell>
        </row>
        <row r="4624">
          <cell r="A4624" t="str">
            <v>MT</v>
          </cell>
          <cell r="B4624">
            <v>2010</v>
          </cell>
          <cell r="D4624" t="str">
            <v>MILHO</v>
          </cell>
          <cell r="E4624">
            <v>5126</v>
          </cell>
        </row>
        <row r="4625">
          <cell r="A4625" t="str">
            <v>PI</v>
          </cell>
          <cell r="B4625">
            <v>2010</v>
          </cell>
          <cell r="D4625" t="str">
            <v>SOJA</v>
          </cell>
          <cell r="E4625">
            <v>7232.1428571428569</v>
          </cell>
        </row>
        <row r="4626">
          <cell r="A4626" t="str">
            <v>PI</v>
          </cell>
          <cell r="B4626">
            <v>2010</v>
          </cell>
          <cell r="D4626" t="str">
            <v>SOJA</v>
          </cell>
          <cell r="E4626">
            <v>0</v>
          </cell>
        </row>
        <row r="4627">
          <cell r="A4627" t="str">
            <v>PI</v>
          </cell>
          <cell r="B4627">
            <v>2010</v>
          </cell>
          <cell r="D4627" t="str">
            <v>SOJA</v>
          </cell>
          <cell r="E4627">
            <v>0</v>
          </cell>
        </row>
        <row r="4628">
          <cell r="A4628" t="str">
            <v>GO</v>
          </cell>
          <cell r="B4628">
            <v>2010</v>
          </cell>
          <cell r="D4628" t="str">
            <v>SOJA</v>
          </cell>
          <cell r="E4628">
            <v>0</v>
          </cell>
        </row>
        <row r="4629">
          <cell r="A4629" t="str">
            <v>MT</v>
          </cell>
          <cell r="B4629">
            <v>2010</v>
          </cell>
          <cell r="D4629" t="str">
            <v>MILHO</v>
          </cell>
          <cell r="E4629">
            <v>38368.000000000007</v>
          </cell>
        </row>
        <row r="4630">
          <cell r="A4630" t="str">
            <v>MT</v>
          </cell>
          <cell r="B4630">
            <v>2010</v>
          </cell>
          <cell r="D4630" t="str">
            <v>SOJA</v>
          </cell>
          <cell r="E4630">
            <v>0</v>
          </cell>
        </row>
        <row r="4631">
          <cell r="A4631" t="str">
            <v>MA</v>
          </cell>
          <cell r="B4631">
            <v>2010</v>
          </cell>
          <cell r="D4631" t="str">
            <v>SOJA</v>
          </cell>
          <cell r="E4631">
            <v>0</v>
          </cell>
        </row>
        <row r="4632">
          <cell r="A4632" t="str">
            <v>MA</v>
          </cell>
          <cell r="B4632">
            <v>2010</v>
          </cell>
          <cell r="D4632" t="str">
            <v>SOJA</v>
          </cell>
          <cell r="E4632">
            <v>7746.4285714285716</v>
          </cell>
        </row>
        <row r="4633">
          <cell r="A4633" t="str">
            <v>RS</v>
          </cell>
          <cell r="B4633">
            <v>2010</v>
          </cell>
          <cell r="D4633" t="str">
            <v>MILHO</v>
          </cell>
          <cell r="E4633">
            <v>0</v>
          </cell>
        </row>
        <row r="4634">
          <cell r="A4634" t="str">
            <v>RS</v>
          </cell>
          <cell r="B4634">
            <v>2010</v>
          </cell>
          <cell r="D4634" t="str">
            <v>SOJA</v>
          </cell>
          <cell r="E4634">
            <v>2185.7142857142853</v>
          </cell>
        </row>
        <row r="4635">
          <cell r="A4635" t="str">
            <v>RS</v>
          </cell>
          <cell r="B4635">
            <v>2010</v>
          </cell>
          <cell r="D4635" t="str">
            <v>SOJA</v>
          </cell>
          <cell r="E4635">
            <v>10907.142857142857</v>
          </cell>
        </row>
        <row r="4636">
          <cell r="A4636" t="str">
            <v>RS</v>
          </cell>
          <cell r="B4636">
            <v>2010</v>
          </cell>
          <cell r="D4636" t="str">
            <v>SOJA</v>
          </cell>
          <cell r="E4636">
            <v>0</v>
          </cell>
        </row>
        <row r="4637">
          <cell r="A4637" t="str">
            <v>MT</v>
          </cell>
          <cell r="B4637">
            <v>2010</v>
          </cell>
          <cell r="D4637" t="str">
            <v>SOJA</v>
          </cell>
          <cell r="E4637">
            <v>0</v>
          </cell>
        </row>
        <row r="4638">
          <cell r="A4638" t="str">
            <v>MT</v>
          </cell>
          <cell r="B4638">
            <v>2010</v>
          </cell>
          <cell r="D4638" t="str">
            <v>MILHO</v>
          </cell>
          <cell r="E4638">
            <v>8536</v>
          </cell>
        </row>
        <row r="4639">
          <cell r="A4639" t="str">
            <v>MT</v>
          </cell>
          <cell r="B4639">
            <v>2010</v>
          </cell>
          <cell r="D4639" t="str">
            <v>SOJA</v>
          </cell>
          <cell r="E4639">
            <v>0</v>
          </cell>
        </row>
        <row r="4640">
          <cell r="A4640" t="str">
            <v>MT</v>
          </cell>
          <cell r="B4640">
            <v>2010</v>
          </cell>
          <cell r="D4640" t="str">
            <v>MILHO</v>
          </cell>
          <cell r="E4640">
            <v>6160</v>
          </cell>
        </row>
        <row r="4641">
          <cell r="A4641" t="str">
            <v>PI</v>
          </cell>
          <cell r="B4641">
            <v>2010</v>
          </cell>
          <cell r="D4641" t="str">
            <v>SOJA</v>
          </cell>
          <cell r="E4641">
            <v>0</v>
          </cell>
        </row>
        <row r="4642">
          <cell r="A4642" t="str">
            <v>PI</v>
          </cell>
          <cell r="B4642">
            <v>2010</v>
          </cell>
          <cell r="D4642" t="str">
            <v>SOJA</v>
          </cell>
          <cell r="E4642">
            <v>0</v>
          </cell>
        </row>
        <row r="4643">
          <cell r="A4643" t="str">
            <v>GO</v>
          </cell>
          <cell r="B4643">
            <v>2010</v>
          </cell>
          <cell r="D4643" t="str">
            <v>MILHO</v>
          </cell>
          <cell r="E4643">
            <v>0</v>
          </cell>
        </row>
        <row r="4644">
          <cell r="A4644" t="str">
            <v>GO</v>
          </cell>
          <cell r="B4644">
            <v>2010</v>
          </cell>
          <cell r="D4644" t="str">
            <v>MILHO</v>
          </cell>
          <cell r="E4644">
            <v>39446.000000000007</v>
          </cell>
        </row>
        <row r="4645">
          <cell r="A4645" t="str">
            <v>GO</v>
          </cell>
          <cell r="B4645">
            <v>2010</v>
          </cell>
          <cell r="D4645" t="str">
            <v>SOJA</v>
          </cell>
          <cell r="E4645">
            <v>0</v>
          </cell>
        </row>
        <row r="4646">
          <cell r="A4646" t="str">
            <v>GO</v>
          </cell>
          <cell r="B4646">
            <v>2010</v>
          </cell>
          <cell r="D4646" t="str">
            <v>SOJA</v>
          </cell>
          <cell r="E4646">
            <v>0</v>
          </cell>
        </row>
        <row r="4647">
          <cell r="A4647" t="str">
            <v>PR</v>
          </cell>
          <cell r="B4647">
            <v>2010</v>
          </cell>
          <cell r="D4647" t="str">
            <v>MILHO</v>
          </cell>
          <cell r="E4647">
            <v>0</v>
          </cell>
        </row>
        <row r="4648">
          <cell r="A4648" t="str">
            <v>PR</v>
          </cell>
          <cell r="B4648">
            <v>2010</v>
          </cell>
          <cell r="D4648" t="str">
            <v>SOJA</v>
          </cell>
          <cell r="E4648">
            <v>0</v>
          </cell>
        </row>
        <row r="4649">
          <cell r="A4649" t="str">
            <v>PI</v>
          </cell>
          <cell r="B4649">
            <v>2010</v>
          </cell>
          <cell r="D4649" t="str">
            <v>SOJA</v>
          </cell>
          <cell r="E4649">
            <v>0</v>
          </cell>
        </row>
        <row r="4650">
          <cell r="A4650" t="str">
            <v>MA</v>
          </cell>
          <cell r="B4650">
            <v>2010</v>
          </cell>
          <cell r="D4650" t="str">
            <v>SOJA</v>
          </cell>
          <cell r="E4650">
            <v>0</v>
          </cell>
        </row>
        <row r="4651">
          <cell r="A4651" t="str">
            <v>MA</v>
          </cell>
          <cell r="B4651">
            <v>2010</v>
          </cell>
          <cell r="D4651" t="str">
            <v>SOJA</v>
          </cell>
          <cell r="E4651">
            <v>0</v>
          </cell>
        </row>
        <row r="4652">
          <cell r="A4652" t="str">
            <v>PR</v>
          </cell>
          <cell r="B4652">
            <v>2010</v>
          </cell>
          <cell r="D4652" t="str">
            <v>SOJA</v>
          </cell>
          <cell r="E4652">
            <v>0</v>
          </cell>
        </row>
        <row r="4653">
          <cell r="A4653" t="str">
            <v>PR</v>
          </cell>
          <cell r="B4653">
            <v>2010</v>
          </cell>
          <cell r="D4653" t="str">
            <v>SOJA</v>
          </cell>
          <cell r="E4653">
            <v>0</v>
          </cell>
        </row>
        <row r="4654">
          <cell r="A4654" t="str">
            <v>GO</v>
          </cell>
          <cell r="B4654">
            <v>2010</v>
          </cell>
          <cell r="D4654" t="str">
            <v>SOJA</v>
          </cell>
          <cell r="E4654">
            <v>0</v>
          </cell>
        </row>
        <row r="4655">
          <cell r="A4655" t="str">
            <v>GO</v>
          </cell>
          <cell r="B4655">
            <v>2010</v>
          </cell>
          <cell r="D4655" t="str">
            <v>SOJA</v>
          </cell>
          <cell r="E4655">
            <v>5025</v>
          </cell>
        </row>
        <row r="4656">
          <cell r="A4656" t="str">
            <v>PR</v>
          </cell>
          <cell r="B4656">
            <v>2010</v>
          </cell>
          <cell r="D4656" t="str">
            <v>MILHO</v>
          </cell>
          <cell r="E4656">
            <v>0</v>
          </cell>
        </row>
        <row r="4657">
          <cell r="A4657" t="str">
            <v>PR</v>
          </cell>
          <cell r="B4657">
            <v>2010</v>
          </cell>
          <cell r="D4657" t="str">
            <v>MILHO</v>
          </cell>
          <cell r="E4657">
            <v>30734.000000000004</v>
          </cell>
        </row>
        <row r="4658">
          <cell r="A4658" t="str">
            <v>PR</v>
          </cell>
          <cell r="B4658">
            <v>2010</v>
          </cell>
          <cell r="D4658" t="str">
            <v>SOJA</v>
          </cell>
          <cell r="E4658">
            <v>15664.285714285712</v>
          </cell>
        </row>
        <row r="4659">
          <cell r="A4659" t="str">
            <v>PR</v>
          </cell>
          <cell r="B4659">
            <v>2010</v>
          </cell>
          <cell r="D4659" t="str">
            <v>SOJA</v>
          </cell>
          <cell r="E4659">
            <v>0</v>
          </cell>
        </row>
        <row r="4660">
          <cell r="A4660" t="str">
            <v>PR</v>
          </cell>
          <cell r="B4660">
            <v>2010</v>
          </cell>
          <cell r="D4660" t="str">
            <v>MILHO</v>
          </cell>
          <cell r="E4660">
            <v>0</v>
          </cell>
        </row>
        <row r="4661">
          <cell r="A4661" t="str">
            <v>PR</v>
          </cell>
          <cell r="B4661">
            <v>2010</v>
          </cell>
          <cell r="D4661" t="str">
            <v>SOJA</v>
          </cell>
          <cell r="E4661">
            <v>0</v>
          </cell>
        </row>
        <row r="4662">
          <cell r="A4662" t="str">
            <v>RS</v>
          </cell>
          <cell r="B4662">
            <v>2010</v>
          </cell>
          <cell r="D4662" t="str">
            <v>SOJA</v>
          </cell>
          <cell r="E4662">
            <v>0</v>
          </cell>
        </row>
        <row r="4663">
          <cell r="A4663" t="str">
            <v>PR</v>
          </cell>
          <cell r="B4663">
            <v>2010</v>
          </cell>
          <cell r="D4663" t="str">
            <v>SOJA</v>
          </cell>
          <cell r="E4663">
            <v>0</v>
          </cell>
        </row>
        <row r="4664">
          <cell r="A4664" t="str">
            <v>MT</v>
          </cell>
          <cell r="B4664">
            <v>2010</v>
          </cell>
          <cell r="D4664" t="str">
            <v>SOJA</v>
          </cell>
          <cell r="E4664">
            <v>0</v>
          </cell>
        </row>
        <row r="4665">
          <cell r="A4665" t="str">
            <v>MT</v>
          </cell>
          <cell r="B4665">
            <v>2010</v>
          </cell>
          <cell r="D4665" t="str">
            <v>MILHO</v>
          </cell>
          <cell r="E4665">
            <v>7040.0000000000009</v>
          </cell>
        </row>
        <row r="4666">
          <cell r="A4666" t="str">
            <v>MT</v>
          </cell>
          <cell r="B4666">
            <v>2010</v>
          </cell>
          <cell r="D4666" t="str">
            <v>SOJA</v>
          </cell>
          <cell r="E4666">
            <v>0</v>
          </cell>
        </row>
        <row r="4667">
          <cell r="A4667" t="str">
            <v>MT</v>
          </cell>
          <cell r="B4667">
            <v>2010</v>
          </cell>
          <cell r="D4667" t="str">
            <v>MILHO</v>
          </cell>
          <cell r="E4667">
            <v>0</v>
          </cell>
        </row>
        <row r="4668">
          <cell r="A4668" t="str">
            <v>MT</v>
          </cell>
          <cell r="B4668">
            <v>2010</v>
          </cell>
          <cell r="D4668" t="str">
            <v>SOJA</v>
          </cell>
          <cell r="E4668">
            <v>0</v>
          </cell>
        </row>
        <row r="4669">
          <cell r="A4669" t="str">
            <v>BA</v>
          </cell>
          <cell r="B4669">
            <v>2010</v>
          </cell>
          <cell r="D4669" t="str">
            <v>SOJA</v>
          </cell>
          <cell r="E4669">
            <v>1028.5714285714284</v>
          </cell>
        </row>
        <row r="4670">
          <cell r="A4670" t="str">
            <v>RS</v>
          </cell>
          <cell r="B4670">
            <v>2010</v>
          </cell>
          <cell r="D4670" t="str">
            <v>SOJA</v>
          </cell>
          <cell r="E4670">
            <v>546.42857142857133</v>
          </cell>
        </row>
        <row r="4671">
          <cell r="A4671" t="str">
            <v>RS</v>
          </cell>
          <cell r="B4671">
            <v>2010</v>
          </cell>
          <cell r="D4671" t="str">
            <v>SOJA</v>
          </cell>
          <cell r="E4671">
            <v>30010.714285714286</v>
          </cell>
        </row>
        <row r="4672">
          <cell r="A4672" t="str">
            <v>RS</v>
          </cell>
          <cell r="B4672">
            <v>2010</v>
          </cell>
          <cell r="D4672" t="str">
            <v>SOJA</v>
          </cell>
          <cell r="E4672">
            <v>18546.428571428572</v>
          </cell>
        </row>
        <row r="4673">
          <cell r="A4673" t="str">
            <v>RS</v>
          </cell>
          <cell r="B4673">
            <v>2010</v>
          </cell>
          <cell r="D4673" t="str">
            <v>MILHO</v>
          </cell>
          <cell r="E4673">
            <v>858.00000000000011</v>
          </cell>
        </row>
        <row r="4674">
          <cell r="A4674" t="str">
            <v>RS</v>
          </cell>
          <cell r="B4674">
            <v>2010</v>
          </cell>
          <cell r="D4674" t="str">
            <v>SOJA</v>
          </cell>
          <cell r="E4674">
            <v>5453.5714285714284</v>
          </cell>
        </row>
        <row r="4675">
          <cell r="A4675" t="str">
            <v>RS</v>
          </cell>
          <cell r="B4675">
            <v>2010</v>
          </cell>
          <cell r="D4675" t="str">
            <v>SOJA</v>
          </cell>
          <cell r="E4675">
            <v>0</v>
          </cell>
        </row>
        <row r="4676">
          <cell r="A4676" t="str">
            <v>RS</v>
          </cell>
          <cell r="B4676">
            <v>2010</v>
          </cell>
          <cell r="D4676" t="str">
            <v>MILHO</v>
          </cell>
          <cell r="E4676">
            <v>0</v>
          </cell>
        </row>
        <row r="4677">
          <cell r="A4677" t="str">
            <v>RS</v>
          </cell>
          <cell r="B4677">
            <v>2010</v>
          </cell>
          <cell r="D4677" t="str">
            <v>SOJA</v>
          </cell>
          <cell r="E4677">
            <v>3278.5714285714284</v>
          </cell>
        </row>
        <row r="4678">
          <cell r="A4678" t="str">
            <v>RS</v>
          </cell>
          <cell r="B4678">
            <v>2010</v>
          </cell>
          <cell r="D4678" t="str">
            <v>SOJA</v>
          </cell>
          <cell r="E4678">
            <v>0</v>
          </cell>
        </row>
        <row r="4679">
          <cell r="A4679" t="str">
            <v>PR</v>
          </cell>
          <cell r="B4679">
            <v>2010</v>
          </cell>
          <cell r="D4679" t="str">
            <v>MILHO</v>
          </cell>
          <cell r="E4679">
            <v>880.00000000000011</v>
          </cell>
        </row>
        <row r="4680">
          <cell r="A4680" t="str">
            <v>PR</v>
          </cell>
          <cell r="B4680">
            <v>2010</v>
          </cell>
          <cell r="D4680" t="str">
            <v>MILHO</v>
          </cell>
          <cell r="E4680">
            <v>0</v>
          </cell>
        </row>
        <row r="4681">
          <cell r="A4681" t="str">
            <v>PR</v>
          </cell>
          <cell r="B4681">
            <v>2010</v>
          </cell>
          <cell r="D4681" t="str">
            <v>SOJA</v>
          </cell>
          <cell r="E4681">
            <v>0</v>
          </cell>
        </row>
        <row r="4682">
          <cell r="A4682" t="str">
            <v>PR</v>
          </cell>
          <cell r="B4682">
            <v>2010</v>
          </cell>
          <cell r="D4682" t="str">
            <v>MILHO</v>
          </cell>
          <cell r="E4682">
            <v>1760.0000000000002</v>
          </cell>
        </row>
        <row r="4683">
          <cell r="A4683" t="str">
            <v>PR</v>
          </cell>
          <cell r="B4683">
            <v>2010</v>
          </cell>
          <cell r="D4683" t="str">
            <v>MILHO</v>
          </cell>
          <cell r="E4683">
            <v>0</v>
          </cell>
        </row>
        <row r="4684">
          <cell r="A4684" t="str">
            <v>PR</v>
          </cell>
          <cell r="B4684">
            <v>2010</v>
          </cell>
          <cell r="D4684" t="str">
            <v>SOJA</v>
          </cell>
          <cell r="E4684">
            <v>0</v>
          </cell>
        </row>
        <row r="4685">
          <cell r="A4685" t="str">
            <v>PR</v>
          </cell>
          <cell r="B4685">
            <v>2010</v>
          </cell>
          <cell r="D4685" t="str">
            <v>MILHO</v>
          </cell>
          <cell r="E4685">
            <v>880.00000000000011</v>
          </cell>
        </row>
        <row r="4686">
          <cell r="A4686" t="str">
            <v>PR</v>
          </cell>
          <cell r="B4686">
            <v>2010</v>
          </cell>
          <cell r="D4686" t="str">
            <v>MILHO</v>
          </cell>
          <cell r="E4686">
            <v>0</v>
          </cell>
        </row>
        <row r="4687">
          <cell r="A4687" t="str">
            <v>PR</v>
          </cell>
          <cell r="B4687">
            <v>2010</v>
          </cell>
          <cell r="D4687" t="str">
            <v>SOJA</v>
          </cell>
          <cell r="E4687">
            <v>0</v>
          </cell>
        </row>
        <row r="4688">
          <cell r="A4688" t="str">
            <v>PR</v>
          </cell>
          <cell r="B4688">
            <v>2010</v>
          </cell>
          <cell r="D4688" t="str">
            <v>MILHO</v>
          </cell>
          <cell r="E4688">
            <v>880.00000000000011</v>
          </cell>
        </row>
        <row r="4689">
          <cell r="A4689" t="str">
            <v>PR</v>
          </cell>
          <cell r="B4689">
            <v>2010</v>
          </cell>
          <cell r="D4689" t="str">
            <v>MILHO</v>
          </cell>
          <cell r="E4689">
            <v>0</v>
          </cell>
        </row>
        <row r="4690">
          <cell r="A4690" t="str">
            <v>PR</v>
          </cell>
          <cell r="B4690">
            <v>2010</v>
          </cell>
          <cell r="D4690" t="str">
            <v>SOJA</v>
          </cell>
          <cell r="E4690">
            <v>0</v>
          </cell>
        </row>
        <row r="4691">
          <cell r="A4691" t="str">
            <v>SP</v>
          </cell>
          <cell r="B4691">
            <v>2010</v>
          </cell>
          <cell r="D4691" t="str">
            <v>MILHO</v>
          </cell>
          <cell r="E4691">
            <v>4389</v>
          </cell>
        </row>
        <row r="4692">
          <cell r="A4692" t="str">
            <v>SP</v>
          </cell>
          <cell r="B4692">
            <v>2010</v>
          </cell>
          <cell r="D4692" t="str">
            <v>MILHO</v>
          </cell>
          <cell r="E4692">
            <v>0</v>
          </cell>
        </row>
        <row r="4693">
          <cell r="A4693" t="str">
            <v>PR</v>
          </cell>
          <cell r="B4693">
            <v>2010</v>
          </cell>
          <cell r="D4693" t="str">
            <v>MILHO</v>
          </cell>
          <cell r="E4693">
            <v>6149</v>
          </cell>
        </row>
        <row r="4694">
          <cell r="A4694" t="str">
            <v>PR</v>
          </cell>
          <cell r="B4694">
            <v>2010</v>
          </cell>
          <cell r="D4694" t="str">
            <v>MILHO</v>
          </cell>
          <cell r="E4694">
            <v>0</v>
          </cell>
        </row>
        <row r="4695">
          <cell r="A4695" t="str">
            <v>PR</v>
          </cell>
          <cell r="B4695">
            <v>2010</v>
          </cell>
          <cell r="D4695" t="str">
            <v>SOJA</v>
          </cell>
          <cell r="E4695">
            <v>0</v>
          </cell>
        </row>
        <row r="4696">
          <cell r="A4696" t="str">
            <v>MT</v>
          </cell>
          <cell r="B4696">
            <v>2010</v>
          </cell>
          <cell r="D4696" t="str">
            <v>MILHO</v>
          </cell>
          <cell r="E4696">
            <v>0</v>
          </cell>
        </row>
        <row r="4697">
          <cell r="A4697" t="str">
            <v>MT</v>
          </cell>
          <cell r="B4697">
            <v>2010</v>
          </cell>
          <cell r="D4697" t="str">
            <v>MILHO</v>
          </cell>
          <cell r="E4697">
            <v>11957</v>
          </cell>
        </row>
        <row r="4698">
          <cell r="A4698" t="str">
            <v>MT</v>
          </cell>
          <cell r="B4698">
            <v>2010</v>
          </cell>
          <cell r="D4698" t="str">
            <v>SOJA</v>
          </cell>
          <cell r="E4698">
            <v>0</v>
          </cell>
        </row>
        <row r="4699">
          <cell r="A4699" t="str">
            <v>MT</v>
          </cell>
          <cell r="B4699">
            <v>2010</v>
          </cell>
          <cell r="D4699" t="str">
            <v>MILHO</v>
          </cell>
          <cell r="E4699">
            <v>0</v>
          </cell>
        </row>
        <row r="4700">
          <cell r="A4700" t="str">
            <v>MT</v>
          </cell>
          <cell r="B4700">
            <v>2010</v>
          </cell>
          <cell r="D4700" t="str">
            <v>MILHO</v>
          </cell>
          <cell r="E4700">
            <v>29876</v>
          </cell>
        </row>
        <row r="4701">
          <cell r="A4701" t="str">
            <v>MT</v>
          </cell>
          <cell r="B4701">
            <v>2010</v>
          </cell>
          <cell r="D4701" t="str">
            <v>SOJA</v>
          </cell>
          <cell r="E4701">
            <v>0</v>
          </cell>
        </row>
        <row r="4702">
          <cell r="A4702" t="str">
            <v>MS</v>
          </cell>
          <cell r="B4702">
            <v>2010</v>
          </cell>
          <cell r="D4702" t="str">
            <v>MILHO</v>
          </cell>
          <cell r="E4702">
            <v>0</v>
          </cell>
        </row>
        <row r="4703">
          <cell r="A4703" t="str">
            <v>MS</v>
          </cell>
          <cell r="B4703">
            <v>2010</v>
          </cell>
          <cell r="D4703" t="str">
            <v>SOJA</v>
          </cell>
          <cell r="E4703">
            <v>0</v>
          </cell>
        </row>
        <row r="4704">
          <cell r="A4704" t="str">
            <v>PR</v>
          </cell>
          <cell r="B4704">
            <v>2010</v>
          </cell>
          <cell r="D4704" t="str">
            <v>MILHO</v>
          </cell>
          <cell r="E4704">
            <v>0</v>
          </cell>
        </row>
        <row r="4705">
          <cell r="A4705" t="str">
            <v>PR</v>
          </cell>
          <cell r="B4705">
            <v>2010</v>
          </cell>
          <cell r="D4705" t="str">
            <v>SOJA</v>
          </cell>
          <cell r="E4705">
            <v>0</v>
          </cell>
        </row>
        <row r="4706">
          <cell r="A4706" t="str">
            <v>PR</v>
          </cell>
          <cell r="B4706">
            <v>2010</v>
          </cell>
          <cell r="D4706" t="str">
            <v>SOJA</v>
          </cell>
          <cell r="E4706">
            <v>27642.857142857141</v>
          </cell>
        </row>
        <row r="4707">
          <cell r="A4707" t="str">
            <v>PR</v>
          </cell>
          <cell r="B4707">
            <v>2010</v>
          </cell>
          <cell r="D4707" t="str">
            <v>MILHO</v>
          </cell>
          <cell r="E4707">
            <v>5269</v>
          </cell>
        </row>
        <row r="4708">
          <cell r="A4708" t="str">
            <v>PR</v>
          </cell>
          <cell r="B4708">
            <v>2010</v>
          </cell>
          <cell r="D4708" t="str">
            <v>MILHO</v>
          </cell>
          <cell r="E4708">
            <v>4389</v>
          </cell>
        </row>
        <row r="4709">
          <cell r="A4709" t="str">
            <v>PR</v>
          </cell>
          <cell r="B4709">
            <v>2010</v>
          </cell>
          <cell r="D4709" t="str">
            <v>MILHO</v>
          </cell>
          <cell r="E4709">
            <v>0</v>
          </cell>
        </row>
        <row r="4710">
          <cell r="A4710" t="str">
            <v>PR</v>
          </cell>
          <cell r="B4710">
            <v>2010</v>
          </cell>
          <cell r="D4710" t="str">
            <v>SOJA</v>
          </cell>
          <cell r="E4710">
            <v>0</v>
          </cell>
        </row>
        <row r="4711">
          <cell r="A4711" t="str">
            <v>BA</v>
          </cell>
          <cell r="B4711">
            <v>2010</v>
          </cell>
          <cell r="D4711" t="str">
            <v>SOJA</v>
          </cell>
          <cell r="E4711">
            <v>10317.857142857143</v>
          </cell>
        </row>
        <row r="4712">
          <cell r="A4712" t="str">
            <v>BA</v>
          </cell>
          <cell r="B4712">
            <v>2010</v>
          </cell>
          <cell r="D4712" t="str">
            <v>SOJA</v>
          </cell>
          <cell r="E4712">
            <v>621.42857142857133</v>
          </cell>
        </row>
        <row r="4713">
          <cell r="A4713" t="str">
            <v>MT</v>
          </cell>
          <cell r="B4713">
            <v>2010</v>
          </cell>
          <cell r="D4713" t="str">
            <v>MILHO</v>
          </cell>
          <cell r="E4713">
            <v>0</v>
          </cell>
        </row>
        <row r="4714">
          <cell r="A4714" t="str">
            <v>MT</v>
          </cell>
          <cell r="B4714">
            <v>2010</v>
          </cell>
          <cell r="D4714" t="str">
            <v>SOJA</v>
          </cell>
          <cell r="E4714">
            <v>0</v>
          </cell>
        </row>
        <row r="4715">
          <cell r="A4715" t="str">
            <v>MT</v>
          </cell>
          <cell r="B4715">
            <v>2010</v>
          </cell>
          <cell r="D4715" t="str">
            <v>MILHO</v>
          </cell>
          <cell r="E4715">
            <v>0</v>
          </cell>
        </row>
        <row r="4716">
          <cell r="A4716" t="str">
            <v>MT</v>
          </cell>
          <cell r="B4716">
            <v>2010</v>
          </cell>
          <cell r="D4716" t="str">
            <v>SOJA</v>
          </cell>
          <cell r="E4716">
            <v>0</v>
          </cell>
        </row>
        <row r="4717">
          <cell r="A4717" t="str">
            <v>MT</v>
          </cell>
          <cell r="B4717">
            <v>2010</v>
          </cell>
          <cell r="D4717" t="str">
            <v>MILHO</v>
          </cell>
          <cell r="E4717">
            <v>0</v>
          </cell>
        </row>
        <row r="4718">
          <cell r="A4718" t="str">
            <v>MT</v>
          </cell>
          <cell r="B4718">
            <v>2010</v>
          </cell>
          <cell r="D4718" t="str">
            <v>SOJA</v>
          </cell>
          <cell r="E4718">
            <v>0</v>
          </cell>
        </row>
        <row r="4719">
          <cell r="A4719" t="str">
            <v>MT</v>
          </cell>
          <cell r="B4719">
            <v>2010</v>
          </cell>
          <cell r="D4719" t="str">
            <v>MILHO</v>
          </cell>
          <cell r="E4719">
            <v>17050</v>
          </cell>
        </row>
        <row r="4720">
          <cell r="A4720" t="str">
            <v>MT</v>
          </cell>
          <cell r="B4720">
            <v>2010</v>
          </cell>
          <cell r="D4720" t="str">
            <v>MILHO</v>
          </cell>
          <cell r="E4720">
            <v>0</v>
          </cell>
        </row>
        <row r="4721">
          <cell r="A4721" t="str">
            <v>MT</v>
          </cell>
          <cell r="B4721">
            <v>2010</v>
          </cell>
          <cell r="D4721" t="str">
            <v>SOJA</v>
          </cell>
          <cell r="E4721">
            <v>0</v>
          </cell>
        </row>
        <row r="4722">
          <cell r="A4722" t="str">
            <v>BA</v>
          </cell>
          <cell r="B4722">
            <v>2010</v>
          </cell>
          <cell r="D4722" t="str">
            <v>MILHO</v>
          </cell>
          <cell r="E4722">
            <v>12617</v>
          </cell>
        </row>
        <row r="4723">
          <cell r="A4723" t="str">
            <v>GO</v>
          </cell>
          <cell r="B4723">
            <v>2010</v>
          </cell>
          <cell r="D4723" t="str">
            <v>MILHO</v>
          </cell>
          <cell r="E4723">
            <v>0</v>
          </cell>
        </row>
        <row r="4724">
          <cell r="A4724" t="str">
            <v>GO</v>
          </cell>
          <cell r="B4724">
            <v>2010</v>
          </cell>
          <cell r="D4724" t="str">
            <v>MILHO</v>
          </cell>
          <cell r="E4724">
            <v>11396</v>
          </cell>
        </row>
        <row r="4725">
          <cell r="A4725" t="str">
            <v>GO</v>
          </cell>
          <cell r="B4725">
            <v>2010</v>
          </cell>
          <cell r="D4725" t="str">
            <v>SOJA</v>
          </cell>
          <cell r="E4725">
            <v>0</v>
          </cell>
        </row>
        <row r="4726">
          <cell r="A4726" t="str">
            <v>GO</v>
          </cell>
          <cell r="B4726">
            <v>2010</v>
          </cell>
          <cell r="D4726" t="str">
            <v>SOJA</v>
          </cell>
          <cell r="E4726">
            <v>0</v>
          </cell>
        </row>
        <row r="4727">
          <cell r="A4727" t="str">
            <v>GO</v>
          </cell>
          <cell r="B4727">
            <v>2010</v>
          </cell>
          <cell r="D4727" t="str">
            <v>MILHO</v>
          </cell>
          <cell r="E4727">
            <v>0</v>
          </cell>
        </row>
        <row r="4728">
          <cell r="A4728" t="str">
            <v>GO</v>
          </cell>
          <cell r="B4728">
            <v>2010</v>
          </cell>
          <cell r="D4728" t="str">
            <v>SOJA</v>
          </cell>
          <cell r="E4728">
            <v>0</v>
          </cell>
        </row>
        <row r="4729">
          <cell r="A4729" t="str">
            <v>MT</v>
          </cell>
          <cell r="B4729">
            <v>2010</v>
          </cell>
          <cell r="D4729" t="str">
            <v>MILHO</v>
          </cell>
          <cell r="E4729">
            <v>0</v>
          </cell>
        </row>
        <row r="4730">
          <cell r="A4730" t="str">
            <v>MT</v>
          </cell>
          <cell r="B4730">
            <v>2010</v>
          </cell>
          <cell r="D4730" t="str">
            <v>MILHO</v>
          </cell>
          <cell r="E4730">
            <v>4378</v>
          </cell>
        </row>
        <row r="4731">
          <cell r="A4731" t="str">
            <v>MT</v>
          </cell>
          <cell r="B4731">
            <v>2010</v>
          </cell>
          <cell r="D4731" t="str">
            <v>SOJA</v>
          </cell>
          <cell r="E4731">
            <v>0</v>
          </cell>
        </row>
        <row r="4732">
          <cell r="A4732" t="str">
            <v>GO</v>
          </cell>
          <cell r="B4732">
            <v>2010</v>
          </cell>
          <cell r="D4732" t="str">
            <v>MILHO</v>
          </cell>
          <cell r="E4732">
            <v>0</v>
          </cell>
        </row>
        <row r="4733">
          <cell r="A4733" t="str">
            <v>GO</v>
          </cell>
          <cell r="B4733">
            <v>2010</v>
          </cell>
          <cell r="D4733" t="str">
            <v>MILHO</v>
          </cell>
          <cell r="E4733">
            <v>35068.000000000007</v>
          </cell>
        </row>
        <row r="4734">
          <cell r="A4734" t="str">
            <v>GO</v>
          </cell>
          <cell r="B4734">
            <v>2010</v>
          </cell>
          <cell r="D4734" t="str">
            <v>SOJA</v>
          </cell>
          <cell r="E4734">
            <v>0</v>
          </cell>
        </row>
        <row r="4735">
          <cell r="A4735" t="str">
            <v>SP</v>
          </cell>
          <cell r="B4735">
            <v>2010</v>
          </cell>
          <cell r="D4735" t="str">
            <v>SOJA</v>
          </cell>
          <cell r="E4735">
            <v>0</v>
          </cell>
        </row>
        <row r="4736">
          <cell r="A4736" t="str">
            <v>MT</v>
          </cell>
          <cell r="B4736">
            <v>2010</v>
          </cell>
          <cell r="D4736" t="str">
            <v>MILHO</v>
          </cell>
          <cell r="E4736">
            <v>0</v>
          </cell>
        </row>
        <row r="4737">
          <cell r="A4737" t="str">
            <v>MT</v>
          </cell>
          <cell r="B4737">
            <v>2010</v>
          </cell>
          <cell r="D4737" t="str">
            <v>MILHO</v>
          </cell>
          <cell r="E4737">
            <v>102388</v>
          </cell>
        </row>
        <row r="4738">
          <cell r="A4738" t="str">
            <v>MT</v>
          </cell>
          <cell r="B4738">
            <v>2010</v>
          </cell>
          <cell r="D4738" t="str">
            <v>MILHO</v>
          </cell>
          <cell r="E4738">
            <v>14509</v>
          </cell>
        </row>
        <row r="4739">
          <cell r="A4739" t="str">
            <v>MT</v>
          </cell>
          <cell r="B4739">
            <v>2010</v>
          </cell>
          <cell r="D4739" t="str">
            <v>SOJA</v>
          </cell>
          <cell r="E4739">
            <v>0</v>
          </cell>
        </row>
        <row r="4740">
          <cell r="A4740" t="str">
            <v>MT</v>
          </cell>
          <cell r="B4740">
            <v>2010</v>
          </cell>
          <cell r="D4740" t="str">
            <v>MILHO</v>
          </cell>
          <cell r="E4740">
            <v>0</v>
          </cell>
        </row>
        <row r="4741">
          <cell r="A4741" t="str">
            <v>MT</v>
          </cell>
          <cell r="B4741">
            <v>2010</v>
          </cell>
          <cell r="D4741" t="str">
            <v>MILHO</v>
          </cell>
          <cell r="E4741">
            <v>17061</v>
          </cell>
        </row>
        <row r="4742">
          <cell r="A4742" t="str">
            <v>MA</v>
          </cell>
          <cell r="B4742">
            <v>2010</v>
          </cell>
          <cell r="D4742" t="str">
            <v>SOJA</v>
          </cell>
          <cell r="E4742">
            <v>0</v>
          </cell>
        </row>
        <row r="4743">
          <cell r="A4743" t="str">
            <v>MG</v>
          </cell>
          <cell r="B4743">
            <v>2010</v>
          </cell>
          <cell r="D4743" t="str">
            <v>MILHO</v>
          </cell>
          <cell r="E4743">
            <v>3520.0000000000005</v>
          </cell>
        </row>
        <row r="4744">
          <cell r="A4744" t="str">
            <v>MG</v>
          </cell>
          <cell r="B4744">
            <v>2010</v>
          </cell>
          <cell r="D4744" t="str">
            <v>SOJA</v>
          </cell>
          <cell r="E4744">
            <v>0</v>
          </cell>
        </row>
        <row r="4745">
          <cell r="A4745" t="str">
            <v>MT</v>
          </cell>
          <cell r="B4745">
            <v>2010</v>
          </cell>
          <cell r="D4745" t="str">
            <v>MILHO</v>
          </cell>
          <cell r="E4745">
            <v>0</v>
          </cell>
        </row>
        <row r="4746">
          <cell r="A4746" t="str">
            <v>MT</v>
          </cell>
          <cell r="B4746">
            <v>2010</v>
          </cell>
          <cell r="D4746" t="str">
            <v>MILHO</v>
          </cell>
          <cell r="E4746">
            <v>17072</v>
          </cell>
        </row>
        <row r="4747">
          <cell r="A4747" t="str">
            <v>MT</v>
          </cell>
          <cell r="B4747">
            <v>2010</v>
          </cell>
          <cell r="D4747" t="str">
            <v>SOJA</v>
          </cell>
          <cell r="E4747">
            <v>0</v>
          </cell>
        </row>
        <row r="4748">
          <cell r="A4748" t="str">
            <v>MT</v>
          </cell>
          <cell r="B4748">
            <v>2010</v>
          </cell>
          <cell r="D4748" t="str">
            <v>MILHO</v>
          </cell>
          <cell r="E4748">
            <v>0</v>
          </cell>
        </row>
        <row r="4749">
          <cell r="A4749" t="str">
            <v>MT</v>
          </cell>
          <cell r="B4749">
            <v>2010</v>
          </cell>
          <cell r="D4749" t="str">
            <v>MILHO</v>
          </cell>
          <cell r="E4749">
            <v>29876</v>
          </cell>
        </row>
        <row r="4750">
          <cell r="A4750" t="str">
            <v>MT</v>
          </cell>
          <cell r="B4750">
            <v>2010</v>
          </cell>
          <cell r="D4750" t="str">
            <v>SOJA</v>
          </cell>
          <cell r="E4750">
            <v>0</v>
          </cell>
        </row>
        <row r="4751">
          <cell r="A4751" t="str">
            <v>MT</v>
          </cell>
          <cell r="B4751">
            <v>2010</v>
          </cell>
          <cell r="D4751" t="str">
            <v>MILHO</v>
          </cell>
          <cell r="E4751">
            <v>0</v>
          </cell>
        </row>
        <row r="4752">
          <cell r="A4752" t="str">
            <v>MT</v>
          </cell>
          <cell r="B4752">
            <v>2010</v>
          </cell>
          <cell r="D4752" t="str">
            <v>MILHO</v>
          </cell>
          <cell r="E4752">
            <v>17061</v>
          </cell>
        </row>
        <row r="4753">
          <cell r="A4753" t="str">
            <v>MT</v>
          </cell>
          <cell r="B4753">
            <v>2010</v>
          </cell>
          <cell r="D4753" t="str">
            <v>MILHO</v>
          </cell>
          <cell r="E4753">
            <v>0</v>
          </cell>
        </row>
        <row r="4754">
          <cell r="A4754" t="str">
            <v>MT</v>
          </cell>
          <cell r="B4754">
            <v>2010</v>
          </cell>
          <cell r="D4754" t="str">
            <v>MILHO</v>
          </cell>
          <cell r="E4754">
            <v>34100</v>
          </cell>
        </row>
        <row r="4755">
          <cell r="A4755" t="str">
            <v>MT</v>
          </cell>
          <cell r="B4755">
            <v>2010</v>
          </cell>
          <cell r="D4755" t="str">
            <v>SOJA</v>
          </cell>
          <cell r="E4755">
            <v>0</v>
          </cell>
        </row>
        <row r="4756">
          <cell r="A4756" t="str">
            <v>GO</v>
          </cell>
          <cell r="B4756">
            <v>2010</v>
          </cell>
          <cell r="D4756" t="str">
            <v>MILHO</v>
          </cell>
          <cell r="E4756">
            <v>0</v>
          </cell>
        </row>
        <row r="4757">
          <cell r="A4757" t="str">
            <v>GO</v>
          </cell>
          <cell r="B4757">
            <v>2010</v>
          </cell>
          <cell r="D4757" t="str">
            <v>SOJA</v>
          </cell>
          <cell r="E4757">
            <v>0</v>
          </cell>
        </row>
        <row r="4758">
          <cell r="A4758" t="str">
            <v>GO</v>
          </cell>
          <cell r="B4758">
            <v>2010</v>
          </cell>
          <cell r="D4758" t="str">
            <v>SOJA</v>
          </cell>
          <cell r="E4758">
            <v>0</v>
          </cell>
        </row>
        <row r="4759">
          <cell r="A4759" t="str">
            <v>MS</v>
          </cell>
          <cell r="B4759">
            <v>2010</v>
          </cell>
          <cell r="D4759" t="str">
            <v>MILHO</v>
          </cell>
          <cell r="E4759">
            <v>0</v>
          </cell>
        </row>
        <row r="4760">
          <cell r="A4760" t="str">
            <v>MS</v>
          </cell>
          <cell r="B4760">
            <v>2010</v>
          </cell>
          <cell r="D4760" t="str">
            <v>MILHO</v>
          </cell>
          <cell r="E4760">
            <v>8426</v>
          </cell>
        </row>
        <row r="4761">
          <cell r="A4761" t="str">
            <v>PR</v>
          </cell>
          <cell r="B4761">
            <v>2010</v>
          </cell>
          <cell r="D4761" t="str">
            <v>MILHO</v>
          </cell>
          <cell r="E4761">
            <v>1760.0000000000002</v>
          </cell>
        </row>
        <row r="4762">
          <cell r="A4762" t="str">
            <v>PR</v>
          </cell>
          <cell r="B4762">
            <v>2010</v>
          </cell>
          <cell r="D4762" t="str">
            <v>MILHO</v>
          </cell>
          <cell r="E4762">
            <v>0</v>
          </cell>
        </row>
        <row r="4763">
          <cell r="A4763" t="str">
            <v>PR</v>
          </cell>
          <cell r="B4763">
            <v>2010</v>
          </cell>
          <cell r="D4763" t="str">
            <v>SOJA</v>
          </cell>
          <cell r="E4763">
            <v>0</v>
          </cell>
        </row>
        <row r="4764">
          <cell r="A4764" t="str">
            <v>MT</v>
          </cell>
          <cell r="B4764">
            <v>2010</v>
          </cell>
          <cell r="D4764" t="str">
            <v>MILHO</v>
          </cell>
          <cell r="E4764">
            <v>0</v>
          </cell>
        </row>
        <row r="4765">
          <cell r="A4765" t="str">
            <v>MT</v>
          </cell>
          <cell r="B4765">
            <v>2010</v>
          </cell>
          <cell r="D4765" t="str">
            <v>SOJA</v>
          </cell>
          <cell r="E4765">
            <v>0</v>
          </cell>
        </row>
        <row r="4766">
          <cell r="A4766" t="str">
            <v>MT</v>
          </cell>
          <cell r="B4766">
            <v>2010</v>
          </cell>
          <cell r="D4766" t="str">
            <v>MILHO</v>
          </cell>
          <cell r="E4766">
            <v>0</v>
          </cell>
        </row>
        <row r="4767">
          <cell r="A4767" t="str">
            <v>MT</v>
          </cell>
          <cell r="B4767">
            <v>2010</v>
          </cell>
          <cell r="D4767" t="str">
            <v>MILHO</v>
          </cell>
          <cell r="E4767">
            <v>17061</v>
          </cell>
        </row>
        <row r="4768">
          <cell r="A4768" t="str">
            <v>MT</v>
          </cell>
          <cell r="B4768">
            <v>2010</v>
          </cell>
          <cell r="D4768" t="str">
            <v>MILHO</v>
          </cell>
          <cell r="E4768">
            <v>0</v>
          </cell>
        </row>
        <row r="4769">
          <cell r="A4769" t="str">
            <v>MT</v>
          </cell>
          <cell r="B4769">
            <v>2010</v>
          </cell>
          <cell r="D4769" t="str">
            <v>SOJA</v>
          </cell>
          <cell r="E4769">
            <v>4725</v>
          </cell>
        </row>
        <row r="4770">
          <cell r="A4770" t="str">
            <v>MT</v>
          </cell>
          <cell r="B4770">
            <v>2010</v>
          </cell>
          <cell r="D4770" t="str">
            <v>MILHO</v>
          </cell>
          <cell r="E4770">
            <v>25597</v>
          </cell>
        </row>
        <row r="4771">
          <cell r="A4771" t="str">
            <v>BA</v>
          </cell>
          <cell r="B4771">
            <v>2010</v>
          </cell>
          <cell r="D4771" t="str">
            <v>MILHO</v>
          </cell>
          <cell r="E4771">
            <v>7568.0000000000009</v>
          </cell>
        </row>
        <row r="4772">
          <cell r="A4772" t="str">
            <v>BA</v>
          </cell>
          <cell r="B4772">
            <v>2010</v>
          </cell>
          <cell r="D4772" t="str">
            <v>SOJA</v>
          </cell>
          <cell r="E4772">
            <v>1028.5714285714284</v>
          </cell>
        </row>
        <row r="4773">
          <cell r="A4773" t="str">
            <v>BA</v>
          </cell>
          <cell r="B4773">
            <v>2010</v>
          </cell>
          <cell r="D4773" t="str">
            <v>MILHO</v>
          </cell>
          <cell r="E4773">
            <v>0</v>
          </cell>
        </row>
        <row r="4774">
          <cell r="A4774" t="str">
            <v>RS</v>
          </cell>
          <cell r="B4774">
            <v>2010</v>
          </cell>
          <cell r="D4774" t="str">
            <v>SOJA</v>
          </cell>
          <cell r="E4774">
            <v>0</v>
          </cell>
        </row>
        <row r="4775">
          <cell r="A4775" t="str">
            <v>RS</v>
          </cell>
          <cell r="B4775">
            <v>2010</v>
          </cell>
          <cell r="D4775" t="str">
            <v>SOJA</v>
          </cell>
          <cell r="E4775">
            <v>1092.8571428571427</v>
          </cell>
        </row>
        <row r="4776">
          <cell r="A4776" t="str">
            <v>MS</v>
          </cell>
          <cell r="B4776">
            <v>2010</v>
          </cell>
          <cell r="D4776" t="str">
            <v>MILHO</v>
          </cell>
          <cell r="E4776">
            <v>0</v>
          </cell>
        </row>
        <row r="4777">
          <cell r="A4777" t="str">
            <v>MS</v>
          </cell>
          <cell r="B4777">
            <v>2010</v>
          </cell>
          <cell r="D4777" t="str">
            <v>MILHO</v>
          </cell>
          <cell r="E4777">
            <v>2948.0000000000005</v>
          </cell>
        </row>
        <row r="4778">
          <cell r="A4778" t="str">
            <v>MS</v>
          </cell>
          <cell r="B4778">
            <v>2010</v>
          </cell>
          <cell r="D4778" t="str">
            <v>SOJA</v>
          </cell>
          <cell r="E4778">
            <v>0</v>
          </cell>
        </row>
        <row r="4779">
          <cell r="A4779" t="str">
            <v>MS</v>
          </cell>
          <cell r="B4779">
            <v>2010</v>
          </cell>
          <cell r="D4779" t="str">
            <v>MILHO</v>
          </cell>
          <cell r="E4779">
            <v>0</v>
          </cell>
        </row>
        <row r="4780">
          <cell r="A4780" t="str">
            <v>MS</v>
          </cell>
          <cell r="B4780">
            <v>2010</v>
          </cell>
          <cell r="D4780" t="str">
            <v>MILHO</v>
          </cell>
          <cell r="E4780">
            <v>6743</v>
          </cell>
        </row>
        <row r="4781">
          <cell r="A4781" t="str">
            <v>MS</v>
          </cell>
          <cell r="B4781">
            <v>2010</v>
          </cell>
          <cell r="D4781" t="str">
            <v>SOJA</v>
          </cell>
          <cell r="E4781">
            <v>0</v>
          </cell>
        </row>
        <row r="4782">
          <cell r="A4782" t="str">
            <v>MS</v>
          </cell>
          <cell r="B4782">
            <v>2010</v>
          </cell>
          <cell r="D4782" t="str">
            <v>MILHO</v>
          </cell>
          <cell r="E4782">
            <v>0</v>
          </cell>
        </row>
        <row r="4783">
          <cell r="A4783" t="str">
            <v>MS</v>
          </cell>
          <cell r="B4783">
            <v>2010</v>
          </cell>
          <cell r="D4783" t="str">
            <v>MILHO</v>
          </cell>
          <cell r="E4783">
            <v>6743</v>
          </cell>
        </row>
        <row r="4784">
          <cell r="A4784" t="str">
            <v>MS</v>
          </cell>
          <cell r="B4784">
            <v>2010</v>
          </cell>
          <cell r="D4784" t="str">
            <v>SOJA</v>
          </cell>
          <cell r="E4784">
            <v>0</v>
          </cell>
        </row>
        <row r="4785">
          <cell r="A4785" t="str">
            <v>GO</v>
          </cell>
          <cell r="B4785">
            <v>2010</v>
          </cell>
          <cell r="D4785" t="str">
            <v>SOJA</v>
          </cell>
          <cell r="E4785">
            <v>0</v>
          </cell>
        </row>
        <row r="4786">
          <cell r="A4786" t="str">
            <v>MT</v>
          </cell>
          <cell r="B4786">
            <v>2010</v>
          </cell>
          <cell r="D4786" t="str">
            <v>MILHO</v>
          </cell>
          <cell r="E4786">
            <v>4268</v>
          </cell>
        </row>
        <row r="4787">
          <cell r="A4787" t="str">
            <v>MT</v>
          </cell>
          <cell r="B4787">
            <v>2010</v>
          </cell>
          <cell r="D4787" t="str">
            <v>MILHO</v>
          </cell>
          <cell r="E4787">
            <v>0</v>
          </cell>
        </row>
        <row r="4788">
          <cell r="A4788" t="str">
            <v>RS</v>
          </cell>
          <cell r="B4788">
            <v>2010</v>
          </cell>
          <cell r="D4788" t="str">
            <v>MILHO</v>
          </cell>
          <cell r="E4788">
            <v>0</v>
          </cell>
        </row>
        <row r="4789">
          <cell r="A4789" t="str">
            <v>RS</v>
          </cell>
          <cell r="B4789">
            <v>2010</v>
          </cell>
          <cell r="D4789" t="str">
            <v>SOJA</v>
          </cell>
          <cell r="E4789">
            <v>1092.8571428571427</v>
          </cell>
        </row>
        <row r="4790">
          <cell r="A4790" t="str">
            <v>RS</v>
          </cell>
          <cell r="B4790">
            <v>2010</v>
          </cell>
          <cell r="D4790" t="str">
            <v>SOJA</v>
          </cell>
          <cell r="E4790">
            <v>0</v>
          </cell>
        </row>
        <row r="4791">
          <cell r="A4791" t="str">
            <v>MT</v>
          </cell>
          <cell r="B4791">
            <v>2010</v>
          </cell>
          <cell r="D4791" t="str">
            <v>MILHO</v>
          </cell>
          <cell r="E4791">
            <v>0</v>
          </cell>
        </row>
        <row r="4792">
          <cell r="A4792" t="str">
            <v>MT</v>
          </cell>
          <cell r="B4792">
            <v>2010</v>
          </cell>
          <cell r="D4792" t="str">
            <v>MILHO</v>
          </cell>
          <cell r="E4792">
            <v>8536</v>
          </cell>
        </row>
        <row r="4793">
          <cell r="A4793" t="str">
            <v>RS</v>
          </cell>
          <cell r="B4793">
            <v>2010</v>
          </cell>
          <cell r="D4793" t="str">
            <v>SOJA</v>
          </cell>
          <cell r="E4793">
            <v>0</v>
          </cell>
        </row>
        <row r="4794">
          <cell r="A4794" t="str">
            <v>RS</v>
          </cell>
          <cell r="B4794">
            <v>2010</v>
          </cell>
          <cell r="D4794" t="str">
            <v>SOJA</v>
          </cell>
          <cell r="E4794">
            <v>1092.8571428571427</v>
          </cell>
        </row>
        <row r="4795">
          <cell r="A4795" t="str">
            <v>RS</v>
          </cell>
          <cell r="B4795">
            <v>2010</v>
          </cell>
          <cell r="D4795" t="str">
            <v>MILHO</v>
          </cell>
          <cell r="E4795">
            <v>0</v>
          </cell>
        </row>
        <row r="4796">
          <cell r="A4796" t="str">
            <v>RS</v>
          </cell>
          <cell r="B4796">
            <v>2010</v>
          </cell>
          <cell r="D4796" t="str">
            <v>SOJA</v>
          </cell>
          <cell r="E4796">
            <v>1092.8571428571427</v>
          </cell>
        </row>
        <row r="4797">
          <cell r="A4797" t="str">
            <v>RS</v>
          </cell>
          <cell r="B4797">
            <v>2010</v>
          </cell>
          <cell r="D4797" t="str">
            <v>SOJA</v>
          </cell>
          <cell r="E4797">
            <v>0</v>
          </cell>
        </row>
        <row r="4798">
          <cell r="A4798" t="str">
            <v>MS</v>
          </cell>
          <cell r="B4798">
            <v>2010</v>
          </cell>
          <cell r="D4798" t="str">
            <v>MILHO</v>
          </cell>
          <cell r="E4798">
            <v>0</v>
          </cell>
        </row>
        <row r="4799">
          <cell r="A4799" t="str">
            <v>MS</v>
          </cell>
          <cell r="B4799">
            <v>2010</v>
          </cell>
          <cell r="D4799" t="str">
            <v>MILHO</v>
          </cell>
          <cell r="E4799">
            <v>7579.0000000000009</v>
          </cell>
        </row>
        <row r="4800">
          <cell r="A4800" t="str">
            <v>MS</v>
          </cell>
          <cell r="B4800">
            <v>2010</v>
          </cell>
          <cell r="D4800" t="str">
            <v>SOJA</v>
          </cell>
          <cell r="E4800">
            <v>0</v>
          </cell>
        </row>
        <row r="4801">
          <cell r="A4801" t="str">
            <v>MS</v>
          </cell>
          <cell r="B4801">
            <v>2010</v>
          </cell>
          <cell r="D4801" t="str">
            <v>MILHO</v>
          </cell>
          <cell r="E4801">
            <v>5060</v>
          </cell>
        </row>
        <row r="4802">
          <cell r="A4802" t="str">
            <v>MS</v>
          </cell>
          <cell r="B4802">
            <v>2010</v>
          </cell>
          <cell r="D4802" t="str">
            <v>MILHO</v>
          </cell>
          <cell r="E4802">
            <v>5896.0000000000009</v>
          </cell>
        </row>
        <row r="4803">
          <cell r="A4803" t="str">
            <v>MS</v>
          </cell>
          <cell r="B4803">
            <v>2010</v>
          </cell>
          <cell r="D4803" t="str">
            <v>MILHO</v>
          </cell>
          <cell r="E4803">
            <v>0</v>
          </cell>
        </row>
        <row r="4804">
          <cell r="A4804" t="str">
            <v>MS</v>
          </cell>
          <cell r="B4804">
            <v>2010</v>
          </cell>
          <cell r="D4804" t="str">
            <v>SOJA</v>
          </cell>
          <cell r="E4804">
            <v>10339.285714285714</v>
          </cell>
        </row>
        <row r="4805">
          <cell r="A4805" t="str">
            <v>MS</v>
          </cell>
          <cell r="B4805">
            <v>2010</v>
          </cell>
          <cell r="D4805" t="str">
            <v>SOJA</v>
          </cell>
          <cell r="E4805">
            <v>0</v>
          </cell>
        </row>
        <row r="4806">
          <cell r="A4806" t="str">
            <v>SC</v>
          </cell>
          <cell r="B4806">
            <v>2010</v>
          </cell>
          <cell r="D4806" t="str">
            <v>MILHO</v>
          </cell>
          <cell r="E4806">
            <v>12606.000000000002</v>
          </cell>
        </row>
        <row r="4807">
          <cell r="A4807" t="str">
            <v>SC</v>
          </cell>
          <cell r="B4807">
            <v>2010</v>
          </cell>
          <cell r="D4807" t="str">
            <v>SOJA</v>
          </cell>
          <cell r="E4807">
            <v>21224.999999999996</v>
          </cell>
        </row>
        <row r="4808">
          <cell r="A4808" t="str">
            <v>MT</v>
          </cell>
          <cell r="B4808">
            <v>2010</v>
          </cell>
          <cell r="D4808" t="str">
            <v>MILHO</v>
          </cell>
          <cell r="E4808">
            <v>1705.0000000000002</v>
          </cell>
        </row>
        <row r="4809">
          <cell r="A4809" t="str">
            <v>MT</v>
          </cell>
          <cell r="B4809">
            <v>2010</v>
          </cell>
          <cell r="D4809" t="str">
            <v>MILHO</v>
          </cell>
          <cell r="E4809">
            <v>0</v>
          </cell>
        </row>
        <row r="4810">
          <cell r="A4810" t="str">
            <v>MT</v>
          </cell>
          <cell r="B4810">
            <v>2010</v>
          </cell>
          <cell r="D4810" t="str">
            <v>MILHO</v>
          </cell>
          <cell r="E4810">
            <v>0</v>
          </cell>
        </row>
        <row r="4811">
          <cell r="A4811" t="str">
            <v>PI</v>
          </cell>
          <cell r="B4811">
            <v>2010</v>
          </cell>
          <cell r="D4811" t="str">
            <v>SOJA</v>
          </cell>
          <cell r="E4811">
            <v>0</v>
          </cell>
        </row>
        <row r="4812">
          <cell r="A4812" t="str">
            <v>GO</v>
          </cell>
          <cell r="B4812">
            <v>2010</v>
          </cell>
          <cell r="D4812" t="str">
            <v>SOJA</v>
          </cell>
          <cell r="E4812">
            <v>0</v>
          </cell>
        </row>
        <row r="4813">
          <cell r="A4813" t="str">
            <v>MT</v>
          </cell>
          <cell r="B4813">
            <v>2010</v>
          </cell>
          <cell r="D4813" t="str">
            <v>SOJA</v>
          </cell>
          <cell r="E4813">
            <v>0</v>
          </cell>
        </row>
        <row r="4814">
          <cell r="A4814" t="str">
            <v>MA</v>
          </cell>
          <cell r="B4814">
            <v>2010</v>
          </cell>
          <cell r="D4814" t="str">
            <v>SOJA</v>
          </cell>
          <cell r="E4814">
            <v>0</v>
          </cell>
        </row>
        <row r="4815">
          <cell r="A4815" t="str">
            <v>RS</v>
          </cell>
          <cell r="B4815">
            <v>2010</v>
          </cell>
          <cell r="D4815" t="str">
            <v>MILHO</v>
          </cell>
          <cell r="E4815">
            <v>0</v>
          </cell>
        </row>
        <row r="4816">
          <cell r="A4816" t="str">
            <v>RS</v>
          </cell>
          <cell r="B4816">
            <v>2010</v>
          </cell>
          <cell r="D4816" t="str">
            <v>SOJA</v>
          </cell>
          <cell r="E4816">
            <v>3278.5714285714284</v>
          </cell>
        </row>
        <row r="4817">
          <cell r="A4817" t="str">
            <v>RS</v>
          </cell>
          <cell r="B4817">
            <v>2010</v>
          </cell>
          <cell r="D4817" t="str">
            <v>SOJA</v>
          </cell>
          <cell r="E4817">
            <v>5453.5714285714284</v>
          </cell>
        </row>
        <row r="4818">
          <cell r="A4818" t="str">
            <v>RS</v>
          </cell>
          <cell r="B4818">
            <v>2010</v>
          </cell>
          <cell r="D4818" t="str">
            <v>SOJA</v>
          </cell>
          <cell r="E4818">
            <v>0</v>
          </cell>
        </row>
        <row r="4819">
          <cell r="A4819" t="str">
            <v>MT</v>
          </cell>
          <cell r="B4819">
            <v>2010</v>
          </cell>
          <cell r="D4819" t="str">
            <v>SOJA</v>
          </cell>
          <cell r="E4819">
            <v>0</v>
          </cell>
        </row>
        <row r="4820">
          <cell r="A4820" t="str">
            <v>MT</v>
          </cell>
          <cell r="B4820">
            <v>2010</v>
          </cell>
          <cell r="D4820" t="str">
            <v>SOJA</v>
          </cell>
          <cell r="E4820">
            <v>0</v>
          </cell>
        </row>
        <row r="4821">
          <cell r="A4821" t="str">
            <v>PI</v>
          </cell>
          <cell r="B4821">
            <v>2010</v>
          </cell>
          <cell r="D4821" t="str">
            <v>SOJA</v>
          </cell>
          <cell r="E4821">
            <v>0</v>
          </cell>
        </row>
        <row r="4822">
          <cell r="A4822" t="str">
            <v>GO</v>
          </cell>
          <cell r="B4822">
            <v>2010</v>
          </cell>
          <cell r="D4822" t="str">
            <v>MILHO</v>
          </cell>
          <cell r="E4822">
            <v>0</v>
          </cell>
        </row>
        <row r="4823">
          <cell r="A4823" t="str">
            <v>GO</v>
          </cell>
          <cell r="B4823">
            <v>2010</v>
          </cell>
          <cell r="D4823" t="str">
            <v>MILHO</v>
          </cell>
          <cell r="E4823">
            <v>25421.000000000004</v>
          </cell>
        </row>
        <row r="4824">
          <cell r="A4824" t="str">
            <v>GO</v>
          </cell>
          <cell r="B4824">
            <v>2010</v>
          </cell>
          <cell r="D4824" t="str">
            <v>SOJA</v>
          </cell>
          <cell r="E4824">
            <v>0</v>
          </cell>
        </row>
        <row r="4825">
          <cell r="A4825" t="str">
            <v>GO</v>
          </cell>
          <cell r="B4825">
            <v>2010</v>
          </cell>
          <cell r="D4825" t="str">
            <v>SOJA</v>
          </cell>
          <cell r="E4825">
            <v>0</v>
          </cell>
        </row>
        <row r="4826">
          <cell r="A4826" t="str">
            <v>PR</v>
          </cell>
          <cell r="B4826">
            <v>2010</v>
          </cell>
          <cell r="D4826" t="str">
            <v>MILHO</v>
          </cell>
          <cell r="E4826">
            <v>0</v>
          </cell>
        </row>
        <row r="4827">
          <cell r="A4827" t="str">
            <v>PR</v>
          </cell>
          <cell r="B4827">
            <v>2010</v>
          </cell>
          <cell r="D4827" t="str">
            <v>SOJA</v>
          </cell>
          <cell r="E4827">
            <v>0</v>
          </cell>
        </row>
        <row r="4828">
          <cell r="A4828" t="str">
            <v>PI</v>
          </cell>
          <cell r="B4828">
            <v>2010</v>
          </cell>
          <cell r="D4828" t="str">
            <v>SOJA</v>
          </cell>
          <cell r="E4828">
            <v>0</v>
          </cell>
        </row>
        <row r="4829">
          <cell r="A4829" t="str">
            <v>MA</v>
          </cell>
          <cell r="B4829">
            <v>2010</v>
          </cell>
          <cell r="D4829" t="str">
            <v>SOJA</v>
          </cell>
          <cell r="E4829">
            <v>0</v>
          </cell>
        </row>
        <row r="4830">
          <cell r="A4830" t="str">
            <v>GO</v>
          </cell>
          <cell r="B4830">
            <v>2010</v>
          </cell>
          <cell r="D4830" t="str">
            <v>SOJA</v>
          </cell>
          <cell r="E4830">
            <v>0</v>
          </cell>
        </row>
        <row r="4831">
          <cell r="A4831" t="str">
            <v>GO</v>
          </cell>
          <cell r="B4831">
            <v>2010</v>
          </cell>
          <cell r="D4831" t="str">
            <v>SOJA</v>
          </cell>
          <cell r="E4831">
            <v>4189.2857142857138</v>
          </cell>
        </row>
        <row r="4832">
          <cell r="A4832" t="str">
            <v>PR</v>
          </cell>
          <cell r="B4832">
            <v>2010</v>
          </cell>
          <cell r="D4832" t="str">
            <v>MILHO</v>
          </cell>
          <cell r="E4832">
            <v>0</v>
          </cell>
        </row>
        <row r="4833">
          <cell r="A4833" t="str">
            <v>PR</v>
          </cell>
          <cell r="B4833">
            <v>2010</v>
          </cell>
          <cell r="D4833" t="str">
            <v>MILHO</v>
          </cell>
          <cell r="E4833">
            <v>28985.000000000004</v>
          </cell>
        </row>
        <row r="4834">
          <cell r="A4834" t="str">
            <v>PR</v>
          </cell>
          <cell r="B4834">
            <v>2010</v>
          </cell>
          <cell r="D4834" t="str">
            <v>SOJA</v>
          </cell>
          <cell r="E4834">
            <v>5528.5714285714284</v>
          </cell>
        </row>
        <row r="4835">
          <cell r="A4835" t="str">
            <v>PR</v>
          </cell>
          <cell r="B4835">
            <v>2010</v>
          </cell>
          <cell r="D4835" t="str">
            <v>SOJA</v>
          </cell>
          <cell r="E4835">
            <v>0</v>
          </cell>
        </row>
        <row r="4836">
          <cell r="A4836" t="str">
            <v>PR</v>
          </cell>
          <cell r="B4836">
            <v>2010</v>
          </cell>
          <cell r="D4836" t="str">
            <v>MILHO</v>
          </cell>
          <cell r="E4836">
            <v>4389</v>
          </cell>
        </row>
        <row r="4837">
          <cell r="A4837" t="str">
            <v>PR</v>
          </cell>
          <cell r="B4837">
            <v>2010</v>
          </cell>
          <cell r="D4837" t="str">
            <v>MILHO</v>
          </cell>
          <cell r="E4837">
            <v>0</v>
          </cell>
        </row>
        <row r="4838">
          <cell r="A4838" t="str">
            <v>PR</v>
          </cell>
          <cell r="B4838">
            <v>2010</v>
          </cell>
          <cell r="D4838" t="str">
            <v>MILHO</v>
          </cell>
          <cell r="E4838">
            <v>0</v>
          </cell>
        </row>
        <row r="4839">
          <cell r="A4839" t="str">
            <v>PR</v>
          </cell>
          <cell r="B4839">
            <v>2010</v>
          </cell>
          <cell r="D4839" t="str">
            <v>SOJA</v>
          </cell>
          <cell r="E4839">
            <v>0</v>
          </cell>
        </row>
        <row r="4840">
          <cell r="A4840" t="str">
            <v>MT</v>
          </cell>
          <cell r="B4840">
            <v>2010</v>
          </cell>
          <cell r="D4840" t="str">
            <v>MILHO</v>
          </cell>
          <cell r="E4840">
            <v>0</v>
          </cell>
        </row>
        <row r="4841">
          <cell r="A4841" t="str">
            <v>MT</v>
          </cell>
          <cell r="B4841">
            <v>2010</v>
          </cell>
          <cell r="D4841" t="str">
            <v>MILHO</v>
          </cell>
          <cell r="E4841">
            <v>0</v>
          </cell>
        </row>
        <row r="4842">
          <cell r="A4842" t="str">
            <v>RS</v>
          </cell>
          <cell r="B4842">
            <v>2010</v>
          </cell>
          <cell r="D4842" t="str">
            <v>SOJA</v>
          </cell>
          <cell r="E4842">
            <v>546.42857142857133</v>
          </cell>
        </row>
        <row r="4843">
          <cell r="A4843" t="str">
            <v>RS</v>
          </cell>
          <cell r="B4843">
            <v>2010</v>
          </cell>
          <cell r="D4843" t="str">
            <v>SOJA</v>
          </cell>
          <cell r="E4843">
            <v>15825</v>
          </cell>
        </row>
        <row r="4844">
          <cell r="A4844" t="str">
            <v>RS</v>
          </cell>
          <cell r="B4844">
            <v>2010</v>
          </cell>
          <cell r="D4844" t="str">
            <v>SOJA</v>
          </cell>
          <cell r="E4844">
            <v>10907.142857142857</v>
          </cell>
        </row>
        <row r="4845">
          <cell r="A4845" t="str">
            <v>RS</v>
          </cell>
          <cell r="B4845">
            <v>2010</v>
          </cell>
          <cell r="D4845" t="str">
            <v>MILHO</v>
          </cell>
          <cell r="E4845">
            <v>1441.0000000000002</v>
          </cell>
        </row>
        <row r="4846">
          <cell r="A4846" t="str">
            <v>RS</v>
          </cell>
          <cell r="B4846">
            <v>2010</v>
          </cell>
          <cell r="D4846" t="str">
            <v>SOJA</v>
          </cell>
          <cell r="E4846">
            <v>5453.5714285714284</v>
          </cell>
        </row>
        <row r="4847">
          <cell r="A4847" t="str">
            <v>RS</v>
          </cell>
          <cell r="B4847">
            <v>2010</v>
          </cell>
          <cell r="D4847" t="str">
            <v>SOJA</v>
          </cell>
          <cell r="E4847">
            <v>0</v>
          </cell>
        </row>
        <row r="4848">
          <cell r="A4848" t="str">
            <v>RS</v>
          </cell>
          <cell r="B4848">
            <v>2010</v>
          </cell>
          <cell r="D4848" t="str">
            <v>MILHO</v>
          </cell>
          <cell r="E4848">
            <v>0</v>
          </cell>
        </row>
        <row r="4849">
          <cell r="A4849" t="str">
            <v>RS</v>
          </cell>
          <cell r="B4849">
            <v>2010</v>
          </cell>
          <cell r="D4849" t="str">
            <v>SOJA</v>
          </cell>
          <cell r="E4849">
            <v>3278.5714285714284</v>
          </cell>
        </row>
        <row r="4850">
          <cell r="A4850" t="str">
            <v>RS</v>
          </cell>
          <cell r="B4850">
            <v>2010</v>
          </cell>
          <cell r="D4850" t="str">
            <v>SOJA</v>
          </cell>
          <cell r="E4850">
            <v>0</v>
          </cell>
        </row>
        <row r="4851">
          <cell r="A4851" t="str">
            <v>PR</v>
          </cell>
          <cell r="B4851">
            <v>2010</v>
          </cell>
          <cell r="D4851" t="str">
            <v>MILHO</v>
          </cell>
          <cell r="E4851">
            <v>5269</v>
          </cell>
        </row>
        <row r="4852">
          <cell r="A4852" t="str">
            <v>PR</v>
          </cell>
          <cell r="B4852">
            <v>2010</v>
          </cell>
          <cell r="D4852" t="str">
            <v>MILHO</v>
          </cell>
          <cell r="E4852">
            <v>0</v>
          </cell>
        </row>
        <row r="4853">
          <cell r="A4853" t="str">
            <v>PR</v>
          </cell>
          <cell r="B4853">
            <v>2010</v>
          </cell>
          <cell r="D4853" t="str">
            <v>SOJA</v>
          </cell>
          <cell r="E4853">
            <v>0</v>
          </cell>
        </row>
        <row r="4854">
          <cell r="A4854" t="str">
            <v>PR</v>
          </cell>
          <cell r="B4854">
            <v>2010</v>
          </cell>
          <cell r="D4854" t="str">
            <v>MILHO</v>
          </cell>
          <cell r="E4854">
            <v>10538</v>
          </cell>
        </row>
        <row r="4855">
          <cell r="A4855" t="str">
            <v>PR</v>
          </cell>
          <cell r="B4855">
            <v>2010</v>
          </cell>
          <cell r="D4855" t="str">
            <v>MILHO</v>
          </cell>
          <cell r="E4855">
            <v>0</v>
          </cell>
        </row>
        <row r="4856">
          <cell r="A4856" t="str">
            <v>PR</v>
          </cell>
          <cell r="B4856">
            <v>2010</v>
          </cell>
          <cell r="D4856" t="str">
            <v>SOJA</v>
          </cell>
          <cell r="E4856">
            <v>0</v>
          </cell>
        </row>
        <row r="4857">
          <cell r="A4857" t="str">
            <v>PR</v>
          </cell>
          <cell r="B4857">
            <v>2010</v>
          </cell>
          <cell r="D4857" t="str">
            <v>MILHO</v>
          </cell>
          <cell r="E4857">
            <v>17567.000000000004</v>
          </cell>
        </row>
        <row r="4858">
          <cell r="A4858" t="str">
            <v>PR</v>
          </cell>
          <cell r="B4858">
            <v>2010</v>
          </cell>
          <cell r="D4858" t="str">
            <v>MILHO</v>
          </cell>
          <cell r="E4858">
            <v>0</v>
          </cell>
        </row>
        <row r="4859">
          <cell r="A4859" t="str">
            <v>PR</v>
          </cell>
          <cell r="B4859">
            <v>2010</v>
          </cell>
          <cell r="D4859" t="str">
            <v>SOJA</v>
          </cell>
          <cell r="E4859">
            <v>0</v>
          </cell>
        </row>
        <row r="4860">
          <cell r="A4860" t="str">
            <v>PR</v>
          </cell>
          <cell r="B4860">
            <v>2010</v>
          </cell>
          <cell r="D4860" t="str">
            <v>MILHO</v>
          </cell>
          <cell r="E4860">
            <v>6149</v>
          </cell>
        </row>
        <row r="4861">
          <cell r="A4861" t="str">
            <v>PR</v>
          </cell>
          <cell r="B4861">
            <v>2010</v>
          </cell>
          <cell r="D4861" t="str">
            <v>MILHO</v>
          </cell>
          <cell r="E4861">
            <v>0</v>
          </cell>
        </row>
        <row r="4862">
          <cell r="A4862" t="str">
            <v>PR</v>
          </cell>
          <cell r="B4862">
            <v>2010</v>
          </cell>
          <cell r="D4862" t="str">
            <v>SOJA</v>
          </cell>
          <cell r="E4862">
            <v>0</v>
          </cell>
        </row>
        <row r="4863">
          <cell r="A4863" t="str">
            <v>SP</v>
          </cell>
          <cell r="B4863">
            <v>2010</v>
          </cell>
          <cell r="D4863" t="str">
            <v>MILHO</v>
          </cell>
          <cell r="E4863">
            <v>3509.0000000000005</v>
          </cell>
        </row>
        <row r="4864">
          <cell r="A4864" t="str">
            <v>SP</v>
          </cell>
          <cell r="B4864">
            <v>2010</v>
          </cell>
          <cell r="D4864" t="str">
            <v>MILHO</v>
          </cell>
          <cell r="E4864">
            <v>0</v>
          </cell>
        </row>
        <row r="4865">
          <cell r="A4865" t="str">
            <v>PR</v>
          </cell>
          <cell r="B4865">
            <v>2010</v>
          </cell>
          <cell r="D4865" t="str">
            <v>MILHO</v>
          </cell>
          <cell r="E4865">
            <v>26345.000000000004</v>
          </cell>
        </row>
        <row r="4866">
          <cell r="A4866" t="str">
            <v>PR</v>
          </cell>
          <cell r="B4866">
            <v>2010</v>
          </cell>
          <cell r="D4866" t="str">
            <v>MILHO</v>
          </cell>
          <cell r="E4866">
            <v>0</v>
          </cell>
        </row>
        <row r="4867">
          <cell r="A4867" t="str">
            <v>PR</v>
          </cell>
          <cell r="B4867">
            <v>2010</v>
          </cell>
          <cell r="D4867" t="str">
            <v>SOJA</v>
          </cell>
          <cell r="E4867">
            <v>0</v>
          </cell>
        </row>
        <row r="4868">
          <cell r="A4868" t="str">
            <v>MT</v>
          </cell>
          <cell r="B4868">
            <v>2010</v>
          </cell>
          <cell r="D4868" t="str">
            <v>MILHO</v>
          </cell>
          <cell r="E4868">
            <v>1705.0000000000002</v>
          </cell>
        </row>
        <row r="4869">
          <cell r="A4869" t="str">
            <v>MT</v>
          </cell>
          <cell r="B4869">
            <v>2010</v>
          </cell>
          <cell r="D4869" t="str">
            <v>MILHO</v>
          </cell>
          <cell r="E4869">
            <v>0</v>
          </cell>
        </row>
        <row r="4870">
          <cell r="A4870" t="str">
            <v>MT</v>
          </cell>
          <cell r="B4870">
            <v>2010</v>
          </cell>
          <cell r="D4870" t="str">
            <v>MILHO</v>
          </cell>
          <cell r="E4870">
            <v>2563</v>
          </cell>
        </row>
        <row r="4871">
          <cell r="A4871" t="str">
            <v>MT</v>
          </cell>
          <cell r="B4871">
            <v>2010</v>
          </cell>
          <cell r="D4871" t="str">
            <v>MILHO</v>
          </cell>
          <cell r="E4871">
            <v>0</v>
          </cell>
        </row>
        <row r="4872">
          <cell r="A4872" t="str">
            <v>MS</v>
          </cell>
          <cell r="B4872">
            <v>2010</v>
          </cell>
          <cell r="D4872" t="str">
            <v>MILHO</v>
          </cell>
          <cell r="E4872">
            <v>0</v>
          </cell>
        </row>
        <row r="4873">
          <cell r="A4873" t="str">
            <v>PR</v>
          </cell>
          <cell r="B4873">
            <v>2010</v>
          </cell>
          <cell r="D4873" t="str">
            <v>MILHO</v>
          </cell>
          <cell r="E4873">
            <v>0</v>
          </cell>
        </row>
        <row r="4874">
          <cell r="A4874" t="str">
            <v>PR</v>
          </cell>
          <cell r="B4874">
            <v>2010</v>
          </cell>
          <cell r="D4874" t="str">
            <v>SOJA</v>
          </cell>
          <cell r="E4874">
            <v>0</v>
          </cell>
        </row>
        <row r="4875">
          <cell r="A4875" t="str">
            <v>PR</v>
          </cell>
          <cell r="B4875">
            <v>2010</v>
          </cell>
          <cell r="D4875" t="str">
            <v>SOJA</v>
          </cell>
          <cell r="E4875">
            <v>23035.714285714286</v>
          </cell>
        </row>
        <row r="4876">
          <cell r="A4876" t="str">
            <v>PR</v>
          </cell>
          <cell r="B4876">
            <v>2010</v>
          </cell>
          <cell r="D4876" t="str">
            <v>MILHO</v>
          </cell>
          <cell r="E4876">
            <v>7029</v>
          </cell>
        </row>
        <row r="4877">
          <cell r="A4877" t="str">
            <v>PR</v>
          </cell>
          <cell r="B4877">
            <v>2010</v>
          </cell>
          <cell r="D4877" t="str">
            <v>MILHO</v>
          </cell>
          <cell r="E4877">
            <v>13178</v>
          </cell>
        </row>
        <row r="4878">
          <cell r="A4878" t="str">
            <v>PR</v>
          </cell>
          <cell r="B4878">
            <v>2010</v>
          </cell>
          <cell r="D4878" t="str">
            <v>MILHO</v>
          </cell>
          <cell r="E4878">
            <v>0</v>
          </cell>
        </row>
        <row r="4879">
          <cell r="A4879" t="str">
            <v>BA</v>
          </cell>
          <cell r="B4879">
            <v>2010</v>
          </cell>
          <cell r="D4879" t="str">
            <v>SOJA</v>
          </cell>
          <cell r="E4879">
            <v>10317.857142857143</v>
          </cell>
        </row>
        <row r="4880">
          <cell r="A4880" t="str">
            <v>MT</v>
          </cell>
          <cell r="B4880">
            <v>2010</v>
          </cell>
          <cell r="D4880" t="str">
            <v>MILHO</v>
          </cell>
          <cell r="E4880">
            <v>0</v>
          </cell>
        </row>
        <row r="4881">
          <cell r="A4881" t="str">
            <v>MT</v>
          </cell>
          <cell r="B4881">
            <v>2010</v>
          </cell>
          <cell r="D4881" t="str">
            <v>SOJA</v>
          </cell>
          <cell r="E4881">
            <v>0</v>
          </cell>
        </row>
        <row r="4882">
          <cell r="A4882" t="str">
            <v>MT</v>
          </cell>
          <cell r="B4882">
            <v>2010</v>
          </cell>
          <cell r="D4882" t="str">
            <v>MILHO</v>
          </cell>
          <cell r="E4882">
            <v>0</v>
          </cell>
        </row>
        <row r="4883">
          <cell r="A4883" t="str">
            <v>MT</v>
          </cell>
          <cell r="B4883">
            <v>2010</v>
          </cell>
          <cell r="D4883" t="str">
            <v>SOJA</v>
          </cell>
          <cell r="E4883">
            <v>0</v>
          </cell>
        </row>
        <row r="4884">
          <cell r="A4884" t="str">
            <v>MT</v>
          </cell>
          <cell r="B4884">
            <v>2010</v>
          </cell>
          <cell r="D4884" t="str">
            <v>MILHO</v>
          </cell>
          <cell r="E4884">
            <v>0</v>
          </cell>
        </row>
        <row r="4885">
          <cell r="A4885" t="str">
            <v>MT</v>
          </cell>
          <cell r="B4885">
            <v>2010</v>
          </cell>
          <cell r="D4885" t="str">
            <v>SOJA</v>
          </cell>
          <cell r="E4885">
            <v>0</v>
          </cell>
        </row>
        <row r="4886">
          <cell r="A4886" t="str">
            <v>MT</v>
          </cell>
          <cell r="B4886">
            <v>2010</v>
          </cell>
          <cell r="D4886" t="str">
            <v>MILHO</v>
          </cell>
          <cell r="E4886">
            <v>0</v>
          </cell>
        </row>
        <row r="4887">
          <cell r="A4887" t="str">
            <v>MT</v>
          </cell>
          <cell r="B4887">
            <v>2010</v>
          </cell>
          <cell r="D4887" t="str">
            <v>SOJA</v>
          </cell>
          <cell r="E4887">
            <v>0</v>
          </cell>
        </row>
        <row r="4888">
          <cell r="A4888" t="str">
            <v>GO</v>
          </cell>
          <cell r="B4888">
            <v>2010</v>
          </cell>
          <cell r="D4888" t="str">
            <v>MILHO</v>
          </cell>
          <cell r="E4888">
            <v>0</v>
          </cell>
        </row>
        <row r="4889">
          <cell r="A4889" t="str">
            <v>GO</v>
          </cell>
          <cell r="B4889">
            <v>2010</v>
          </cell>
          <cell r="D4889" t="str">
            <v>MILHO</v>
          </cell>
          <cell r="E4889">
            <v>9647</v>
          </cell>
        </row>
        <row r="4890">
          <cell r="A4890" t="str">
            <v>GO</v>
          </cell>
          <cell r="B4890">
            <v>2010</v>
          </cell>
          <cell r="D4890" t="str">
            <v>SOJA</v>
          </cell>
          <cell r="E4890">
            <v>0</v>
          </cell>
        </row>
        <row r="4891">
          <cell r="A4891" t="str">
            <v>GO</v>
          </cell>
          <cell r="B4891">
            <v>2010</v>
          </cell>
          <cell r="D4891" t="str">
            <v>SOJA</v>
          </cell>
          <cell r="E4891">
            <v>0</v>
          </cell>
        </row>
        <row r="4892">
          <cell r="A4892" t="str">
            <v>GO</v>
          </cell>
          <cell r="B4892">
            <v>2010</v>
          </cell>
          <cell r="D4892" t="str">
            <v>MILHO</v>
          </cell>
          <cell r="E4892">
            <v>0</v>
          </cell>
        </row>
        <row r="4893">
          <cell r="A4893" t="str">
            <v>GO</v>
          </cell>
          <cell r="B4893">
            <v>2010</v>
          </cell>
          <cell r="D4893" t="str">
            <v>SOJA</v>
          </cell>
          <cell r="E4893">
            <v>0</v>
          </cell>
        </row>
        <row r="4894">
          <cell r="A4894" t="str">
            <v>MT</v>
          </cell>
          <cell r="B4894">
            <v>2010</v>
          </cell>
          <cell r="D4894" t="str">
            <v>MILHO</v>
          </cell>
          <cell r="E4894">
            <v>0</v>
          </cell>
        </row>
        <row r="4895">
          <cell r="A4895" t="str">
            <v>MT</v>
          </cell>
          <cell r="B4895">
            <v>2010</v>
          </cell>
          <cell r="D4895" t="str">
            <v>MILHO</v>
          </cell>
          <cell r="E4895">
            <v>5258.0000000000009</v>
          </cell>
        </row>
        <row r="4896">
          <cell r="A4896" t="str">
            <v>GO</v>
          </cell>
          <cell r="B4896">
            <v>2010</v>
          </cell>
          <cell r="D4896" t="str">
            <v>MILHO</v>
          </cell>
          <cell r="E4896">
            <v>0</v>
          </cell>
        </row>
        <row r="4897">
          <cell r="A4897" t="str">
            <v>GO</v>
          </cell>
          <cell r="B4897">
            <v>2010</v>
          </cell>
          <cell r="D4897" t="str">
            <v>MILHO</v>
          </cell>
          <cell r="E4897">
            <v>17534.000000000004</v>
          </cell>
        </row>
        <row r="4898">
          <cell r="A4898" t="str">
            <v>GO</v>
          </cell>
          <cell r="B4898">
            <v>2010</v>
          </cell>
          <cell r="D4898" t="str">
            <v>SOJA</v>
          </cell>
          <cell r="E4898">
            <v>0</v>
          </cell>
        </row>
        <row r="4899">
          <cell r="A4899" t="str">
            <v>SP</v>
          </cell>
          <cell r="B4899">
            <v>2010</v>
          </cell>
          <cell r="D4899" t="str">
            <v>SOJA</v>
          </cell>
          <cell r="E4899">
            <v>0</v>
          </cell>
        </row>
        <row r="4900">
          <cell r="A4900" t="str">
            <v>MT</v>
          </cell>
          <cell r="B4900">
            <v>2010</v>
          </cell>
          <cell r="D4900" t="str">
            <v>MILHO</v>
          </cell>
          <cell r="E4900">
            <v>17061</v>
          </cell>
        </row>
        <row r="4901">
          <cell r="A4901" t="str">
            <v>MT</v>
          </cell>
          <cell r="B4901">
            <v>2010</v>
          </cell>
          <cell r="D4901" t="str">
            <v>MILHO</v>
          </cell>
          <cell r="E4901">
            <v>0</v>
          </cell>
        </row>
        <row r="4902">
          <cell r="A4902" t="str">
            <v>MT</v>
          </cell>
          <cell r="B4902">
            <v>2010</v>
          </cell>
          <cell r="D4902" t="str">
            <v>MILHO</v>
          </cell>
          <cell r="E4902">
            <v>12804.000000000002</v>
          </cell>
        </row>
        <row r="4903">
          <cell r="A4903" t="str">
            <v>MT</v>
          </cell>
          <cell r="B4903">
            <v>2010</v>
          </cell>
          <cell r="D4903" t="str">
            <v>SOJA</v>
          </cell>
          <cell r="E4903">
            <v>0</v>
          </cell>
        </row>
        <row r="4904">
          <cell r="A4904" t="str">
            <v>MA</v>
          </cell>
          <cell r="B4904">
            <v>2010</v>
          </cell>
          <cell r="D4904" t="str">
            <v>SOJA</v>
          </cell>
          <cell r="E4904">
            <v>0</v>
          </cell>
        </row>
        <row r="4905">
          <cell r="A4905" t="str">
            <v>MG</v>
          </cell>
          <cell r="B4905">
            <v>2010</v>
          </cell>
          <cell r="D4905" t="str">
            <v>SOJA</v>
          </cell>
          <cell r="E4905">
            <v>0</v>
          </cell>
        </row>
        <row r="4906">
          <cell r="A4906" t="str">
            <v>MT</v>
          </cell>
          <cell r="B4906">
            <v>2010</v>
          </cell>
          <cell r="D4906" t="str">
            <v>MILHO</v>
          </cell>
          <cell r="E4906">
            <v>0</v>
          </cell>
        </row>
        <row r="4907">
          <cell r="A4907" t="str">
            <v>MT</v>
          </cell>
          <cell r="B4907">
            <v>2010</v>
          </cell>
          <cell r="D4907" t="str">
            <v>SOJA</v>
          </cell>
          <cell r="E4907">
            <v>0</v>
          </cell>
        </row>
        <row r="4908">
          <cell r="A4908" t="str">
            <v>MT</v>
          </cell>
          <cell r="B4908">
            <v>2010</v>
          </cell>
          <cell r="D4908" t="str">
            <v>MILHO</v>
          </cell>
          <cell r="E4908">
            <v>2563</v>
          </cell>
        </row>
        <row r="4909">
          <cell r="A4909" t="str">
            <v>MT</v>
          </cell>
          <cell r="B4909">
            <v>2010</v>
          </cell>
          <cell r="D4909" t="str">
            <v>MILHO</v>
          </cell>
          <cell r="E4909">
            <v>0</v>
          </cell>
        </row>
        <row r="4910">
          <cell r="A4910" t="str">
            <v>MT</v>
          </cell>
          <cell r="B4910">
            <v>2010</v>
          </cell>
          <cell r="D4910" t="str">
            <v>MILHO</v>
          </cell>
          <cell r="E4910">
            <v>0</v>
          </cell>
        </row>
        <row r="4911">
          <cell r="A4911" t="str">
            <v>MT</v>
          </cell>
          <cell r="B4911">
            <v>2010</v>
          </cell>
          <cell r="D4911" t="str">
            <v>SOJA</v>
          </cell>
          <cell r="E4911">
            <v>0</v>
          </cell>
        </row>
        <row r="4912">
          <cell r="A4912" t="str">
            <v>GO</v>
          </cell>
          <cell r="B4912">
            <v>2010</v>
          </cell>
          <cell r="D4912" t="str">
            <v>MILHO</v>
          </cell>
          <cell r="E4912">
            <v>0</v>
          </cell>
        </row>
        <row r="4913">
          <cell r="A4913" t="str">
            <v>GO</v>
          </cell>
          <cell r="B4913">
            <v>2010</v>
          </cell>
          <cell r="D4913" t="str">
            <v>SOJA</v>
          </cell>
          <cell r="E4913">
            <v>0</v>
          </cell>
        </row>
        <row r="4914">
          <cell r="A4914" t="str">
            <v>GO</v>
          </cell>
          <cell r="B4914">
            <v>2010</v>
          </cell>
          <cell r="D4914" t="str">
            <v>SOJA</v>
          </cell>
          <cell r="E4914">
            <v>0</v>
          </cell>
        </row>
        <row r="4915">
          <cell r="A4915" t="str">
            <v>MS</v>
          </cell>
          <cell r="B4915">
            <v>2010</v>
          </cell>
          <cell r="D4915" t="str">
            <v>MILHO</v>
          </cell>
          <cell r="E4915">
            <v>0</v>
          </cell>
        </row>
        <row r="4916">
          <cell r="A4916" t="str">
            <v>MS</v>
          </cell>
          <cell r="B4916">
            <v>2010</v>
          </cell>
          <cell r="D4916" t="str">
            <v>MILHO</v>
          </cell>
          <cell r="E4916">
            <v>13486</v>
          </cell>
        </row>
        <row r="4917">
          <cell r="A4917" t="str">
            <v>PR</v>
          </cell>
          <cell r="B4917">
            <v>2010</v>
          </cell>
          <cell r="D4917" t="str">
            <v>MILHO</v>
          </cell>
          <cell r="E4917">
            <v>4389</v>
          </cell>
        </row>
        <row r="4918">
          <cell r="A4918" t="str">
            <v>PR</v>
          </cell>
          <cell r="B4918">
            <v>2010</v>
          </cell>
          <cell r="D4918" t="str">
            <v>MILHO</v>
          </cell>
          <cell r="E4918">
            <v>0</v>
          </cell>
        </row>
        <row r="4919">
          <cell r="A4919" t="str">
            <v>MT</v>
          </cell>
          <cell r="B4919">
            <v>2010</v>
          </cell>
          <cell r="D4919" t="str">
            <v>MILHO</v>
          </cell>
          <cell r="E4919">
            <v>0</v>
          </cell>
        </row>
        <row r="4920">
          <cell r="A4920" t="str">
            <v>MT</v>
          </cell>
          <cell r="B4920">
            <v>2010</v>
          </cell>
          <cell r="D4920" t="str">
            <v>SOJA</v>
          </cell>
          <cell r="E4920">
            <v>0</v>
          </cell>
        </row>
        <row r="4921">
          <cell r="A4921" t="str">
            <v>MT</v>
          </cell>
          <cell r="B4921">
            <v>2010</v>
          </cell>
          <cell r="D4921" t="str">
            <v>MILHO</v>
          </cell>
          <cell r="E4921">
            <v>0</v>
          </cell>
        </row>
        <row r="4922">
          <cell r="A4922" t="str">
            <v>MT</v>
          </cell>
          <cell r="B4922">
            <v>2010</v>
          </cell>
          <cell r="D4922" t="str">
            <v>MILHO</v>
          </cell>
          <cell r="E4922">
            <v>0</v>
          </cell>
        </row>
        <row r="4923">
          <cell r="A4923" t="str">
            <v>MT</v>
          </cell>
          <cell r="B4923">
            <v>2010</v>
          </cell>
          <cell r="D4923" t="str">
            <v>SOJA</v>
          </cell>
          <cell r="E4923">
            <v>3782.1428571428569</v>
          </cell>
        </row>
        <row r="4924">
          <cell r="A4924" t="str">
            <v>MT</v>
          </cell>
          <cell r="B4924">
            <v>2010</v>
          </cell>
          <cell r="D4924" t="str">
            <v>MILHO</v>
          </cell>
          <cell r="E4924">
            <v>8536</v>
          </cell>
        </row>
        <row r="4925">
          <cell r="A4925" t="str">
            <v>BA</v>
          </cell>
          <cell r="B4925">
            <v>2010</v>
          </cell>
          <cell r="D4925" t="str">
            <v>MILHO</v>
          </cell>
          <cell r="E4925">
            <v>2519</v>
          </cell>
        </row>
        <row r="4926">
          <cell r="A4926" t="str">
            <v>BA</v>
          </cell>
          <cell r="B4926">
            <v>2010</v>
          </cell>
          <cell r="D4926" t="str">
            <v>MILHO</v>
          </cell>
          <cell r="E4926">
            <v>0</v>
          </cell>
        </row>
        <row r="4927">
          <cell r="A4927" t="str">
            <v>RS</v>
          </cell>
          <cell r="B4927">
            <v>2010</v>
          </cell>
          <cell r="D4927" t="str">
            <v>SOJA</v>
          </cell>
          <cell r="E4927">
            <v>0</v>
          </cell>
        </row>
        <row r="4928">
          <cell r="A4928" t="str">
            <v>RS</v>
          </cell>
          <cell r="B4928">
            <v>2010</v>
          </cell>
          <cell r="D4928" t="str">
            <v>SOJA</v>
          </cell>
          <cell r="E4928">
            <v>1092.8571428571427</v>
          </cell>
        </row>
        <row r="4929">
          <cell r="A4929" t="str">
            <v>MS</v>
          </cell>
          <cell r="B4929">
            <v>2010</v>
          </cell>
          <cell r="D4929" t="str">
            <v>MILHO</v>
          </cell>
          <cell r="E4929">
            <v>4213</v>
          </cell>
        </row>
        <row r="4930">
          <cell r="A4930" t="str">
            <v>MS</v>
          </cell>
          <cell r="B4930">
            <v>2010</v>
          </cell>
          <cell r="D4930" t="str">
            <v>MILHO</v>
          </cell>
          <cell r="E4930">
            <v>0</v>
          </cell>
        </row>
        <row r="4931">
          <cell r="A4931" t="str">
            <v>MS</v>
          </cell>
          <cell r="B4931">
            <v>2010</v>
          </cell>
          <cell r="D4931" t="str">
            <v>SOJA</v>
          </cell>
          <cell r="E4931">
            <v>0</v>
          </cell>
        </row>
        <row r="4932">
          <cell r="A4932" t="str">
            <v>MS</v>
          </cell>
          <cell r="B4932">
            <v>2010</v>
          </cell>
          <cell r="D4932" t="str">
            <v>MILHO</v>
          </cell>
          <cell r="E4932">
            <v>0</v>
          </cell>
        </row>
        <row r="4933">
          <cell r="A4933" t="str">
            <v>MS</v>
          </cell>
          <cell r="B4933">
            <v>2010</v>
          </cell>
          <cell r="D4933" t="str">
            <v>MILHO</v>
          </cell>
          <cell r="E4933">
            <v>13057</v>
          </cell>
        </row>
        <row r="4934">
          <cell r="A4934" t="str">
            <v>MS</v>
          </cell>
          <cell r="B4934">
            <v>2010</v>
          </cell>
          <cell r="D4934" t="str">
            <v>SOJA</v>
          </cell>
          <cell r="E4934">
            <v>0</v>
          </cell>
        </row>
        <row r="4935">
          <cell r="A4935" t="str">
            <v>MS</v>
          </cell>
          <cell r="B4935">
            <v>2010</v>
          </cell>
          <cell r="D4935" t="str">
            <v>MILHO</v>
          </cell>
          <cell r="E4935">
            <v>0</v>
          </cell>
        </row>
        <row r="4936">
          <cell r="A4936" t="str">
            <v>MS</v>
          </cell>
          <cell r="B4936">
            <v>2010</v>
          </cell>
          <cell r="D4936" t="str">
            <v>MILHO</v>
          </cell>
          <cell r="E4936">
            <v>15169</v>
          </cell>
        </row>
        <row r="4937">
          <cell r="A4937" t="str">
            <v>MS</v>
          </cell>
          <cell r="B4937">
            <v>2010</v>
          </cell>
          <cell r="D4937" t="str">
            <v>SOJA</v>
          </cell>
          <cell r="E4937">
            <v>0</v>
          </cell>
        </row>
        <row r="4938">
          <cell r="A4938" t="str">
            <v>GO</v>
          </cell>
          <cell r="B4938">
            <v>2010</v>
          </cell>
          <cell r="D4938" t="str">
            <v>SOJA</v>
          </cell>
          <cell r="E4938">
            <v>0</v>
          </cell>
        </row>
        <row r="4939">
          <cell r="A4939" t="str">
            <v>MT</v>
          </cell>
          <cell r="B4939">
            <v>2010</v>
          </cell>
          <cell r="D4939" t="str">
            <v>MILHO</v>
          </cell>
          <cell r="E4939">
            <v>0</v>
          </cell>
        </row>
        <row r="4940">
          <cell r="A4940" t="str">
            <v>RS</v>
          </cell>
          <cell r="B4940">
            <v>2010</v>
          </cell>
          <cell r="D4940" t="str">
            <v>MILHO</v>
          </cell>
          <cell r="E4940">
            <v>0</v>
          </cell>
        </row>
        <row r="4941">
          <cell r="A4941" t="str">
            <v>RS</v>
          </cell>
          <cell r="B4941">
            <v>2010</v>
          </cell>
          <cell r="D4941" t="str">
            <v>SOJA</v>
          </cell>
          <cell r="E4941">
            <v>1092.8571428571427</v>
          </cell>
        </row>
        <row r="4942">
          <cell r="A4942" t="str">
            <v>RS</v>
          </cell>
          <cell r="B4942">
            <v>2010</v>
          </cell>
          <cell r="D4942" t="str">
            <v>SOJA</v>
          </cell>
          <cell r="E4942">
            <v>0</v>
          </cell>
        </row>
        <row r="4943">
          <cell r="A4943" t="str">
            <v>RS</v>
          </cell>
          <cell r="B4943">
            <v>2010</v>
          </cell>
          <cell r="D4943" t="str">
            <v>SOJA</v>
          </cell>
          <cell r="E4943">
            <v>0</v>
          </cell>
        </row>
        <row r="4944">
          <cell r="A4944" t="str">
            <v>RS</v>
          </cell>
          <cell r="B4944">
            <v>2010</v>
          </cell>
          <cell r="D4944" t="str">
            <v>SOJA</v>
          </cell>
          <cell r="E4944">
            <v>0</v>
          </cell>
        </row>
        <row r="4945">
          <cell r="A4945" t="str">
            <v>RS</v>
          </cell>
          <cell r="B4945">
            <v>2010</v>
          </cell>
          <cell r="D4945" t="str">
            <v>MILHO</v>
          </cell>
          <cell r="E4945">
            <v>0</v>
          </cell>
        </row>
        <row r="4946">
          <cell r="A4946" t="str">
            <v>RS</v>
          </cell>
          <cell r="B4946">
            <v>2010</v>
          </cell>
          <cell r="D4946" t="str">
            <v>SOJA</v>
          </cell>
          <cell r="E4946">
            <v>1092.8571428571427</v>
          </cell>
        </row>
        <row r="4947">
          <cell r="A4947" t="str">
            <v>RS</v>
          </cell>
          <cell r="B4947">
            <v>2010</v>
          </cell>
          <cell r="D4947" t="str">
            <v>SOJA</v>
          </cell>
          <cell r="E4947">
            <v>0</v>
          </cell>
        </row>
        <row r="4948">
          <cell r="A4948" t="str">
            <v>MS</v>
          </cell>
          <cell r="B4948">
            <v>2010</v>
          </cell>
          <cell r="D4948" t="str">
            <v>MILHO</v>
          </cell>
          <cell r="E4948">
            <v>0</v>
          </cell>
        </row>
        <row r="4949">
          <cell r="A4949" t="str">
            <v>MS</v>
          </cell>
          <cell r="B4949">
            <v>2010</v>
          </cell>
          <cell r="D4949" t="str">
            <v>MILHO</v>
          </cell>
          <cell r="E4949">
            <v>15169</v>
          </cell>
        </row>
        <row r="4950">
          <cell r="A4950" t="str">
            <v>MS</v>
          </cell>
          <cell r="B4950">
            <v>2010</v>
          </cell>
          <cell r="D4950" t="str">
            <v>SOJA</v>
          </cell>
          <cell r="E4950">
            <v>0</v>
          </cell>
        </row>
        <row r="4951">
          <cell r="A4951" t="str">
            <v>MS</v>
          </cell>
          <cell r="B4951">
            <v>2010</v>
          </cell>
          <cell r="D4951" t="str">
            <v>MILHO</v>
          </cell>
          <cell r="E4951">
            <v>8426</v>
          </cell>
        </row>
        <row r="4952">
          <cell r="A4952" t="str">
            <v>MS</v>
          </cell>
          <cell r="B4952">
            <v>2010</v>
          </cell>
          <cell r="D4952" t="str">
            <v>MILHO</v>
          </cell>
          <cell r="E4952">
            <v>11000</v>
          </cell>
        </row>
        <row r="4953">
          <cell r="A4953" t="str">
            <v>MS</v>
          </cell>
          <cell r="B4953">
            <v>2010</v>
          </cell>
          <cell r="D4953" t="str">
            <v>MILHO</v>
          </cell>
          <cell r="E4953">
            <v>0</v>
          </cell>
        </row>
        <row r="4954">
          <cell r="A4954" t="str">
            <v>MS</v>
          </cell>
          <cell r="B4954">
            <v>2010</v>
          </cell>
          <cell r="D4954" t="str">
            <v>SOJA</v>
          </cell>
          <cell r="E4954">
            <v>9653.5714285714294</v>
          </cell>
        </row>
        <row r="4955">
          <cell r="A4955" t="str">
            <v>MS</v>
          </cell>
          <cell r="B4955">
            <v>2010</v>
          </cell>
          <cell r="D4955" t="str">
            <v>SOJA</v>
          </cell>
          <cell r="E4955">
            <v>0</v>
          </cell>
        </row>
        <row r="4956">
          <cell r="A4956" t="str">
            <v>SC</v>
          </cell>
          <cell r="B4956">
            <v>2010</v>
          </cell>
          <cell r="D4956" t="str">
            <v>MILHO</v>
          </cell>
          <cell r="E4956">
            <v>12606.000000000002</v>
          </cell>
        </row>
        <row r="4957">
          <cell r="A4957" t="str">
            <v>SC</v>
          </cell>
          <cell r="B4957">
            <v>2010</v>
          </cell>
          <cell r="D4957" t="str">
            <v>SOJA</v>
          </cell>
          <cell r="E4957">
            <v>16982.142857142859</v>
          </cell>
        </row>
        <row r="4958">
          <cell r="A4958" t="str">
            <v>MT</v>
          </cell>
          <cell r="B4958">
            <v>2010</v>
          </cell>
          <cell r="D4958" t="str">
            <v>MILHO</v>
          </cell>
          <cell r="E4958">
            <v>0</v>
          </cell>
        </row>
        <row r="4959">
          <cell r="A4959" t="str">
            <v>MT</v>
          </cell>
          <cell r="B4959">
            <v>2010</v>
          </cell>
          <cell r="D4959" t="str">
            <v>MILHO</v>
          </cell>
          <cell r="E4959">
            <v>0</v>
          </cell>
        </row>
        <row r="4960">
          <cell r="A4960" t="str">
            <v>MT</v>
          </cell>
          <cell r="B4960">
            <v>2010</v>
          </cell>
          <cell r="D4960" t="str">
            <v>SOJA</v>
          </cell>
          <cell r="E4960">
            <v>0</v>
          </cell>
        </row>
        <row r="4961">
          <cell r="A4961" t="str">
            <v>RS</v>
          </cell>
          <cell r="B4961">
            <v>2010</v>
          </cell>
          <cell r="D4961" t="str">
            <v>SOJA</v>
          </cell>
          <cell r="E4961">
            <v>2185.7142857142853</v>
          </cell>
        </row>
        <row r="4962">
          <cell r="A4962" t="str">
            <v>RS</v>
          </cell>
          <cell r="B4962">
            <v>2010</v>
          </cell>
          <cell r="D4962" t="str">
            <v>SOJA</v>
          </cell>
          <cell r="E4962">
            <v>10907.142857142857</v>
          </cell>
        </row>
        <row r="4963">
          <cell r="A4963" t="str">
            <v>RS</v>
          </cell>
          <cell r="B4963">
            <v>2010</v>
          </cell>
          <cell r="D4963" t="str">
            <v>SOJA</v>
          </cell>
          <cell r="E4963">
            <v>0</v>
          </cell>
        </row>
        <row r="4964">
          <cell r="A4964" t="str">
            <v>MT</v>
          </cell>
          <cell r="B4964">
            <v>2010</v>
          </cell>
          <cell r="D4964" t="str">
            <v>SOJA</v>
          </cell>
          <cell r="E4964">
            <v>0</v>
          </cell>
        </row>
        <row r="4965">
          <cell r="A4965" t="str">
            <v>GO</v>
          </cell>
          <cell r="B4965">
            <v>2010</v>
          </cell>
          <cell r="D4965" t="str">
            <v>MILHO</v>
          </cell>
          <cell r="E4965">
            <v>0</v>
          </cell>
        </row>
        <row r="4966">
          <cell r="A4966" t="str">
            <v>GO</v>
          </cell>
          <cell r="B4966">
            <v>2010</v>
          </cell>
          <cell r="D4966" t="str">
            <v>SOJA</v>
          </cell>
          <cell r="E4966">
            <v>0</v>
          </cell>
        </row>
        <row r="4967">
          <cell r="A4967" t="str">
            <v>GO</v>
          </cell>
          <cell r="B4967">
            <v>2010</v>
          </cell>
          <cell r="D4967" t="str">
            <v>SOJA</v>
          </cell>
          <cell r="E4967">
            <v>0</v>
          </cell>
        </row>
        <row r="4968">
          <cell r="A4968" t="str">
            <v>PR</v>
          </cell>
          <cell r="B4968">
            <v>2010</v>
          </cell>
          <cell r="D4968" t="str">
            <v>SOJA</v>
          </cell>
          <cell r="E4968">
            <v>0</v>
          </cell>
        </row>
        <row r="4969">
          <cell r="A4969" t="str">
            <v>GO</v>
          </cell>
          <cell r="B4969">
            <v>2010</v>
          </cell>
          <cell r="D4969" t="str">
            <v>SOJA</v>
          </cell>
          <cell r="E4969">
            <v>0</v>
          </cell>
        </row>
        <row r="4970">
          <cell r="A4970" t="str">
            <v>GO</v>
          </cell>
          <cell r="B4970">
            <v>2010</v>
          </cell>
          <cell r="D4970" t="str">
            <v>SOJA</v>
          </cell>
          <cell r="E4970">
            <v>1671.4285714285716</v>
          </cell>
        </row>
        <row r="4971">
          <cell r="A4971" t="str">
            <v>PR</v>
          </cell>
          <cell r="B4971">
            <v>2010</v>
          </cell>
          <cell r="D4971" t="str">
            <v>MILHO</v>
          </cell>
          <cell r="E4971">
            <v>8778</v>
          </cell>
        </row>
        <row r="4972">
          <cell r="A4972" t="str">
            <v>PR</v>
          </cell>
          <cell r="B4972">
            <v>2010</v>
          </cell>
          <cell r="D4972" t="str">
            <v>MILHO</v>
          </cell>
          <cell r="E4972">
            <v>0</v>
          </cell>
        </row>
        <row r="4973">
          <cell r="A4973" t="str">
            <v>PR</v>
          </cell>
          <cell r="B4973">
            <v>2010</v>
          </cell>
          <cell r="D4973" t="str">
            <v>SOJA</v>
          </cell>
          <cell r="E4973">
            <v>5528.5714285714284</v>
          </cell>
        </row>
        <row r="4974">
          <cell r="A4974" t="str">
            <v>PR</v>
          </cell>
          <cell r="B4974">
            <v>2010</v>
          </cell>
          <cell r="D4974" t="str">
            <v>SOJA</v>
          </cell>
          <cell r="E4974">
            <v>0</v>
          </cell>
        </row>
        <row r="4975">
          <cell r="A4975" t="str">
            <v>PR</v>
          </cell>
          <cell r="B4975">
            <v>2010</v>
          </cell>
          <cell r="D4975" t="str">
            <v>MILHO</v>
          </cell>
          <cell r="E4975">
            <v>0</v>
          </cell>
        </row>
        <row r="4976">
          <cell r="A4976" t="str">
            <v>PR</v>
          </cell>
          <cell r="B4976">
            <v>2010</v>
          </cell>
          <cell r="D4976" t="str">
            <v>SOJA</v>
          </cell>
          <cell r="E4976">
            <v>0</v>
          </cell>
        </row>
        <row r="4977">
          <cell r="A4977" t="str">
            <v>RS</v>
          </cell>
          <cell r="B4977">
            <v>2010</v>
          </cell>
          <cell r="D4977" t="str">
            <v>SOJA</v>
          </cell>
          <cell r="E4977">
            <v>546.42857142857133</v>
          </cell>
        </row>
        <row r="4978">
          <cell r="A4978" t="str">
            <v>RS</v>
          </cell>
          <cell r="B4978">
            <v>2010</v>
          </cell>
          <cell r="D4978" t="str">
            <v>SOJA</v>
          </cell>
          <cell r="E4978">
            <v>10360.714285714286</v>
          </cell>
        </row>
        <row r="4979">
          <cell r="A4979" t="str">
            <v>RS</v>
          </cell>
          <cell r="B4979">
            <v>2010</v>
          </cell>
          <cell r="D4979" t="str">
            <v>SOJA</v>
          </cell>
          <cell r="E4979">
            <v>8732.1428571428569</v>
          </cell>
        </row>
        <row r="4980">
          <cell r="A4980" t="str">
            <v>RS</v>
          </cell>
          <cell r="B4980">
            <v>2010</v>
          </cell>
          <cell r="D4980" t="str">
            <v>SOJA</v>
          </cell>
          <cell r="E4980">
            <v>4360.7142857142853</v>
          </cell>
        </row>
        <row r="4981">
          <cell r="A4981" t="str">
            <v>RS</v>
          </cell>
          <cell r="B4981">
            <v>2010</v>
          </cell>
          <cell r="D4981" t="str">
            <v>SOJA</v>
          </cell>
          <cell r="E4981">
            <v>0</v>
          </cell>
        </row>
        <row r="4982">
          <cell r="A4982" t="str">
            <v>RS</v>
          </cell>
          <cell r="B4982">
            <v>2010</v>
          </cell>
          <cell r="D4982" t="str">
            <v>SOJA</v>
          </cell>
          <cell r="E4982">
            <v>3278.5714285714284</v>
          </cell>
        </row>
        <row r="4983">
          <cell r="A4983" t="str">
            <v>RS</v>
          </cell>
          <cell r="B4983">
            <v>2010</v>
          </cell>
          <cell r="D4983" t="str">
            <v>SOJA</v>
          </cell>
          <cell r="E4983">
            <v>0</v>
          </cell>
        </row>
        <row r="4984">
          <cell r="A4984" t="str">
            <v>PR</v>
          </cell>
          <cell r="B4984">
            <v>2010</v>
          </cell>
          <cell r="D4984" t="str">
            <v>MILHO</v>
          </cell>
          <cell r="E4984">
            <v>1760.0000000000002</v>
          </cell>
        </row>
        <row r="4985">
          <cell r="A4985" t="str">
            <v>PR</v>
          </cell>
          <cell r="B4985">
            <v>2010</v>
          </cell>
          <cell r="D4985" t="str">
            <v>MILHO</v>
          </cell>
          <cell r="E4985">
            <v>0</v>
          </cell>
        </row>
        <row r="4986">
          <cell r="A4986" t="str">
            <v>PR</v>
          </cell>
          <cell r="B4986">
            <v>2010</v>
          </cell>
          <cell r="D4986" t="str">
            <v>SOJA</v>
          </cell>
          <cell r="E4986">
            <v>0</v>
          </cell>
        </row>
        <row r="4987">
          <cell r="A4987" t="str">
            <v>PR</v>
          </cell>
          <cell r="B4987">
            <v>2010</v>
          </cell>
          <cell r="D4987" t="str">
            <v>MILHO</v>
          </cell>
          <cell r="E4987">
            <v>5269</v>
          </cell>
        </row>
        <row r="4988">
          <cell r="A4988" t="str">
            <v>PR</v>
          </cell>
          <cell r="B4988">
            <v>2010</v>
          </cell>
          <cell r="D4988" t="str">
            <v>MILHO</v>
          </cell>
          <cell r="E4988">
            <v>0</v>
          </cell>
        </row>
        <row r="4989">
          <cell r="A4989" t="str">
            <v>PR</v>
          </cell>
          <cell r="B4989">
            <v>2010</v>
          </cell>
          <cell r="D4989" t="str">
            <v>SOJA</v>
          </cell>
          <cell r="E4989">
            <v>0</v>
          </cell>
        </row>
        <row r="4990">
          <cell r="A4990" t="str">
            <v>PR</v>
          </cell>
          <cell r="B4990">
            <v>2010</v>
          </cell>
          <cell r="D4990" t="str">
            <v>MILHO</v>
          </cell>
          <cell r="E4990">
            <v>15807</v>
          </cell>
        </row>
        <row r="4991">
          <cell r="A4991" t="str">
            <v>PR</v>
          </cell>
          <cell r="B4991">
            <v>2010</v>
          </cell>
          <cell r="D4991" t="str">
            <v>MILHO</v>
          </cell>
          <cell r="E4991">
            <v>0</v>
          </cell>
        </row>
        <row r="4992">
          <cell r="A4992" t="str">
            <v>PR</v>
          </cell>
          <cell r="B4992">
            <v>2010</v>
          </cell>
          <cell r="D4992" t="str">
            <v>SOJA</v>
          </cell>
          <cell r="E4992">
            <v>0</v>
          </cell>
        </row>
        <row r="4993">
          <cell r="A4993" t="str">
            <v>PR</v>
          </cell>
          <cell r="B4993">
            <v>2010</v>
          </cell>
          <cell r="D4993" t="str">
            <v>MILHO</v>
          </cell>
          <cell r="E4993">
            <v>3509.0000000000005</v>
          </cell>
        </row>
        <row r="4994">
          <cell r="A4994" t="str">
            <v>PR</v>
          </cell>
          <cell r="B4994">
            <v>2010</v>
          </cell>
          <cell r="D4994" t="str">
            <v>MILHO</v>
          </cell>
          <cell r="E4994">
            <v>0</v>
          </cell>
        </row>
        <row r="4995">
          <cell r="A4995" t="str">
            <v>PR</v>
          </cell>
          <cell r="B4995">
            <v>2010</v>
          </cell>
          <cell r="D4995" t="str">
            <v>SOJA</v>
          </cell>
          <cell r="E4995">
            <v>0</v>
          </cell>
        </row>
        <row r="4996">
          <cell r="A4996" t="str">
            <v>SP</v>
          </cell>
          <cell r="B4996">
            <v>2010</v>
          </cell>
          <cell r="D4996" t="str">
            <v>MILHO</v>
          </cell>
          <cell r="E4996">
            <v>2629.0000000000005</v>
          </cell>
        </row>
        <row r="4997">
          <cell r="A4997" t="str">
            <v>SP</v>
          </cell>
          <cell r="B4997">
            <v>2010</v>
          </cell>
          <cell r="D4997" t="str">
            <v>MILHO</v>
          </cell>
          <cell r="E4997">
            <v>0</v>
          </cell>
        </row>
        <row r="4998">
          <cell r="A4998" t="str">
            <v>PR</v>
          </cell>
          <cell r="B4998">
            <v>2010</v>
          </cell>
          <cell r="D4998" t="str">
            <v>MILHO</v>
          </cell>
          <cell r="E4998">
            <v>9658</v>
          </cell>
        </row>
        <row r="4999">
          <cell r="A4999" t="str">
            <v>PR</v>
          </cell>
          <cell r="B4999">
            <v>2010</v>
          </cell>
          <cell r="D4999" t="str">
            <v>MILHO</v>
          </cell>
          <cell r="E4999">
            <v>0</v>
          </cell>
        </row>
        <row r="5000">
          <cell r="A5000" t="str">
            <v>PR</v>
          </cell>
          <cell r="B5000">
            <v>2010</v>
          </cell>
          <cell r="D5000" t="str">
            <v>SOJA</v>
          </cell>
          <cell r="E5000">
            <v>0</v>
          </cell>
        </row>
        <row r="5001">
          <cell r="A5001" t="str">
            <v>MT</v>
          </cell>
          <cell r="B5001">
            <v>2010</v>
          </cell>
          <cell r="D5001" t="str">
            <v>MILHO</v>
          </cell>
          <cell r="E5001">
            <v>0</v>
          </cell>
        </row>
        <row r="5002">
          <cell r="A5002" t="str">
            <v>MT</v>
          </cell>
          <cell r="B5002">
            <v>2010</v>
          </cell>
          <cell r="D5002" t="str">
            <v>MILHO</v>
          </cell>
          <cell r="E5002">
            <v>0</v>
          </cell>
        </row>
        <row r="5003">
          <cell r="A5003" t="str">
            <v>MS</v>
          </cell>
          <cell r="B5003">
            <v>2010</v>
          </cell>
          <cell r="D5003" t="str">
            <v>MILHO</v>
          </cell>
          <cell r="E5003">
            <v>0</v>
          </cell>
        </row>
        <row r="5004">
          <cell r="A5004" t="str">
            <v>PR</v>
          </cell>
          <cell r="B5004">
            <v>2010</v>
          </cell>
          <cell r="D5004" t="str">
            <v>MILHO</v>
          </cell>
          <cell r="E5004">
            <v>0</v>
          </cell>
        </row>
        <row r="5005">
          <cell r="A5005" t="str">
            <v>PR</v>
          </cell>
          <cell r="B5005">
            <v>2010</v>
          </cell>
          <cell r="D5005" t="str">
            <v>SOJA</v>
          </cell>
          <cell r="E5005">
            <v>0</v>
          </cell>
        </row>
        <row r="5006">
          <cell r="A5006" t="str">
            <v>PR</v>
          </cell>
          <cell r="B5006">
            <v>2010</v>
          </cell>
          <cell r="D5006" t="str">
            <v>SOJA</v>
          </cell>
          <cell r="E5006">
            <v>18428.571428571428</v>
          </cell>
        </row>
        <row r="5007">
          <cell r="A5007" t="str">
            <v>PR</v>
          </cell>
          <cell r="B5007">
            <v>2010</v>
          </cell>
          <cell r="D5007" t="str">
            <v>MILHO</v>
          </cell>
          <cell r="E5007">
            <v>3509.0000000000005</v>
          </cell>
        </row>
        <row r="5008">
          <cell r="A5008" t="str">
            <v>PR</v>
          </cell>
          <cell r="B5008">
            <v>2010</v>
          </cell>
          <cell r="D5008" t="str">
            <v>MILHO</v>
          </cell>
          <cell r="E5008">
            <v>1760.0000000000002</v>
          </cell>
        </row>
        <row r="5009">
          <cell r="A5009" t="str">
            <v>PR</v>
          </cell>
          <cell r="B5009">
            <v>2010</v>
          </cell>
          <cell r="D5009" t="str">
            <v>MILHO</v>
          </cell>
          <cell r="E5009">
            <v>0</v>
          </cell>
        </row>
        <row r="5010">
          <cell r="A5010" t="str">
            <v>BA</v>
          </cell>
          <cell r="B5010">
            <v>2010</v>
          </cell>
          <cell r="D5010" t="str">
            <v>SOJA</v>
          </cell>
          <cell r="E5010">
            <v>5153.5714285714275</v>
          </cell>
        </row>
        <row r="5011">
          <cell r="A5011" t="str">
            <v>MT</v>
          </cell>
          <cell r="B5011">
            <v>2010</v>
          </cell>
          <cell r="D5011" t="str">
            <v>MILHO</v>
          </cell>
          <cell r="E5011">
            <v>0</v>
          </cell>
        </row>
        <row r="5012">
          <cell r="A5012" t="str">
            <v>MT</v>
          </cell>
          <cell r="B5012">
            <v>2010</v>
          </cell>
          <cell r="D5012" t="str">
            <v>SOJA</v>
          </cell>
          <cell r="E5012">
            <v>0</v>
          </cell>
        </row>
        <row r="5013">
          <cell r="A5013" t="str">
            <v>MT</v>
          </cell>
          <cell r="B5013">
            <v>2010</v>
          </cell>
          <cell r="D5013" t="str">
            <v>MILHO</v>
          </cell>
          <cell r="E5013">
            <v>0</v>
          </cell>
        </row>
        <row r="5014">
          <cell r="A5014" t="str">
            <v>MT</v>
          </cell>
          <cell r="B5014">
            <v>2010</v>
          </cell>
          <cell r="D5014" t="str">
            <v>SOJA</v>
          </cell>
          <cell r="E5014">
            <v>0</v>
          </cell>
        </row>
        <row r="5015">
          <cell r="A5015" t="str">
            <v>MT</v>
          </cell>
          <cell r="B5015">
            <v>2010</v>
          </cell>
          <cell r="D5015" t="str">
            <v>MILHO</v>
          </cell>
          <cell r="E5015">
            <v>0</v>
          </cell>
        </row>
        <row r="5016">
          <cell r="A5016" t="str">
            <v>MT</v>
          </cell>
          <cell r="B5016">
            <v>2010</v>
          </cell>
          <cell r="D5016" t="str">
            <v>SOJA</v>
          </cell>
          <cell r="E5016">
            <v>0</v>
          </cell>
        </row>
        <row r="5017">
          <cell r="A5017" t="str">
            <v>GO</v>
          </cell>
          <cell r="B5017">
            <v>2010</v>
          </cell>
          <cell r="D5017" t="str">
            <v>MILHO</v>
          </cell>
          <cell r="E5017">
            <v>880.00000000000011</v>
          </cell>
        </row>
        <row r="5018">
          <cell r="A5018" t="str">
            <v>GO</v>
          </cell>
          <cell r="B5018">
            <v>2010</v>
          </cell>
          <cell r="D5018" t="str">
            <v>MILHO</v>
          </cell>
          <cell r="E5018">
            <v>0</v>
          </cell>
        </row>
        <row r="5019">
          <cell r="A5019" t="str">
            <v>GO</v>
          </cell>
          <cell r="B5019">
            <v>2010</v>
          </cell>
          <cell r="D5019" t="str">
            <v>SOJA</v>
          </cell>
          <cell r="E5019">
            <v>0</v>
          </cell>
        </row>
        <row r="5020">
          <cell r="A5020" t="str">
            <v>GO</v>
          </cell>
          <cell r="B5020">
            <v>2010</v>
          </cell>
          <cell r="D5020" t="str">
            <v>MILHO</v>
          </cell>
          <cell r="E5020">
            <v>0</v>
          </cell>
        </row>
        <row r="5021">
          <cell r="A5021" t="str">
            <v>GO</v>
          </cell>
          <cell r="B5021">
            <v>2010</v>
          </cell>
          <cell r="D5021" t="str">
            <v>SOJA</v>
          </cell>
          <cell r="E5021">
            <v>0</v>
          </cell>
        </row>
        <row r="5022">
          <cell r="A5022" t="str">
            <v>MT</v>
          </cell>
          <cell r="B5022">
            <v>2010</v>
          </cell>
          <cell r="D5022" t="str">
            <v>MILHO</v>
          </cell>
          <cell r="E5022">
            <v>0</v>
          </cell>
        </row>
        <row r="5023">
          <cell r="A5023" t="str">
            <v>MT</v>
          </cell>
          <cell r="B5023">
            <v>2010</v>
          </cell>
          <cell r="D5023" t="str">
            <v>MILHO</v>
          </cell>
          <cell r="E5023">
            <v>3509.0000000000005</v>
          </cell>
        </row>
        <row r="5024">
          <cell r="A5024" t="str">
            <v>GO</v>
          </cell>
          <cell r="B5024">
            <v>2010</v>
          </cell>
          <cell r="D5024" t="str">
            <v>MILHO</v>
          </cell>
          <cell r="E5024">
            <v>0</v>
          </cell>
        </row>
        <row r="5025">
          <cell r="A5025" t="str">
            <v>GO</v>
          </cell>
          <cell r="B5025">
            <v>2010</v>
          </cell>
          <cell r="D5025" t="str">
            <v>MILHO</v>
          </cell>
          <cell r="E5025">
            <v>4378</v>
          </cell>
        </row>
        <row r="5026">
          <cell r="A5026" t="str">
            <v>MT</v>
          </cell>
          <cell r="B5026">
            <v>2010</v>
          </cell>
          <cell r="D5026" t="str">
            <v>MILHO</v>
          </cell>
          <cell r="E5026">
            <v>0</v>
          </cell>
        </row>
        <row r="5027">
          <cell r="A5027" t="str">
            <v>MT</v>
          </cell>
          <cell r="B5027">
            <v>2010</v>
          </cell>
          <cell r="D5027" t="str">
            <v>MILHO</v>
          </cell>
          <cell r="E5027">
            <v>0</v>
          </cell>
        </row>
        <row r="5028">
          <cell r="A5028" t="str">
            <v>MT</v>
          </cell>
          <cell r="B5028">
            <v>2010</v>
          </cell>
          <cell r="D5028" t="str">
            <v>SOJA</v>
          </cell>
          <cell r="E5028">
            <v>0</v>
          </cell>
        </row>
        <row r="5029">
          <cell r="A5029" t="str">
            <v>MA</v>
          </cell>
          <cell r="B5029">
            <v>2010</v>
          </cell>
          <cell r="D5029" t="str">
            <v>SOJA</v>
          </cell>
          <cell r="E5029">
            <v>0</v>
          </cell>
        </row>
        <row r="5030">
          <cell r="A5030" t="str">
            <v>MG</v>
          </cell>
          <cell r="B5030">
            <v>2010</v>
          </cell>
          <cell r="D5030" t="str">
            <v>SOJA</v>
          </cell>
          <cell r="E5030">
            <v>0</v>
          </cell>
        </row>
        <row r="5031">
          <cell r="A5031" t="str">
            <v>MT</v>
          </cell>
          <cell r="B5031">
            <v>2010</v>
          </cell>
          <cell r="D5031" t="str">
            <v>MILHO</v>
          </cell>
          <cell r="E5031">
            <v>0</v>
          </cell>
        </row>
        <row r="5032">
          <cell r="A5032" t="str">
            <v>MT</v>
          </cell>
          <cell r="B5032">
            <v>2010</v>
          </cell>
          <cell r="D5032" t="str">
            <v>SOJA</v>
          </cell>
          <cell r="E5032">
            <v>0</v>
          </cell>
        </row>
        <row r="5033">
          <cell r="A5033" t="str">
            <v>MT</v>
          </cell>
          <cell r="B5033">
            <v>2010</v>
          </cell>
          <cell r="D5033" t="str">
            <v>MILHO</v>
          </cell>
          <cell r="E5033">
            <v>0</v>
          </cell>
        </row>
        <row r="5034">
          <cell r="A5034" t="str">
            <v>MT</v>
          </cell>
          <cell r="B5034">
            <v>2010</v>
          </cell>
          <cell r="D5034" t="str">
            <v>MILHO</v>
          </cell>
          <cell r="E5034">
            <v>0</v>
          </cell>
        </row>
        <row r="5035">
          <cell r="A5035" t="str">
            <v>GO</v>
          </cell>
          <cell r="B5035">
            <v>2010</v>
          </cell>
          <cell r="D5035" t="str">
            <v>MILHO</v>
          </cell>
          <cell r="E5035">
            <v>0</v>
          </cell>
        </row>
        <row r="5036">
          <cell r="A5036" t="str">
            <v>GO</v>
          </cell>
          <cell r="B5036">
            <v>2010</v>
          </cell>
          <cell r="D5036" t="str">
            <v>SOJA</v>
          </cell>
          <cell r="E5036">
            <v>0</v>
          </cell>
        </row>
        <row r="5037">
          <cell r="A5037" t="str">
            <v>GO</v>
          </cell>
          <cell r="B5037">
            <v>2010</v>
          </cell>
          <cell r="D5037" t="str">
            <v>SOJA</v>
          </cell>
          <cell r="E5037">
            <v>0</v>
          </cell>
        </row>
        <row r="5038">
          <cell r="A5038" t="str">
            <v>MS</v>
          </cell>
          <cell r="B5038">
            <v>2010</v>
          </cell>
          <cell r="D5038" t="str">
            <v>MILHO</v>
          </cell>
          <cell r="E5038">
            <v>6743</v>
          </cell>
        </row>
        <row r="5039">
          <cell r="A5039" t="str">
            <v>MS</v>
          </cell>
          <cell r="B5039">
            <v>2010</v>
          </cell>
          <cell r="D5039" t="str">
            <v>MILHO</v>
          </cell>
          <cell r="E5039">
            <v>0</v>
          </cell>
        </row>
        <row r="5040">
          <cell r="A5040" t="str">
            <v>MT</v>
          </cell>
          <cell r="B5040">
            <v>2010</v>
          </cell>
          <cell r="D5040" t="str">
            <v>MILHO</v>
          </cell>
          <cell r="E5040">
            <v>0</v>
          </cell>
        </row>
        <row r="5041">
          <cell r="A5041" t="str">
            <v>MT</v>
          </cell>
          <cell r="B5041">
            <v>2010</v>
          </cell>
          <cell r="D5041" t="str">
            <v>SOJA</v>
          </cell>
          <cell r="E5041">
            <v>0</v>
          </cell>
        </row>
        <row r="5042">
          <cell r="A5042" t="str">
            <v>MT</v>
          </cell>
          <cell r="B5042">
            <v>2010</v>
          </cell>
          <cell r="D5042" t="str">
            <v>MILHO</v>
          </cell>
          <cell r="E5042">
            <v>0</v>
          </cell>
        </row>
        <row r="5043">
          <cell r="A5043" t="str">
            <v>MT</v>
          </cell>
          <cell r="B5043">
            <v>2010</v>
          </cell>
          <cell r="D5043" t="str">
            <v>SOJA</v>
          </cell>
          <cell r="E5043">
            <v>2839.2857142857138</v>
          </cell>
        </row>
        <row r="5044">
          <cell r="A5044" t="str">
            <v>BA</v>
          </cell>
          <cell r="B5044">
            <v>2010</v>
          </cell>
          <cell r="D5044" t="str">
            <v>MILHO</v>
          </cell>
          <cell r="E5044">
            <v>1683.0000000000002</v>
          </cell>
        </row>
        <row r="5045">
          <cell r="A5045" t="str">
            <v>BA</v>
          </cell>
          <cell r="B5045">
            <v>2010</v>
          </cell>
          <cell r="D5045" t="str">
            <v>MILHO</v>
          </cell>
          <cell r="E5045">
            <v>0</v>
          </cell>
        </row>
        <row r="5046">
          <cell r="A5046" t="str">
            <v>RS</v>
          </cell>
          <cell r="B5046">
            <v>2010</v>
          </cell>
          <cell r="D5046" t="str">
            <v>SOJA</v>
          </cell>
          <cell r="E5046">
            <v>0</v>
          </cell>
        </row>
        <row r="5047">
          <cell r="A5047" t="str">
            <v>RS</v>
          </cell>
          <cell r="B5047">
            <v>2010</v>
          </cell>
          <cell r="D5047" t="str">
            <v>SOJA</v>
          </cell>
          <cell r="E5047">
            <v>0</v>
          </cell>
        </row>
        <row r="5048">
          <cell r="A5048" t="str">
            <v>MS</v>
          </cell>
          <cell r="B5048">
            <v>2010</v>
          </cell>
          <cell r="D5048" t="str">
            <v>MILHO</v>
          </cell>
          <cell r="E5048">
            <v>0</v>
          </cell>
        </row>
        <row r="5049">
          <cell r="A5049" t="str">
            <v>MS</v>
          </cell>
          <cell r="B5049">
            <v>2010</v>
          </cell>
          <cell r="D5049" t="str">
            <v>SOJA</v>
          </cell>
          <cell r="E5049">
            <v>0</v>
          </cell>
        </row>
        <row r="5050">
          <cell r="A5050" t="str">
            <v>MS</v>
          </cell>
          <cell r="B5050">
            <v>2010</v>
          </cell>
          <cell r="D5050" t="str">
            <v>MILHO</v>
          </cell>
          <cell r="E5050">
            <v>5478.0000000000009</v>
          </cell>
        </row>
        <row r="5051">
          <cell r="A5051" t="str">
            <v>MS</v>
          </cell>
          <cell r="B5051">
            <v>2010</v>
          </cell>
          <cell r="D5051" t="str">
            <v>MILHO</v>
          </cell>
          <cell r="E5051">
            <v>0</v>
          </cell>
        </row>
        <row r="5052">
          <cell r="A5052" t="str">
            <v>MS</v>
          </cell>
          <cell r="B5052">
            <v>2010</v>
          </cell>
          <cell r="D5052" t="str">
            <v>SOJA</v>
          </cell>
          <cell r="E5052">
            <v>0</v>
          </cell>
        </row>
        <row r="5053">
          <cell r="A5053" t="str">
            <v>MS</v>
          </cell>
          <cell r="B5053">
            <v>2010</v>
          </cell>
          <cell r="D5053" t="str">
            <v>MILHO</v>
          </cell>
          <cell r="E5053">
            <v>3366.0000000000005</v>
          </cell>
        </row>
        <row r="5054">
          <cell r="A5054" t="str">
            <v>MS</v>
          </cell>
          <cell r="B5054">
            <v>2010</v>
          </cell>
          <cell r="D5054" t="str">
            <v>MILHO</v>
          </cell>
          <cell r="E5054">
            <v>0</v>
          </cell>
        </row>
        <row r="5055">
          <cell r="A5055" t="str">
            <v>MS</v>
          </cell>
          <cell r="B5055">
            <v>2010</v>
          </cell>
          <cell r="D5055" t="str">
            <v>SOJA</v>
          </cell>
          <cell r="E5055">
            <v>0</v>
          </cell>
        </row>
        <row r="5056">
          <cell r="A5056" t="str">
            <v>GO</v>
          </cell>
          <cell r="B5056">
            <v>2010</v>
          </cell>
          <cell r="D5056" t="str">
            <v>SOJA</v>
          </cell>
          <cell r="E5056">
            <v>0</v>
          </cell>
        </row>
        <row r="5057">
          <cell r="A5057" t="str">
            <v>RS</v>
          </cell>
          <cell r="B5057">
            <v>2010</v>
          </cell>
          <cell r="D5057" t="str">
            <v>SOJA</v>
          </cell>
          <cell r="E5057">
            <v>1092.8571428571427</v>
          </cell>
        </row>
        <row r="5058">
          <cell r="A5058" t="str">
            <v>RS</v>
          </cell>
          <cell r="B5058">
            <v>2010</v>
          </cell>
          <cell r="D5058" t="str">
            <v>SOJA</v>
          </cell>
          <cell r="E5058">
            <v>0</v>
          </cell>
        </row>
        <row r="5059">
          <cell r="A5059" t="str">
            <v>RS</v>
          </cell>
          <cell r="B5059">
            <v>2010</v>
          </cell>
          <cell r="D5059" t="str">
            <v>SOJA</v>
          </cell>
          <cell r="E5059">
            <v>0</v>
          </cell>
        </row>
        <row r="5060">
          <cell r="A5060" t="str">
            <v>RS</v>
          </cell>
          <cell r="B5060">
            <v>2010</v>
          </cell>
          <cell r="D5060" t="str">
            <v>SOJA</v>
          </cell>
          <cell r="E5060">
            <v>1092.8571428571427</v>
          </cell>
        </row>
        <row r="5061">
          <cell r="A5061" t="str">
            <v>RS</v>
          </cell>
          <cell r="B5061">
            <v>2010</v>
          </cell>
          <cell r="D5061" t="str">
            <v>SOJA</v>
          </cell>
          <cell r="E5061">
            <v>0</v>
          </cell>
        </row>
        <row r="5062">
          <cell r="A5062" t="str">
            <v>MS</v>
          </cell>
          <cell r="B5062">
            <v>2010</v>
          </cell>
          <cell r="D5062" t="str">
            <v>MILHO</v>
          </cell>
          <cell r="E5062">
            <v>5060</v>
          </cell>
        </row>
        <row r="5063">
          <cell r="A5063" t="str">
            <v>MS</v>
          </cell>
          <cell r="B5063">
            <v>2010</v>
          </cell>
          <cell r="D5063" t="str">
            <v>MILHO</v>
          </cell>
          <cell r="E5063">
            <v>0</v>
          </cell>
        </row>
        <row r="5064">
          <cell r="A5064" t="str">
            <v>MS</v>
          </cell>
          <cell r="B5064">
            <v>2010</v>
          </cell>
          <cell r="D5064" t="str">
            <v>SOJA</v>
          </cell>
          <cell r="E5064">
            <v>0</v>
          </cell>
        </row>
        <row r="5065">
          <cell r="A5065" t="str">
            <v>MS</v>
          </cell>
          <cell r="B5065">
            <v>2010</v>
          </cell>
          <cell r="D5065" t="str">
            <v>MILHO</v>
          </cell>
          <cell r="E5065">
            <v>3366.0000000000005</v>
          </cell>
        </row>
        <row r="5066">
          <cell r="A5066" t="str">
            <v>MS</v>
          </cell>
          <cell r="B5066">
            <v>2010</v>
          </cell>
          <cell r="D5066" t="str">
            <v>MILHO</v>
          </cell>
          <cell r="E5066">
            <v>3366.0000000000005</v>
          </cell>
        </row>
        <row r="5067">
          <cell r="A5067" t="str">
            <v>MS</v>
          </cell>
          <cell r="B5067">
            <v>2010</v>
          </cell>
          <cell r="D5067" t="str">
            <v>MILHO</v>
          </cell>
          <cell r="E5067">
            <v>0</v>
          </cell>
        </row>
        <row r="5068">
          <cell r="A5068" t="str">
            <v>MS</v>
          </cell>
          <cell r="B5068">
            <v>2010</v>
          </cell>
          <cell r="D5068" t="str">
            <v>SOJA</v>
          </cell>
          <cell r="E5068">
            <v>6889.2857142857138</v>
          </cell>
        </row>
        <row r="5069">
          <cell r="A5069" t="str">
            <v>MS</v>
          </cell>
          <cell r="B5069">
            <v>2010</v>
          </cell>
          <cell r="D5069" t="str">
            <v>SOJA</v>
          </cell>
          <cell r="E5069">
            <v>0</v>
          </cell>
        </row>
        <row r="5070">
          <cell r="A5070" t="str">
            <v>SC</v>
          </cell>
          <cell r="B5070">
            <v>2010</v>
          </cell>
          <cell r="D5070" t="str">
            <v>MILHO</v>
          </cell>
          <cell r="E5070">
            <v>11759</v>
          </cell>
        </row>
        <row r="5071">
          <cell r="A5071" t="str">
            <v>SC</v>
          </cell>
          <cell r="B5071">
            <v>2010</v>
          </cell>
          <cell r="D5071" t="str">
            <v>SOJA</v>
          </cell>
          <cell r="E5071">
            <v>13585.714285714286</v>
          </cell>
        </row>
        <row r="5072">
          <cell r="A5072" t="str">
            <v>MT</v>
          </cell>
          <cell r="B5072">
            <v>2010</v>
          </cell>
          <cell r="D5072" t="str">
            <v>MILHO</v>
          </cell>
          <cell r="E5072">
            <v>0</v>
          </cell>
        </row>
        <row r="5073">
          <cell r="A5073" t="str">
            <v>MT</v>
          </cell>
          <cell r="B5073">
            <v>2010</v>
          </cell>
          <cell r="D5073" t="str">
            <v>MILHO</v>
          </cell>
          <cell r="E5073">
            <v>0</v>
          </cell>
        </row>
        <row r="5074">
          <cell r="A5074" t="str">
            <v>GO</v>
          </cell>
          <cell r="B5074">
            <v>2010</v>
          </cell>
          <cell r="D5074" t="str">
            <v>SOJA</v>
          </cell>
          <cell r="E5074">
            <v>0</v>
          </cell>
        </row>
        <row r="5075">
          <cell r="A5075" t="str">
            <v>RS</v>
          </cell>
          <cell r="B5075">
            <v>2010</v>
          </cell>
          <cell r="D5075" t="str">
            <v>SOJA</v>
          </cell>
          <cell r="E5075">
            <v>5453.5714285714284</v>
          </cell>
        </row>
        <row r="5076">
          <cell r="A5076" t="str">
            <v>RS</v>
          </cell>
          <cell r="B5076">
            <v>2010</v>
          </cell>
          <cell r="D5076" t="str">
            <v>SOJA</v>
          </cell>
          <cell r="E5076">
            <v>15278.571428571429</v>
          </cell>
        </row>
        <row r="5077">
          <cell r="A5077" t="str">
            <v>RS</v>
          </cell>
          <cell r="B5077">
            <v>2010</v>
          </cell>
          <cell r="D5077" t="str">
            <v>SOJA</v>
          </cell>
          <cell r="E5077">
            <v>0</v>
          </cell>
        </row>
        <row r="5078">
          <cell r="A5078" t="str">
            <v>GO</v>
          </cell>
          <cell r="B5078">
            <v>2010</v>
          </cell>
          <cell r="D5078" t="str">
            <v>MILHO</v>
          </cell>
          <cell r="E5078">
            <v>0</v>
          </cell>
        </row>
        <row r="5079">
          <cell r="A5079" t="str">
            <v>GO</v>
          </cell>
          <cell r="B5079">
            <v>2010</v>
          </cell>
          <cell r="D5079" t="str">
            <v>SOJA</v>
          </cell>
          <cell r="E5079">
            <v>0</v>
          </cell>
        </row>
        <row r="5080">
          <cell r="A5080" t="str">
            <v>GO</v>
          </cell>
          <cell r="B5080">
            <v>2010</v>
          </cell>
          <cell r="D5080" t="str">
            <v>SOJA</v>
          </cell>
          <cell r="E5080">
            <v>0</v>
          </cell>
        </row>
        <row r="5081">
          <cell r="A5081" t="str">
            <v>PR</v>
          </cell>
          <cell r="B5081">
            <v>2010</v>
          </cell>
          <cell r="D5081" t="str">
            <v>SOJA</v>
          </cell>
          <cell r="E5081">
            <v>0</v>
          </cell>
        </row>
        <row r="5082">
          <cell r="A5082" t="str">
            <v>GO</v>
          </cell>
          <cell r="B5082">
            <v>2010</v>
          </cell>
          <cell r="D5082" t="str">
            <v>SOJA</v>
          </cell>
          <cell r="E5082">
            <v>835.71428571428578</v>
          </cell>
        </row>
        <row r="5083">
          <cell r="A5083" t="str">
            <v>PR</v>
          </cell>
          <cell r="B5083">
            <v>2010</v>
          </cell>
          <cell r="D5083" t="str">
            <v>MILHO</v>
          </cell>
          <cell r="E5083">
            <v>8778</v>
          </cell>
        </row>
        <row r="5084">
          <cell r="A5084" t="str">
            <v>PR</v>
          </cell>
          <cell r="B5084">
            <v>2010</v>
          </cell>
          <cell r="D5084" t="str">
            <v>MILHO</v>
          </cell>
          <cell r="E5084">
            <v>0</v>
          </cell>
        </row>
        <row r="5085">
          <cell r="A5085" t="str">
            <v>PR</v>
          </cell>
          <cell r="B5085">
            <v>2010</v>
          </cell>
          <cell r="D5085" t="str">
            <v>SOJA</v>
          </cell>
          <cell r="E5085">
            <v>0</v>
          </cell>
        </row>
        <row r="5086">
          <cell r="A5086" t="str">
            <v>RS</v>
          </cell>
          <cell r="B5086">
            <v>2010</v>
          </cell>
          <cell r="D5086" t="str">
            <v>SOJA</v>
          </cell>
          <cell r="E5086">
            <v>0</v>
          </cell>
        </row>
        <row r="5087">
          <cell r="A5087" t="str">
            <v>RS</v>
          </cell>
          <cell r="B5087">
            <v>2010</v>
          </cell>
          <cell r="D5087" t="str">
            <v>SOJA</v>
          </cell>
          <cell r="E5087">
            <v>8185.7142857142853</v>
          </cell>
        </row>
        <row r="5088">
          <cell r="A5088" t="str">
            <v>RS</v>
          </cell>
          <cell r="B5088">
            <v>2010</v>
          </cell>
          <cell r="D5088" t="str">
            <v>SOJA</v>
          </cell>
          <cell r="E5088">
            <v>10907.142857142857</v>
          </cell>
        </row>
        <row r="5089">
          <cell r="A5089" t="str">
            <v>RS</v>
          </cell>
          <cell r="B5089">
            <v>2010</v>
          </cell>
          <cell r="D5089" t="str">
            <v>SOJA</v>
          </cell>
          <cell r="E5089">
            <v>4360.7142857142853</v>
          </cell>
        </row>
        <row r="5090">
          <cell r="A5090" t="str">
            <v>RS</v>
          </cell>
          <cell r="B5090">
            <v>2010</v>
          </cell>
          <cell r="D5090" t="str">
            <v>SOJA</v>
          </cell>
          <cell r="E5090">
            <v>0</v>
          </cell>
        </row>
        <row r="5091">
          <cell r="A5091" t="str">
            <v>RS</v>
          </cell>
          <cell r="B5091">
            <v>2010</v>
          </cell>
          <cell r="D5091" t="str">
            <v>SOJA</v>
          </cell>
          <cell r="E5091">
            <v>2185.7142857142853</v>
          </cell>
        </row>
        <row r="5092">
          <cell r="A5092" t="str">
            <v>RS</v>
          </cell>
          <cell r="B5092">
            <v>2010</v>
          </cell>
          <cell r="D5092" t="str">
            <v>SOJA</v>
          </cell>
          <cell r="E5092">
            <v>0</v>
          </cell>
        </row>
        <row r="5093">
          <cell r="A5093" t="str">
            <v>PR</v>
          </cell>
          <cell r="B5093">
            <v>2010</v>
          </cell>
          <cell r="D5093" t="str">
            <v>MILHO</v>
          </cell>
          <cell r="E5093">
            <v>0</v>
          </cell>
        </row>
        <row r="5094">
          <cell r="A5094" t="str">
            <v>PR</v>
          </cell>
          <cell r="B5094">
            <v>2010</v>
          </cell>
          <cell r="D5094" t="str">
            <v>MILHO</v>
          </cell>
          <cell r="E5094">
            <v>0</v>
          </cell>
        </row>
        <row r="5095">
          <cell r="A5095" t="str">
            <v>PR</v>
          </cell>
          <cell r="B5095">
            <v>2010</v>
          </cell>
          <cell r="D5095" t="str">
            <v>SOJA</v>
          </cell>
          <cell r="E5095">
            <v>0</v>
          </cell>
        </row>
        <row r="5096">
          <cell r="A5096" t="str">
            <v>PR</v>
          </cell>
          <cell r="B5096">
            <v>2010</v>
          </cell>
          <cell r="D5096" t="str">
            <v>MILHO</v>
          </cell>
          <cell r="E5096">
            <v>880.00000000000011</v>
          </cell>
        </row>
        <row r="5097">
          <cell r="A5097" t="str">
            <v>PR</v>
          </cell>
          <cell r="B5097">
            <v>2010</v>
          </cell>
          <cell r="D5097" t="str">
            <v>MILHO</v>
          </cell>
          <cell r="E5097">
            <v>0</v>
          </cell>
        </row>
        <row r="5098">
          <cell r="A5098" t="str">
            <v>PR</v>
          </cell>
          <cell r="B5098">
            <v>2010</v>
          </cell>
          <cell r="D5098" t="str">
            <v>MILHO</v>
          </cell>
          <cell r="E5098">
            <v>0</v>
          </cell>
        </row>
        <row r="5099">
          <cell r="A5099" t="str">
            <v>PR</v>
          </cell>
          <cell r="B5099">
            <v>2010</v>
          </cell>
          <cell r="D5099" t="str">
            <v>SOJA</v>
          </cell>
          <cell r="E5099">
            <v>0</v>
          </cell>
        </row>
        <row r="5100">
          <cell r="A5100" t="str">
            <v>SP</v>
          </cell>
          <cell r="B5100">
            <v>2010</v>
          </cell>
          <cell r="D5100" t="str">
            <v>MILHO</v>
          </cell>
          <cell r="E5100">
            <v>0</v>
          </cell>
        </row>
        <row r="5101">
          <cell r="A5101" t="str">
            <v>PR</v>
          </cell>
          <cell r="B5101">
            <v>2010</v>
          </cell>
          <cell r="D5101" t="str">
            <v>MILHO</v>
          </cell>
          <cell r="E5101">
            <v>0</v>
          </cell>
        </row>
        <row r="5102">
          <cell r="A5102" t="str">
            <v>PR</v>
          </cell>
          <cell r="B5102">
            <v>2010</v>
          </cell>
          <cell r="D5102" t="str">
            <v>SOJA</v>
          </cell>
          <cell r="E5102">
            <v>0</v>
          </cell>
        </row>
        <row r="5103">
          <cell r="A5103" t="str">
            <v>MT</v>
          </cell>
          <cell r="B5103">
            <v>2010</v>
          </cell>
          <cell r="D5103" t="str">
            <v>MILHO</v>
          </cell>
          <cell r="E5103">
            <v>0</v>
          </cell>
        </row>
        <row r="5104">
          <cell r="A5104" t="str">
            <v>MT</v>
          </cell>
          <cell r="B5104">
            <v>2010</v>
          </cell>
          <cell r="D5104" t="str">
            <v>MILHO</v>
          </cell>
          <cell r="E5104">
            <v>0</v>
          </cell>
        </row>
        <row r="5105">
          <cell r="A5105" t="str">
            <v>MS</v>
          </cell>
          <cell r="B5105">
            <v>2010</v>
          </cell>
          <cell r="D5105" t="str">
            <v>SOJA</v>
          </cell>
          <cell r="E5105">
            <v>0</v>
          </cell>
        </row>
        <row r="5106">
          <cell r="A5106" t="str">
            <v>PR</v>
          </cell>
          <cell r="B5106">
            <v>2010</v>
          </cell>
          <cell r="D5106" t="str">
            <v>MILHO</v>
          </cell>
          <cell r="E5106">
            <v>0</v>
          </cell>
        </row>
        <row r="5107">
          <cell r="A5107" t="str">
            <v>PR</v>
          </cell>
          <cell r="B5107">
            <v>2010</v>
          </cell>
          <cell r="D5107" t="str">
            <v>SOJA</v>
          </cell>
          <cell r="E5107">
            <v>13821.428571428571</v>
          </cell>
        </row>
        <row r="5108">
          <cell r="A5108" t="str">
            <v>PR</v>
          </cell>
          <cell r="B5108">
            <v>2010</v>
          </cell>
          <cell r="D5108" t="str">
            <v>MILHO</v>
          </cell>
          <cell r="E5108">
            <v>880.00000000000011</v>
          </cell>
        </row>
        <row r="5109">
          <cell r="A5109" t="str">
            <v>PR</v>
          </cell>
          <cell r="B5109">
            <v>2010</v>
          </cell>
          <cell r="D5109" t="str">
            <v>MILHO</v>
          </cell>
          <cell r="E5109">
            <v>0</v>
          </cell>
        </row>
        <row r="5110">
          <cell r="A5110" t="str">
            <v>BA</v>
          </cell>
          <cell r="B5110">
            <v>2010</v>
          </cell>
          <cell r="D5110" t="str">
            <v>SOJA</v>
          </cell>
          <cell r="E5110">
            <v>5153.5714285714275</v>
          </cell>
        </row>
        <row r="5111">
          <cell r="A5111" t="str">
            <v>MT</v>
          </cell>
          <cell r="B5111">
            <v>2010</v>
          </cell>
          <cell r="D5111" t="str">
            <v>MILHO</v>
          </cell>
          <cell r="E5111">
            <v>0</v>
          </cell>
        </row>
        <row r="5112">
          <cell r="A5112" t="str">
            <v>MT</v>
          </cell>
          <cell r="B5112">
            <v>2010</v>
          </cell>
          <cell r="D5112" t="str">
            <v>SOJA</v>
          </cell>
          <cell r="E5112">
            <v>0</v>
          </cell>
        </row>
        <row r="5113">
          <cell r="A5113" t="str">
            <v>MT</v>
          </cell>
          <cell r="B5113">
            <v>2010</v>
          </cell>
          <cell r="D5113" t="str">
            <v>MILHO</v>
          </cell>
          <cell r="E5113">
            <v>0</v>
          </cell>
        </row>
        <row r="5114">
          <cell r="A5114" t="str">
            <v>MT</v>
          </cell>
          <cell r="B5114">
            <v>2010</v>
          </cell>
          <cell r="D5114" t="str">
            <v>SOJA</v>
          </cell>
          <cell r="E5114">
            <v>0</v>
          </cell>
        </row>
        <row r="5115">
          <cell r="A5115" t="str">
            <v>MT</v>
          </cell>
          <cell r="B5115">
            <v>2010</v>
          </cell>
          <cell r="D5115" t="str">
            <v>MILHO</v>
          </cell>
          <cell r="E5115">
            <v>0</v>
          </cell>
        </row>
        <row r="5116">
          <cell r="A5116" t="str">
            <v>MT</v>
          </cell>
          <cell r="B5116">
            <v>2010</v>
          </cell>
          <cell r="D5116" t="str">
            <v>SOJA</v>
          </cell>
          <cell r="E5116">
            <v>0</v>
          </cell>
        </row>
        <row r="5117">
          <cell r="A5117" t="str">
            <v>GO</v>
          </cell>
          <cell r="B5117">
            <v>2010</v>
          </cell>
          <cell r="D5117" t="str">
            <v>SOJA</v>
          </cell>
          <cell r="E5117">
            <v>0</v>
          </cell>
        </row>
        <row r="5118">
          <cell r="A5118" t="str">
            <v>GO</v>
          </cell>
          <cell r="B5118">
            <v>2010</v>
          </cell>
          <cell r="D5118" t="str">
            <v>SOJA</v>
          </cell>
          <cell r="E5118">
            <v>0</v>
          </cell>
        </row>
        <row r="5119">
          <cell r="A5119" t="str">
            <v>GO</v>
          </cell>
          <cell r="B5119">
            <v>2010</v>
          </cell>
          <cell r="D5119" t="str">
            <v>MILHO</v>
          </cell>
          <cell r="E5119">
            <v>880.00000000000011</v>
          </cell>
        </row>
        <row r="5120">
          <cell r="A5120" t="str">
            <v>GO</v>
          </cell>
          <cell r="B5120">
            <v>2010</v>
          </cell>
          <cell r="D5120" t="str">
            <v>MILHO</v>
          </cell>
          <cell r="E5120">
            <v>0</v>
          </cell>
        </row>
        <row r="5121">
          <cell r="A5121" t="str">
            <v>MT</v>
          </cell>
          <cell r="B5121">
            <v>2010</v>
          </cell>
          <cell r="D5121" t="str">
            <v>MILHO</v>
          </cell>
          <cell r="E5121">
            <v>0</v>
          </cell>
        </row>
        <row r="5122">
          <cell r="A5122" t="str">
            <v>MT</v>
          </cell>
          <cell r="B5122">
            <v>2010</v>
          </cell>
          <cell r="D5122" t="str">
            <v>SOJA</v>
          </cell>
          <cell r="E5122">
            <v>0</v>
          </cell>
        </row>
        <row r="5123">
          <cell r="A5123" t="str">
            <v>MG</v>
          </cell>
          <cell r="B5123">
            <v>2010</v>
          </cell>
          <cell r="D5123" t="str">
            <v>SOJA</v>
          </cell>
          <cell r="E5123">
            <v>0</v>
          </cell>
        </row>
        <row r="5124">
          <cell r="A5124" t="str">
            <v>MT</v>
          </cell>
          <cell r="B5124">
            <v>2010</v>
          </cell>
          <cell r="D5124" t="str">
            <v>MILHO</v>
          </cell>
          <cell r="E5124">
            <v>0</v>
          </cell>
        </row>
        <row r="5125">
          <cell r="A5125" t="str">
            <v>MT</v>
          </cell>
          <cell r="B5125">
            <v>2010</v>
          </cell>
          <cell r="D5125" t="str">
            <v>SOJA</v>
          </cell>
          <cell r="E5125">
            <v>0</v>
          </cell>
        </row>
        <row r="5126">
          <cell r="A5126" t="str">
            <v>MT</v>
          </cell>
          <cell r="B5126">
            <v>2010</v>
          </cell>
          <cell r="D5126" t="str">
            <v>MILHO</v>
          </cell>
          <cell r="E5126">
            <v>0</v>
          </cell>
        </row>
        <row r="5127">
          <cell r="A5127" t="str">
            <v>MT</v>
          </cell>
          <cell r="B5127">
            <v>2010</v>
          </cell>
          <cell r="D5127" t="str">
            <v>MILHO</v>
          </cell>
          <cell r="E5127">
            <v>0</v>
          </cell>
        </row>
        <row r="5128">
          <cell r="A5128" t="str">
            <v>GO</v>
          </cell>
          <cell r="B5128">
            <v>2010</v>
          </cell>
          <cell r="D5128" t="str">
            <v>SOJA</v>
          </cell>
          <cell r="E5128">
            <v>0</v>
          </cell>
        </row>
        <row r="5129">
          <cell r="A5129" t="str">
            <v>GO</v>
          </cell>
          <cell r="B5129">
            <v>2010</v>
          </cell>
          <cell r="D5129" t="str">
            <v>SOJA</v>
          </cell>
          <cell r="E5129">
            <v>0</v>
          </cell>
        </row>
        <row r="5130">
          <cell r="A5130" t="str">
            <v>MS</v>
          </cell>
          <cell r="B5130">
            <v>2010</v>
          </cell>
          <cell r="D5130" t="str">
            <v>MILHO</v>
          </cell>
          <cell r="E5130">
            <v>0</v>
          </cell>
        </row>
        <row r="5131">
          <cell r="A5131" t="str">
            <v>MT</v>
          </cell>
          <cell r="B5131">
            <v>2010</v>
          </cell>
          <cell r="D5131" t="str">
            <v>MILHO</v>
          </cell>
          <cell r="E5131">
            <v>0</v>
          </cell>
        </row>
        <row r="5132">
          <cell r="A5132" t="str">
            <v>MT</v>
          </cell>
          <cell r="B5132">
            <v>2010</v>
          </cell>
          <cell r="D5132" t="str">
            <v>SOJA</v>
          </cell>
          <cell r="E5132">
            <v>0</v>
          </cell>
        </row>
        <row r="5133">
          <cell r="A5133" t="str">
            <v>MT</v>
          </cell>
          <cell r="B5133">
            <v>2010</v>
          </cell>
          <cell r="D5133" t="str">
            <v>MILHO</v>
          </cell>
          <cell r="E5133">
            <v>0</v>
          </cell>
        </row>
        <row r="5134">
          <cell r="A5134" t="str">
            <v>MT</v>
          </cell>
          <cell r="B5134">
            <v>2010</v>
          </cell>
          <cell r="D5134" t="str">
            <v>SOJA</v>
          </cell>
          <cell r="E5134">
            <v>2839.2857142857138</v>
          </cell>
        </row>
        <row r="5135">
          <cell r="A5135" t="str">
            <v>BA</v>
          </cell>
          <cell r="B5135">
            <v>2010</v>
          </cell>
          <cell r="D5135" t="str">
            <v>MILHO</v>
          </cell>
          <cell r="E5135">
            <v>0</v>
          </cell>
        </row>
        <row r="5136">
          <cell r="A5136" t="str">
            <v>RS</v>
          </cell>
          <cell r="B5136">
            <v>2010</v>
          </cell>
          <cell r="D5136" t="str">
            <v>SOJA</v>
          </cell>
          <cell r="E5136">
            <v>0</v>
          </cell>
        </row>
        <row r="5137">
          <cell r="A5137" t="str">
            <v>RS</v>
          </cell>
          <cell r="B5137">
            <v>2010</v>
          </cell>
          <cell r="D5137" t="str">
            <v>SOJA</v>
          </cell>
          <cell r="E5137">
            <v>0</v>
          </cell>
        </row>
        <row r="5138">
          <cell r="A5138" t="str">
            <v>MS</v>
          </cell>
          <cell r="B5138">
            <v>2010</v>
          </cell>
          <cell r="D5138" t="str">
            <v>MILHO</v>
          </cell>
          <cell r="E5138">
            <v>0</v>
          </cell>
        </row>
        <row r="5139">
          <cell r="A5139" t="str">
            <v>MS</v>
          </cell>
          <cell r="B5139">
            <v>2010</v>
          </cell>
          <cell r="D5139" t="str">
            <v>SOJA</v>
          </cell>
          <cell r="E5139">
            <v>0</v>
          </cell>
        </row>
        <row r="5140">
          <cell r="A5140" t="str">
            <v>MS</v>
          </cell>
          <cell r="B5140">
            <v>2010</v>
          </cell>
          <cell r="D5140" t="str">
            <v>MILHO</v>
          </cell>
          <cell r="E5140">
            <v>0</v>
          </cell>
        </row>
        <row r="5141">
          <cell r="A5141" t="str">
            <v>MS</v>
          </cell>
          <cell r="B5141">
            <v>2010</v>
          </cell>
          <cell r="D5141" t="str">
            <v>SOJA</v>
          </cell>
          <cell r="E5141">
            <v>0</v>
          </cell>
        </row>
        <row r="5142">
          <cell r="A5142" t="str">
            <v>MS</v>
          </cell>
          <cell r="B5142">
            <v>2010</v>
          </cell>
          <cell r="D5142" t="str">
            <v>MILHO</v>
          </cell>
          <cell r="E5142">
            <v>0</v>
          </cell>
        </row>
        <row r="5143">
          <cell r="A5143" t="str">
            <v>MS</v>
          </cell>
          <cell r="B5143">
            <v>2010</v>
          </cell>
          <cell r="D5143" t="str">
            <v>SOJA</v>
          </cell>
          <cell r="E5143">
            <v>0</v>
          </cell>
        </row>
        <row r="5144">
          <cell r="A5144" t="str">
            <v>MT</v>
          </cell>
          <cell r="B5144">
            <v>2010</v>
          </cell>
          <cell r="D5144" t="str">
            <v>MILHO</v>
          </cell>
          <cell r="E5144">
            <v>0</v>
          </cell>
        </row>
        <row r="5145">
          <cell r="A5145" t="str">
            <v>RS</v>
          </cell>
          <cell r="B5145">
            <v>2010</v>
          </cell>
          <cell r="D5145" t="str">
            <v>SOJA</v>
          </cell>
          <cell r="E5145">
            <v>1092.8571428571427</v>
          </cell>
        </row>
        <row r="5146">
          <cell r="A5146" t="str">
            <v>RS</v>
          </cell>
          <cell r="B5146">
            <v>2010</v>
          </cell>
          <cell r="D5146" t="str">
            <v>SOJA</v>
          </cell>
          <cell r="E5146">
            <v>0</v>
          </cell>
        </row>
        <row r="5147">
          <cell r="A5147" t="str">
            <v>RS</v>
          </cell>
          <cell r="B5147">
            <v>2010</v>
          </cell>
          <cell r="D5147" t="str">
            <v>SOJA</v>
          </cell>
          <cell r="E5147">
            <v>0</v>
          </cell>
        </row>
        <row r="5148">
          <cell r="A5148" t="str">
            <v>RS</v>
          </cell>
          <cell r="B5148">
            <v>2010</v>
          </cell>
          <cell r="D5148" t="str">
            <v>SOJA</v>
          </cell>
          <cell r="E5148">
            <v>1092.8571428571427</v>
          </cell>
        </row>
        <row r="5149">
          <cell r="A5149" t="str">
            <v>RS</v>
          </cell>
          <cell r="B5149">
            <v>2010</v>
          </cell>
          <cell r="D5149" t="str">
            <v>SOJA</v>
          </cell>
          <cell r="E5149">
            <v>0</v>
          </cell>
        </row>
        <row r="5150">
          <cell r="A5150" t="str">
            <v>MS</v>
          </cell>
          <cell r="B5150">
            <v>2010</v>
          </cell>
          <cell r="D5150" t="str">
            <v>MILHO</v>
          </cell>
          <cell r="E5150">
            <v>0</v>
          </cell>
        </row>
        <row r="5151">
          <cell r="A5151" t="str">
            <v>MS</v>
          </cell>
          <cell r="B5151">
            <v>2010</v>
          </cell>
          <cell r="D5151" t="str">
            <v>SOJA</v>
          </cell>
          <cell r="E5151">
            <v>0</v>
          </cell>
        </row>
        <row r="5152">
          <cell r="A5152" t="str">
            <v>MS</v>
          </cell>
          <cell r="B5152">
            <v>2010</v>
          </cell>
          <cell r="D5152" t="str">
            <v>MILHO</v>
          </cell>
          <cell r="E5152">
            <v>0</v>
          </cell>
        </row>
        <row r="5153">
          <cell r="A5153" t="str">
            <v>MS</v>
          </cell>
          <cell r="B5153">
            <v>2010</v>
          </cell>
          <cell r="D5153" t="str">
            <v>SOJA</v>
          </cell>
          <cell r="E5153">
            <v>3450</v>
          </cell>
        </row>
        <row r="5154">
          <cell r="A5154" t="str">
            <v>MS</v>
          </cell>
          <cell r="B5154">
            <v>2010</v>
          </cell>
          <cell r="D5154" t="str">
            <v>SOJA</v>
          </cell>
          <cell r="E5154">
            <v>0</v>
          </cell>
        </row>
        <row r="5155">
          <cell r="A5155" t="str">
            <v>SC</v>
          </cell>
          <cell r="B5155">
            <v>2010</v>
          </cell>
          <cell r="D5155" t="str">
            <v>MILHO</v>
          </cell>
          <cell r="E5155">
            <v>8404</v>
          </cell>
        </row>
        <row r="5156">
          <cell r="A5156" t="str">
            <v>MT</v>
          </cell>
          <cell r="B5156">
            <v>2010</v>
          </cell>
          <cell r="D5156" t="str">
            <v>MILHO</v>
          </cell>
          <cell r="E5156">
            <v>0</v>
          </cell>
        </row>
        <row r="5157">
          <cell r="A5157" t="str">
            <v>GO</v>
          </cell>
          <cell r="B5157">
            <v>2010</v>
          </cell>
          <cell r="D5157" t="str">
            <v>SOJA</v>
          </cell>
          <cell r="E5157">
            <v>0</v>
          </cell>
        </row>
        <row r="5158">
          <cell r="A5158" t="str">
            <v>RS</v>
          </cell>
          <cell r="B5158">
            <v>2010</v>
          </cell>
          <cell r="D5158" t="str">
            <v>SOJA</v>
          </cell>
          <cell r="E5158">
            <v>10907.142857142857</v>
          </cell>
        </row>
        <row r="5159">
          <cell r="A5159" t="str">
            <v>RS</v>
          </cell>
          <cell r="B5159">
            <v>2010</v>
          </cell>
          <cell r="D5159" t="str">
            <v>SOJA</v>
          </cell>
          <cell r="E5159">
            <v>10907.142857142857</v>
          </cell>
        </row>
        <row r="5160">
          <cell r="A5160" t="str">
            <v>RS</v>
          </cell>
          <cell r="B5160">
            <v>2010</v>
          </cell>
          <cell r="D5160" t="str">
            <v>SOJA</v>
          </cell>
          <cell r="E5160">
            <v>0</v>
          </cell>
        </row>
        <row r="5161">
          <cell r="A5161" t="str">
            <v>GO</v>
          </cell>
          <cell r="B5161">
            <v>2010</v>
          </cell>
          <cell r="D5161" t="str">
            <v>SOJA</v>
          </cell>
          <cell r="E5161">
            <v>0</v>
          </cell>
        </row>
        <row r="5162">
          <cell r="A5162" t="str">
            <v>GO</v>
          </cell>
          <cell r="B5162">
            <v>2010</v>
          </cell>
          <cell r="D5162" t="str">
            <v>SOJA</v>
          </cell>
          <cell r="E5162">
            <v>835.71428571428578</v>
          </cell>
        </row>
        <row r="5163">
          <cell r="A5163" t="str">
            <v>PR</v>
          </cell>
          <cell r="B5163">
            <v>2010</v>
          </cell>
          <cell r="D5163" t="str">
            <v>SOJA</v>
          </cell>
          <cell r="E5163">
            <v>0</v>
          </cell>
        </row>
        <row r="5164">
          <cell r="A5164" t="str">
            <v>RS</v>
          </cell>
          <cell r="B5164">
            <v>2010</v>
          </cell>
          <cell r="D5164" t="str">
            <v>SOJA</v>
          </cell>
          <cell r="E5164">
            <v>0</v>
          </cell>
        </row>
        <row r="5165">
          <cell r="A5165" t="str">
            <v>RS</v>
          </cell>
          <cell r="B5165">
            <v>2010</v>
          </cell>
          <cell r="D5165" t="str">
            <v>SOJA</v>
          </cell>
          <cell r="E5165">
            <v>5453.5714285714284</v>
          </cell>
        </row>
        <row r="5166">
          <cell r="A5166" t="str">
            <v>RS</v>
          </cell>
          <cell r="B5166">
            <v>2010</v>
          </cell>
          <cell r="D5166" t="str">
            <v>SOJA</v>
          </cell>
          <cell r="E5166">
            <v>6546.4285714285716</v>
          </cell>
        </row>
        <row r="5167">
          <cell r="A5167" t="str">
            <v>RS</v>
          </cell>
          <cell r="B5167">
            <v>2010</v>
          </cell>
          <cell r="D5167" t="str">
            <v>SOJA</v>
          </cell>
          <cell r="E5167">
            <v>2185.7142857142853</v>
          </cell>
        </row>
        <row r="5168">
          <cell r="A5168" t="str">
            <v>RS</v>
          </cell>
          <cell r="B5168">
            <v>2010</v>
          </cell>
          <cell r="D5168" t="str">
            <v>SOJA</v>
          </cell>
          <cell r="E5168">
            <v>0</v>
          </cell>
        </row>
        <row r="5169">
          <cell r="A5169" t="str">
            <v>RS</v>
          </cell>
          <cell r="B5169">
            <v>2010</v>
          </cell>
          <cell r="D5169" t="str">
            <v>SOJA</v>
          </cell>
          <cell r="E5169">
            <v>1092.8571428571427</v>
          </cell>
        </row>
        <row r="5170">
          <cell r="A5170" t="str">
            <v>RS</v>
          </cell>
          <cell r="B5170">
            <v>2010</v>
          </cell>
          <cell r="D5170" t="str">
            <v>SOJA</v>
          </cell>
          <cell r="E5170">
            <v>0</v>
          </cell>
        </row>
        <row r="5171">
          <cell r="A5171" t="str">
            <v>PR</v>
          </cell>
          <cell r="B5171">
            <v>2010</v>
          </cell>
          <cell r="D5171" t="str">
            <v>MILHO</v>
          </cell>
          <cell r="E5171">
            <v>0</v>
          </cell>
        </row>
        <row r="5172">
          <cell r="A5172" t="str">
            <v>PR</v>
          </cell>
          <cell r="B5172">
            <v>2010</v>
          </cell>
          <cell r="D5172" t="str">
            <v>MILHO</v>
          </cell>
          <cell r="E5172">
            <v>0</v>
          </cell>
        </row>
        <row r="5173">
          <cell r="A5173" t="str">
            <v>PR</v>
          </cell>
          <cell r="B5173">
            <v>2010</v>
          </cell>
          <cell r="D5173" t="str">
            <v>MILHO</v>
          </cell>
          <cell r="E5173">
            <v>0</v>
          </cell>
        </row>
        <row r="5174">
          <cell r="A5174" t="str">
            <v>SP</v>
          </cell>
          <cell r="B5174">
            <v>2010</v>
          </cell>
          <cell r="D5174" t="str">
            <v>MILHO</v>
          </cell>
          <cell r="E5174">
            <v>0</v>
          </cell>
        </row>
        <row r="5175">
          <cell r="A5175" t="str">
            <v>PR</v>
          </cell>
          <cell r="B5175">
            <v>2010</v>
          </cell>
          <cell r="D5175" t="str">
            <v>MILHO</v>
          </cell>
          <cell r="E5175">
            <v>0</v>
          </cell>
        </row>
        <row r="5176">
          <cell r="A5176" t="str">
            <v>PR</v>
          </cell>
          <cell r="B5176">
            <v>2010</v>
          </cell>
          <cell r="D5176" t="str">
            <v>SOJA</v>
          </cell>
          <cell r="E5176">
            <v>0</v>
          </cell>
        </row>
        <row r="5177">
          <cell r="A5177" t="str">
            <v>MT</v>
          </cell>
          <cell r="B5177">
            <v>2010</v>
          </cell>
          <cell r="D5177" t="str">
            <v>MILHO</v>
          </cell>
          <cell r="E5177">
            <v>0</v>
          </cell>
        </row>
        <row r="5178">
          <cell r="A5178" t="str">
            <v>MT</v>
          </cell>
          <cell r="B5178">
            <v>2010</v>
          </cell>
          <cell r="D5178" t="str">
            <v>MILHO</v>
          </cell>
          <cell r="E5178">
            <v>0</v>
          </cell>
        </row>
        <row r="5179">
          <cell r="A5179" t="str">
            <v>MS</v>
          </cell>
          <cell r="B5179">
            <v>2010</v>
          </cell>
          <cell r="D5179" t="str">
            <v>SOJA</v>
          </cell>
          <cell r="E5179">
            <v>0</v>
          </cell>
        </row>
        <row r="5180">
          <cell r="A5180" t="str">
            <v>PR</v>
          </cell>
          <cell r="B5180">
            <v>2010</v>
          </cell>
          <cell r="D5180" t="str">
            <v>MILHO</v>
          </cell>
          <cell r="E5180">
            <v>0</v>
          </cell>
        </row>
        <row r="5181">
          <cell r="A5181" t="str">
            <v>BA</v>
          </cell>
          <cell r="B5181">
            <v>2010</v>
          </cell>
          <cell r="D5181" t="str">
            <v>SOJA</v>
          </cell>
          <cell r="E5181">
            <v>5153.5714285714275</v>
          </cell>
        </row>
        <row r="5182">
          <cell r="A5182" t="str">
            <v>MT</v>
          </cell>
          <cell r="B5182">
            <v>2010</v>
          </cell>
          <cell r="D5182" t="str">
            <v>MILHO</v>
          </cell>
          <cell r="E5182">
            <v>0</v>
          </cell>
        </row>
        <row r="5183">
          <cell r="A5183" t="str">
            <v>MT</v>
          </cell>
          <cell r="B5183">
            <v>2010</v>
          </cell>
          <cell r="D5183" t="str">
            <v>MILHO</v>
          </cell>
          <cell r="E5183">
            <v>0</v>
          </cell>
        </row>
        <row r="5184">
          <cell r="A5184" t="str">
            <v>MT</v>
          </cell>
          <cell r="B5184">
            <v>2010</v>
          </cell>
          <cell r="D5184" t="str">
            <v>MILHO</v>
          </cell>
          <cell r="E5184">
            <v>0</v>
          </cell>
        </row>
        <row r="5185">
          <cell r="A5185" t="str">
            <v>GO</v>
          </cell>
          <cell r="B5185">
            <v>2010</v>
          </cell>
          <cell r="D5185" t="str">
            <v>SOJA</v>
          </cell>
          <cell r="E5185">
            <v>0</v>
          </cell>
        </row>
        <row r="5186">
          <cell r="A5186" t="str">
            <v>GO</v>
          </cell>
          <cell r="B5186">
            <v>2010</v>
          </cell>
          <cell r="D5186" t="str">
            <v>SOJA</v>
          </cell>
          <cell r="E5186">
            <v>0</v>
          </cell>
        </row>
        <row r="5187">
          <cell r="A5187" t="str">
            <v>GO</v>
          </cell>
          <cell r="B5187">
            <v>2010</v>
          </cell>
          <cell r="D5187" t="str">
            <v>SOJA</v>
          </cell>
          <cell r="E5187">
            <v>0</v>
          </cell>
        </row>
        <row r="5188">
          <cell r="A5188" t="str">
            <v>GO</v>
          </cell>
          <cell r="B5188">
            <v>2010</v>
          </cell>
          <cell r="D5188" t="str">
            <v>MILHO</v>
          </cell>
          <cell r="E5188">
            <v>0</v>
          </cell>
        </row>
        <row r="5189">
          <cell r="A5189" t="str">
            <v>MT</v>
          </cell>
          <cell r="B5189">
            <v>2010</v>
          </cell>
          <cell r="D5189" t="str">
            <v>MILHO</v>
          </cell>
          <cell r="E5189">
            <v>0</v>
          </cell>
        </row>
        <row r="5190">
          <cell r="A5190" t="str">
            <v>MT</v>
          </cell>
          <cell r="B5190">
            <v>2010</v>
          </cell>
          <cell r="D5190" t="str">
            <v>MILHO</v>
          </cell>
          <cell r="E5190">
            <v>0</v>
          </cell>
        </row>
        <row r="5191">
          <cell r="A5191" t="str">
            <v>MT</v>
          </cell>
          <cell r="B5191">
            <v>2010</v>
          </cell>
          <cell r="D5191" t="str">
            <v>MILHO</v>
          </cell>
          <cell r="E5191">
            <v>0</v>
          </cell>
        </row>
        <row r="5192">
          <cell r="A5192" t="str">
            <v>GO</v>
          </cell>
          <cell r="B5192">
            <v>2010</v>
          </cell>
          <cell r="D5192" t="str">
            <v>SOJA</v>
          </cell>
          <cell r="E5192">
            <v>0</v>
          </cell>
        </row>
        <row r="5193">
          <cell r="A5193" t="str">
            <v>MS</v>
          </cell>
          <cell r="B5193">
            <v>2010</v>
          </cell>
          <cell r="D5193" t="str">
            <v>MILHO</v>
          </cell>
          <cell r="E5193">
            <v>0</v>
          </cell>
        </row>
        <row r="5194">
          <cell r="A5194" t="str">
            <v>MT</v>
          </cell>
          <cell r="B5194">
            <v>2010</v>
          </cell>
          <cell r="D5194" t="str">
            <v>MILHO</v>
          </cell>
          <cell r="E5194">
            <v>0</v>
          </cell>
        </row>
        <row r="5195">
          <cell r="A5195" t="str">
            <v>MT</v>
          </cell>
          <cell r="B5195">
            <v>2010</v>
          </cell>
          <cell r="D5195" t="str">
            <v>SOJA</v>
          </cell>
          <cell r="E5195">
            <v>0</v>
          </cell>
        </row>
        <row r="5196">
          <cell r="A5196" t="str">
            <v>MT</v>
          </cell>
          <cell r="B5196">
            <v>2010</v>
          </cell>
          <cell r="D5196" t="str">
            <v>SOJA</v>
          </cell>
          <cell r="E5196">
            <v>2839.2857142857138</v>
          </cell>
        </row>
        <row r="5197">
          <cell r="A5197" t="str">
            <v>BA</v>
          </cell>
          <cell r="B5197">
            <v>2010</v>
          </cell>
          <cell r="D5197" t="str">
            <v>MILHO</v>
          </cell>
          <cell r="E5197">
            <v>0</v>
          </cell>
        </row>
        <row r="5198">
          <cell r="A5198" t="str">
            <v>BA</v>
          </cell>
          <cell r="B5198">
            <v>2010</v>
          </cell>
          <cell r="D5198" t="str">
            <v>MILHO</v>
          </cell>
          <cell r="E5198">
            <v>0</v>
          </cell>
        </row>
        <row r="5199">
          <cell r="A5199" t="str">
            <v>RS</v>
          </cell>
          <cell r="B5199">
            <v>2010</v>
          </cell>
          <cell r="D5199" t="str">
            <v>SOJA</v>
          </cell>
          <cell r="E5199">
            <v>0</v>
          </cell>
        </row>
        <row r="5200">
          <cell r="A5200" t="str">
            <v>RS</v>
          </cell>
          <cell r="B5200">
            <v>2010</v>
          </cell>
          <cell r="D5200" t="str">
            <v>SOJA</v>
          </cell>
          <cell r="E5200">
            <v>0</v>
          </cell>
        </row>
        <row r="5201">
          <cell r="A5201" t="str">
            <v>MS</v>
          </cell>
          <cell r="B5201">
            <v>2010</v>
          </cell>
          <cell r="D5201" t="str">
            <v>MILHO</v>
          </cell>
          <cell r="E5201">
            <v>0</v>
          </cell>
        </row>
        <row r="5202">
          <cell r="A5202" t="str">
            <v>MS</v>
          </cell>
          <cell r="B5202">
            <v>2010</v>
          </cell>
          <cell r="D5202" t="str">
            <v>MILHO</v>
          </cell>
          <cell r="E5202">
            <v>0</v>
          </cell>
        </row>
        <row r="5203">
          <cell r="A5203" t="str">
            <v>MS</v>
          </cell>
          <cell r="B5203">
            <v>2010</v>
          </cell>
          <cell r="D5203" t="str">
            <v>SOJA</v>
          </cell>
          <cell r="E5203">
            <v>0</v>
          </cell>
        </row>
        <row r="5204">
          <cell r="A5204" t="str">
            <v>RS</v>
          </cell>
          <cell r="B5204">
            <v>2010</v>
          </cell>
          <cell r="D5204" t="str">
            <v>SOJA</v>
          </cell>
          <cell r="E5204">
            <v>2185.7142857142853</v>
          </cell>
        </row>
        <row r="5205">
          <cell r="A5205" t="str">
            <v>RS</v>
          </cell>
          <cell r="B5205">
            <v>2010</v>
          </cell>
          <cell r="D5205" t="str">
            <v>SOJA</v>
          </cell>
          <cell r="E5205">
            <v>0</v>
          </cell>
        </row>
        <row r="5206">
          <cell r="A5206" t="str">
            <v>RS</v>
          </cell>
          <cell r="B5206">
            <v>2010</v>
          </cell>
          <cell r="D5206" t="str">
            <v>SOJA</v>
          </cell>
          <cell r="E5206">
            <v>0</v>
          </cell>
        </row>
        <row r="5207">
          <cell r="A5207" t="str">
            <v>RS</v>
          </cell>
          <cell r="B5207">
            <v>2010</v>
          </cell>
          <cell r="D5207" t="str">
            <v>SOJA</v>
          </cell>
          <cell r="E5207">
            <v>1092.8571428571427</v>
          </cell>
        </row>
        <row r="5208">
          <cell r="A5208" t="str">
            <v>RS</v>
          </cell>
          <cell r="B5208">
            <v>2010</v>
          </cell>
          <cell r="D5208" t="str">
            <v>SOJA</v>
          </cell>
          <cell r="E5208">
            <v>0</v>
          </cell>
        </row>
        <row r="5209">
          <cell r="A5209" t="str">
            <v>MS</v>
          </cell>
          <cell r="B5209">
            <v>2010</v>
          </cell>
          <cell r="D5209" t="str">
            <v>MILHO</v>
          </cell>
          <cell r="E5209">
            <v>0</v>
          </cell>
        </row>
        <row r="5210">
          <cell r="A5210" t="str">
            <v>MS</v>
          </cell>
          <cell r="B5210">
            <v>2010</v>
          </cell>
          <cell r="D5210" t="str">
            <v>SOJA</v>
          </cell>
          <cell r="E5210">
            <v>0</v>
          </cell>
        </row>
        <row r="5211">
          <cell r="A5211" t="str">
            <v>MS</v>
          </cell>
          <cell r="B5211">
            <v>2010</v>
          </cell>
          <cell r="D5211" t="str">
            <v>MILHO</v>
          </cell>
          <cell r="E5211">
            <v>0</v>
          </cell>
        </row>
        <row r="5212">
          <cell r="A5212" t="str">
            <v>MS</v>
          </cell>
          <cell r="B5212">
            <v>2010</v>
          </cell>
          <cell r="D5212" t="str">
            <v>SOJA</v>
          </cell>
          <cell r="E5212">
            <v>1382.1428571428571</v>
          </cell>
        </row>
        <row r="5213">
          <cell r="A5213" t="str">
            <v>MS</v>
          </cell>
          <cell r="B5213">
            <v>2010</v>
          </cell>
          <cell r="D5213" t="str">
            <v>SOJA</v>
          </cell>
          <cell r="E5213">
            <v>0</v>
          </cell>
        </row>
        <row r="5214">
          <cell r="A5214" t="str">
            <v>RS</v>
          </cell>
          <cell r="B5214">
            <v>2010</v>
          </cell>
          <cell r="D5214" t="str">
            <v>SOJA</v>
          </cell>
          <cell r="E5214">
            <v>9825</v>
          </cell>
        </row>
        <row r="5215">
          <cell r="A5215" t="str">
            <v>RS</v>
          </cell>
          <cell r="B5215">
            <v>2010</v>
          </cell>
          <cell r="D5215" t="str">
            <v>SOJA</v>
          </cell>
          <cell r="E5215">
            <v>11999.999999999998</v>
          </cell>
        </row>
        <row r="5216">
          <cell r="A5216" t="str">
            <v>RS</v>
          </cell>
          <cell r="B5216">
            <v>2010</v>
          </cell>
          <cell r="D5216" t="str">
            <v>SOJA</v>
          </cell>
          <cell r="E5216">
            <v>0</v>
          </cell>
        </row>
        <row r="5217">
          <cell r="A5217" t="str">
            <v>RS</v>
          </cell>
          <cell r="B5217">
            <v>2010</v>
          </cell>
          <cell r="D5217" t="str">
            <v>SOJA</v>
          </cell>
          <cell r="E5217">
            <v>0</v>
          </cell>
        </row>
        <row r="5218">
          <cell r="A5218" t="str">
            <v>RS</v>
          </cell>
          <cell r="B5218">
            <v>2010</v>
          </cell>
          <cell r="D5218" t="str">
            <v>SOJA</v>
          </cell>
          <cell r="E5218">
            <v>5453.5714285714284</v>
          </cell>
        </row>
        <row r="5219">
          <cell r="A5219" t="str">
            <v>RS</v>
          </cell>
          <cell r="B5219">
            <v>2010</v>
          </cell>
          <cell r="D5219" t="str">
            <v>SOJA</v>
          </cell>
          <cell r="E5219">
            <v>0</v>
          </cell>
        </row>
        <row r="5220">
          <cell r="A5220" t="str">
            <v>RS</v>
          </cell>
          <cell r="B5220">
            <v>2010</v>
          </cell>
          <cell r="D5220" t="str">
            <v>SOJA</v>
          </cell>
          <cell r="E5220">
            <v>3278.5714285714284</v>
          </cell>
        </row>
        <row r="5221">
          <cell r="A5221" t="str">
            <v>RS</v>
          </cell>
          <cell r="B5221">
            <v>2010</v>
          </cell>
          <cell r="D5221" t="str">
            <v>SOJA</v>
          </cell>
          <cell r="E5221">
            <v>0</v>
          </cell>
        </row>
        <row r="5222">
          <cell r="A5222" t="str">
            <v>RS</v>
          </cell>
          <cell r="B5222">
            <v>2010</v>
          </cell>
          <cell r="D5222" t="str">
            <v>SOJA</v>
          </cell>
          <cell r="E5222">
            <v>0</v>
          </cell>
        </row>
        <row r="5223">
          <cell r="A5223" t="str">
            <v>PR</v>
          </cell>
          <cell r="B5223">
            <v>2010</v>
          </cell>
          <cell r="D5223" t="str">
            <v>MILHO</v>
          </cell>
          <cell r="E5223">
            <v>0</v>
          </cell>
        </row>
        <row r="5224">
          <cell r="A5224" t="str">
            <v>PR</v>
          </cell>
          <cell r="B5224">
            <v>2010</v>
          </cell>
          <cell r="D5224" t="str">
            <v>MILHO</v>
          </cell>
          <cell r="E5224">
            <v>0</v>
          </cell>
        </row>
        <row r="5225">
          <cell r="A5225" t="str">
            <v>PR</v>
          </cell>
          <cell r="B5225">
            <v>2010</v>
          </cell>
          <cell r="D5225" t="str">
            <v>MILHO</v>
          </cell>
          <cell r="E5225">
            <v>0</v>
          </cell>
        </row>
        <row r="5226">
          <cell r="A5226" t="str">
            <v>PR</v>
          </cell>
          <cell r="B5226">
            <v>2010</v>
          </cell>
          <cell r="D5226" t="str">
            <v>MILHO</v>
          </cell>
          <cell r="E5226">
            <v>0</v>
          </cell>
        </row>
        <row r="5227">
          <cell r="A5227" t="str">
            <v>PR</v>
          </cell>
          <cell r="B5227">
            <v>2010</v>
          </cell>
          <cell r="D5227" t="str">
            <v>SOJA</v>
          </cell>
          <cell r="E5227">
            <v>0</v>
          </cell>
        </row>
        <row r="5228">
          <cell r="A5228" t="str">
            <v>BA</v>
          </cell>
          <cell r="B5228">
            <v>2010</v>
          </cell>
          <cell r="D5228" t="str">
            <v>SOJA</v>
          </cell>
          <cell r="E5228">
            <v>5153.5714285714275</v>
          </cell>
        </row>
        <row r="5229">
          <cell r="A5229" t="str">
            <v>MT</v>
          </cell>
          <cell r="B5229">
            <v>2010</v>
          </cell>
          <cell r="D5229" t="str">
            <v>SOJA</v>
          </cell>
          <cell r="E5229">
            <v>0</v>
          </cell>
        </row>
        <row r="5230">
          <cell r="A5230" t="str">
            <v>MT</v>
          </cell>
          <cell r="B5230">
            <v>2010</v>
          </cell>
          <cell r="D5230" t="str">
            <v>SOJA</v>
          </cell>
          <cell r="E5230">
            <v>0</v>
          </cell>
        </row>
        <row r="5231">
          <cell r="A5231" t="str">
            <v>BA</v>
          </cell>
          <cell r="B5231">
            <v>2010</v>
          </cell>
          <cell r="D5231" t="str">
            <v>MILHO</v>
          </cell>
          <cell r="E5231">
            <v>0</v>
          </cell>
        </row>
        <row r="5232">
          <cell r="A5232" t="str">
            <v>RS</v>
          </cell>
          <cell r="B5232">
            <v>2010</v>
          </cell>
          <cell r="D5232" t="str">
            <v>SOJA</v>
          </cell>
          <cell r="E5232">
            <v>0</v>
          </cell>
        </row>
        <row r="5233">
          <cell r="A5233" t="str">
            <v>RS</v>
          </cell>
          <cell r="B5233">
            <v>2010</v>
          </cell>
          <cell r="D5233" t="str">
            <v>SOJA</v>
          </cell>
          <cell r="E5233">
            <v>0</v>
          </cell>
        </row>
        <row r="5234">
          <cell r="A5234" t="str">
            <v>RS</v>
          </cell>
          <cell r="B5234">
            <v>2010</v>
          </cell>
          <cell r="D5234" t="str">
            <v>SOJA</v>
          </cell>
          <cell r="E5234">
            <v>0</v>
          </cell>
        </row>
        <row r="5235">
          <cell r="A5235" t="str">
            <v>RS</v>
          </cell>
          <cell r="B5235">
            <v>2010</v>
          </cell>
          <cell r="D5235" t="str">
            <v>SOJA</v>
          </cell>
          <cell r="E5235">
            <v>0</v>
          </cell>
        </row>
        <row r="5236">
          <cell r="A5236" t="str">
            <v>MS</v>
          </cell>
          <cell r="B5236">
            <v>2010</v>
          </cell>
          <cell r="D5236" t="str">
            <v>MILHO</v>
          </cell>
          <cell r="E5236">
            <v>0</v>
          </cell>
        </row>
        <row r="5237">
          <cell r="A5237" t="str">
            <v>BA</v>
          </cell>
          <cell r="B5237">
            <v>2008</v>
          </cell>
          <cell r="D5237" t="str">
            <v>MILHO</v>
          </cell>
          <cell r="E5237">
            <v>8000</v>
          </cell>
        </row>
        <row r="5238">
          <cell r="A5238" t="str">
            <v>BA</v>
          </cell>
          <cell r="B5238">
            <v>2008</v>
          </cell>
          <cell r="D5238" t="str">
            <v>MILHO</v>
          </cell>
          <cell r="E5238">
            <v>5000</v>
          </cell>
        </row>
        <row r="5239">
          <cell r="A5239" t="str">
            <v>BA</v>
          </cell>
          <cell r="B5239">
            <v>2008</v>
          </cell>
          <cell r="D5239" t="str">
            <v>MILHO</v>
          </cell>
          <cell r="E5239">
            <v>5000</v>
          </cell>
        </row>
        <row r="5240">
          <cell r="A5240" t="str">
            <v>BA</v>
          </cell>
          <cell r="B5240">
            <v>2008</v>
          </cell>
          <cell r="D5240" t="str">
            <v>MILHO</v>
          </cell>
          <cell r="E5240">
            <v>50000</v>
          </cell>
        </row>
        <row r="5241">
          <cell r="A5241" t="str">
            <v>BA</v>
          </cell>
          <cell r="B5241">
            <v>2008</v>
          </cell>
          <cell r="D5241" t="str">
            <v>MILHO</v>
          </cell>
          <cell r="E5241">
            <v>20000</v>
          </cell>
        </row>
        <row r="5242">
          <cell r="A5242" t="str">
            <v>BA</v>
          </cell>
          <cell r="B5242">
            <v>2008</v>
          </cell>
          <cell r="D5242" t="str">
            <v>MILHO</v>
          </cell>
          <cell r="E5242">
            <v>15000</v>
          </cell>
        </row>
        <row r="5243">
          <cell r="A5243" t="str">
            <v>BA</v>
          </cell>
          <cell r="B5243">
            <v>2008</v>
          </cell>
          <cell r="D5243" t="str">
            <v>MILHO</v>
          </cell>
          <cell r="E5243">
            <v>15000</v>
          </cell>
        </row>
        <row r="5244">
          <cell r="A5244" t="str">
            <v>BA</v>
          </cell>
          <cell r="B5244">
            <v>2008</v>
          </cell>
          <cell r="D5244" t="str">
            <v>MILHO</v>
          </cell>
          <cell r="E5244">
            <v>15000</v>
          </cell>
        </row>
        <row r="5245">
          <cell r="A5245" t="str">
            <v>BA</v>
          </cell>
          <cell r="B5245">
            <v>2008</v>
          </cell>
          <cell r="D5245" t="str">
            <v>MILHO</v>
          </cell>
          <cell r="E5245">
            <v>20000</v>
          </cell>
        </row>
        <row r="5246">
          <cell r="A5246" t="str">
            <v>BA</v>
          </cell>
          <cell r="B5246">
            <v>2008</v>
          </cell>
          <cell r="D5246" t="str">
            <v>MILHO</v>
          </cell>
          <cell r="E5246">
            <v>15000</v>
          </cell>
        </row>
        <row r="5247">
          <cell r="A5247" t="str">
            <v>BA</v>
          </cell>
          <cell r="B5247">
            <v>2008</v>
          </cell>
          <cell r="D5247" t="str">
            <v>MILHO</v>
          </cell>
          <cell r="E5247">
            <v>0</v>
          </cell>
        </row>
        <row r="5248">
          <cell r="A5248" t="str">
            <v>MG</v>
          </cell>
          <cell r="B5248">
            <v>2008</v>
          </cell>
          <cell r="D5248" t="str">
            <v>MILHO</v>
          </cell>
          <cell r="E5248">
            <v>0</v>
          </cell>
        </row>
        <row r="5249">
          <cell r="A5249" t="str">
            <v>GO</v>
          </cell>
          <cell r="B5249">
            <v>2008</v>
          </cell>
          <cell r="D5249" t="str">
            <v>MILHO</v>
          </cell>
          <cell r="E5249">
            <v>0</v>
          </cell>
        </row>
        <row r="5250">
          <cell r="A5250" t="str">
            <v>GO</v>
          </cell>
          <cell r="B5250">
            <v>2008</v>
          </cell>
          <cell r="D5250" t="str">
            <v>MILHO</v>
          </cell>
          <cell r="E5250">
            <v>0</v>
          </cell>
        </row>
        <row r="5251">
          <cell r="A5251" t="str">
            <v>GO</v>
          </cell>
          <cell r="B5251">
            <v>2008</v>
          </cell>
          <cell r="D5251" t="str">
            <v>MILHO</v>
          </cell>
          <cell r="E5251">
            <v>0</v>
          </cell>
        </row>
        <row r="5252">
          <cell r="A5252" t="str">
            <v>GO</v>
          </cell>
          <cell r="B5252">
            <v>2008</v>
          </cell>
          <cell r="D5252" t="str">
            <v>MILHO</v>
          </cell>
          <cell r="E5252">
            <v>0</v>
          </cell>
        </row>
        <row r="5253">
          <cell r="A5253" t="str">
            <v>GO</v>
          </cell>
          <cell r="B5253">
            <v>2008</v>
          </cell>
          <cell r="D5253" t="str">
            <v>MILHO</v>
          </cell>
          <cell r="E5253">
            <v>0</v>
          </cell>
        </row>
        <row r="5254">
          <cell r="A5254" t="str">
            <v>GO</v>
          </cell>
          <cell r="B5254">
            <v>2008</v>
          </cell>
          <cell r="D5254" t="str">
            <v>MILHO</v>
          </cell>
          <cell r="E5254">
            <v>0</v>
          </cell>
        </row>
        <row r="5255">
          <cell r="A5255" t="str">
            <v>GO</v>
          </cell>
          <cell r="B5255">
            <v>2008</v>
          </cell>
          <cell r="D5255" t="str">
            <v>MILHO</v>
          </cell>
          <cell r="E5255">
            <v>0</v>
          </cell>
        </row>
        <row r="5256">
          <cell r="A5256" t="str">
            <v>GO</v>
          </cell>
          <cell r="B5256">
            <v>2008</v>
          </cell>
          <cell r="D5256" t="str">
            <v>MILHO</v>
          </cell>
          <cell r="E5256">
            <v>0</v>
          </cell>
        </row>
        <row r="5257">
          <cell r="A5257" t="str">
            <v>GO</v>
          </cell>
          <cell r="B5257">
            <v>2008</v>
          </cell>
          <cell r="D5257" t="str">
            <v>MILHO</v>
          </cell>
          <cell r="E5257">
            <v>0</v>
          </cell>
        </row>
        <row r="5258">
          <cell r="A5258" t="str">
            <v>GO</v>
          </cell>
          <cell r="B5258">
            <v>2008</v>
          </cell>
          <cell r="D5258" t="str">
            <v>MILHO</v>
          </cell>
          <cell r="E5258">
            <v>0</v>
          </cell>
        </row>
        <row r="5259">
          <cell r="A5259" t="str">
            <v>GO</v>
          </cell>
          <cell r="B5259">
            <v>2008</v>
          </cell>
          <cell r="D5259" t="str">
            <v>MILHO</v>
          </cell>
          <cell r="E5259">
            <v>0</v>
          </cell>
        </row>
        <row r="5260">
          <cell r="A5260" t="str">
            <v>GO</v>
          </cell>
          <cell r="B5260">
            <v>2008</v>
          </cell>
          <cell r="D5260" t="str">
            <v>MILHO</v>
          </cell>
          <cell r="E5260">
            <v>0</v>
          </cell>
        </row>
        <row r="5261">
          <cell r="A5261" t="str">
            <v>MT</v>
          </cell>
          <cell r="B5261">
            <v>2008</v>
          </cell>
          <cell r="D5261" t="str">
            <v>MILHO</v>
          </cell>
          <cell r="E5261">
            <v>4000</v>
          </cell>
        </row>
        <row r="5262">
          <cell r="A5262" t="str">
            <v>MT</v>
          </cell>
          <cell r="B5262">
            <v>2008</v>
          </cell>
          <cell r="D5262" t="str">
            <v>MILHO</v>
          </cell>
          <cell r="E5262">
            <v>5000</v>
          </cell>
        </row>
        <row r="5263">
          <cell r="A5263" t="str">
            <v>MT</v>
          </cell>
          <cell r="B5263">
            <v>2008</v>
          </cell>
          <cell r="D5263" t="str">
            <v>MILHO</v>
          </cell>
          <cell r="E5263">
            <v>1000</v>
          </cell>
        </row>
        <row r="5264">
          <cell r="A5264" t="str">
            <v>GO</v>
          </cell>
          <cell r="B5264">
            <v>2008</v>
          </cell>
          <cell r="D5264" t="str">
            <v>MILHO</v>
          </cell>
          <cell r="E5264">
            <v>0</v>
          </cell>
        </row>
        <row r="5265">
          <cell r="A5265" t="str">
            <v>GO</v>
          </cell>
          <cell r="B5265">
            <v>2008</v>
          </cell>
          <cell r="D5265" t="str">
            <v>MILHO</v>
          </cell>
          <cell r="E5265">
            <v>0</v>
          </cell>
        </row>
        <row r="5266">
          <cell r="A5266" t="str">
            <v>GO</v>
          </cell>
          <cell r="B5266">
            <v>2008</v>
          </cell>
          <cell r="D5266" t="str">
            <v>MILHO</v>
          </cell>
          <cell r="E5266">
            <v>0</v>
          </cell>
        </row>
        <row r="5267">
          <cell r="A5267" t="str">
            <v>GO</v>
          </cell>
          <cell r="B5267">
            <v>2008</v>
          </cell>
          <cell r="D5267" t="str">
            <v>MILHO</v>
          </cell>
          <cell r="E5267">
            <v>0</v>
          </cell>
        </row>
        <row r="5268">
          <cell r="A5268" t="str">
            <v>GO</v>
          </cell>
          <cell r="B5268">
            <v>2008</v>
          </cell>
          <cell r="D5268" t="str">
            <v>MILHO</v>
          </cell>
          <cell r="E5268">
            <v>0</v>
          </cell>
        </row>
        <row r="5269">
          <cell r="A5269" t="str">
            <v>GO</v>
          </cell>
          <cell r="B5269">
            <v>2008</v>
          </cell>
          <cell r="D5269" t="str">
            <v>MILHO</v>
          </cell>
          <cell r="E5269">
            <v>0</v>
          </cell>
        </row>
        <row r="5270">
          <cell r="A5270" t="str">
            <v>GO</v>
          </cell>
          <cell r="B5270">
            <v>2008</v>
          </cell>
          <cell r="D5270" t="str">
            <v>MILHO</v>
          </cell>
          <cell r="E5270">
            <v>0</v>
          </cell>
        </row>
        <row r="5271">
          <cell r="A5271" t="str">
            <v>GO</v>
          </cell>
          <cell r="B5271">
            <v>2008</v>
          </cell>
          <cell r="D5271" t="str">
            <v>MILHO</v>
          </cell>
          <cell r="E5271">
            <v>0</v>
          </cell>
        </row>
        <row r="5272">
          <cell r="A5272" t="str">
            <v>GO</v>
          </cell>
          <cell r="B5272">
            <v>2008</v>
          </cell>
          <cell r="D5272" t="str">
            <v>MILHO</v>
          </cell>
          <cell r="E5272">
            <v>0</v>
          </cell>
        </row>
        <row r="5273">
          <cell r="A5273" t="str">
            <v>MS</v>
          </cell>
          <cell r="B5273">
            <v>2008</v>
          </cell>
          <cell r="D5273" t="str">
            <v>MILHO</v>
          </cell>
          <cell r="E5273">
            <v>0</v>
          </cell>
        </row>
        <row r="5274">
          <cell r="A5274" t="str">
            <v>MS</v>
          </cell>
          <cell r="B5274">
            <v>2008</v>
          </cell>
          <cell r="D5274" t="str">
            <v>MILHO</v>
          </cell>
          <cell r="E5274">
            <v>0</v>
          </cell>
        </row>
        <row r="5275">
          <cell r="A5275" t="str">
            <v>GO</v>
          </cell>
          <cell r="B5275">
            <v>2008</v>
          </cell>
          <cell r="D5275" t="str">
            <v>MILHO</v>
          </cell>
          <cell r="E5275">
            <v>0</v>
          </cell>
        </row>
        <row r="5276">
          <cell r="A5276" t="str">
            <v>GO</v>
          </cell>
          <cell r="B5276">
            <v>2008</v>
          </cell>
          <cell r="D5276" t="str">
            <v>MILHO</v>
          </cell>
          <cell r="E5276">
            <v>0</v>
          </cell>
        </row>
        <row r="5277">
          <cell r="A5277" t="str">
            <v>GO</v>
          </cell>
          <cell r="B5277">
            <v>2008</v>
          </cell>
          <cell r="D5277" t="str">
            <v>MILHO</v>
          </cell>
          <cell r="E5277">
            <v>0</v>
          </cell>
        </row>
        <row r="5278">
          <cell r="A5278" t="str">
            <v>GO</v>
          </cell>
          <cell r="B5278">
            <v>2008</v>
          </cell>
          <cell r="D5278" t="str">
            <v>MILHO</v>
          </cell>
          <cell r="E5278">
            <v>0</v>
          </cell>
        </row>
        <row r="5279">
          <cell r="A5279" t="str">
            <v>GO</v>
          </cell>
          <cell r="B5279">
            <v>2008</v>
          </cell>
          <cell r="D5279" t="str">
            <v>MILHO</v>
          </cell>
          <cell r="E5279">
            <v>10000</v>
          </cell>
        </row>
        <row r="5280">
          <cell r="A5280" t="str">
            <v>GO</v>
          </cell>
          <cell r="B5280">
            <v>2008</v>
          </cell>
          <cell r="D5280" t="str">
            <v>MILHO</v>
          </cell>
          <cell r="E5280">
            <v>4000</v>
          </cell>
        </row>
        <row r="5281">
          <cell r="A5281" t="str">
            <v>GO</v>
          </cell>
          <cell r="B5281">
            <v>2008</v>
          </cell>
          <cell r="D5281" t="str">
            <v>MILHO</v>
          </cell>
          <cell r="E5281">
            <v>5000</v>
          </cell>
        </row>
        <row r="5282">
          <cell r="A5282" t="str">
            <v>GO</v>
          </cell>
          <cell r="B5282">
            <v>2008</v>
          </cell>
          <cell r="D5282" t="str">
            <v>MILHO</v>
          </cell>
          <cell r="E5282">
            <v>5000</v>
          </cell>
        </row>
        <row r="5283">
          <cell r="A5283" t="str">
            <v>GO</v>
          </cell>
          <cell r="B5283">
            <v>2008</v>
          </cell>
          <cell r="D5283" t="str">
            <v>MILHO</v>
          </cell>
          <cell r="E5283">
            <v>25000</v>
          </cell>
        </row>
        <row r="5284">
          <cell r="A5284" t="str">
            <v>GO</v>
          </cell>
          <cell r="B5284">
            <v>2008</v>
          </cell>
          <cell r="D5284" t="str">
            <v>MILHO</v>
          </cell>
          <cell r="E5284">
            <v>20000</v>
          </cell>
        </row>
        <row r="5285">
          <cell r="A5285" t="str">
            <v>GO</v>
          </cell>
          <cell r="B5285">
            <v>2008</v>
          </cell>
          <cell r="D5285" t="str">
            <v>MILHO</v>
          </cell>
          <cell r="E5285">
            <v>21000</v>
          </cell>
        </row>
        <row r="5286">
          <cell r="A5286" t="str">
            <v>GO</v>
          </cell>
          <cell r="B5286">
            <v>2008</v>
          </cell>
          <cell r="D5286" t="str">
            <v>MILHO</v>
          </cell>
          <cell r="E5286">
            <v>5000</v>
          </cell>
        </row>
        <row r="5287">
          <cell r="A5287" t="str">
            <v>GO</v>
          </cell>
          <cell r="B5287">
            <v>2008</v>
          </cell>
          <cell r="D5287" t="str">
            <v>MILHO</v>
          </cell>
          <cell r="E5287">
            <v>2000</v>
          </cell>
        </row>
        <row r="5288">
          <cell r="A5288" t="str">
            <v>GO</v>
          </cell>
          <cell r="B5288">
            <v>2008</v>
          </cell>
          <cell r="D5288" t="str">
            <v>MILHO</v>
          </cell>
          <cell r="E5288">
            <v>5000</v>
          </cell>
        </row>
        <row r="5289">
          <cell r="A5289" t="str">
            <v>GO</v>
          </cell>
          <cell r="B5289">
            <v>2008</v>
          </cell>
          <cell r="D5289" t="str">
            <v>MILHO</v>
          </cell>
          <cell r="E5289">
            <v>4000</v>
          </cell>
        </row>
        <row r="5290">
          <cell r="A5290" t="str">
            <v>GO</v>
          </cell>
          <cell r="B5290">
            <v>2008</v>
          </cell>
          <cell r="D5290" t="str">
            <v>MILHO</v>
          </cell>
          <cell r="E5290">
            <v>32000</v>
          </cell>
        </row>
        <row r="5291">
          <cell r="A5291" t="str">
            <v>GO</v>
          </cell>
          <cell r="B5291">
            <v>2008</v>
          </cell>
          <cell r="D5291" t="str">
            <v>MILHO</v>
          </cell>
          <cell r="E5291">
            <v>21000</v>
          </cell>
        </row>
        <row r="5292">
          <cell r="A5292" t="str">
            <v>GO</v>
          </cell>
          <cell r="B5292">
            <v>2008</v>
          </cell>
          <cell r="D5292" t="str">
            <v>MILHO</v>
          </cell>
          <cell r="E5292">
            <v>10000</v>
          </cell>
        </row>
        <row r="5293">
          <cell r="A5293" t="str">
            <v>MT</v>
          </cell>
          <cell r="B5293">
            <v>2008</v>
          </cell>
          <cell r="D5293" t="str">
            <v>MILHO</v>
          </cell>
          <cell r="E5293">
            <v>0</v>
          </cell>
        </row>
        <row r="5294">
          <cell r="A5294" t="str">
            <v>MT</v>
          </cell>
          <cell r="B5294">
            <v>2008</v>
          </cell>
          <cell r="D5294" t="str">
            <v>MILHO</v>
          </cell>
          <cell r="E5294">
            <v>50000</v>
          </cell>
        </row>
        <row r="5295">
          <cell r="A5295" t="str">
            <v>MT</v>
          </cell>
          <cell r="B5295">
            <v>2008</v>
          </cell>
          <cell r="D5295" t="str">
            <v>MILHO</v>
          </cell>
          <cell r="E5295">
            <v>0</v>
          </cell>
        </row>
        <row r="5296">
          <cell r="A5296" t="str">
            <v>MT</v>
          </cell>
          <cell r="B5296">
            <v>2008</v>
          </cell>
          <cell r="D5296" t="str">
            <v>MILHO</v>
          </cell>
          <cell r="E5296">
            <v>0</v>
          </cell>
        </row>
        <row r="5297">
          <cell r="A5297" t="str">
            <v>MT</v>
          </cell>
          <cell r="B5297">
            <v>2008</v>
          </cell>
          <cell r="D5297" t="str">
            <v>MILHO</v>
          </cell>
          <cell r="E5297">
            <v>0</v>
          </cell>
        </row>
        <row r="5298">
          <cell r="A5298" t="str">
            <v>MT</v>
          </cell>
          <cell r="B5298">
            <v>2008</v>
          </cell>
          <cell r="D5298" t="str">
            <v>MILHO</v>
          </cell>
          <cell r="E5298">
            <v>0</v>
          </cell>
        </row>
        <row r="5299">
          <cell r="A5299" t="str">
            <v>MT</v>
          </cell>
          <cell r="B5299">
            <v>2008</v>
          </cell>
          <cell r="D5299" t="str">
            <v>MILHO</v>
          </cell>
          <cell r="E5299">
            <v>0</v>
          </cell>
        </row>
        <row r="5300">
          <cell r="A5300" t="str">
            <v>MT</v>
          </cell>
          <cell r="B5300">
            <v>2008</v>
          </cell>
          <cell r="D5300" t="str">
            <v>MILHO</v>
          </cell>
          <cell r="E5300">
            <v>0</v>
          </cell>
        </row>
        <row r="5301">
          <cell r="A5301" t="str">
            <v>MT</v>
          </cell>
          <cell r="B5301">
            <v>2008</v>
          </cell>
          <cell r="D5301" t="str">
            <v>MILHO</v>
          </cell>
          <cell r="E5301">
            <v>0</v>
          </cell>
        </row>
        <row r="5302">
          <cell r="A5302" t="str">
            <v>MT</v>
          </cell>
          <cell r="B5302">
            <v>2008</v>
          </cell>
          <cell r="D5302" t="str">
            <v>MILHO</v>
          </cell>
          <cell r="E5302">
            <v>30000</v>
          </cell>
        </row>
        <row r="5303">
          <cell r="A5303" t="str">
            <v>MT</v>
          </cell>
          <cell r="B5303">
            <v>2008</v>
          </cell>
          <cell r="D5303" t="str">
            <v>MILHO</v>
          </cell>
          <cell r="E5303">
            <v>0</v>
          </cell>
        </row>
        <row r="5304">
          <cell r="A5304" t="str">
            <v>MT</v>
          </cell>
          <cell r="B5304">
            <v>2008</v>
          </cell>
          <cell r="D5304" t="str">
            <v>MILHO</v>
          </cell>
          <cell r="E5304">
            <v>0</v>
          </cell>
        </row>
        <row r="5305">
          <cell r="A5305" t="str">
            <v>MT</v>
          </cell>
          <cell r="B5305">
            <v>2008</v>
          </cell>
          <cell r="D5305" t="str">
            <v>MILHO</v>
          </cell>
          <cell r="E5305">
            <v>0</v>
          </cell>
        </row>
        <row r="5306">
          <cell r="A5306" t="str">
            <v>MS</v>
          </cell>
          <cell r="B5306">
            <v>2008</v>
          </cell>
          <cell r="D5306" t="str">
            <v>MILHO</v>
          </cell>
          <cell r="E5306">
            <v>25000</v>
          </cell>
        </row>
        <row r="5307">
          <cell r="A5307" t="str">
            <v>MS</v>
          </cell>
          <cell r="B5307">
            <v>2008</v>
          </cell>
          <cell r="D5307" t="str">
            <v>MILHO</v>
          </cell>
          <cell r="E5307">
            <v>30000</v>
          </cell>
        </row>
        <row r="5308">
          <cell r="A5308" t="str">
            <v>MS</v>
          </cell>
          <cell r="B5308">
            <v>2008</v>
          </cell>
          <cell r="D5308" t="str">
            <v>MILHO</v>
          </cell>
          <cell r="E5308">
            <v>10000</v>
          </cell>
        </row>
        <row r="5309">
          <cell r="A5309" t="str">
            <v>MS</v>
          </cell>
          <cell r="B5309">
            <v>2008</v>
          </cell>
          <cell r="D5309" t="str">
            <v>MILHO</v>
          </cell>
          <cell r="E5309">
            <v>0</v>
          </cell>
        </row>
        <row r="5310">
          <cell r="A5310" t="str">
            <v>MS</v>
          </cell>
          <cell r="B5310">
            <v>2008</v>
          </cell>
          <cell r="D5310" t="str">
            <v>MILHO</v>
          </cell>
          <cell r="E5310">
            <v>0</v>
          </cell>
        </row>
        <row r="5311">
          <cell r="A5311" t="str">
            <v>MS</v>
          </cell>
          <cell r="B5311">
            <v>2008</v>
          </cell>
          <cell r="D5311" t="str">
            <v>MILHO</v>
          </cell>
          <cell r="E5311">
            <v>0</v>
          </cell>
        </row>
        <row r="5312">
          <cell r="A5312" t="str">
            <v>MS</v>
          </cell>
          <cell r="B5312">
            <v>2008</v>
          </cell>
          <cell r="D5312" t="str">
            <v>MILHO</v>
          </cell>
          <cell r="E5312">
            <v>0</v>
          </cell>
        </row>
        <row r="5313">
          <cell r="A5313" t="str">
            <v>MS</v>
          </cell>
          <cell r="B5313">
            <v>2008</v>
          </cell>
          <cell r="D5313" t="str">
            <v>MILHO</v>
          </cell>
          <cell r="E5313">
            <v>0</v>
          </cell>
        </row>
        <row r="5314">
          <cell r="A5314" t="str">
            <v>MS</v>
          </cell>
          <cell r="B5314">
            <v>2008</v>
          </cell>
          <cell r="D5314" t="str">
            <v>MILHO</v>
          </cell>
          <cell r="E5314">
            <v>0</v>
          </cell>
        </row>
        <row r="5315">
          <cell r="A5315" t="str">
            <v>MS</v>
          </cell>
          <cell r="B5315">
            <v>2008</v>
          </cell>
          <cell r="D5315" t="str">
            <v>MILHO</v>
          </cell>
          <cell r="E5315">
            <v>0</v>
          </cell>
        </row>
        <row r="5316">
          <cell r="A5316" t="str">
            <v>MS</v>
          </cell>
          <cell r="B5316">
            <v>2008</v>
          </cell>
          <cell r="D5316" t="str">
            <v>MILHO</v>
          </cell>
          <cell r="E5316">
            <v>0</v>
          </cell>
        </row>
        <row r="5317">
          <cell r="A5317" t="str">
            <v>MS</v>
          </cell>
          <cell r="B5317">
            <v>2008</v>
          </cell>
          <cell r="D5317" t="str">
            <v>MILHO</v>
          </cell>
          <cell r="E5317">
            <v>0</v>
          </cell>
        </row>
        <row r="5318">
          <cell r="A5318" t="str">
            <v>MS</v>
          </cell>
          <cell r="B5318">
            <v>2008</v>
          </cell>
          <cell r="D5318" t="str">
            <v>MILHO</v>
          </cell>
          <cell r="E5318">
            <v>0</v>
          </cell>
        </row>
        <row r="5319">
          <cell r="A5319" t="str">
            <v>MS</v>
          </cell>
          <cell r="B5319">
            <v>2008</v>
          </cell>
          <cell r="D5319" t="str">
            <v>MILHO</v>
          </cell>
          <cell r="E5319">
            <v>0</v>
          </cell>
        </row>
        <row r="5320">
          <cell r="A5320" t="str">
            <v>MS</v>
          </cell>
          <cell r="B5320">
            <v>2008</v>
          </cell>
          <cell r="D5320" t="str">
            <v>MILHO</v>
          </cell>
          <cell r="E5320">
            <v>11000</v>
          </cell>
        </row>
        <row r="5321">
          <cell r="A5321" t="str">
            <v>MS</v>
          </cell>
          <cell r="B5321">
            <v>2008</v>
          </cell>
          <cell r="D5321" t="str">
            <v>MILHO</v>
          </cell>
          <cell r="E5321">
            <v>16000</v>
          </cell>
        </row>
        <row r="5322">
          <cell r="A5322" t="str">
            <v>MS</v>
          </cell>
          <cell r="B5322">
            <v>2008</v>
          </cell>
          <cell r="D5322" t="str">
            <v>MILHO</v>
          </cell>
          <cell r="E5322">
            <v>13000</v>
          </cell>
        </row>
        <row r="5323">
          <cell r="A5323" t="str">
            <v>MS</v>
          </cell>
          <cell r="B5323">
            <v>2008</v>
          </cell>
          <cell r="D5323" t="str">
            <v>MILHO</v>
          </cell>
          <cell r="E5323">
            <v>0</v>
          </cell>
        </row>
        <row r="5324">
          <cell r="A5324" t="str">
            <v>MS</v>
          </cell>
          <cell r="B5324">
            <v>2008</v>
          </cell>
          <cell r="D5324" t="str">
            <v>MILHO</v>
          </cell>
          <cell r="E5324">
            <v>0</v>
          </cell>
        </row>
        <row r="5325">
          <cell r="A5325" t="str">
            <v>MS</v>
          </cell>
          <cell r="B5325">
            <v>2008</v>
          </cell>
          <cell r="D5325" t="str">
            <v>MILHO</v>
          </cell>
          <cell r="E5325">
            <v>8000</v>
          </cell>
        </row>
        <row r="5326">
          <cell r="A5326" t="str">
            <v>MS</v>
          </cell>
          <cell r="B5326">
            <v>2008</v>
          </cell>
          <cell r="D5326" t="str">
            <v>MILHO</v>
          </cell>
          <cell r="E5326">
            <v>11500</v>
          </cell>
        </row>
        <row r="5327">
          <cell r="A5327" t="str">
            <v>MS</v>
          </cell>
          <cell r="B5327">
            <v>2008</v>
          </cell>
          <cell r="D5327" t="str">
            <v>MILHO</v>
          </cell>
          <cell r="E5327">
            <v>9000</v>
          </cell>
        </row>
        <row r="5328">
          <cell r="A5328" t="str">
            <v>MS</v>
          </cell>
          <cell r="B5328">
            <v>2008</v>
          </cell>
          <cell r="D5328" t="str">
            <v>MILHO</v>
          </cell>
          <cell r="E5328">
            <v>1500</v>
          </cell>
        </row>
        <row r="5329">
          <cell r="A5329" t="str">
            <v>MS</v>
          </cell>
          <cell r="B5329">
            <v>2008</v>
          </cell>
          <cell r="D5329" t="str">
            <v>MILHO</v>
          </cell>
          <cell r="E5329">
            <v>0</v>
          </cell>
        </row>
        <row r="5330">
          <cell r="A5330" t="str">
            <v>MS</v>
          </cell>
          <cell r="B5330">
            <v>2008</v>
          </cell>
          <cell r="D5330" t="str">
            <v>MILHO</v>
          </cell>
          <cell r="E5330">
            <v>5000</v>
          </cell>
        </row>
        <row r="5331">
          <cell r="A5331" t="str">
            <v>MS</v>
          </cell>
          <cell r="B5331">
            <v>2008</v>
          </cell>
          <cell r="D5331" t="str">
            <v>MILHO</v>
          </cell>
          <cell r="E5331">
            <v>9500</v>
          </cell>
        </row>
        <row r="5332">
          <cell r="A5332" t="str">
            <v>MS</v>
          </cell>
          <cell r="B5332">
            <v>2008</v>
          </cell>
          <cell r="D5332" t="str">
            <v>MILHO</v>
          </cell>
          <cell r="E5332">
            <v>5500</v>
          </cell>
        </row>
        <row r="5333">
          <cell r="A5333" t="str">
            <v>MS</v>
          </cell>
          <cell r="B5333">
            <v>2008</v>
          </cell>
          <cell r="D5333" t="str">
            <v>MILHO</v>
          </cell>
          <cell r="E5333">
            <v>0</v>
          </cell>
        </row>
        <row r="5334">
          <cell r="A5334" t="str">
            <v>MS</v>
          </cell>
          <cell r="B5334">
            <v>2008</v>
          </cell>
          <cell r="D5334" t="str">
            <v>MILHO</v>
          </cell>
          <cell r="E5334">
            <v>0</v>
          </cell>
        </row>
        <row r="5335">
          <cell r="A5335" t="str">
            <v>MT</v>
          </cell>
          <cell r="B5335">
            <v>2008</v>
          </cell>
          <cell r="D5335" t="str">
            <v>MILHO</v>
          </cell>
          <cell r="E5335">
            <v>5000</v>
          </cell>
        </row>
        <row r="5336">
          <cell r="A5336" t="str">
            <v>MT</v>
          </cell>
          <cell r="B5336">
            <v>2008</v>
          </cell>
          <cell r="D5336" t="str">
            <v>MILHO</v>
          </cell>
          <cell r="E5336">
            <v>5000</v>
          </cell>
        </row>
        <row r="5337">
          <cell r="A5337" t="str">
            <v>MT</v>
          </cell>
          <cell r="B5337">
            <v>2008</v>
          </cell>
          <cell r="D5337" t="str">
            <v>MILHO</v>
          </cell>
          <cell r="E5337">
            <v>0</v>
          </cell>
        </row>
        <row r="5338">
          <cell r="A5338" t="str">
            <v>MT</v>
          </cell>
          <cell r="B5338">
            <v>2008</v>
          </cell>
          <cell r="D5338" t="str">
            <v>MILHO</v>
          </cell>
          <cell r="E5338">
            <v>0</v>
          </cell>
        </row>
        <row r="5339">
          <cell r="A5339" t="str">
            <v>MT</v>
          </cell>
          <cell r="B5339">
            <v>2008</v>
          </cell>
          <cell r="D5339" t="str">
            <v>MILHO</v>
          </cell>
          <cell r="E5339">
            <v>0</v>
          </cell>
        </row>
        <row r="5340">
          <cell r="A5340" t="str">
            <v>MT</v>
          </cell>
          <cell r="B5340">
            <v>2008</v>
          </cell>
          <cell r="D5340" t="str">
            <v>MILHO</v>
          </cell>
          <cell r="E5340">
            <v>0</v>
          </cell>
        </row>
        <row r="5341">
          <cell r="A5341" t="str">
            <v>MT</v>
          </cell>
          <cell r="B5341">
            <v>2008</v>
          </cell>
          <cell r="D5341" t="str">
            <v>MILHO</v>
          </cell>
          <cell r="E5341">
            <v>0</v>
          </cell>
        </row>
        <row r="5342">
          <cell r="A5342" t="str">
            <v>MT</v>
          </cell>
          <cell r="B5342">
            <v>2008</v>
          </cell>
          <cell r="D5342" t="str">
            <v>MILHO</v>
          </cell>
          <cell r="E5342">
            <v>11000</v>
          </cell>
        </row>
        <row r="5343">
          <cell r="A5343" t="str">
            <v>MT</v>
          </cell>
          <cell r="B5343">
            <v>2008</v>
          </cell>
          <cell r="D5343" t="str">
            <v>MILHO</v>
          </cell>
          <cell r="E5343">
            <v>80000</v>
          </cell>
        </row>
        <row r="5344">
          <cell r="A5344" t="str">
            <v>MT</v>
          </cell>
          <cell r="B5344">
            <v>2008</v>
          </cell>
          <cell r="D5344" t="str">
            <v>MILHO</v>
          </cell>
          <cell r="E5344">
            <v>59000</v>
          </cell>
        </row>
        <row r="5345">
          <cell r="A5345" t="str">
            <v>MT</v>
          </cell>
          <cell r="B5345">
            <v>2008</v>
          </cell>
          <cell r="D5345" t="str">
            <v>MILHO</v>
          </cell>
          <cell r="E5345">
            <v>0</v>
          </cell>
        </row>
        <row r="5346">
          <cell r="A5346" t="str">
            <v>MT</v>
          </cell>
          <cell r="B5346">
            <v>2008</v>
          </cell>
          <cell r="D5346" t="str">
            <v>MILHO</v>
          </cell>
          <cell r="E5346">
            <v>0</v>
          </cell>
        </row>
        <row r="5347">
          <cell r="A5347" t="str">
            <v>MT</v>
          </cell>
          <cell r="B5347">
            <v>2008</v>
          </cell>
          <cell r="D5347" t="str">
            <v>MILHO</v>
          </cell>
          <cell r="E5347">
            <v>0</v>
          </cell>
        </row>
        <row r="5348">
          <cell r="A5348" t="str">
            <v>MT</v>
          </cell>
          <cell r="B5348">
            <v>2008</v>
          </cell>
          <cell r="D5348" t="str">
            <v>MILHO</v>
          </cell>
          <cell r="E5348">
            <v>0</v>
          </cell>
        </row>
        <row r="5349">
          <cell r="A5349" t="str">
            <v>MT</v>
          </cell>
          <cell r="B5349">
            <v>2008</v>
          </cell>
          <cell r="D5349" t="str">
            <v>MILHO</v>
          </cell>
          <cell r="E5349">
            <v>0</v>
          </cell>
        </row>
        <row r="5350">
          <cell r="A5350" t="str">
            <v>MT</v>
          </cell>
          <cell r="B5350">
            <v>2008</v>
          </cell>
          <cell r="D5350" t="str">
            <v>MILHO</v>
          </cell>
          <cell r="E5350">
            <v>25000</v>
          </cell>
        </row>
        <row r="5351">
          <cell r="A5351" t="str">
            <v>MT</v>
          </cell>
          <cell r="B5351">
            <v>2008</v>
          </cell>
          <cell r="D5351" t="str">
            <v>MILHO</v>
          </cell>
          <cell r="E5351">
            <v>35000</v>
          </cell>
        </row>
        <row r="5352">
          <cell r="A5352" t="str">
            <v>MT</v>
          </cell>
          <cell r="B5352">
            <v>2008</v>
          </cell>
          <cell r="D5352" t="str">
            <v>MILHO</v>
          </cell>
          <cell r="E5352">
            <v>0</v>
          </cell>
        </row>
        <row r="5353">
          <cell r="A5353" t="str">
            <v>MT</v>
          </cell>
          <cell r="B5353">
            <v>2008</v>
          </cell>
          <cell r="D5353" t="str">
            <v>MILHO</v>
          </cell>
          <cell r="E5353">
            <v>0</v>
          </cell>
        </row>
        <row r="5354">
          <cell r="A5354" t="str">
            <v>MT</v>
          </cell>
          <cell r="B5354">
            <v>2008</v>
          </cell>
          <cell r="D5354" t="str">
            <v>MILHO</v>
          </cell>
          <cell r="E5354">
            <v>0</v>
          </cell>
        </row>
        <row r="5355">
          <cell r="A5355" t="str">
            <v>MT</v>
          </cell>
          <cell r="B5355">
            <v>2008</v>
          </cell>
          <cell r="D5355" t="str">
            <v>MILHO</v>
          </cell>
          <cell r="E5355">
            <v>0</v>
          </cell>
        </row>
        <row r="5356">
          <cell r="A5356" t="str">
            <v>MT</v>
          </cell>
          <cell r="B5356">
            <v>2008</v>
          </cell>
          <cell r="D5356" t="str">
            <v>MILHO</v>
          </cell>
          <cell r="E5356">
            <v>0</v>
          </cell>
        </row>
        <row r="5357">
          <cell r="A5357" t="str">
            <v>MT</v>
          </cell>
          <cell r="B5357">
            <v>2008</v>
          </cell>
          <cell r="D5357" t="str">
            <v>MILHO</v>
          </cell>
          <cell r="E5357">
            <v>0</v>
          </cell>
        </row>
        <row r="5358">
          <cell r="A5358" t="str">
            <v>MT</v>
          </cell>
          <cell r="B5358">
            <v>2008</v>
          </cell>
          <cell r="D5358" t="str">
            <v>MILHO</v>
          </cell>
          <cell r="E5358">
            <v>0</v>
          </cell>
        </row>
        <row r="5359">
          <cell r="A5359" t="str">
            <v>MT</v>
          </cell>
          <cell r="B5359">
            <v>2008</v>
          </cell>
          <cell r="D5359" t="str">
            <v>MILHO</v>
          </cell>
          <cell r="E5359">
            <v>10000</v>
          </cell>
        </row>
        <row r="5360">
          <cell r="A5360" t="str">
            <v>MT</v>
          </cell>
          <cell r="B5360">
            <v>2008</v>
          </cell>
          <cell r="D5360" t="str">
            <v>MILHO</v>
          </cell>
          <cell r="E5360">
            <v>20000</v>
          </cell>
        </row>
        <row r="5361">
          <cell r="A5361" t="str">
            <v>MT</v>
          </cell>
          <cell r="B5361">
            <v>2008</v>
          </cell>
          <cell r="D5361" t="str">
            <v>MILHO</v>
          </cell>
          <cell r="E5361">
            <v>0</v>
          </cell>
        </row>
        <row r="5362">
          <cell r="A5362" t="str">
            <v>MT</v>
          </cell>
          <cell r="B5362">
            <v>2008</v>
          </cell>
          <cell r="D5362" t="str">
            <v>MILHO</v>
          </cell>
          <cell r="E5362">
            <v>0</v>
          </cell>
        </row>
        <row r="5363">
          <cell r="A5363" t="str">
            <v>MT</v>
          </cell>
          <cell r="B5363">
            <v>2008</v>
          </cell>
          <cell r="D5363" t="str">
            <v>MILHO</v>
          </cell>
          <cell r="E5363">
            <v>0</v>
          </cell>
        </row>
        <row r="5364">
          <cell r="A5364" t="str">
            <v>MT</v>
          </cell>
          <cell r="B5364">
            <v>2008</v>
          </cell>
          <cell r="D5364" t="str">
            <v>MILHO</v>
          </cell>
          <cell r="E5364">
            <v>0</v>
          </cell>
        </row>
        <row r="5365">
          <cell r="A5365" t="str">
            <v>MT</v>
          </cell>
          <cell r="B5365">
            <v>2008</v>
          </cell>
          <cell r="D5365" t="str">
            <v>MILHO</v>
          </cell>
          <cell r="E5365">
            <v>10000</v>
          </cell>
        </row>
        <row r="5366">
          <cell r="A5366" t="str">
            <v>MT</v>
          </cell>
          <cell r="B5366">
            <v>2008</v>
          </cell>
          <cell r="D5366" t="str">
            <v>MILHO</v>
          </cell>
          <cell r="E5366">
            <v>10000</v>
          </cell>
        </row>
        <row r="5367">
          <cell r="A5367" t="str">
            <v>MT</v>
          </cell>
          <cell r="B5367">
            <v>2008</v>
          </cell>
          <cell r="D5367" t="str">
            <v>MILHO</v>
          </cell>
          <cell r="E5367">
            <v>0</v>
          </cell>
        </row>
        <row r="5368">
          <cell r="A5368" t="str">
            <v>MT</v>
          </cell>
          <cell r="B5368">
            <v>2008</v>
          </cell>
          <cell r="D5368" t="str">
            <v>MILHO</v>
          </cell>
          <cell r="E5368">
            <v>0</v>
          </cell>
        </row>
        <row r="5369">
          <cell r="A5369" t="str">
            <v>MT</v>
          </cell>
          <cell r="B5369">
            <v>2008</v>
          </cell>
          <cell r="D5369" t="str">
            <v>MILHO</v>
          </cell>
          <cell r="E5369">
            <v>0</v>
          </cell>
        </row>
        <row r="5370">
          <cell r="A5370" t="str">
            <v>MT</v>
          </cell>
          <cell r="B5370">
            <v>2008</v>
          </cell>
          <cell r="D5370" t="str">
            <v>MILHO</v>
          </cell>
          <cell r="E5370">
            <v>0</v>
          </cell>
        </row>
        <row r="5371">
          <cell r="A5371" t="str">
            <v>MT</v>
          </cell>
          <cell r="B5371">
            <v>2008</v>
          </cell>
          <cell r="D5371" t="str">
            <v>MILHO</v>
          </cell>
          <cell r="E5371">
            <v>15000</v>
          </cell>
        </row>
        <row r="5372">
          <cell r="A5372" t="str">
            <v>MT</v>
          </cell>
          <cell r="B5372">
            <v>2008</v>
          </cell>
          <cell r="D5372" t="str">
            <v>MILHO</v>
          </cell>
          <cell r="E5372">
            <v>15000</v>
          </cell>
        </row>
        <row r="5373">
          <cell r="A5373" t="str">
            <v>MT</v>
          </cell>
          <cell r="B5373">
            <v>2008</v>
          </cell>
          <cell r="D5373" t="str">
            <v>MILHO</v>
          </cell>
          <cell r="E5373">
            <v>0</v>
          </cell>
        </row>
        <row r="5374">
          <cell r="A5374" t="str">
            <v>MT</v>
          </cell>
          <cell r="B5374">
            <v>2008</v>
          </cell>
          <cell r="D5374" t="str">
            <v>MILHO</v>
          </cell>
          <cell r="E5374">
            <v>0</v>
          </cell>
        </row>
        <row r="5375">
          <cell r="A5375" t="str">
            <v>MT</v>
          </cell>
          <cell r="B5375">
            <v>2008</v>
          </cell>
          <cell r="D5375" t="str">
            <v>MILHO</v>
          </cell>
          <cell r="E5375">
            <v>0</v>
          </cell>
        </row>
        <row r="5376">
          <cell r="A5376" t="str">
            <v>MT</v>
          </cell>
          <cell r="B5376">
            <v>2008</v>
          </cell>
          <cell r="D5376" t="str">
            <v>MILHO</v>
          </cell>
          <cell r="E5376">
            <v>0</v>
          </cell>
        </row>
        <row r="5377">
          <cell r="A5377" t="str">
            <v>MT</v>
          </cell>
          <cell r="B5377">
            <v>2008</v>
          </cell>
          <cell r="D5377" t="str">
            <v>MILHO</v>
          </cell>
          <cell r="E5377">
            <v>0</v>
          </cell>
        </row>
        <row r="5378">
          <cell r="A5378" t="str">
            <v>MT</v>
          </cell>
          <cell r="B5378">
            <v>2008</v>
          </cell>
          <cell r="D5378" t="str">
            <v>MILHO</v>
          </cell>
          <cell r="E5378">
            <v>15000</v>
          </cell>
        </row>
        <row r="5379">
          <cell r="A5379" t="str">
            <v>MT</v>
          </cell>
          <cell r="B5379">
            <v>2008</v>
          </cell>
          <cell r="D5379" t="str">
            <v>MILHO</v>
          </cell>
          <cell r="E5379">
            <v>15000</v>
          </cell>
        </row>
        <row r="5380">
          <cell r="A5380" t="str">
            <v>MT</v>
          </cell>
          <cell r="B5380">
            <v>2008</v>
          </cell>
          <cell r="D5380" t="str">
            <v>MILHO</v>
          </cell>
          <cell r="E5380">
            <v>0</v>
          </cell>
        </row>
        <row r="5381">
          <cell r="A5381" t="str">
            <v>MT</v>
          </cell>
          <cell r="B5381">
            <v>2008</v>
          </cell>
          <cell r="D5381" t="str">
            <v>MILHO</v>
          </cell>
          <cell r="E5381">
            <v>0</v>
          </cell>
        </row>
        <row r="5382">
          <cell r="A5382" t="str">
            <v>MT</v>
          </cell>
          <cell r="B5382">
            <v>2008</v>
          </cell>
          <cell r="D5382" t="str">
            <v>MILHO</v>
          </cell>
          <cell r="E5382">
            <v>0</v>
          </cell>
        </row>
        <row r="5383">
          <cell r="A5383" t="str">
            <v>MT</v>
          </cell>
          <cell r="B5383">
            <v>2008</v>
          </cell>
          <cell r="D5383" t="str">
            <v>MILHO</v>
          </cell>
          <cell r="E5383">
            <v>0</v>
          </cell>
        </row>
        <row r="5384">
          <cell r="A5384" t="str">
            <v>MT</v>
          </cell>
          <cell r="B5384">
            <v>2008</v>
          </cell>
          <cell r="D5384" t="str">
            <v>MILHO</v>
          </cell>
          <cell r="E5384">
            <v>0</v>
          </cell>
        </row>
        <row r="5385">
          <cell r="A5385" t="str">
            <v>MT</v>
          </cell>
          <cell r="B5385">
            <v>2008</v>
          </cell>
          <cell r="D5385" t="str">
            <v>MILHO</v>
          </cell>
          <cell r="E5385">
            <v>6000</v>
          </cell>
        </row>
        <row r="5386">
          <cell r="A5386" t="str">
            <v>MT</v>
          </cell>
          <cell r="B5386">
            <v>2008</v>
          </cell>
          <cell r="D5386" t="str">
            <v>MILHO</v>
          </cell>
          <cell r="E5386">
            <v>17000</v>
          </cell>
        </row>
        <row r="5387">
          <cell r="A5387" t="str">
            <v>MT</v>
          </cell>
          <cell r="B5387">
            <v>2008</v>
          </cell>
          <cell r="D5387" t="str">
            <v>MILHO</v>
          </cell>
          <cell r="E5387">
            <v>19900</v>
          </cell>
        </row>
        <row r="5388">
          <cell r="A5388" t="str">
            <v>MT</v>
          </cell>
          <cell r="B5388">
            <v>2008</v>
          </cell>
          <cell r="D5388" t="str">
            <v>MILHO</v>
          </cell>
          <cell r="E5388">
            <v>8000</v>
          </cell>
        </row>
        <row r="5389">
          <cell r="A5389" t="str">
            <v>MT</v>
          </cell>
          <cell r="B5389">
            <v>2008</v>
          </cell>
          <cell r="D5389" t="str">
            <v>MILHO</v>
          </cell>
          <cell r="E5389">
            <v>4600</v>
          </cell>
        </row>
        <row r="5390">
          <cell r="A5390" t="str">
            <v>MT</v>
          </cell>
          <cell r="B5390">
            <v>2008</v>
          </cell>
          <cell r="D5390" t="str">
            <v>MILHO</v>
          </cell>
          <cell r="E5390">
            <v>0</v>
          </cell>
        </row>
        <row r="5391">
          <cell r="A5391" t="str">
            <v>MT</v>
          </cell>
          <cell r="B5391">
            <v>2008</v>
          </cell>
          <cell r="D5391" t="str">
            <v>MILHO</v>
          </cell>
          <cell r="E5391">
            <v>0</v>
          </cell>
        </row>
        <row r="5392">
          <cell r="A5392" t="str">
            <v>MT</v>
          </cell>
          <cell r="B5392">
            <v>2008</v>
          </cell>
          <cell r="D5392" t="str">
            <v>MILHO</v>
          </cell>
          <cell r="E5392">
            <v>0</v>
          </cell>
        </row>
        <row r="5393">
          <cell r="A5393" t="str">
            <v>MT</v>
          </cell>
          <cell r="B5393">
            <v>2008</v>
          </cell>
          <cell r="D5393" t="str">
            <v>MILHO</v>
          </cell>
          <cell r="E5393">
            <v>0</v>
          </cell>
        </row>
        <row r="5394">
          <cell r="A5394" t="str">
            <v>MT</v>
          </cell>
          <cell r="B5394">
            <v>2008</v>
          </cell>
          <cell r="D5394" t="str">
            <v>MILHO</v>
          </cell>
          <cell r="E5394">
            <v>0</v>
          </cell>
        </row>
        <row r="5395">
          <cell r="A5395" t="str">
            <v>MT</v>
          </cell>
          <cell r="B5395">
            <v>2008</v>
          </cell>
          <cell r="D5395" t="str">
            <v>MILHO</v>
          </cell>
          <cell r="E5395">
            <v>0</v>
          </cell>
        </row>
        <row r="5396">
          <cell r="A5396" t="str">
            <v>MT</v>
          </cell>
          <cell r="B5396">
            <v>2008</v>
          </cell>
          <cell r="D5396" t="str">
            <v>MILHO</v>
          </cell>
          <cell r="E5396">
            <v>0</v>
          </cell>
        </row>
        <row r="5397">
          <cell r="A5397" t="str">
            <v>MT</v>
          </cell>
          <cell r="B5397">
            <v>2008</v>
          </cell>
          <cell r="D5397" t="str">
            <v>MILHO</v>
          </cell>
          <cell r="E5397">
            <v>0</v>
          </cell>
        </row>
        <row r="5398">
          <cell r="A5398" t="str">
            <v>MT</v>
          </cell>
          <cell r="B5398">
            <v>2008</v>
          </cell>
          <cell r="D5398" t="str">
            <v>MILHO</v>
          </cell>
          <cell r="E5398">
            <v>0</v>
          </cell>
        </row>
        <row r="5399">
          <cell r="A5399" t="str">
            <v>MT</v>
          </cell>
          <cell r="B5399">
            <v>2008</v>
          </cell>
          <cell r="D5399" t="str">
            <v>MILHO</v>
          </cell>
          <cell r="E5399">
            <v>0</v>
          </cell>
        </row>
        <row r="5400">
          <cell r="A5400" t="str">
            <v>MT</v>
          </cell>
          <cell r="B5400">
            <v>2008</v>
          </cell>
          <cell r="D5400" t="str">
            <v>MILHO</v>
          </cell>
          <cell r="E5400">
            <v>0</v>
          </cell>
        </row>
        <row r="5401">
          <cell r="A5401" t="str">
            <v>MT</v>
          </cell>
          <cell r="B5401">
            <v>2008</v>
          </cell>
          <cell r="D5401" t="str">
            <v>MILHO</v>
          </cell>
          <cell r="E5401">
            <v>0</v>
          </cell>
        </row>
        <row r="5402">
          <cell r="A5402" t="str">
            <v>MT</v>
          </cell>
          <cell r="B5402">
            <v>2008</v>
          </cell>
          <cell r="D5402" t="str">
            <v>MILHO</v>
          </cell>
          <cell r="E5402">
            <v>0</v>
          </cell>
        </row>
        <row r="5403">
          <cell r="A5403" t="str">
            <v>MT</v>
          </cell>
          <cell r="B5403">
            <v>2008</v>
          </cell>
          <cell r="D5403" t="str">
            <v>MILHO</v>
          </cell>
          <cell r="E5403">
            <v>0</v>
          </cell>
        </row>
        <row r="5404">
          <cell r="A5404" t="str">
            <v>MT</v>
          </cell>
          <cell r="B5404">
            <v>2008</v>
          </cell>
          <cell r="D5404" t="str">
            <v>MILHO</v>
          </cell>
          <cell r="E5404">
            <v>15000</v>
          </cell>
        </row>
        <row r="5405">
          <cell r="A5405" t="str">
            <v>MT</v>
          </cell>
          <cell r="B5405">
            <v>2008</v>
          </cell>
          <cell r="D5405" t="str">
            <v>MILHO</v>
          </cell>
          <cell r="E5405">
            <v>35000</v>
          </cell>
        </row>
        <row r="5406">
          <cell r="A5406" t="str">
            <v>MT</v>
          </cell>
          <cell r="B5406">
            <v>2008</v>
          </cell>
          <cell r="D5406" t="str">
            <v>MILHO</v>
          </cell>
          <cell r="E5406">
            <v>0</v>
          </cell>
        </row>
        <row r="5407">
          <cell r="A5407" t="str">
            <v>MT</v>
          </cell>
          <cell r="B5407">
            <v>2008</v>
          </cell>
          <cell r="D5407" t="str">
            <v>MILHO</v>
          </cell>
          <cell r="E5407">
            <v>16000</v>
          </cell>
        </row>
        <row r="5408">
          <cell r="A5408" t="str">
            <v>MT</v>
          </cell>
          <cell r="B5408">
            <v>2008</v>
          </cell>
          <cell r="D5408" t="str">
            <v>MILHO</v>
          </cell>
          <cell r="E5408">
            <v>25000</v>
          </cell>
        </row>
        <row r="5409">
          <cell r="A5409" t="str">
            <v>MT</v>
          </cell>
          <cell r="B5409">
            <v>2008</v>
          </cell>
          <cell r="D5409" t="str">
            <v>MILHO</v>
          </cell>
          <cell r="E5409">
            <v>4000</v>
          </cell>
        </row>
        <row r="5410">
          <cell r="A5410" t="str">
            <v>MT</v>
          </cell>
          <cell r="B5410">
            <v>2008</v>
          </cell>
          <cell r="D5410" t="str">
            <v>MILHO</v>
          </cell>
          <cell r="E5410">
            <v>0</v>
          </cell>
        </row>
        <row r="5411">
          <cell r="A5411" t="str">
            <v>MT</v>
          </cell>
          <cell r="B5411">
            <v>2008</v>
          </cell>
          <cell r="D5411" t="str">
            <v>MILHO</v>
          </cell>
          <cell r="E5411">
            <v>8000</v>
          </cell>
        </row>
        <row r="5412">
          <cell r="A5412" t="str">
            <v>MT</v>
          </cell>
          <cell r="B5412">
            <v>2008</v>
          </cell>
          <cell r="D5412" t="str">
            <v>MILHO</v>
          </cell>
          <cell r="E5412">
            <v>12000</v>
          </cell>
        </row>
        <row r="5413">
          <cell r="A5413" t="str">
            <v>MT</v>
          </cell>
          <cell r="B5413">
            <v>2008</v>
          </cell>
          <cell r="D5413" t="str">
            <v>MILHO</v>
          </cell>
          <cell r="E5413">
            <v>0</v>
          </cell>
        </row>
        <row r="5414">
          <cell r="A5414" t="str">
            <v>MT</v>
          </cell>
          <cell r="B5414">
            <v>2008</v>
          </cell>
          <cell r="D5414" t="str">
            <v>MILHO</v>
          </cell>
          <cell r="E5414">
            <v>0</v>
          </cell>
        </row>
        <row r="5415">
          <cell r="A5415" t="str">
            <v>MT</v>
          </cell>
          <cell r="B5415">
            <v>2008</v>
          </cell>
          <cell r="D5415" t="str">
            <v>MILHO</v>
          </cell>
          <cell r="E5415">
            <v>16500</v>
          </cell>
        </row>
        <row r="5416">
          <cell r="A5416" t="str">
            <v>MT</v>
          </cell>
          <cell r="B5416">
            <v>2008</v>
          </cell>
          <cell r="D5416" t="str">
            <v>MILHO</v>
          </cell>
          <cell r="E5416">
            <v>30000</v>
          </cell>
        </row>
        <row r="5417">
          <cell r="A5417" t="str">
            <v>MT</v>
          </cell>
          <cell r="B5417">
            <v>2008</v>
          </cell>
          <cell r="D5417" t="str">
            <v>MILHO</v>
          </cell>
          <cell r="E5417">
            <v>3500</v>
          </cell>
        </row>
        <row r="5418">
          <cell r="A5418" t="str">
            <v>MT</v>
          </cell>
          <cell r="B5418">
            <v>2008</v>
          </cell>
          <cell r="D5418" t="str">
            <v>MILHO</v>
          </cell>
          <cell r="E5418">
            <v>0</v>
          </cell>
        </row>
        <row r="5419">
          <cell r="A5419" t="str">
            <v>MT</v>
          </cell>
          <cell r="B5419">
            <v>2008</v>
          </cell>
          <cell r="D5419" t="str">
            <v>MILHO</v>
          </cell>
          <cell r="E5419">
            <v>0</v>
          </cell>
        </row>
        <row r="5420">
          <cell r="A5420" t="str">
            <v>MT</v>
          </cell>
          <cell r="B5420">
            <v>2008</v>
          </cell>
          <cell r="D5420" t="str">
            <v>MILHO</v>
          </cell>
          <cell r="E5420">
            <v>6000</v>
          </cell>
        </row>
        <row r="5421">
          <cell r="A5421" t="str">
            <v>MT</v>
          </cell>
          <cell r="B5421">
            <v>2008</v>
          </cell>
          <cell r="D5421" t="str">
            <v>MILHO</v>
          </cell>
          <cell r="E5421">
            <v>2500</v>
          </cell>
        </row>
        <row r="5422">
          <cell r="A5422" t="str">
            <v>MT</v>
          </cell>
          <cell r="B5422">
            <v>2008</v>
          </cell>
          <cell r="D5422" t="str">
            <v>MILHO</v>
          </cell>
          <cell r="E5422">
            <v>1500</v>
          </cell>
        </row>
        <row r="5423">
          <cell r="A5423" t="str">
            <v>MT</v>
          </cell>
          <cell r="B5423">
            <v>2008</v>
          </cell>
          <cell r="D5423" t="str">
            <v>MILHO</v>
          </cell>
          <cell r="E5423">
            <v>0</v>
          </cell>
        </row>
        <row r="5424">
          <cell r="A5424" t="str">
            <v>MT</v>
          </cell>
          <cell r="B5424">
            <v>2008</v>
          </cell>
          <cell r="D5424" t="str">
            <v>MILHO</v>
          </cell>
          <cell r="E5424">
            <v>14000</v>
          </cell>
        </row>
        <row r="5425">
          <cell r="A5425" t="str">
            <v>MT</v>
          </cell>
          <cell r="B5425">
            <v>2008</v>
          </cell>
          <cell r="D5425" t="str">
            <v>MILHO</v>
          </cell>
          <cell r="E5425">
            <v>12500</v>
          </cell>
        </row>
        <row r="5426">
          <cell r="A5426" t="str">
            <v>MT</v>
          </cell>
          <cell r="B5426">
            <v>2008</v>
          </cell>
          <cell r="D5426" t="str">
            <v>MILHO</v>
          </cell>
          <cell r="E5426">
            <v>13500</v>
          </cell>
        </row>
        <row r="5427">
          <cell r="A5427" t="str">
            <v>MT</v>
          </cell>
          <cell r="B5427">
            <v>2008</v>
          </cell>
          <cell r="D5427" t="str">
            <v>MILHO</v>
          </cell>
          <cell r="E5427">
            <v>0</v>
          </cell>
        </row>
        <row r="5428">
          <cell r="A5428" t="str">
            <v>PR</v>
          </cell>
          <cell r="B5428">
            <v>2008</v>
          </cell>
          <cell r="D5428" t="str">
            <v>MILHO</v>
          </cell>
          <cell r="E5428">
            <v>3000</v>
          </cell>
        </row>
        <row r="5429">
          <cell r="A5429" t="str">
            <v>PR</v>
          </cell>
          <cell r="B5429">
            <v>2008</v>
          </cell>
          <cell r="D5429" t="str">
            <v>MILHO</v>
          </cell>
          <cell r="E5429">
            <v>0</v>
          </cell>
        </row>
        <row r="5430">
          <cell r="A5430" t="str">
            <v>PR</v>
          </cell>
          <cell r="B5430">
            <v>2008</v>
          </cell>
          <cell r="D5430" t="str">
            <v>MILHO</v>
          </cell>
          <cell r="E5430">
            <v>0</v>
          </cell>
        </row>
        <row r="5431">
          <cell r="A5431" t="str">
            <v>PR</v>
          </cell>
          <cell r="B5431">
            <v>2008</v>
          </cell>
          <cell r="D5431" t="str">
            <v>MILHO</v>
          </cell>
          <cell r="E5431">
            <v>0</v>
          </cell>
        </row>
        <row r="5432">
          <cell r="A5432" t="str">
            <v>PR</v>
          </cell>
          <cell r="B5432">
            <v>2008</v>
          </cell>
          <cell r="D5432" t="str">
            <v>MILHO</v>
          </cell>
          <cell r="E5432">
            <v>0</v>
          </cell>
        </row>
        <row r="5433">
          <cell r="A5433" t="str">
            <v>PR</v>
          </cell>
          <cell r="B5433">
            <v>2008</v>
          </cell>
          <cell r="D5433" t="str">
            <v>MILHO</v>
          </cell>
          <cell r="E5433">
            <v>1000</v>
          </cell>
        </row>
        <row r="5434">
          <cell r="A5434" t="str">
            <v>PR</v>
          </cell>
          <cell r="B5434">
            <v>2008</v>
          </cell>
          <cell r="D5434" t="str">
            <v>MILHO</v>
          </cell>
          <cell r="E5434">
            <v>9000</v>
          </cell>
        </row>
        <row r="5435">
          <cell r="A5435" t="str">
            <v>PR</v>
          </cell>
          <cell r="B5435">
            <v>2008</v>
          </cell>
          <cell r="D5435" t="str">
            <v>MILHO</v>
          </cell>
          <cell r="E5435">
            <v>2000</v>
          </cell>
        </row>
        <row r="5436">
          <cell r="A5436" t="str">
            <v>PR</v>
          </cell>
          <cell r="B5436">
            <v>2008</v>
          </cell>
          <cell r="D5436" t="str">
            <v>MILHO</v>
          </cell>
          <cell r="E5436">
            <v>0</v>
          </cell>
        </row>
        <row r="5437">
          <cell r="A5437" t="str">
            <v>PR</v>
          </cell>
          <cell r="B5437">
            <v>2008</v>
          </cell>
          <cell r="D5437" t="str">
            <v>MILHO</v>
          </cell>
          <cell r="E5437">
            <v>0</v>
          </cell>
        </row>
        <row r="5438">
          <cell r="A5438" t="str">
            <v>PR</v>
          </cell>
          <cell r="B5438">
            <v>2008</v>
          </cell>
          <cell r="D5438" t="str">
            <v>MILHO</v>
          </cell>
          <cell r="E5438">
            <v>0</v>
          </cell>
        </row>
        <row r="5439">
          <cell r="A5439" t="str">
            <v>PR</v>
          </cell>
          <cell r="B5439">
            <v>2008</v>
          </cell>
          <cell r="D5439" t="str">
            <v>MILHO</v>
          </cell>
          <cell r="E5439">
            <v>3000</v>
          </cell>
        </row>
        <row r="5440">
          <cell r="A5440" t="str">
            <v>PR</v>
          </cell>
          <cell r="B5440">
            <v>2008</v>
          </cell>
          <cell r="D5440" t="str">
            <v>MILHO</v>
          </cell>
          <cell r="E5440">
            <v>0</v>
          </cell>
        </row>
        <row r="5441">
          <cell r="A5441" t="str">
            <v>PR</v>
          </cell>
          <cell r="B5441">
            <v>2008</v>
          </cell>
          <cell r="D5441" t="str">
            <v>MILHO</v>
          </cell>
          <cell r="E5441">
            <v>0</v>
          </cell>
        </row>
        <row r="5442">
          <cell r="A5442" t="str">
            <v>PR</v>
          </cell>
          <cell r="B5442">
            <v>2008</v>
          </cell>
          <cell r="D5442" t="str">
            <v>MILHO</v>
          </cell>
          <cell r="E5442">
            <v>0</v>
          </cell>
        </row>
        <row r="5443">
          <cell r="A5443" t="str">
            <v>PR</v>
          </cell>
          <cell r="B5443">
            <v>2008</v>
          </cell>
          <cell r="D5443" t="str">
            <v>MILHO</v>
          </cell>
          <cell r="E5443">
            <v>0</v>
          </cell>
        </row>
        <row r="5444">
          <cell r="A5444" t="str">
            <v>PR</v>
          </cell>
          <cell r="B5444">
            <v>2008</v>
          </cell>
          <cell r="D5444" t="str">
            <v>MILHO</v>
          </cell>
          <cell r="E5444">
            <v>2000</v>
          </cell>
        </row>
        <row r="5445">
          <cell r="A5445" t="str">
            <v>PR</v>
          </cell>
          <cell r="B5445">
            <v>2008</v>
          </cell>
          <cell r="D5445" t="str">
            <v>MILHO</v>
          </cell>
          <cell r="E5445">
            <v>10000</v>
          </cell>
        </row>
        <row r="5446">
          <cell r="A5446" t="str">
            <v>PR</v>
          </cell>
          <cell r="B5446">
            <v>2008</v>
          </cell>
          <cell r="D5446" t="str">
            <v>MILHO</v>
          </cell>
          <cell r="E5446">
            <v>0</v>
          </cell>
        </row>
        <row r="5447">
          <cell r="A5447" t="str">
            <v>PR</v>
          </cell>
          <cell r="B5447">
            <v>2008</v>
          </cell>
          <cell r="D5447" t="str">
            <v>MILHO</v>
          </cell>
          <cell r="E5447">
            <v>0</v>
          </cell>
        </row>
        <row r="5448">
          <cell r="A5448" t="str">
            <v>PR</v>
          </cell>
          <cell r="B5448">
            <v>2008</v>
          </cell>
          <cell r="D5448" t="str">
            <v>MILHO</v>
          </cell>
          <cell r="E5448">
            <v>0</v>
          </cell>
        </row>
        <row r="5449">
          <cell r="A5449" t="str">
            <v>PR</v>
          </cell>
          <cell r="B5449">
            <v>2008</v>
          </cell>
          <cell r="D5449" t="str">
            <v>MILHO</v>
          </cell>
          <cell r="E5449">
            <v>10000</v>
          </cell>
        </row>
        <row r="5450">
          <cell r="A5450" t="str">
            <v>PR</v>
          </cell>
          <cell r="B5450">
            <v>2008</v>
          </cell>
          <cell r="D5450" t="str">
            <v>MILHO</v>
          </cell>
          <cell r="E5450">
            <v>0</v>
          </cell>
        </row>
        <row r="5451">
          <cell r="A5451" t="str">
            <v>PR</v>
          </cell>
          <cell r="B5451">
            <v>2008</v>
          </cell>
          <cell r="D5451" t="str">
            <v>MILHO</v>
          </cell>
          <cell r="E5451">
            <v>10000</v>
          </cell>
        </row>
        <row r="5452">
          <cell r="A5452" t="str">
            <v>PR</v>
          </cell>
          <cell r="B5452">
            <v>2008</v>
          </cell>
          <cell r="D5452" t="str">
            <v>MILHO</v>
          </cell>
          <cell r="E5452">
            <v>0</v>
          </cell>
        </row>
        <row r="5453">
          <cell r="A5453" t="str">
            <v>PR</v>
          </cell>
          <cell r="B5453">
            <v>2008</v>
          </cell>
          <cell r="D5453" t="str">
            <v>MILHO</v>
          </cell>
          <cell r="E5453">
            <v>0</v>
          </cell>
        </row>
        <row r="5454">
          <cell r="A5454" t="str">
            <v>PR</v>
          </cell>
          <cell r="B5454">
            <v>2008</v>
          </cell>
          <cell r="D5454" t="str">
            <v>MILHO</v>
          </cell>
          <cell r="E5454">
            <v>0</v>
          </cell>
        </row>
        <row r="5455">
          <cell r="A5455" t="str">
            <v>PR</v>
          </cell>
          <cell r="B5455">
            <v>2008</v>
          </cell>
          <cell r="D5455" t="str">
            <v>MILHO</v>
          </cell>
          <cell r="E5455">
            <v>15000</v>
          </cell>
        </row>
        <row r="5456">
          <cell r="A5456" t="str">
            <v>PR</v>
          </cell>
          <cell r="B5456">
            <v>2008</v>
          </cell>
          <cell r="D5456" t="str">
            <v>MILHO</v>
          </cell>
          <cell r="E5456">
            <v>15000</v>
          </cell>
        </row>
        <row r="5457">
          <cell r="A5457" t="str">
            <v>PR</v>
          </cell>
          <cell r="B5457">
            <v>2008</v>
          </cell>
          <cell r="D5457" t="str">
            <v>MILHO</v>
          </cell>
          <cell r="E5457">
            <v>0</v>
          </cell>
        </row>
        <row r="5458">
          <cell r="A5458" t="str">
            <v>PR</v>
          </cell>
          <cell r="B5458">
            <v>2008</v>
          </cell>
          <cell r="D5458" t="str">
            <v>MILHO</v>
          </cell>
          <cell r="E5458">
            <v>0</v>
          </cell>
        </row>
        <row r="5459">
          <cell r="A5459" t="str">
            <v>PR</v>
          </cell>
          <cell r="B5459">
            <v>2008</v>
          </cell>
          <cell r="D5459" t="str">
            <v>MILHO</v>
          </cell>
          <cell r="E5459">
            <v>0</v>
          </cell>
        </row>
        <row r="5460">
          <cell r="A5460" t="str">
            <v>SP</v>
          </cell>
          <cell r="B5460">
            <v>2008</v>
          </cell>
          <cell r="D5460" t="str">
            <v>MILHO</v>
          </cell>
          <cell r="E5460">
            <v>0</v>
          </cell>
        </row>
        <row r="5461">
          <cell r="A5461" t="str">
            <v>SP</v>
          </cell>
          <cell r="B5461">
            <v>2008</v>
          </cell>
          <cell r="D5461" t="str">
            <v>MILHO</v>
          </cell>
          <cell r="E5461">
            <v>0</v>
          </cell>
        </row>
        <row r="5462">
          <cell r="A5462" t="str">
            <v>SP</v>
          </cell>
          <cell r="B5462">
            <v>2008</v>
          </cell>
          <cell r="D5462" t="str">
            <v>MILHO</v>
          </cell>
          <cell r="E5462">
            <v>0</v>
          </cell>
        </row>
        <row r="5463">
          <cell r="A5463" t="str">
            <v>SP</v>
          </cell>
          <cell r="B5463">
            <v>2008</v>
          </cell>
          <cell r="D5463" t="str">
            <v>MILHO</v>
          </cell>
          <cell r="E5463">
            <v>0</v>
          </cell>
        </row>
        <row r="5464">
          <cell r="A5464" t="str">
            <v>SP</v>
          </cell>
          <cell r="B5464">
            <v>2008</v>
          </cell>
          <cell r="D5464" t="str">
            <v>MILHO</v>
          </cell>
          <cell r="E5464">
            <v>0</v>
          </cell>
        </row>
        <row r="5465">
          <cell r="A5465" t="str">
            <v>SP</v>
          </cell>
          <cell r="B5465">
            <v>2008</v>
          </cell>
          <cell r="D5465" t="str">
            <v>MILHO</v>
          </cell>
          <cell r="E5465">
            <v>0</v>
          </cell>
        </row>
        <row r="5466">
          <cell r="A5466" t="str">
            <v>SP</v>
          </cell>
          <cell r="B5466">
            <v>2008</v>
          </cell>
          <cell r="D5466" t="str">
            <v>MILHO</v>
          </cell>
          <cell r="E5466">
            <v>0</v>
          </cell>
        </row>
        <row r="5467">
          <cell r="A5467" t="str">
            <v>SP</v>
          </cell>
          <cell r="B5467">
            <v>2008</v>
          </cell>
          <cell r="D5467" t="str">
            <v>MILHO</v>
          </cell>
          <cell r="E5467">
            <v>0</v>
          </cell>
        </row>
        <row r="5468">
          <cell r="A5468" t="str">
            <v>SP</v>
          </cell>
          <cell r="B5468">
            <v>2008</v>
          </cell>
          <cell r="D5468" t="str">
            <v>MILHO</v>
          </cell>
          <cell r="E5468">
            <v>0</v>
          </cell>
        </row>
        <row r="5469">
          <cell r="A5469" t="str">
            <v>SP</v>
          </cell>
          <cell r="B5469">
            <v>2008</v>
          </cell>
          <cell r="D5469" t="str">
            <v>MILHO</v>
          </cell>
          <cell r="E5469">
            <v>0</v>
          </cell>
        </row>
        <row r="5470">
          <cell r="A5470" t="str">
            <v>PR</v>
          </cell>
          <cell r="B5470">
            <v>2008</v>
          </cell>
          <cell r="D5470" t="str">
            <v>MILHO</v>
          </cell>
          <cell r="E5470">
            <v>5000</v>
          </cell>
        </row>
        <row r="5471">
          <cell r="A5471" t="str">
            <v>PR</v>
          </cell>
          <cell r="B5471">
            <v>2008</v>
          </cell>
          <cell r="D5471" t="str">
            <v>MILHO</v>
          </cell>
          <cell r="E5471">
            <v>46000</v>
          </cell>
        </row>
        <row r="5472">
          <cell r="A5472" t="str">
            <v>PR</v>
          </cell>
          <cell r="B5472">
            <v>2008</v>
          </cell>
          <cell r="D5472" t="str">
            <v>MILHO</v>
          </cell>
          <cell r="E5472">
            <v>53000</v>
          </cell>
        </row>
        <row r="5473">
          <cell r="A5473" t="str">
            <v>PR</v>
          </cell>
          <cell r="B5473">
            <v>2008</v>
          </cell>
          <cell r="D5473" t="str">
            <v>MILHO</v>
          </cell>
          <cell r="E5473">
            <v>24000</v>
          </cell>
        </row>
        <row r="5474">
          <cell r="A5474" t="str">
            <v>PR</v>
          </cell>
          <cell r="B5474">
            <v>2008</v>
          </cell>
          <cell r="D5474" t="str">
            <v>MILHO</v>
          </cell>
          <cell r="E5474">
            <v>8000</v>
          </cell>
        </row>
        <row r="5475">
          <cell r="A5475" t="str">
            <v>PR</v>
          </cell>
          <cell r="B5475">
            <v>2008</v>
          </cell>
          <cell r="D5475" t="str">
            <v>MILHO</v>
          </cell>
          <cell r="E5475">
            <v>4000</v>
          </cell>
        </row>
        <row r="5476">
          <cell r="A5476" t="str">
            <v>PR</v>
          </cell>
          <cell r="B5476">
            <v>2008</v>
          </cell>
          <cell r="D5476" t="str">
            <v>MILHO</v>
          </cell>
          <cell r="E5476">
            <v>20000</v>
          </cell>
        </row>
        <row r="5477">
          <cell r="A5477" t="str">
            <v>PR</v>
          </cell>
          <cell r="B5477">
            <v>2008</v>
          </cell>
          <cell r="D5477" t="str">
            <v>MILHO</v>
          </cell>
          <cell r="E5477">
            <v>18000</v>
          </cell>
        </row>
        <row r="5478">
          <cell r="A5478" t="str">
            <v>PR</v>
          </cell>
          <cell r="B5478">
            <v>2008</v>
          </cell>
          <cell r="D5478" t="str">
            <v>MILHO</v>
          </cell>
          <cell r="E5478">
            <v>5000</v>
          </cell>
        </row>
        <row r="5479">
          <cell r="A5479" t="str">
            <v>PR</v>
          </cell>
          <cell r="B5479">
            <v>2008</v>
          </cell>
          <cell r="D5479" t="str">
            <v>MILHO</v>
          </cell>
          <cell r="E5479">
            <v>5000</v>
          </cell>
        </row>
        <row r="5480">
          <cell r="A5480" t="str">
            <v>PR</v>
          </cell>
          <cell r="B5480">
            <v>2008</v>
          </cell>
          <cell r="D5480" t="str">
            <v>MILHO</v>
          </cell>
          <cell r="E5480">
            <v>5000</v>
          </cell>
        </row>
        <row r="5481">
          <cell r="A5481" t="str">
            <v>PR</v>
          </cell>
          <cell r="B5481">
            <v>2008</v>
          </cell>
          <cell r="D5481" t="str">
            <v>MILHO</v>
          </cell>
          <cell r="E5481">
            <v>0</v>
          </cell>
        </row>
        <row r="5482">
          <cell r="A5482" t="str">
            <v>PR</v>
          </cell>
          <cell r="B5482">
            <v>2008</v>
          </cell>
          <cell r="D5482" t="str">
            <v>MILHO</v>
          </cell>
          <cell r="E5482">
            <v>0</v>
          </cell>
        </row>
        <row r="5483">
          <cell r="A5483" t="str">
            <v>PR</v>
          </cell>
          <cell r="B5483">
            <v>2008</v>
          </cell>
          <cell r="D5483" t="str">
            <v>MILHO</v>
          </cell>
          <cell r="E5483">
            <v>0</v>
          </cell>
        </row>
        <row r="5484">
          <cell r="A5484" t="str">
            <v>PR</v>
          </cell>
          <cell r="B5484">
            <v>2008</v>
          </cell>
          <cell r="D5484" t="str">
            <v>MILHO</v>
          </cell>
          <cell r="E5484">
            <v>0</v>
          </cell>
        </row>
        <row r="5485">
          <cell r="A5485" t="str">
            <v>PR</v>
          </cell>
          <cell r="B5485">
            <v>2008</v>
          </cell>
          <cell r="D5485" t="str">
            <v>MILHO</v>
          </cell>
          <cell r="E5485">
            <v>0</v>
          </cell>
        </row>
        <row r="5486">
          <cell r="A5486" t="str">
            <v>PR</v>
          </cell>
          <cell r="B5486">
            <v>2008</v>
          </cell>
          <cell r="D5486" t="str">
            <v>MILHO</v>
          </cell>
          <cell r="E5486">
            <v>2000</v>
          </cell>
        </row>
        <row r="5487">
          <cell r="A5487" t="str">
            <v>PR</v>
          </cell>
          <cell r="B5487">
            <v>2008</v>
          </cell>
          <cell r="D5487" t="str">
            <v>MILHO</v>
          </cell>
          <cell r="E5487">
            <v>7000</v>
          </cell>
        </row>
        <row r="5488">
          <cell r="A5488" t="str">
            <v>PR</v>
          </cell>
          <cell r="B5488">
            <v>2008</v>
          </cell>
          <cell r="D5488" t="str">
            <v>MILHO</v>
          </cell>
          <cell r="E5488">
            <v>6000</v>
          </cell>
        </row>
        <row r="5489">
          <cell r="A5489" t="str">
            <v>PR</v>
          </cell>
          <cell r="B5489">
            <v>2008</v>
          </cell>
          <cell r="D5489" t="str">
            <v>MILHO</v>
          </cell>
          <cell r="E5489">
            <v>0</v>
          </cell>
        </row>
        <row r="5490">
          <cell r="A5490" t="str">
            <v>PR</v>
          </cell>
          <cell r="B5490">
            <v>2008</v>
          </cell>
          <cell r="D5490" t="str">
            <v>MILHO</v>
          </cell>
          <cell r="E5490">
            <v>5000</v>
          </cell>
        </row>
        <row r="5491">
          <cell r="A5491" t="str">
            <v>PR</v>
          </cell>
          <cell r="B5491">
            <v>2008</v>
          </cell>
          <cell r="D5491" t="str">
            <v>MILHO</v>
          </cell>
          <cell r="E5491">
            <v>0</v>
          </cell>
        </row>
        <row r="5492">
          <cell r="A5492" t="str">
            <v>PR</v>
          </cell>
          <cell r="B5492">
            <v>2008</v>
          </cell>
          <cell r="D5492" t="str">
            <v>MILHO</v>
          </cell>
          <cell r="E5492">
            <v>0</v>
          </cell>
        </row>
        <row r="5493">
          <cell r="A5493" t="str">
            <v>PR</v>
          </cell>
          <cell r="B5493">
            <v>2008</v>
          </cell>
          <cell r="D5493" t="str">
            <v>MILHO</v>
          </cell>
          <cell r="E5493">
            <v>5000</v>
          </cell>
        </row>
        <row r="5494">
          <cell r="A5494" t="str">
            <v>PR</v>
          </cell>
          <cell r="B5494">
            <v>2008</v>
          </cell>
          <cell r="D5494" t="str">
            <v>MILHO</v>
          </cell>
          <cell r="E5494">
            <v>4000</v>
          </cell>
        </row>
        <row r="5495">
          <cell r="A5495" t="str">
            <v>PR</v>
          </cell>
          <cell r="B5495">
            <v>2008</v>
          </cell>
          <cell r="D5495" t="str">
            <v>MILHO</v>
          </cell>
          <cell r="E5495">
            <v>8000</v>
          </cell>
        </row>
        <row r="5496">
          <cell r="A5496" t="str">
            <v>PR</v>
          </cell>
          <cell r="B5496">
            <v>2008</v>
          </cell>
          <cell r="D5496" t="str">
            <v>MILHO</v>
          </cell>
          <cell r="E5496">
            <v>13000</v>
          </cell>
        </row>
        <row r="5497">
          <cell r="A5497" t="str">
            <v>PR</v>
          </cell>
          <cell r="B5497">
            <v>2008</v>
          </cell>
          <cell r="D5497" t="str">
            <v>MILHO</v>
          </cell>
          <cell r="E5497">
            <v>0</v>
          </cell>
        </row>
        <row r="5498">
          <cell r="A5498" t="str">
            <v>RS</v>
          </cell>
          <cell r="B5498">
            <v>2008</v>
          </cell>
          <cell r="D5498" t="str">
            <v>MILHO</v>
          </cell>
          <cell r="E5498">
            <v>5000</v>
          </cell>
        </row>
        <row r="5499">
          <cell r="A5499" t="str">
            <v>RS</v>
          </cell>
          <cell r="B5499">
            <v>2008</v>
          </cell>
          <cell r="D5499" t="str">
            <v>MILHO</v>
          </cell>
          <cell r="E5499">
            <v>20000</v>
          </cell>
        </row>
        <row r="5500">
          <cell r="A5500" t="str">
            <v>RS</v>
          </cell>
          <cell r="B5500">
            <v>2008</v>
          </cell>
          <cell r="D5500" t="str">
            <v>MILHO</v>
          </cell>
          <cell r="E5500">
            <v>5000</v>
          </cell>
        </row>
        <row r="5501">
          <cell r="A5501" t="str">
            <v>RS</v>
          </cell>
          <cell r="B5501">
            <v>2008</v>
          </cell>
          <cell r="D5501" t="str">
            <v>MILHO</v>
          </cell>
          <cell r="E5501">
            <v>0</v>
          </cell>
        </row>
        <row r="5502">
          <cell r="A5502" t="str">
            <v>RS</v>
          </cell>
          <cell r="B5502">
            <v>2008</v>
          </cell>
          <cell r="D5502" t="str">
            <v>MILHO</v>
          </cell>
          <cell r="E5502">
            <v>0</v>
          </cell>
        </row>
        <row r="5503">
          <cell r="A5503" t="str">
            <v>RS</v>
          </cell>
          <cell r="B5503">
            <v>2008</v>
          </cell>
          <cell r="D5503" t="str">
            <v>MILHO</v>
          </cell>
          <cell r="E5503">
            <v>0</v>
          </cell>
        </row>
        <row r="5504">
          <cell r="A5504" t="str">
            <v>RS</v>
          </cell>
          <cell r="B5504">
            <v>2008</v>
          </cell>
          <cell r="D5504" t="str">
            <v>MILHO</v>
          </cell>
          <cell r="E5504">
            <v>0</v>
          </cell>
        </row>
        <row r="5505">
          <cell r="A5505" t="str">
            <v>RS</v>
          </cell>
          <cell r="B5505">
            <v>2008</v>
          </cell>
          <cell r="D5505" t="str">
            <v>MILHO</v>
          </cell>
          <cell r="E5505">
            <v>0</v>
          </cell>
        </row>
        <row r="5506">
          <cell r="A5506" t="str">
            <v>RS</v>
          </cell>
          <cell r="B5506">
            <v>2008</v>
          </cell>
          <cell r="D5506" t="str">
            <v>MILHO</v>
          </cell>
          <cell r="E5506">
            <v>0</v>
          </cell>
        </row>
        <row r="5507">
          <cell r="A5507" t="str">
            <v>RS</v>
          </cell>
          <cell r="B5507">
            <v>2008</v>
          </cell>
          <cell r="D5507" t="str">
            <v>MILHO</v>
          </cell>
          <cell r="E5507">
            <v>0</v>
          </cell>
        </row>
        <row r="5508">
          <cell r="A5508" t="str">
            <v>RS</v>
          </cell>
          <cell r="B5508">
            <v>2008</v>
          </cell>
          <cell r="D5508" t="str">
            <v>MILHO</v>
          </cell>
          <cell r="E5508">
            <v>0</v>
          </cell>
        </row>
        <row r="5509">
          <cell r="A5509" t="str">
            <v>RS</v>
          </cell>
          <cell r="B5509">
            <v>2008</v>
          </cell>
          <cell r="D5509" t="str">
            <v>MILHO</v>
          </cell>
          <cell r="E5509">
            <v>0</v>
          </cell>
        </row>
        <row r="5510">
          <cell r="A5510" t="str">
            <v>RS</v>
          </cell>
          <cell r="B5510">
            <v>2008</v>
          </cell>
          <cell r="D5510" t="str">
            <v>MILHO</v>
          </cell>
          <cell r="E5510">
            <v>0</v>
          </cell>
        </row>
        <row r="5511">
          <cell r="A5511" t="str">
            <v>RS</v>
          </cell>
          <cell r="B5511">
            <v>2008</v>
          </cell>
          <cell r="D5511" t="str">
            <v>MILHO</v>
          </cell>
          <cell r="E5511">
            <v>0</v>
          </cell>
        </row>
        <row r="5512">
          <cell r="A5512" t="str">
            <v>RS</v>
          </cell>
          <cell r="B5512">
            <v>2008</v>
          </cell>
          <cell r="D5512" t="str">
            <v>MILHO</v>
          </cell>
          <cell r="E5512">
            <v>0</v>
          </cell>
        </row>
        <row r="5513">
          <cell r="A5513" t="str">
            <v>RS</v>
          </cell>
          <cell r="B5513">
            <v>2008</v>
          </cell>
          <cell r="D5513" t="str">
            <v>MILHO</v>
          </cell>
          <cell r="E5513">
            <v>0</v>
          </cell>
        </row>
        <row r="5514">
          <cell r="A5514" t="str">
            <v>RS</v>
          </cell>
          <cell r="B5514">
            <v>2008</v>
          </cell>
          <cell r="D5514" t="str">
            <v>MILHO</v>
          </cell>
          <cell r="E5514">
            <v>2000</v>
          </cell>
        </row>
        <row r="5515">
          <cell r="A5515" t="str">
            <v>RS</v>
          </cell>
          <cell r="B5515">
            <v>2008</v>
          </cell>
          <cell r="D5515" t="str">
            <v>MILHO</v>
          </cell>
          <cell r="E5515">
            <v>24000</v>
          </cell>
        </row>
        <row r="5516">
          <cell r="A5516" t="str">
            <v>RS</v>
          </cell>
          <cell r="B5516">
            <v>2008</v>
          </cell>
          <cell r="D5516" t="str">
            <v>MILHO</v>
          </cell>
          <cell r="E5516">
            <v>4000</v>
          </cell>
        </row>
        <row r="5517">
          <cell r="A5517" t="str">
            <v>RS</v>
          </cell>
          <cell r="B5517">
            <v>2008</v>
          </cell>
          <cell r="D5517" t="str">
            <v>MILHO</v>
          </cell>
          <cell r="E5517">
            <v>0</v>
          </cell>
        </row>
        <row r="5518">
          <cell r="A5518" t="str">
            <v>RS</v>
          </cell>
          <cell r="B5518">
            <v>2008</v>
          </cell>
          <cell r="D5518" t="str">
            <v>MILHO</v>
          </cell>
          <cell r="E5518">
            <v>0</v>
          </cell>
        </row>
        <row r="5519">
          <cell r="A5519" t="str">
            <v>RS</v>
          </cell>
          <cell r="B5519">
            <v>2008</v>
          </cell>
          <cell r="D5519" t="str">
            <v>MILHO</v>
          </cell>
          <cell r="E5519">
            <v>0</v>
          </cell>
        </row>
        <row r="5520">
          <cell r="A5520" t="str">
            <v>RS</v>
          </cell>
          <cell r="B5520">
            <v>2008</v>
          </cell>
          <cell r="D5520" t="str">
            <v>MILHO</v>
          </cell>
          <cell r="E5520">
            <v>0</v>
          </cell>
        </row>
        <row r="5521">
          <cell r="A5521" t="str">
            <v>RS</v>
          </cell>
          <cell r="B5521">
            <v>2008</v>
          </cell>
          <cell r="D5521" t="str">
            <v>MILHO</v>
          </cell>
          <cell r="E5521">
            <v>0</v>
          </cell>
        </row>
        <row r="5522">
          <cell r="A5522" t="str">
            <v>RS</v>
          </cell>
          <cell r="B5522">
            <v>2008</v>
          </cell>
          <cell r="D5522" t="str">
            <v>MILHO</v>
          </cell>
          <cell r="E5522">
            <v>5000</v>
          </cell>
        </row>
        <row r="5523">
          <cell r="A5523" t="str">
            <v>RS</v>
          </cell>
          <cell r="B5523">
            <v>2008</v>
          </cell>
          <cell r="D5523" t="str">
            <v>MILHO</v>
          </cell>
          <cell r="E5523">
            <v>5000</v>
          </cell>
        </row>
        <row r="5524">
          <cell r="A5524" t="str">
            <v>RS</v>
          </cell>
          <cell r="B5524">
            <v>2008</v>
          </cell>
          <cell r="D5524" t="str">
            <v>MILHO</v>
          </cell>
          <cell r="E5524">
            <v>0</v>
          </cell>
        </row>
        <row r="5525">
          <cell r="A5525" t="str">
            <v>RS</v>
          </cell>
          <cell r="B5525">
            <v>2008</v>
          </cell>
          <cell r="D5525" t="str">
            <v>MILHO</v>
          </cell>
          <cell r="E5525">
            <v>0</v>
          </cell>
        </row>
        <row r="5526">
          <cell r="A5526" t="str">
            <v>RS</v>
          </cell>
          <cell r="B5526">
            <v>2008</v>
          </cell>
          <cell r="D5526" t="str">
            <v>MILHO</v>
          </cell>
          <cell r="E5526">
            <v>0</v>
          </cell>
        </row>
        <row r="5527">
          <cell r="A5527" t="str">
            <v>RS</v>
          </cell>
          <cell r="B5527">
            <v>2008</v>
          </cell>
          <cell r="D5527" t="str">
            <v>MILHO</v>
          </cell>
          <cell r="E5527">
            <v>2000</v>
          </cell>
        </row>
        <row r="5528">
          <cell r="A5528" t="str">
            <v>RS</v>
          </cell>
          <cell r="B5528">
            <v>2008</v>
          </cell>
          <cell r="D5528" t="str">
            <v>MILHO</v>
          </cell>
          <cell r="E5528">
            <v>10000</v>
          </cell>
        </row>
        <row r="5529">
          <cell r="A5529" t="str">
            <v>RS</v>
          </cell>
          <cell r="B5529">
            <v>2008</v>
          </cell>
          <cell r="D5529" t="str">
            <v>MILHO</v>
          </cell>
          <cell r="E5529">
            <v>3000</v>
          </cell>
        </row>
        <row r="5530">
          <cell r="A5530" t="str">
            <v>RS</v>
          </cell>
          <cell r="B5530">
            <v>2008</v>
          </cell>
          <cell r="D5530" t="str">
            <v>MILHO</v>
          </cell>
          <cell r="E5530">
            <v>0</v>
          </cell>
        </row>
        <row r="5531">
          <cell r="A5531" t="str">
            <v>RS</v>
          </cell>
          <cell r="B5531">
            <v>2008</v>
          </cell>
          <cell r="D5531" t="str">
            <v>MILHO</v>
          </cell>
          <cell r="E5531">
            <v>0</v>
          </cell>
        </row>
        <row r="5532">
          <cell r="A5532" t="str">
            <v>RS</v>
          </cell>
          <cell r="B5532">
            <v>2008</v>
          </cell>
          <cell r="D5532" t="str">
            <v>MILHO</v>
          </cell>
          <cell r="E5532">
            <v>0</v>
          </cell>
        </row>
        <row r="5533">
          <cell r="A5533" t="str">
            <v>RS</v>
          </cell>
          <cell r="B5533">
            <v>2008</v>
          </cell>
          <cell r="D5533" t="str">
            <v>MILHO</v>
          </cell>
          <cell r="E5533">
            <v>0</v>
          </cell>
        </row>
        <row r="5534">
          <cell r="A5534" t="str">
            <v>RS</v>
          </cell>
          <cell r="B5534">
            <v>2008</v>
          </cell>
          <cell r="D5534" t="str">
            <v>MILHO</v>
          </cell>
          <cell r="E5534">
            <v>0</v>
          </cell>
        </row>
        <row r="5535">
          <cell r="A5535" t="str">
            <v>PR</v>
          </cell>
          <cell r="B5535">
            <v>2008</v>
          </cell>
          <cell r="D5535" t="str">
            <v>MILHO</v>
          </cell>
          <cell r="E5535">
            <v>9000</v>
          </cell>
        </row>
        <row r="5536">
          <cell r="A5536" t="str">
            <v>PR</v>
          </cell>
          <cell r="B5536">
            <v>2008</v>
          </cell>
          <cell r="D5536" t="str">
            <v>MILHO</v>
          </cell>
          <cell r="E5536">
            <v>10000</v>
          </cell>
        </row>
        <row r="5537">
          <cell r="A5537" t="str">
            <v>PR</v>
          </cell>
          <cell r="B5537">
            <v>2008</v>
          </cell>
          <cell r="D5537" t="str">
            <v>MILHO</v>
          </cell>
          <cell r="E5537">
            <v>10000</v>
          </cell>
        </row>
        <row r="5538">
          <cell r="A5538" t="str">
            <v>PR</v>
          </cell>
          <cell r="B5538">
            <v>2008</v>
          </cell>
          <cell r="D5538" t="str">
            <v>MILHO</v>
          </cell>
          <cell r="E5538">
            <v>0</v>
          </cell>
        </row>
        <row r="5539">
          <cell r="A5539" t="str">
            <v>PR</v>
          </cell>
          <cell r="B5539">
            <v>2008</v>
          </cell>
          <cell r="D5539" t="str">
            <v>MILHO</v>
          </cell>
          <cell r="E5539">
            <v>0</v>
          </cell>
        </row>
        <row r="5540">
          <cell r="A5540" t="str">
            <v>PR</v>
          </cell>
          <cell r="B5540">
            <v>2008</v>
          </cell>
          <cell r="D5540" t="str">
            <v>MILHO</v>
          </cell>
          <cell r="E5540">
            <v>0</v>
          </cell>
        </row>
        <row r="5541">
          <cell r="A5541" t="str">
            <v>PR</v>
          </cell>
          <cell r="B5541">
            <v>2008</v>
          </cell>
          <cell r="D5541" t="str">
            <v>MILHO</v>
          </cell>
          <cell r="E5541">
            <v>0</v>
          </cell>
        </row>
        <row r="5542">
          <cell r="A5542" t="str">
            <v>PR</v>
          </cell>
          <cell r="B5542">
            <v>2008</v>
          </cell>
          <cell r="D5542" t="str">
            <v>MILHO</v>
          </cell>
          <cell r="E5542">
            <v>0</v>
          </cell>
        </row>
        <row r="5543">
          <cell r="A5543" t="str">
            <v>PR</v>
          </cell>
          <cell r="B5543">
            <v>2008</v>
          </cell>
          <cell r="D5543" t="str">
            <v>MILHO</v>
          </cell>
          <cell r="E5543">
            <v>0</v>
          </cell>
        </row>
        <row r="5544">
          <cell r="A5544" t="str">
            <v>PR</v>
          </cell>
          <cell r="B5544">
            <v>2008</v>
          </cell>
          <cell r="D5544" t="str">
            <v>MILHO</v>
          </cell>
          <cell r="E5544">
            <v>5000</v>
          </cell>
        </row>
        <row r="5545">
          <cell r="A5545" t="str">
            <v>PR</v>
          </cell>
          <cell r="B5545">
            <v>2008</v>
          </cell>
          <cell r="D5545" t="str">
            <v>MILHO</v>
          </cell>
          <cell r="E5545">
            <v>10000</v>
          </cell>
        </row>
        <row r="5546">
          <cell r="A5546" t="str">
            <v>PR</v>
          </cell>
          <cell r="B5546">
            <v>2008</v>
          </cell>
          <cell r="D5546" t="str">
            <v>MILHO</v>
          </cell>
          <cell r="E5546">
            <v>5000</v>
          </cell>
        </row>
        <row r="5547">
          <cell r="A5547" t="str">
            <v>PR</v>
          </cell>
          <cell r="B5547">
            <v>2008</v>
          </cell>
          <cell r="D5547" t="str">
            <v>MILHO</v>
          </cell>
          <cell r="E5547">
            <v>5000</v>
          </cell>
        </row>
        <row r="5548">
          <cell r="A5548" t="str">
            <v>PR</v>
          </cell>
          <cell r="B5548">
            <v>2008</v>
          </cell>
          <cell r="D5548" t="str">
            <v>MILHO</v>
          </cell>
          <cell r="E5548">
            <v>0</v>
          </cell>
        </row>
        <row r="5549">
          <cell r="A5549" t="str">
            <v>PR</v>
          </cell>
          <cell r="B5549">
            <v>2008</v>
          </cell>
          <cell r="D5549" t="str">
            <v>MILHO</v>
          </cell>
          <cell r="E5549">
            <v>0</v>
          </cell>
        </row>
        <row r="5550">
          <cell r="A5550" t="str">
            <v>PR</v>
          </cell>
          <cell r="B5550">
            <v>2008</v>
          </cell>
          <cell r="D5550" t="str">
            <v>MILHO</v>
          </cell>
          <cell r="E5550">
            <v>0</v>
          </cell>
        </row>
        <row r="5551">
          <cell r="A5551" t="str">
            <v>PR</v>
          </cell>
          <cell r="B5551">
            <v>2008</v>
          </cell>
          <cell r="D5551" t="str">
            <v>MILHO</v>
          </cell>
          <cell r="E5551">
            <v>0</v>
          </cell>
        </row>
        <row r="5552">
          <cell r="A5552" t="str">
            <v>PR</v>
          </cell>
          <cell r="B5552">
            <v>2008</v>
          </cell>
          <cell r="D5552" t="str">
            <v>MILHO</v>
          </cell>
          <cell r="E5552">
            <v>0</v>
          </cell>
        </row>
        <row r="5553">
          <cell r="A5553" t="str">
            <v>PR</v>
          </cell>
          <cell r="B5553">
            <v>2008</v>
          </cell>
          <cell r="D5553" t="str">
            <v>MILHO</v>
          </cell>
          <cell r="E5553">
            <v>15000</v>
          </cell>
        </row>
        <row r="5554">
          <cell r="A5554" t="str">
            <v>PR</v>
          </cell>
          <cell r="B5554">
            <v>2008</v>
          </cell>
          <cell r="D5554" t="str">
            <v>MILHO</v>
          </cell>
          <cell r="E5554">
            <v>15000</v>
          </cell>
        </row>
        <row r="5555">
          <cell r="A5555" t="str">
            <v>PR</v>
          </cell>
          <cell r="B5555">
            <v>2008</v>
          </cell>
          <cell r="D5555" t="str">
            <v>MILHO</v>
          </cell>
          <cell r="E5555">
            <v>10000</v>
          </cell>
        </row>
        <row r="5556">
          <cell r="A5556" t="str">
            <v>PR</v>
          </cell>
          <cell r="B5556">
            <v>2008</v>
          </cell>
          <cell r="D5556" t="str">
            <v>MILHO</v>
          </cell>
          <cell r="E5556">
            <v>0</v>
          </cell>
        </row>
        <row r="5557">
          <cell r="A5557" t="str">
            <v>PR</v>
          </cell>
          <cell r="B5557">
            <v>2008</v>
          </cell>
          <cell r="D5557" t="str">
            <v>MILHO</v>
          </cell>
          <cell r="E5557">
            <v>0</v>
          </cell>
        </row>
        <row r="5558">
          <cell r="A5558" t="str">
            <v>PR</v>
          </cell>
          <cell r="B5558">
            <v>2008</v>
          </cell>
          <cell r="D5558" t="str">
            <v>MILHO</v>
          </cell>
          <cell r="E5558">
            <v>20000</v>
          </cell>
        </row>
        <row r="5559">
          <cell r="A5559" t="str">
            <v>PR</v>
          </cell>
          <cell r="B5559">
            <v>2008</v>
          </cell>
          <cell r="D5559" t="str">
            <v>MILHO</v>
          </cell>
          <cell r="E5559">
            <v>20000</v>
          </cell>
        </row>
        <row r="5560">
          <cell r="A5560" t="str">
            <v>PR</v>
          </cell>
          <cell r="B5560">
            <v>2008</v>
          </cell>
          <cell r="D5560" t="str">
            <v>MILHO</v>
          </cell>
          <cell r="E5560">
            <v>14000</v>
          </cell>
        </row>
        <row r="5561">
          <cell r="A5561" t="str">
            <v>PR</v>
          </cell>
          <cell r="B5561">
            <v>2008</v>
          </cell>
          <cell r="D5561" t="str">
            <v>MILHO</v>
          </cell>
          <cell r="E5561">
            <v>0</v>
          </cell>
        </row>
        <row r="5562">
          <cell r="A5562" t="str">
            <v>PR</v>
          </cell>
          <cell r="B5562">
            <v>2008</v>
          </cell>
          <cell r="D5562" t="str">
            <v>MILHO</v>
          </cell>
          <cell r="E5562">
            <v>8000</v>
          </cell>
        </row>
        <row r="5563">
          <cell r="A5563" t="str">
            <v>PR</v>
          </cell>
          <cell r="B5563">
            <v>2008</v>
          </cell>
          <cell r="D5563" t="str">
            <v>MILHO</v>
          </cell>
          <cell r="E5563">
            <v>8000</v>
          </cell>
        </row>
        <row r="5564">
          <cell r="A5564" t="str">
            <v>PR</v>
          </cell>
          <cell r="B5564">
            <v>2008</v>
          </cell>
          <cell r="D5564" t="str">
            <v>MILHO</v>
          </cell>
          <cell r="E5564">
            <v>0</v>
          </cell>
        </row>
        <row r="5565">
          <cell r="A5565" t="str">
            <v>PR</v>
          </cell>
          <cell r="B5565">
            <v>2008</v>
          </cell>
          <cell r="D5565" t="str">
            <v>MILHO</v>
          </cell>
          <cell r="E5565">
            <v>0</v>
          </cell>
        </row>
        <row r="5566">
          <cell r="A5566" t="str">
            <v>PR</v>
          </cell>
          <cell r="B5566">
            <v>2008</v>
          </cell>
          <cell r="D5566" t="str">
            <v>MILHO</v>
          </cell>
          <cell r="E5566">
            <v>3000</v>
          </cell>
        </row>
        <row r="5567">
          <cell r="A5567" t="str">
            <v>PR</v>
          </cell>
          <cell r="B5567">
            <v>2008</v>
          </cell>
          <cell r="D5567" t="str">
            <v>MILHO</v>
          </cell>
          <cell r="E5567">
            <v>8000</v>
          </cell>
        </row>
        <row r="5568">
          <cell r="A5568" t="str">
            <v>PR</v>
          </cell>
          <cell r="B5568">
            <v>2008</v>
          </cell>
          <cell r="D5568" t="str">
            <v>MILHO</v>
          </cell>
          <cell r="E5568">
            <v>3000</v>
          </cell>
        </row>
        <row r="5569">
          <cell r="A5569" t="str">
            <v>PR</v>
          </cell>
          <cell r="B5569">
            <v>2008</v>
          </cell>
          <cell r="D5569" t="str">
            <v>MILHO</v>
          </cell>
          <cell r="E5569">
            <v>0</v>
          </cell>
        </row>
        <row r="5570">
          <cell r="A5570" t="str">
            <v>PR</v>
          </cell>
          <cell r="B5570">
            <v>2008</v>
          </cell>
          <cell r="D5570" t="str">
            <v>MILHO</v>
          </cell>
          <cell r="E5570">
            <v>3000</v>
          </cell>
        </row>
        <row r="5571">
          <cell r="A5571" t="str">
            <v>PR</v>
          </cell>
          <cell r="B5571">
            <v>2008</v>
          </cell>
          <cell r="D5571" t="str">
            <v>MILHO</v>
          </cell>
          <cell r="E5571">
            <v>16000</v>
          </cell>
        </row>
        <row r="5572">
          <cell r="A5572" t="str">
            <v>PR</v>
          </cell>
          <cell r="B5572">
            <v>2008</v>
          </cell>
          <cell r="D5572" t="str">
            <v>MILHO</v>
          </cell>
          <cell r="E5572">
            <v>7000</v>
          </cell>
        </row>
        <row r="5573">
          <cell r="A5573" t="str">
            <v>PR</v>
          </cell>
          <cell r="B5573">
            <v>2008</v>
          </cell>
          <cell r="D5573" t="str">
            <v>MILHO</v>
          </cell>
          <cell r="E5573">
            <v>4000</v>
          </cell>
        </row>
        <row r="5574">
          <cell r="A5574" t="str">
            <v>PR</v>
          </cell>
          <cell r="B5574">
            <v>2008</v>
          </cell>
          <cell r="D5574" t="str">
            <v>MILHO</v>
          </cell>
          <cell r="E5574">
            <v>0</v>
          </cell>
        </row>
        <row r="5575">
          <cell r="A5575" t="str">
            <v>PR</v>
          </cell>
          <cell r="B5575">
            <v>2008</v>
          </cell>
          <cell r="D5575" t="str">
            <v>MILHO</v>
          </cell>
          <cell r="E5575">
            <v>0</v>
          </cell>
        </row>
        <row r="5576">
          <cell r="A5576" t="str">
            <v>PR</v>
          </cell>
          <cell r="B5576">
            <v>2008</v>
          </cell>
          <cell r="D5576" t="str">
            <v>MILHO</v>
          </cell>
          <cell r="E5576">
            <v>0</v>
          </cell>
        </row>
        <row r="5577">
          <cell r="A5577" t="str">
            <v>PR</v>
          </cell>
          <cell r="B5577">
            <v>2008</v>
          </cell>
          <cell r="D5577" t="str">
            <v>MILHO</v>
          </cell>
          <cell r="E5577">
            <v>0</v>
          </cell>
        </row>
        <row r="5578">
          <cell r="A5578" t="str">
            <v>PR</v>
          </cell>
          <cell r="B5578">
            <v>2008</v>
          </cell>
          <cell r="D5578" t="str">
            <v>MILHO</v>
          </cell>
          <cell r="E5578">
            <v>8000</v>
          </cell>
        </row>
        <row r="5579">
          <cell r="A5579" t="str">
            <v>PR</v>
          </cell>
          <cell r="B5579">
            <v>2008</v>
          </cell>
          <cell r="D5579" t="str">
            <v>MILHO</v>
          </cell>
          <cell r="E5579">
            <v>5000</v>
          </cell>
        </row>
        <row r="5580">
          <cell r="A5580" t="str">
            <v>PR</v>
          </cell>
          <cell r="B5580">
            <v>2008</v>
          </cell>
          <cell r="D5580" t="str">
            <v>MILHO</v>
          </cell>
          <cell r="E5580">
            <v>5000</v>
          </cell>
        </row>
        <row r="5581">
          <cell r="A5581" t="str">
            <v>PR</v>
          </cell>
          <cell r="B5581">
            <v>2008</v>
          </cell>
          <cell r="D5581" t="str">
            <v>MILHO</v>
          </cell>
          <cell r="E5581">
            <v>0</v>
          </cell>
        </row>
        <row r="5582">
          <cell r="A5582" t="str">
            <v>PR</v>
          </cell>
          <cell r="B5582">
            <v>2008</v>
          </cell>
          <cell r="D5582" t="str">
            <v>MILHO</v>
          </cell>
          <cell r="E5582">
            <v>0</v>
          </cell>
        </row>
        <row r="5583">
          <cell r="A5583" t="str">
            <v>PR</v>
          </cell>
          <cell r="B5583">
            <v>2008</v>
          </cell>
          <cell r="D5583" t="str">
            <v>MILHO</v>
          </cell>
          <cell r="E5583">
            <v>0</v>
          </cell>
        </row>
        <row r="5584">
          <cell r="A5584" t="str">
            <v>PR</v>
          </cell>
          <cell r="B5584">
            <v>2008</v>
          </cell>
          <cell r="D5584" t="str">
            <v>MILHO</v>
          </cell>
          <cell r="E5584">
            <v>0</v>
          </cell>
        </row>
        <row r="5585">
          <cell r="A5585" t="str">
            <v>PR</v>
          </cell>
          <cell r="B5585">
            <v>2008</v>
          </cell>
          <cell r="D5585" t="str">
            <v>MILHO</v>
          </cell>
          <cell r="E5585">
            <v>0</v>
          </cell>
        </row>
        <row r="5586">
          <cell r="A5586" t="str">
            <v>PR</v>
          </cell>
          <cell r="B5586">
            <v>2008</v>
          </cell>
          <cell r="D5586" t="str">
            <v>MILHO</v>
          </cell>
          <cell r="E5586">
            <v>9000</v>
          </cell>
        </row>
        <row r="5587">
          <cell r="A5587" t="str">
            <v>PR</v>
          </cell>
          <cell r="B5587">
            <v>2008</v>
          </cell>
          <cell r="D5587" t="str">
            <v>MILHO</v>
          </cell>
          <cell r="E5587">
            <v>9000</v>
          </cell>
        </row>
        <row r="5588">
          <cell r="A5588" t="str">
            <v>PR</v>
          </cell>
          <cell r="B5588">
            <v>2008</v>
          </cell>
          <cell r="D5588" t="str">
            <v>MILHO</v>
          </cell>
          <cell r="E5588">
            <v>2000</v>
          </cell>
        </row>
        <row r="5589">
          <cell r="A5589" t="str">
            <v>PR</v>
          </cell>
          <cell r="B5589">
            <v>2008</v>
          </cell>
          <cell r="D5589" t="str">
            <v>MILHO</v>
          </cell>
          <cell r="E5589">
            <v>0</v>
          </cell>
        </row>
        <row r="5590">
          <cell r="A5590" t="str">
            <v>PR</v>
          </cell>
          <cell r="B5590">
            <v>2008</v>
          </cell>
          <cell r="D5590" t="str">
            <v>MILHO</v>
          </cell>
          <cell r="E5590">
            <v>0</v>
          </cell>
        </row>
        <row r="5591">
          <cell r="A5591" t="str">
            <v>PR</v>
          </cell>
          <cell r="B5591">
            <v>2008</v>
          </cell>
          <cell r="D5591" t="str">
            <v>MILHO</v>
          </cell>
          <cell r="E5591">
            <v>0</v>
          </cell>
        </row>
        <row r="5592">
          <cell r="A5592" t="str">
            <v>PR</v>
          </cell>
          <cell r="B5592">
            <v>2008</v>
          </cell>
          <cell r="D5592" t="str">
            <v>MILHO</v>
          </cell>
          <cell r="E5592">
            <v>3000</v>
          </cell>
        </row>
        <row r="5593">
          <cell r="A5593" t="str">
            <v>PR</v>
          </cell>
          <cell r="B5593">
            <v>2008</v>
          </cell>
          <cell r="D5593" t="str">
            <v>MILHO</v>
          </cell>
          <cell r="E5593">
            <v>10000</v>
          </cell>
        </row>
        <row r="5594">
          <cell r="A5594" t="str">
            <v>PR</v>
          </cell>
          <cell r="B5594">
            <v>2008</v>
          </cell>
          <cell r="D5594" t="str">
            <v>MILHO</v>
          </cell>
          <cell r="E5594">
            <v>2000</v>
          </cell>
        </row>
        <row r="5595">
          <cell r="A5595" t="str">
            <v>PR</v>
          </cell>
          <cell r="B5595">
            <v>2008</v>
          </cell>
          <cell r="D5595" t="str">
            <v>MILHO</v>
          </cell>
          <cell r="E5595">
            <v>4000</v>
          </cell>
        </row>
        <row r="5596">
          <cell r="A5596" t="str">
            <v>PR</v>
          </cell>
          <cell r="B5596">
            <v>2008</v>
          </cell>
          <cell r="D5596" t="str">
            <v>MILHO</v>
          </cell>
          <cell r="E5596">
            <v>8000</v>
          </cell>
        </row>
        <row r="5597">
          <cell r="A5597" t="str">
            <v>PR</v>
          </cell>
          <cell r="B5597">
            <v>2008</v>
          </cell>
          <cell r="D5597" t="str">
            <v>MILHO</v>
          </cell>
          <cell r="E5597">
            <v>3000</v>
          </cell>
        </row>
        <row r="5598">
          <cell r="A5598" t="str">
            <v>PR</v>
          </cell>
          <cell r="B5598">
            <v>2008</v>
          </cell>
          <cell r="D5598" t="str">
            <v>MILHO</v>
          </cell>
          <cell r="E5598">
            <v>0</v>
          </cell>
        </row>
        <row r="5599">
          <cell r="A5599" t="str">
            <v>PR</v>
          </cell>
          <cell r="B5599">
            <v>2008</v>
          </cell>
          <cell r="D5599" t="str">
            <v>MILHO</v>
          </cell>
          <cell r="E5599">
            <v>7000</v>
          </cell>
        </row>
        <row r="5600">
          <cell r="A5600" t="str">
            <v>PR</v>
          </cell>
          <cell r="B5600">
            <v>2008</v>
          </cell>
          <cell r="D5600" t="str">
            <v>MILHO</v>
          </cell>
          <cell r="E5600">
            <v>8000</v>
          </cell>
        </row>
        <row r="5601">
          <cell r="A5601" t="str">
            <v>PR</v>
          </cell>
          <cell r="B5601">
            <v>2008</v>
          </cell>
          <cell r="D5601" t="str">
            <v>MILHO</v>
          </cell>
          <cell r="E5601">
            <v>0</v>
          </cell>
        </row>
        <row r="5602">
          <cell r="A5602" t="str">
            <v>PR</v>
          </cell>
          <cell r="B5602">
            <v>2008</v>
          </cell>
          <cell r="D5602" t="str">
            <v>MILHO</v>
          </cell>
          <cell r="E5602">
            <v>0</v>
          </cell>
        </row>
        <row r="5603">
          <cell r="A5603" t="str">
            <v>PR</v>
          </cell>
          <cell r="B5603">
            <v>2008</v>
          </cell>
          <cell r="D5603" t="str">
            <v>MILHO</v>
          </cell>
          <cell r="E5603">
            <v>0</v>
          </cell>
        </row>
        <row r="5604">
          <cell r="A5604" t="str">
            <v>PR</v>
          </cell>
          <cell r="B5604">
            <v>2008</v>
          </cell>
          <cell r="D5604" t="str">
            <v>MILHO</v>
          </cell>
          <cell r="E5604">
            <v>5000</v>
          </cell>
        </row>
        <row r="5605">
          <cell r="A5605" t="str">
            <v>PR</v>
          </cell>
          <cell r="B5605">
            <v>2008</v>
          </cell>
          <cell r="D5605" t="str">
            <v>MILHO</v>
          </cell>
          <cell r="E5605">
            <v>20000</v>
          </cell>
        </row>
        <row r="5606">
          <cell r="A5606" t="str">
            <v>PR</v>
          </cell>
          <cell r="B5606">
            <v>2008</v>
          </cell>
          <cell r="D5606" t="str">
            <v>MILHO</v>
          </cell>
          <cell r="E5606">
            <v>19000</v>
          </cell>
        </row>
        <row r="5607">
          <cell r="A5607" t="str">
            <v>PR</v>
          </cell>
          <cell r="B5607">
            <v>2008</v>
          </cell>
          <cell r="D5607" t="str">
            <v>MILHO</v>
          </cell>
          <cell r="E5607">
            <v>12000</v>
          </cell>
        </row>
        <row r="5608">
          <cell r="A5608" t="str">
            <v>PR</v>
          </cell>
          <cell r="B5608">
            <v>2008</v>
          </cell>
          <cell r="D5608" t="str">
            <v>MILHO</v>
          </cell>
          <cell r="E5608">
            <v>0</v>
          </cell>
        </row>
        <row r="5609">
          <cell r="A5609" t="str">
            <v>PR</v>
          </cell>
          <cell r="B5609">
            <v>2008</v>
          </cell>
          <cell r="D5609" t="str">
            <v>MILHO</v>
          </cell>
          <cell r="E5609">
            <v>0</v>
          </cell>
        </row>
        <row r="5610">
          <cell r="A5610" t="str">
            <v>PR</v>
          </cell>
          <cell r="B5610">
            <v>2008</v>
          </cell>
          <cell r="D5610" t="str">
            <v>MILHO</v>
          </cell>
          <cell r="E5610">
            <v>0</v>
          </cell>
        </row>
        <row r="5611">
          <cell r="A5611" t="str">
            <v>PR</v>
          </cell>
          <cell r="B5611">
            <v>2008</v>
          </cell>
          <cell r="D5611" t="str">
            <v>MILHO</v>
          </cell>
          <cell r="E5611">
            <v>0</v>
          </cell>
        </row>
        <row r="5612">
          <cell r="A5612" t="str">
            <v>PR</v>
          </cell>
          <cell r="B5612">
            <v>2008</v>
          </cell>
          <cell r="D5612" t="str">
            <v>MILHO</v>
          </cell>
          <cell r="E5612">
            <v>0</v>
          </cell>
        </row>
        <row r="5613">
          <cell r="A5613" t="str">
            <v>PR</v>
          </cell>
          <cell r="B5613">
            <v>2008</v>
          </cell>
          <cell r="D5613" t="str">
            <v>MILHO</v>
          </cell>
          <cell r="E5613">
            <v>0</v>
          </cell>
        </row>
        <row r="5614">
          <cell r="A5614" t="str">
            <v>PR</v>
          </cell>
          <cell r="B5614">
            <v>2008</v>
          </cell>
          <cell r="D5614" t="str">
            <v>MILHO</v>
          </cell>
          <cell r="E5614">
            <v>0</v>
          </cell>
        </row>
        <row r="5615">
          <cell r="A5615" t="str">
            <v>PR</v>
          </cell>
          <cell r="B5615">
            <v>2008</v>
          </cell>
          <cell r="D5615" t="str">
            <v>MILHO</v>
          </cell>
          <cell r="E5615">
            <v>0</v>
          </cell>
        </row>
        <row r="5616">
          <cell r="A5616" t="str">
            <v>PR</v>
          </cell>
          <cell r="B5616">
            <v>2008</v>
          </cell>
          <cell r="D5616" t="str">
            <v>MILHO</v>
          </cell>
          <cell r="E5616">
            <v>7000</v>
          </cell>
        </row>
        <row r="5617">
          <cell r="A5617" t="str">
            <v>PR</v>
          </cell>
          <cell r="B5617">
            <v>2008</v>
          </cell>
          <cell r="D5617" t="str">
            <v>MILHO</v>
          </cell>
          <cell r="E5617">
            <v>7000</v>
          </cell>
        </row>
        <row r="5618">
          <cell r="A5618" t="str">
            <v>PR</v>
          </cell>
          <cell r="B5618">
            <v>2008</v>
          </cell>
          <cell r="D5618" t="str">
            <v>MILHO</v>
          </cell>
          <cell r="E5618">
            <v>0</v>
          </cell>
        </row>
        <row r="5619">
          <cell r="A5619" t="str">
            <v>PR</v>
          </cell>
          <cell r="B5619">
            <v>2008</v>
          </cell>
          <cell r="D5619" t="str">
            <v>MILHO</v>
          </cell>
          <cell r="E5619">
            <v>0</v>
          </cell>
        </row>
        <row r="5620">
          <cell r="A5620" t="str">
            <v>PR</v>
          </cell>
          <cell r="B5620">
            <v>2008</v>
          </cell>
          <cell r="D5620" t="str">
            <v>MILHO</v>
          </cell>
          <cell r="E5620">
            <v>0</v>
          </cell>
        </row>
        <row r="5621">
          <cell r="A5621" t="str">
            <v>PR</v>
          </cell>
          <cell r="B5621">
            <v>2008</v>
          </cell>
          <cell r="D5621" t="str">
            <v>MILHO</v>
          </cell>
          <cell r="E5621">
            <v>0</v>
          </cell>
        </row>
        <row r="5622">
          <cell r="A5622" t="str">
            <v>PR</v>
          </cell>
          <cell r="B5622">
            <v>2008</v>
          </cell>
          <cell r="D5622" t="str">
            <v>MILHO</v>
          </cell>
          <cell r="E5622">
            <v>3000</v>
          </cell>
        </row>
        <row r="5623">
          <cell r="A5623" t="str">
            <v>RS</v>
          </cell>
          <cell r="B5623">
            <v>2008</v>
          </cell>
          <cell r="D5623" t="str">
            <v>MILHO</v>
          </cell>
          <cell r="E5623">
            <v>2000</v>
          </cell>
        </row>
        <row r="5624">
          <cell r="A5624" t="str">
            <v>RS</v>
          </cell>
          <cell r="B5624">
            <v>2008</v>
          </cell>
          <cell r="D5624" t="str">
            <v>MILHO</v>
          </cell>
          <cell r="E5624">
            <v>10000</v>
          </cell>
        </row>
        <row r="5625">
          <cell r="A5625" t="str">
            <v>RS</v>
          </cell>
          <cell r="B5625">
            <v>2008</v>
          </cell>
          <cell r="D5625" t="str">
            <v>MILHO</v>
          </cell>
          <cell r="E5625">
            <v>8000</v>
          </cell>
        </row>
        <row r="5626">
          <cell r="A5626" t="str">
            <v>RS</v>
          </cell>
          <cell r="B5626">
            <v>2008</v>
          </cell>
          <cell r="D5626" t="str">
            <v>MILHO</v>
          </cell>
          <cell r="E5626">
            <v>2000</v>
          </cell>
        </row>
        <row r="5627">
          <cell r="A5627" t="str">
            <v>RS</v>
          </cell>
          <cell r="B5627">
            <v>2008</v>
          </cell>
          <cell r="D5627" t="str">
            <v>MILHO</v>
          </cell>
          <cell r="E5627">
            <v>12000</v>
          </cell>
        </row>
        <row r="5628">
          <cell r="A5628" t="str">
            <v>RS</v>
          </cell>
          <cell r="B5628">
            <v>2008</v>
          </cell>
          <cell r="D5628" t="str">
            <v>MILHO</v>
          </cell>
          <cell r="E5628">
            <v>6000</v>
          </cell>
        </row>
        <row r="5629">
          <cell r="A5629" t="str">
            <v>RS</v>
          </cell>
          <cell r="B5629">
            <v>2008</v>
          </cell>
          <cell r="D5629" t="str">
            <v>MILHO</v>
          </cell>
          <cell r="E5629">
            <v>2000</v>
          </cell>
        </row>
        <row r="5630">
          <cell r="A5630" t="str">
            <v>RS</v>
          </cell>
          <cell r="B5630">
            <v>2008</v>
          </cell>
          <cell r="D5630" t="str">
            <v>MILHO</v>
          </cell>
          <cell r="E5630">
            <v>10000</v>
          </cell>
        </row>
        <row r="5631">
          <cell r="A5631" t="str">
            <v>RS</v>
          </cell>
          <cell r="B5631">
            <v>2008</v>
          </cell>
          <cell r="D5631" t="str">
            <v>MILHO</v>
          </cell>
          <cell r="E5631">
            <v>3000</v>
          </cell>
        </row>
        <row r="5632">
          <cell r="A5632" t="str">
            <v>RS</v>
          </cell>
          <cell r="B5632">
            <v>2008</v>
          </cell>
          <cell r="D5632" t="str">
            <v>MILHO</v>
          </cell>
          <cell r="E5632">
            <v>0</v>
          </cell>
        </row>
        <row r="5633">
          <cell r="A5633" t="str">
            <v>RS</v>
          </cell>
          <cell r="B5633">
            <v>2008</v>
          </cell>
          <cell r="D5633" t="str">
            <v>MILHO</v>
          </cell>
          <cell r="E5633">
            <v>0</v>
          </cell>
        </row>
        <row r="5634">
          <cell r="A5634" t="str">
            <v>RS</v>
          </cell>
          <cell r="B5634">
            <v>2008</v>
          </cell>
          <cell r="D5634" t="str">
            <v>MILHO</v>
          </cell>
          <cell r="E5634">
            <v>1000</v>
          </cell>
        </row>
        <row r="5635">
          <cell r="A5635" t="str">
            <v>RS</v>
          </cell>
          <cell r="B5635">
            <v>2008</v>
          </cell>
          <cell r="D5635" t="str">
            <v>MILHO</v>
          </cell>
          <cell r="E5635">
            <v>7000</v>
          </cell>
        </row>
        <row r="5636">
          <cell r="A5636" t="str">
            <v>RS</v>
          </cell>
          <cell r="B5636">
            <v>2008</v>
          </cell>
          <cell r="D5636" t="str">
            <v>MILHO</v>
          </cell>
          <cell r="E5636">
            <v>2000</v>
          </cell>
        </row>
        <row r="5637">
          <cell r="A5637" t="str">
            <v>SC</v>
          </cell>
          <cell r="B5637">
            <v>2008</v>
          </cell>
          <cell r="D5637" t="str">
            <v>MILHO</v>
          </cell>
          <cell r="E5637">
            <v>75000</v>
          </cell>
        </row>
        <row r="5638">
          <cell r="A5638" t="str">
            <v>SC</v>
          </cell>
          <cell r="B5638">
            <v>2008</v>
          </cell>
          <cell r="D5638" t="str">
            <v>MILHO</v>
          </cell>
          <cell r="E5638">
            <v>30000</v>
          </cell>
        </row>
        <row r="5639">
          <cell r="A5639" t="str">
            <v>SC</v>
          </cell>
          <cell r="B5639">
            <v>2008</v>
          </cell>
          <cell r="D5639" t="str">
            <v>MILHO</v>
          </cell>
          <cell r="E5639">
            <v>25000</v>
          </cell>
        </row>
        <row r="5640">
          <cell r="A5640" t="str">
            <v>SC</v>
          </cell>
          <cell r="B5640">
            <v>2008</v>
          </cell>
          <cell r="D5640" t="str">
            <v>MILHO</v>
          </cell>
          <cell r="E5640">
            <v>10000</v>
          </cell>
        </row>
        <row r="5641">
          <cell r="A5641" t="str">
            <v>SC</v>
          </cell>
          <cell r="B5641">
            <v>2008</v>
          </cell>
          <cell r="D5641" t="str">
            <v>MILHO</v>
          </cell>
          <cell r="E5641">
            <v>10000</v>
          </cell>
        </row>
        <row r="5642">
          <cell r="A5642" t="str">
            <v>MG</v>
          </cell>
          <cell r="B5642">
            <v>2008</v>
          </cell>
          <cell r="D5642" t="str">
            <v>MILHO</v>
          </cell>
          <cell r="E5642">
            <v>60000</v>
          </cell>
        </row>
        <row r="5643">
          <cell r="A5643" t="str">
            <v>MG</v>
          </cell>
          <cell r="B5643">
            <v>2008</v>
          </cell>
          <cell r="D5643" t="str">
            <v>MILHO</v>
          </cell>
          <cell r="E5643">
            <v>78000</v>
          </cell>
        </row>
        <row r="5644">
          <cell r="A5644" t="str">
            <v>MG</v>
          </cell>
          <cell r="B5644">
            <v>2008</v>
          </cell>
          <cell r="D5644" t="str">
            <v>MILHO</v>
          </cell>
          <cell r="E5644">
            <v>65000</v>
          </cell>
        </row>
        <row r="5645">
          <cell r="A5645" t="str">
            <v>MG</v>
          </cell>
          <cell r="B5645">
            <v>2008</v>
          </cell>
          <cell r="D5645" t="str">
            <v>MILHO</v>
          </cell>
          <cell r="E5645">
            <v>51000</v>
          </cell>
        </row>
        <row r="5646">
          <cell r="A5646" t="str">
            <v>MG</v>
          </cell>
          <cell r="B5646">
            <v>2008</v>
          </cell>
          <cell r="D5646" t="str">
            <v>MILHO</v>
          </cell>
          <cell r="E5646">
            <v>0</v>
          </cell>
        </row>
        <row r="5647">
          <cell r="A5647" t="str">
            <v>MG</v>
          </cell>
          <cell r="B5647">
            <v>2008</v>
          </cell>
          <cell r="D5647" t="str">
            <v>MILHO</v>
          </cell>
          <cell r="E5647">
            <v>0</v>
          </cell>
        </row>
        <row r="5648">
          <cell r="A5648" t="str">
            <v>MG</v>
          </cell>
          <cell r="B5648">
            <v>2008</v>
          </cell>
          <cell r="D5648" t="str">
            <v>MILHO</v>
          </cell>
          <cell r="E5648">
            <v>0</v>
          </cell>
        </row>
        <row r="5649">
          <cell r="A5649" t="str">
            <v>MA</v>
          </cell>
          <cell r="B5649">
            <v>2008</v>
          </cell>
          <cell r="D5649" t="str">
            <v>SOJA</v>
          </cell>
          <cell r="E5649">
            <v>3000</v>
          </cell>
        </row>
        <row r="5650">
          <cell r="A5650" t="str">
            <v>MA</v>
          </cell>
          <cell r="B5650">
            <v>2008</v>
          </cell>
          <cell r="D5650" t="str">
            <v>SOJA</v>
          </cell>
          <cell r="E5650">
            <v>22000</v>
          </cell>
        </row>
        <row r="5651">
          <cell r="A5651" t="str">
            <v>MA</v>
          </cell>
          <cell r="B5651">
            <v>2008</v>
          </cell>
          <cell r="D5651" t="str">
            <v>SOJA</v>
          </cell>
          <cell r="E5651">
            <v>32000</v>
          </cell>
        </row>
        <row r="5652">
          <cell r="A5652" t="str">
            <v>MA</v>
          </cell>
          <cell r="B5652">
            <v>2008</v>
          </cell>
          <cell r="D5652" t="str">
            <v>SOJA</v>
          </cell>
          <cell r="E5652">
            <v>15000</v>
          </cell>
        </row>
        <row r="5653">
          <cell r="A5653" t="str">
            <v>MA</v>
          </cell>
          <cell r="B5653">
            <v>2008</v>
          </cell>
          <cell r="D5653" t="str">
            <v>SOJA</v>
          </cell>
          <cell r="E5653">
            <v>0</v>
          </cell>
        </row>
        <row r="5654">
          <cell r="A5654" t="str">
            <v>MA</v>
          </cell>
          <cell r="B5654">
            <v>2008</v>
          </cell>
          <cell r="D5654" t="str">
            <v>SOJA</v>
          </cell>
          <cell r="E5654">
            <v>0</v>
          </cell>
        </row>
        <row r="5655">
          <cell r="A5655" t="str">
            <v>MA</v>
          </cell>
          <cell r="B5655">
            <v>2008</v>
          </cell>
          <cell r="D5655" t="str">
            <v>SOJA</v>
          </cell>
          <cell r="E5655">
            <v>0</v>
          </cell>
        </row>
        <row r="5656">
          <cell r="A5656" t="str">
            <v>MA</v>
          </cell>
          <cell r="B5656">
            <v>2008</v>
          </cell>
          <cell r="D5656" t="str">
            <v>SOJA</v>
          </cell>
          <cell r="E5656">
            <v>0</v>
          </cell>
        </row>
        <row r="5657">
          <cell r="A5657" t="str">
            <v>TO</v>
          </cell>
          <cell r="B5657">
            <v>2008</v>
          </cell>
          <cell r="D5657" t="str">
            <v>SOJA</v>
          </cell>
          <cell r="E5657">
            <v>5000</v>
          </cell>
        </row>
        <row r="5658">
          <cell r="A5658" t="str">
            <v>TO</v>
          </cell>
          <cell r="B5658">
            <v>2008</v>
          </cell>
          <cell r="D5658" t="str">
            <v>SOJA</v>
          </cell>
          <cell r="E5658">
            <v>35000</v>
          </cell>
        </row>
        <row r="5659">
          <cell r="A5659" t="str">
            <v>TO</v>
          </cell>
          <cell r="B5659">
            <v>2008</v>
          </cell>
          <cell r="D5659" t="str">
            <v>SOJA</v>
          </cell>
          <cell r="E5659">
            <v>15000</v>
          </cell>
        </row>
        <row r="5660">
          <cell r="A5660" t="str">
            <v>TO</v>
          </cell>
          <cell r="B5660">
            <v>2008</v>
          </cell>
          <cell r="D5660" t="str">
            <v>SOJA</v>
          </cell>
          <cell r="E5660">
            <v>5000</v>
          </cell>
        </row>
        <row r="5661">
          <cell r="A5661" t="str">
            <v>TO</v>
          </cell>
          <cell r="B5661">
            <v>2008</v>
          </cell>
          <cell r="D5661" t="str">
            <v>SOJA</v>
          </cell>
          <cell r="E5661">
            <v>5000</v>
          </cell>
        </row>
        <row r="5662">
          <cell r="A5662" t="str">
            <v>TO</v>
          </cell>
          <cell r="B5662">
            <v>2008</v>
          </cell>
          <cell r="D5662" t="str">
            <v>SOJA</v>
          </cell>
          <cell r="E5662">
            <v>33000</v>
          </cell>
        </row>
        <row r="5663">
          <cell r="A5663" t="str">
            <v>TO</v>
          </cell>
          <cell r="B5663">
            <v>2008</v>
          </cell>
          <cell r="D5663" t="str">
            <v>SOJA</v>
          </cell>
          <cell r="E5663">
            <v>30000</v>
          </cell>
        </row>
        <row r="5664">
          <cell r="A5664" t="str">
            <v>TO</v>
          </cell>
          <cell r="B5664">
            <v>2008</v>
          </cell>
          <cell r="D5664" t="str">
            <v>SOJA</v>
          </cell>
          <cell r="E5664">
            <v>7000</v>
          </cell>
        </row>
        <row r="5665">
          <cell r="A5665" t="str">
            <v>TO</v>
          </cell>
          <cell r="B5665">
            <v>2008</v>
          </cell>
          <cell r="D5665" t="str">
            <v>SOJA</v>
          </cell>
          <cell r="E5665">
            <v>5000</v>
          </cell>
        </row>
        <row r="5666">
          <cell r="A5666" t="str">
            <v>TO</v>
          </cell>
          <cell r="B5666">
            <v>2008</v>
          </cell>
          <cell r="D5666" t="str">
            <v>SOJA</v>
          </cell>
          <cell r="E5666">
            <v>15000</v>
          </cell>
        </row>
        <row r="5667">
          <cell r="A5667" t="str">
            <v>TO</v>
          </cell>
          <cell r="B5667">
            <v>2008</v>
          </cell>
          <cell r="D5667" t="str">
            <v>SOJA</v>
          </cell>
          <cell r="E5667">
            <v>5000</v>
          </cell>
        </row>
        <row r="5668">
          <cell r="A5668" t="str">
            <v>TO</v>
          </cell>
          <cell r="B5668">
            <v>2008</v>
          </cell>
          <cell r="D5668" t="str">
            <v>SOJA</v>
          </cell>
          <cell r="E5668">
            <v>0</v>
          </cell>
        </row>
        <row r="5669">
          <cell r="A5669" t="str">
            <v>TO</v>
          </cell>
          <cell r="B5669">
            <v>2008</v>
          </cell>
          <cell r="D5669" t="str">
            <v>SOJA</v>
          </cell>
          <cell r="E5669">
            <v>0</v>
          </cell>
        </row>
        <row r="5670">
          <cell r="A5670" t="str">
            <v>TO</v>
          </cell>
          <cell r="B5670">
            <v>2008</v>
          </cell>
          <cell r="D5670" t="str">
            <v>SOJA</v>
          </cell>
          <cell r="E5670">
            <v>0</v>
          </cell>
        </row>
        <row r="5671">
          <cell r="A5671" t="str">
            <v>PA</v>
          </cell>
          <cell r="B5671">
            <v>2008</v>
          </cell>
          <cell r="D5671" t="str">
            <v>SOJA</v>
          </cell>
          <cell r="E5671">
            <v>3500</v>
          </cell>
        </row>
        <row r="5672">
          <cell r="A5672" t="str">
            <v>PA</v>
          </cell>
          <cell r="B5672">
            <v>2008</v>
          </cell>
          <cell r="D5672" t="str">
            <v>SOJA</v>
          </cell>
          <cell r="E5672">
            <v>3500</v>
          </cell>
        </row>
        <row r="5673">
          <cell r="A5673" t="str">
            <v>PA</v>
          </cell>
          <cell r="B5673">
            <v>2008</v>
          </cell>
          <cell r="D5673" t="str">
            <v>SOJA</v>
          </cell>
          <cell r="E5673">
            <v>3000</v>
          </cell>
        </row>
        <row r="5674">
          <cell r="A5674" t="str">
            <v>TO</v>
          </cell>
          <cell r="B5674">
            <v>2008</v>
          </cell>
          <cell r="D5674" t="str">
            <v>SOJA</v>
          </cell>
          <cell r="E5674">
            <v>2000</v>
          </cell>
        </row>
        <row r="5675">
          <cell r="A5675" t="str">
            <v>TO</v>
          </cell>
          <cell r="B5675">
            <v>2008</v>
          </cell>
          <cell r="D5675" t="str">
            <v>SOJA</v>
          </cell>
          <cell r="E5675">
            <v>12000</v>
          </cell>
        </row>
        <row r="5676">
          <cell r="A5676" t="str">
            <v>TO</v>
          </cell>
          <cell r="B5676">
            <v>2008</v>
          </cell>
          <cell r="D5676" t="str">
            <v>SOJA</v>
          </cell>
          <cell r="E5676">
            <v>24000</v>
          </cell>
        </row>
        <row r="5677">
          <cell r="A5677" t="str">
            <v>TO</v>
          </cell>
          <cell r="B5677">
            <v>2008</v>
          </cell>
          <cell r="D5677" t="str">
            <v>SOJA</v>
          </cell>
          <cell r="E5677">
            <v>2000</v>
          </cell>
        </row>
        <row r="5678">
          <cell r="A5678" t="str">
            <v>TO</v>
          </cell>
          <cell r="B5678">
            <v>2008</v>
          </cell>
          <cell r="D5678" t="str">
            <v>SOJA</v>
          </cell>
          <cell r="E5678">
            <v>0</v>
          </cell>
        </row>
        <row r="5679">
          <cell r="A5679" t="str">
            <v>TO</v>
          </cell>
          <cell r="B5679">
            <v>2008</v>
          </cell>
          <cell r="D5679" t="str">
            <v>SOJA</v>
          </cell>
          <cell r="E5679">
            <v>0</v>
          </cell>
        </row>
        <row r="5680">
          <cell r="A5680" t="str">
            <v>TO</v>
          </cell>
          <cell r="B5680">
            <v>2008</v>
          </cell>
          <cell r="D5680" t="str">
            <v>SOJA</v>
          </cell>
          <cell r="E5680">
            <v>0</v>
          </cell>
        </row>
        <row r="5681">
          <cell r="A5681" t="str">
            <v>MA</v>
          </cell>
          <cell r="B5681">
            <v>2008</v>
          </cell>
          <cell r="D5681" t="str">
            <v>SOJA</v>
          </cell>
          <cell r="E5681">
            <v>3000</v>
          </cell>
        </row>
        <row r="5682">
          <cell r="A5682" t="str">
            <v>MA</v>
          </cell>
          <cell r="B5682">
            <v>2008</v>
          </cell>
          <cell r="D5682" t="str">
            <v>SOJA</v>
          </cell>
          <cell r="E5682">
            <v>10000</v>
          </cell>
        </row>
        <row r="5683">
          <cell r="A5683" t="str">
            <v>MA</v>
          </cell>
          <cell r="B5683">
            <v>2008</v>
          </cell>
          <cell r="D5683" t="str">
            <v>SOJA</v>
          </cell>
          <cell r="E5683">
            <v>6000</v>
          </cell>
        </row>
        <row r="5684">
          <cell r="A5684" t="str">
            <v>MA</v>
          </cell>
          <cell r="B5684">
            <v>2008</v>
          </cell>
          <cell r="D5684" t="str">
            <v>SOJA</v>
          </cell>
          <cell r="E5684">
            <v>6000</v>
          </cell>
        </row>
        <row r="5685">
          <cell r="A5685" t="str">
            <v>MA</v>
          </cell>
          <cell r="B5685">
            <v>2008</v>
          </cell>
          <cell r="D5685" t="str">
            <v>SOJA</v>
          </cell>
          <cell r="E5685">
            <v>0</v>
          </cell>
        </row>
        <row r="5686">
          <cell r="A5686" t="str">
            <v>TO</v>
          </cell>
          <cell r="B5686">
            <v>2008</v>
          </cell>
          <cell r="D5686" t="str">
            <v>SOJA</v>
          </cell>
          <cell r="E5686">
            <v>1000</v>
          </cell>
        </row>
        <row r="5687">
          <cell r="A5687" t="str">
            <v>TO</v>
          </cell>
          <cell r="B5687">
            <v>2008</v>
          </cell>
          <cell r="D5687" t="str">
            <v>SOJA</v>
          </cell>
          <cell r="E5687">
            <v>14000</v>
          </cell>
        </row>
        <row r="5688">
          <cell r="A5688" t="str">
            <v>TO</v>
          </cell>
          <cell r="B5688">
            <v>2008</v>
          </cell>
          <cell r="D5688" t="str">
            <v>SOJA</v>
          </cell>
          <cell r="E5688">
            <v>20000</v>
          </cell>
        </row>
        <row r="5689">
          <cell r="A5689" t="str">
            <v>TO</v>
          </cell>
          <cell r="B5689">
            <v>2008</v>
          </cell>
          <cell r="D5689" t="str">
            <v>SOJA</v>
          </cell>
          <cell r="E5689">
            <v>20000</v>
          </cell>
        </row>
        <row r="5690">
          <cell r="A5690" t="str">
            <v>MA</v>
          </cell>
          <cell r="B5690">
            <v>2008</v>
          </cell>
          <cell r="D5690" t="str">
            <v>SOJA</v>
          </cell>
          <cell r="E5690">
            <v>1000</v>
          </cell>
        </row>
        <row r="5691">
          <cell r="A5691" t="str">
            <v>MA</v>
          </cell>
          <cell r="B5691">
            <v>2008</v>
          </cell>
          <cell r="D5691" t="str">
            <v>SOJA</v>
          </cell>
          <cell r="E5691">
            <v>12000</v>
          </cell>
        </row>
        <row r="5692">
          <cell r="A5692" t="str">
            <v>MA</v>
          </cell>
          <cell r="B5692">
            <v>2008</v>
          </cell>
          <cell r="D5692" t="str">
            <v>SOJA</v>
          </cell>
          <cell r="E5692">
            <v>11000</v>
          </cell>
        </row>
        <row r="5693">
          <cell r="A5693" t="str">
            <v>MA</v>
          </cell>
          <cell r="B5693">
            <v>2008</v>
          </cell>
          <cell r="D5693" t="str">
            <v>SOJA</v>
          </cell>
          <cell r="E5693">
            <v>5000</v>
          </cell>
        </row>
        <row r="5694">
          <cell r="A5694" t="str">
            <v>MA</v>
          </cell>
          <cell r="B5694">
            <v>2008</v>
          </cell>
          <cell r="D5694" t="str">
            <v>SOJA</v>
          </cell>
          <cell r="E5694">
            <v>4000</v>
          </cell>
        </row>
        <row r="5695">
          <cell r="A5695" t="str">
            <v>MA</v>
          </cell>
          <cell r="B5695">
            <v>2008</v>
          </cell>
          <cell r="D5695" t="str">
            <v>SOJA</v>
          </cell>
          <cell r="E5695">
            <v>3000</v>
          </cell>
        </row>
        <row r="5696">
          <cell r="A5696" t="str">
            <v>MA</v>
          </cell>
          <cell r="B5696">
            <v>2008</v>
          </cell>
          <cell r="D5696" t="str">
            <v>SOJA</v>
          </cell>
          <cell r="E5696">
            <v>2000</v>
          </cell>
        </row>
        <row r="5697">
          <cell r="A5697" t="str">
            <v>MA</v>
          </cell>
          <cell r="B5697">
            <v>2008</v>
          </cell>
          <cell r="D5697" t="str">
            <v>SOJA</v>
          </cell>
          <cell r="E5697">
            <v>7000</v>
          </cell>
        </row>
        <row r="5698">
          <cell r="A5698" t="str">
            <v>MA</v>
          </cell>
          <cell r="B5698">
            <v>2008</v>
          </cell>
          <cell r="D5698" t="str">
            <v>SOJA</v>
          </cell>
          <cell r="E5698">
            <v>1000</v>
          </cell>
        </row>
        <row r="5699">
          <cell r="A5699" t="str">
            <v>MA</v>
          </cell>
          <cell r="B5699">
            <v>2008</v>
          </cell>
          <cell r="D5699" t="str">
            <v>SOJA</v>
          </cell>
          <cell r="E5699">
            <v>20000</v>
          </cell>
        </row>
        <row r="5700">
          <cell r="A5700" t="str">
            <v>MA</v>
          </cell>
          <cell r="B5700">
            <v>2008</v>
          </cell>
          <cell r="D5700" t="str">
            <v>SOJA</v>
          </cell>
          <cell r="E5700">
            <v>20000</v>
          </cell>
        </row>
        <row r="5701">
          <cell r="A5701" t="str">
            <v>MA</v>
          </cell>
          <cell r="B5701">
            <v>2008</v>
          </cell>
          <cell r="D5701" t="str">
            <v>SOJA</v>
          </cell>
          <cell r="E5701">
            <v>9000</v>
          </cell>
        </row>
        <row r="5702">
          <cell r="A5702" t="str">
            <v>MA</v>
          </cell>
          <cell r="B5702">
            <v>2008</v>
          </cell>
          <cell r="D5702" t="str">
            <v>SOJA</v>
          </cell>
          <cell r="E5702">
            <v>0</v>
          </cell>
        </row>
        <row r="5703">
          <cell r="A5703" t="str">
            <v>MA</v>
          </cell>
          <cell r="B5703">
            <v>2008</v>
          </cell>
          <cell r="D5703" t="str">
            <v>SOJA</v>
          </cell>
          <cell r="E5703">
            <v>1000</v>
          </cell>
        </row>
        <row r="5704">
          <cell r="A5704" t="str">
            <v>MA</v>
          </cell>
          <cell r="B5704">
            <v>2008</v>
          </cell>
          <cell r="D5704" t="str">
            <v>SOJA</v>
          </cell>
          <cell r="E5704">
            <v>20000</v>
          </cell>
        </row>
        <row r="5705">
          <cell r="A5705" t="str">
            <v>MA</v>
          </cell>
          <cell r="B5705">
            <v>2008</v>
          </cell>
          <cell r="D5705" t="str">
            <v>SOJA</v>
          </cell>
          <cell r="E5705">
            <v>20000</v>
          </cell>
        </row>
        <row r="5706">
          <cell r="A5706" t="str">
            <v>MA</v>
          </cell>
          <cell r="B5706">
            <v>2008</v>
          </cell>
          <cell r="D5706" t="str">
            <v>SOJA</v>
          </cell>
          <cell r="E5706">
            <v>9000</v>
          </cell>
        </row>
        <row r="5707">
          <cell r="A5707" t="str">
            <v>MA</v>
          </cell>
          <cell r="B5707">
            <v>2008</v>
          </cell>
          <cell r="D5707" t="str">
            <v>SOJA</v>
          </cell>
          <cell r="E5707">
            <v>1000</v>
          </cell>
        </row>
        <row r="5708">
          <cell r="A5708" t="str">
            <v>MA</v>
          </cell>
          <cell r="B5708">
            <v>2008</v>
          </cell>
          <cell r="D5708" t="str">
            <v>SOJA</v>
          </cell>
          <cell r="E5708">
            <v>20000</v>
          </cell>
        </row>
        <row r="5709">
          <cell r="A5709" t="str">
            <v>MA</v>
          </cell>
          <cell r="B5709">
            <v>2008</v>
          </cell>
          <cell r="D5709" t="str">
            <v>SOJA</v>
          </cell>
          <cell r="E5709">
            <v>44000</v>
          </cell>
        </row>
        <row r="5710">
          <cell r="A5710" t="str">
            <v>MA</v>
          </cell>
          <cell r="B5710">
            <v>2008</v>
          </cell>
          <cell r="D5710" t="str">
            <v>SOJA</v>
          </cell>
          <cell r="E5710">
            <v>15000</v>
          </cell>
        </row>
        <row r="5711">
          <cell r="A5711" t="str">
            <v>MA</v>
          </cell>
          <cell r="B5711">
            <v>2008</v>
          </cell>
          <cell r="D5711" t="str">
            <v>SOJA</v>
          </cell>
          <cell r="E5711">
            <v>0</v>
          </cell>
        </row>
        <row r="5712">
          <cell r="A5712" t="str">
            <v>MA</v>
          </cell>
          <cell r="B5712">
            <v>2008</v>
          </cell>
          <cell r="D5712" t="str">
            <v>SOJA</v>
          </cell>
          <cell r="E5712">
            <v>0</v>
          </cell>
        </row>
        <row r="5713">
          <cell r="A5713" t="str">
            <v>MA</v>
          </cell>
          <cell r="B5713">
            <v>2008</v>
          </cell>
          <cell r="D5713" t="str">
            <v>SOJA</v>
          </cell>
          <cell r="E5713">
            <v>0</v>
          </cell>
        </row>
        <row r="5714">
          <cell r="A5714" t="str">
            <v>BA</v>
          </cell>
          <cell r="B5714">
            <v>2008</v>
          </cell>
          <cell r="D5714" t="str">
            <v>SOJA</v>
          </cell>
          <cell r="E5714">
            <v>3000</v>
          </cell>
        </row>
        <row r="5715">
          <cell r="A5715" t="str">
            <v>BA</v>
          </cell>
          <cell r="B5715">
            <v>2008</v>
          </cell>
          <cell r="D5715" t="str">
            <v>SOJA</v>
          </cell>
          <cell r="E5715">
            <v>30000</v>
          </cell>
        </row>
        <row r="5716">
          <cell r="A5716" t="str">
            <v>BA</v>
          </cell>
          <cell r="B5716">
            <v>2008</v>
          </cell>
          <cell r="D5716" t="str">
            <v>SOJA</v>
          </cell>
          <cell r="E5716">
            <v>20500</v>
          </cell>
        </row>
        <row r="5717">
          <cell r="A5717" t="str">
            <v>BA</v>
          </cell>
          <cell r="B5717">
            <v>2008</v>
          </cell>
          <cell r="D5717" t="str">
            <v>SOJA</v>
          </cell>
          <cell r="E5717">
            <v>4000</v>
          </cell>
        </row>
        <row r="5718">
          <cell r="A5718" t="str">
            <v>BA</v>
          </cell>
          <cell r="B5718">
            <v>2008</v>
          </cell>
          <cell r="D5718" t="str">
            <v>SOJA</v>
          </cell>
          <cell r="E5718">
            <v>600</v>
          </cell>
        </row>
        <row r="5719">
          <cell r="A5719" t="str">
            <v>BA</v>
          </cell>
          <cell r="B5719">
            <v>2008</v>
          </cell>
          <cell r="D5719" t="str">
            <v>SOJA</v>
          </cell>
          <cell r="E5719">
            <v>300</v>
          </cell>
        </row>
        <row r="5720">
          <cell r="A5720" t="str">
            <v>BA</v>
          </cell>
          <cell r="B5720">
            <v>2008</v>
          </cell>
          <cell r="D5720" t="str">
            <v>SOJA</v>
          </cell>
          <cell r="E5720">
            <v>200</v>
          </cell>
        </row>
        <row r="5721">
          <cell r="A5721" t="str">
            <v>BA</v>
          </cell>
          <cell r="B5721">
            <v>2008</v>
          </cell>
          <cell r="D5721" t="str">
            <v>SOJA</v>
          </cell>
          <cell r="E5721">
            <v>200</v>
          </cell>
        </row>
        <row r="5722">
          <cell r="A5722" t="str">
            <v>BA</v>
          </cell>
          <cell r="B5722">
            <v>2008</v>
          </cell>
          <cell r="D5722" t="str">
            <v>SOJA</v>
          </cell>
          <cell r="E5722">
            <v>200</v>
          </cell>
        </row>
        <row r="5723">
          <cell r="A5723" t="str">
            <v>BA</v>
          </cell>
          <cell r="B5723">
            <v>2008</v>
          </cell>
          <cell r="D5723" t="str">
            <v>SOJA</v>
          </cell>
          <cell r="E5723">
            <v>5000</v>
          </cell>
        </row>
        <row r="5724">
          <cell r="A5724" t="str">
            <v>BA</v>
          </cell>
          <cell r="B5724">
            <v>2008</v>
          </cell>
          <cell r="D5724" t="str">
            <v>SOJA</v>
          </cell>
          <cell r="E5724">
            <v>27000</v>
          </cell>
        </row>
        <row r="5725">
          <cell r="A5725" t="str">
            <v>BA</v>
          </cell>
          <cell r="B5725">
            <v>2008</v>
          </cell>
          <cell r="D5725" t="str">
            <v>SOJA</v>
          </cell>
          <cell r="E5725">
            <v>15000</v>
          </cell>
        </row>
        <row r="5726">
          <cell r="A5726" t="str">
            <v>BA</v>
          </cell>
          <cell r="B5726">
            <v>2008</v>
          </cell>
          <cell r="D5726" t="str">
            <v>SOJA</v>
          </cell>
          <cell r="E5726">
            <v>0</v>
          </cell>
        </row>
        <row r="5727">
          <cell r="A5727" t="str">
            <v>BA</v>
          </cell>
          <cell r="B5727">
            <v>2008</v>
          </cell>
          <cell r="D5727" t="str">
            <v>SOJA</v>
          </cell>
          <cell r="E5727">
            <v>0</v>
          </cell>
        </row>
        <row r="5728">
          <cell r="A5728" t="str">
            <v>BA</v>
          </cell>
          <cell r="B5728">
            <v>2008</v>
          </cell>
          <cell r="D5728" t="str">
            <v>SOJA</v>
          </cell>
          <cell r="E5728">
            <v>3000</v>
          </cell>
        </row>
        <row r="5729">
          <cell r="A5729" t="str">
            <v>BA</v>
          </cell>
          <cell r="B5729">
            <v>2008</v>
          </cell>
          <cell r="D5729" t="str">
            <v>SOJA</v>
          </cell>
          <cell r="E5729">
            <v>22000</v>
          </cell>
        </row>
        <row r="5730">
          <cell r="A5730" t="str">
            <v>BA</v>
          </cell>
          <cell r="B5730">
            <v>2008</v>
          </cell>
          <cell r="D5730" t="str">
            <v>SOJA</v>
          </cell>
          <cell r="E5730">
            <v>15000</v>
          </cell>
        </row>
        <row r="5731">
          <cell r="A5731" t="str">
            <v>BA</v>
          </cell>
          <cell r="B5731">
            <v>2008</v>
          </cell>
          <cell r="D5731" t="str">
            <v>SOJA</v>
          </cell>
          <cell r="E5731">
            <v>3000</v>
          </cell>
        </row>
        <row r="5732">
          <cell r="A5732" t="str">
            <v>BA</v>
          </cell>
          <cell r="B5732">
            <v>2008</v>
          </cell>
          <cell r="D5732" t="str">
            <v>SOJA</v>
          </cell>
          <cell r="E5732">
            <v>16000</v>
          </cell>
        </row>
        <row r="5733">
          <cell r="A5733" t="str">
            <v>BA</v>
          </cell>
          <cell r="B5733">
            <v>2008</v>
          </cell>
          <cell r="D5733" t="str">
            <v>SOJA</v>
          </cell>
          <cell r="E5733">
            <v>11000</v>
          </cell>
        </row>
        <row r="5734">
          <cell r="A5734" t="str">
            <v>BA</v>
          </cell>
          <cell r="B5734">
            <v>2008</v>
          </cell>
          <cell r="D5734" t="str">
            <v>SOJA</v>
          </cell>
          <cell r="E5734">
            <v>2000</v>
          </cell>
        </row>
        <row r="5735">
          <cell r="A5735" t="str">
            <v>BA</v>
          </cell>
          <cell r="B5735">
            <v>2008</v>
          </cell>
          <cell r="D5735" t="str">
            <v>SOJA</v>
          </cell>
          <cell r="E5735">
            <v>30000</v>
          </cell>
        </row>
        <row r="5736">
          <cell r="A5736" t="str">
            <v>BA</v>
          </cell>
          <cell r="B5736">
            <v>2008</v>
          </cell>
          <cell r="D5736" t="str">
            <v>SOJA</v>
          </cell>
          <cell r="E5736">
            <v>25000</v>
          </cell>
        </row>
        <row r="5737">
          <cell r="A5737" t="str">
            <v>BA</v>
          </cell>
          <cell r="B5737">
            <v>2008</v>
          </cell>
          <cell r="D5737" t="str">
            <v>SOJA</v>
          </cell>
          <cell r="E5737">
            <v>3000</v>
          </cell>
        </row>
        <row r="5738">
          <cell r="A5738" t="str">
            <v>BA</v>
          </cell>
          <cell r="B5738">
            <v>2008</v>
          </cell>
          <cell r="D5738" t="str">
            <v>SOJA</v>
          </cell>
          <cell r="E5738">
            <v>8000</v>
          </cell>
        </row>
        <row r="5739">
          <cell r="A5739" t="str">
            <v>BA</v>
          </cell>
          <cell r="B5739">
            <v>2008</v>
          </cell>
          <cell r="D5739" t="str">
            <v>SOJA</v>
          </cell>
          <cell r="E5739">
            <v>52000</v>
          </cell>
        </row>
        <row r="5740">
          <cell r="A5740" t="str">
            <v>BA</v>
          </cell>
          <cell r="B5740">
            <v>2008</v>
          </cell>
          <cell r="D5740" t="str">
            <v>SOJA</v>
          </cell>
          <cell r="E5740">
            <v>38000</v>
          </cell>
        </row>
        <row r="5741">
          <cell r="A5741" t="str">
            <v>BA</v>
          </cell>
          <cell r="B5741">
            <v>2008</v>
          </cell>
          <cell r="D5741" t="str">
            <v>SOJA</v>
          </cell>
          <cell r="E5741">
            <v>0</v>
          </cell>
        </row>
        <row r="5742">
          <cell r="A5742" t="str">
            <v>BA</v>
          </cell>
          <cell r="B5742">
            <v>2008</v>
          </cell>
          <cell r="D5742" t="str">
            <v>SOJA</v>
          </cell>
          <cell r="E5742">
            <v>0</v>
          </cell>
        </row>
        <row r="5743">
          <cell r="A5743" t="str">
            <v>BA</v>
          </cell>
          <cell r="B5743">
            <v>2008</v>
          </cell>
          <cell r="D5743" t="str">
            <v>SOJA</v>
          </cell>
          <cell r="E5743">
            <v>0</v>
          </cell>
        </row>
        <row r="5744">
          <cell r="A5744" t="str">
            <v>BA</v>
          </cell>
          <cell r="B5744">
            <v>2008</v>
          </cell>
          <cell r="D5744" t="str">
            <v>SOJA</v>
          </cell>
          <cell r="E5744">
            <v>0</v>
          </cell>
        </row>
        <row r="5745">
          <cell r="A5745" t="str">
            <v>BA</v>
          </cell>
          <cell r="B5745">
            <v>2008</v>
          </cell>
          <cell r="D5745" t="str">
            <v>SOJA</v>
          </cell>
          <cell r="E5745">
            <v>5000</v>
          </cell>
        </row>
        <row r="5746">
          <cell r="A5746" t="str">
            <v>BA</v>
          </cell>
          <cell r="B5746">
            <v>2008</v>
          </cell>
          <cell r="D5746" t="str">
            <v>SOJA</v>
          </cell>
          <cell r="E5746">
            <v>45000</v>
          </cell>
        </row>
        <row r="5747">
          <cell r="A5747" t="str">
            <v>BA</v>
          </cell>
          <cell r="B5747">
            <v>2008</v>
          </cell>
          <cell r="D5747" t="str">
            <v>SOJA</v>
          </cell>
          <cell r="E5747">
            <v>30000</v>
          </cell>
        </row>
        <row r="5748">
          <cell r="A5748" t="str">
            <v>BA</v>
          </cell>
          <cell r="B5748">
            <v>2008</v>
          </cell>
          <cell r="D5748" t="str">
            <v>SOJA</v>
          </cell>
          <cell r="E5748">
            <v>10000</v>
          </cell>
        </row>
        <row r="5749">
          <cell r="A5749" t="str">
            <v>BA</v>
          </cell>
          <cell r="B5749">
            <v>2008</v>
          </cell>
          <cell r="D5749" t="str">
            <v>SOJA</v>
          </cell>
          <cell r="E5749">
            <v>0</v>
          </cell>
        </row>
        <row r="5750">
          <cell r="A5750" t="str">
            <v>BA</v>
          </cell>
          <cell r="B5750">
            <v>2008</v>
          </cell>
          <cell r="D5750" t="str">
            <v>SOJA</v>
          </cell>
          <cell r="E5750">
            <v>0</v>
          </cell>
        </row>
        <row r="5751">
          <cell r="A5751" t="str">
            <v>BA</v>
          </cell>
          <cell r="B5751">
            <v>2008</v>
          </cell>
          <cell r="D5751" t="str">
            <v>SOJA</v>
          </cell>
          <cell r="E5751">
            <v>30000</v>
          </cell>
        </row>
        <row r="5752">
          <cell r="A5752" t="str">
            <v>BA</v>
          </cell>
          <cell r="B5752">
            <v>2008</v>
          </cell>
          <cell r="D5752" t="str">
            <v>SOJA</v>
          </cell>
          <cell r="E5752">
            <v>124000</v>
          </cell>
        </row>
        <row r="5753">
          <cell r="A5753" t="str">
            <v>BA</v>
          </cell>
          <cell r="B5753">
            <v>2008</v>
          </cell>
          <cell r="D5753" t="str">
            <v>SOJA</v>
          </cell>
          <cell r="E5753">
            <v>50000</v>
          </cell>
        </row>
        <row r="5754">
          <cell r="A5754" t="str">
            <v>BA</v>
          </cell>
          <cell r="B5754">
            <v>2008</v>
          </cell>
          <cell r="D5754" t="str">
            <v>SOJA</v>
          </cell>
          <cell r="E5754">
            <v>0</v>
          </cell>
        </row>
        <row r="5755">
          <cell r="A5755" t="str">
            <v>BA</v>
          </cell>
          <cell r="B5755">
            <v>2008</v>
          </cell>
          <cell r="D5755" t="str">
            <v>SOJA</v>
          </cell>
          <cell r="E5755">
            <v>0</v>
          </cell>
        </row>
        <row r="5756">
          <cell r="A5756" t="str">
            <v>BA</v>
          </cell>
          <cell r="B5756">
            <v>2008</v>
          </cell>
          <cell r="D5756" t="str">
            <v>SOJA</v>
          </cell>
          <cell r="E5756">
            <v>0</v>
          </cell>
        </row>
        <row r="5757">
          <cell r="A5757" t="str">
            <v>BA</v>
          </cell>
          <cell r="B5757">
            <v>2008</v>
          </cell>
          <cell r="D5757" t="str">
            <v>SOJA</v>
          </cell>
          <cell r="E5757">
            <v>0</v>
          </cell>
        </row>
        <row r="5758">
          <cell r="A5758" t="str">
            <v>BA</v>
          </cell>
          <cell r="B5758">
            <v>2008</v>
          </cell>
          <cell r="D5758" t="str">
            <v>SOJA</v>
          </cell>
          <cell r="E5758">
            <v>2500</v>
          </cell>
        </row>
        <row r="5759">
          <cell r="A5759" t="str">
            <v>BA</v>
          </cell>
          <cell r="B5759">
            <v>2008</v>
          </cell>
          <cell r="D5759" t="str">
            <v>SOJA</v>
          </cell>
          <cell r="E5759">
            <v>24000</v>
          </cell>
        </row>
        <row r="5760">
          <cell r="A5760" t="str">
            <v>BA</v>
          </cell>
          <cell r="B5760">
            <v>2008</v>
          </cell>
          <cell r="D5760" t="str">
            <v>SOJA</v>
          </cell>
          <cell r="E5760">
            <v>4500</v>
          </cell>
        </row>
        <row r="5761">
          <cell r="A5761" t="str">
            <v>BA</v>
          </cell>
          <cell r="B5761">
            <v>2008</v>
          </cell>
          <cell r="D5761" t="str">
            <v>SOJA</v>
          </cell>
          <cell r="E5761">
            <v>10000</v>
          </cell>
        </row>
        <row r="5762">
          <cell r="A5762" t="str">
            <v>BA</v>
          </cell>
          <cell r="B5762">
            <v>2008</v>
          </cell>
          <cell r="D5762" t="str">
            <v>SOJA</v>
          </cell>
          <cell r="E5762">
            <v>60000</v>
          </cell>
        </row>
        <row r="5763">
          <cell r="A5763" t="str">
            <v>BA</v>
          </cell>
          <cell r="B5763">
            <v>2008</v>
          </cell>
          <cell r="D5763" t="str">
            <v>SOJA</v>
          </cell>
          <cell r="E5763">
            <v>35000</v>
          </cell>
        </row>
        <row r="5764">
          <cell r="A5764" t="str">
            <v>BA</v>
          </cell>
          <cell r="B5764">
            <v>2008</v>
          </cell>
          <cell r="D5764" t="str">
            <v>SOJA</v>
          </cell>
          <cell r="E5764">
            <v>5000</v>
          </cell>
        </row>
        <row r="5765">
          <cell r="A5765" t="str">
            <v>BA</v>
          </cell>
          <cell r="B5765">
            <v>2008</v>
          </cell>
          <cell r="D5765" t="str">
            <v>SOJA</v>
          </cell>
          <cell r="E5765">
            <v>0</v>
          </cell>
        </row>
        <row r="5766">
          <cell r="A5766" t="str">
            <v>BA</v>
          </cell>
          <cell r="B5766">
            <v>2008</v>
          </cell>
          <cell r="D5766" t="str">
            <v>SOJA</v>
          </cell>
          <cell r="E5766">
            <v>6000</v>
          </cell>
        </row>
        <row r="5767">
          <cell r="A5767" t="str">
            <v>BA</v>
          </cell>
          <cell r="B5767">
            <v>2008</v>
          </cell>
          <cell r="D5767" t="str">
            <v>SOJA</v>
          </cell>
          <cell r="E5767">
            <v>14000</v>
          </cell>
        </row>
        <row r="5768">
          <cell r="A5768" t="str">
            <v>BA</v>
          </cell>
          <cell r="B5768">
            <v>2008</v>
          </cell>
          <cell r="D5768" t="str">
            <v>SOJA</v>
          </cell>
          <cell r="E5768">
            <v>6000</v>
          </cell>
        </row>
        <row r="5769">
          <cell r="A5769" t="str">
            <v>BA</v>
          </cell>
          <cell r="B5769">
            <v>2008</v>
          </cell>
          <cell r="D5769" t="str">
            <v>SOJA</v>
          </cell>
          <cell r="E5769">
            <v>18000</v>
          </cell>
        </row>
        <row r="5770">
          <cell r="A5770" t="str">
            <v>BA</v>
          </cell>
          <cell r="B5770">
            <v>2008</v>
          </cell>
          <cell r="D5770" t="str">
            <v>SOJA</v>
          </cell>
          <cell r="E5770">
            <v>6000</v>
          </cell>
        </row>
        <row r="5771">
          <cell r="A5771" t="str">
            <v>BA</v>
          </cell>
          <cell r="B5771">
            <v>2008</v>
          </cell>
          <cell r="D5771" t="str">
            <v>SOJA</v>
          </cell>
          <cell r="E5771">
            <v>0</v>
          </cell>
        </row>
        <row r="5772">
          <cell r="A5772" t="str">
            <v>BA</v>
          </cell>
          <cell r="B5772">
            <v>2008</v>
          </cell>
          <cell r="D5772" t="str">
            <v>SOJA</v>
          </cell>
          <cell r="E5772">
            <v>0</v>
          </cell>
        </row>
        <row r="5773">
          <cell r="A5773" t="str">
            <v>BA</v>
          </cell>
          <cell r="B5773">
            <v>2008</v>
          </cell>
          <cell r="D5773" t="str">
            <v>SOJA</v>
          </cell>
          <cell r="E5773">
            <v>0</v>
          </cell>
        </row>
        <row r="5774">
          <cell r="A5774" t="str">
            <v>BA</v>
          </cell>
          <cell r="B5774">
            <v>2008</v>
          </cell>
          <cell r="D5774" t="str">
            <v>SOJA</v>
          </cell>
          <cell r="E5774">
            <v>0</v>
          </cell>
        </row>
        <row r="5775">
          <cell r="A5775" t="str">
            <v>BA</v>
          </cell>
          <cell r="B5775">
            <v>2008</v>
          </cell>
          <cell r="D5775" t="str">
            <v>SOJA</v>
          </cell>
          <cell r="E5775">
            <v>24000</v>
          </cell>
        </row>
        <row r="5776">
          <cell r="A5776" t="str">
            <v>BA</v>
          </cell>
          <cell r="B5776">
            <v>2008</v>
          </cell>
          <cell r="D5776" t="str">
            <v>SOJA</v>
          </cell>
          <cell r="E5776">
            <v>50000</v>
          </cell>
        </row>
        <row r="5777">
          <cell r="A5777" t="str">
            <v>BA</v>
          </cell>
          <cell r="B5777">
            <v>2008</v>
          </cell>
          <cell r="D5777" t="str">
            <v>SOJA</v>
          </cell>
          <cell r="E5777">
            <v>18000</v>
          </cell>
        </row>
        <row r="5778">
          <cell r="A5778" t="str">
            <v>BA</v>
          </cell>
          <cell r="B5778">
            <v>2008</v>
          </cell>
          <cell r="D5778" t="str">
            <v>SOJA</v>
          </cell>
          <cell r="E5778">
            <v>5000</v>
          </cell>
        </row>
        <row r="5779">
          <cell r="A5779" t="str">
            <v>BA</v>
          </cell>
          <cell r="B5779">
            <v>2008</v>
          </cell>
          <cell r="D5779" t="str">
            <v>SOJA</v>
          </cell>
          <cell r="E5779">
            <v>1000</v>
          </cell>
        </row>
        <row r="5780">
          <cell r="A5780" t="str">
            <v>BA</v>
          </cell>
          <cell r="B5780">
            <v>2008</v>
          </cell>
          <cell r="D5780" t="str">
            <v>SOJA</v>
          </cell>
          <cell r="E5780">
            <v>0</v>
          </cell>
        </row>
        <row r="5781">
          <cell r="A5781" t="str">
            <v>BA</v>
          </cell>
          <cell r="B5781">
            <v>2008</v>
          </cell>
          <cell r="D5781" t="str">
            <v>SOJA</v>
          </cell>
          <cell r="E5781">
            <v>4000</v>
          </cell>
        </row>
        <row r="5782">
          <cell r="A5782" t="str">
            <v>BA</v>
          </cell>
          <cell r="B5782">
            <v>2008</v>
          </cell>
          <cell r="D5782" t="str">
            <v>SOJA</v>
          </cell>
          <cell r="E5782">
            <v>34000</v>
          </cell>
        </row>
        <row r="5783">
          <cell r="A5783" t="str">
            <v>BA</v>
          </cell>
          <cell r="B5783">
            <v>2008</v>
          </cell>
          <cell r="D5783" t="str">
            <v>SOJA</v>
          </cell>
          <cell r="E5783">
            <v>19000</v>
          </cell>
        </row>
        <row r="5784">
          <cell r="A5784" t="str">
            <v>BA</v>
          </cell>
          <cell r="B5784">
            <v>2008</v>
          </cell>
          <cell r="D5784" t="str">
            <v>SOJA</v>
          </cell>
          <cell r="E5784">
            <v>4700</v>
          </cell>
        </row>
        <row r="5785">
          <cell r="A5785" t="str">
            <v>BA</v>
          </cell>
          <cell r="B5785">
            <v>2008</v>
          </cell>
          <cell r="D5785" t="str">
            <v>SOJA</v>
          </cell>
          <cell r="E5785">
            <v>600</v>
          </cell>
        </row>
        <row r="5786">
          <cell r="A5786" t="str">
            <v>BA</v>
          </cell>
          <cell r="B5786">
            <v>2008</v>
          </cell>
          <cell r="D5786" t="str">
            <v>SOJA</v>
          </cell>
          <cell r="E5786">
            <v>300</v>
          </cell>
        </row>
        <row r="5787">
          <cell r="A5787" t="str">
            <v>BA</v>
          </cell>
          <cell r="B5787">
            <v>2008</v>
          </cell>
          <cell r="D5787" t="str">
            <v>SOJA</v>
          </cell>
          <cell r="E5787">
            <v>200</v>
          </cell>
        </row>
        <row r="5788">
          <cell r="A5788" t="str">
            <v>BA</v>
          </cell>
          <cell r="B5788">
            <v>2008</v>
          </cell>
          <cell r="D5788" t="str">
            <v>SOJA</v>
          </cell>
          <cell r="E5788">
            <v>200</v>
          </cell>
        </row>
        <row r="5789">
          <cell r="A5789" t="str">
            <v>BA</v>
          </cell>
          <cell r="B5789">
            <v>2008</v>
          </cell>
          <cell r="D5789" t="str">
            <v>SOJA</v>
          </cell>
          <cell r="E5789">
            <v>200</v>
          </cell>
        </row>
        <row r="5790">
          <cell r="A5790" t="str">
            <v>MG</v>
          </cell>
          <cell r="B5790">
            <v>2008</v>
          </cell>
          <cell r="D5790" t="str">
            <v>SOJA</v>
          </cell>
          <cell r="E5790">
            <v>1000</v>
          </cell>
        </row>
        <row r="5791">
          <cell r="A5791" t="str">
            <v>MG</v>
          </cell>
          <cell r="B5791">
            <v>2008</v>
          </cell>
          <cell r="D5791" t="str">
            <v>SOJA</v>
          </cell>
          <cell r="E5791">
            <v>9000</v>
          </cell>
        </row>
        <row r="5792">
          <cell r="A5792" t="str">
            <v>MG</v>
          </cell>
          <cell r="B5792">
            <v>2008</v>
          </cell>
          <cell r="D5792" t="str">
            <v>SOJA</v>
          </cell>
          <cell r="E5792">
            <v>13000</v>
          </cell>
        </row>
        <row r="5793">
          <cell r="A5793" t="str">
            <v>MG</v>
          </cell>
          <cell r="B5793">
            <v>2008</v>
          </cell>
          <cell r="D5793" t="str">
            <v>SOJA</v>
          </cell>
          <cell r="E5793">
            <v>2000</v>
          </cell>
        </row>
        <row r="5794">
          <cell r="A5794" t="str">
            <v>MG</v>
          </cell>
          <cell r="B5794">
            <v>2008</v>
          </cell>
          <cell r="D5794" t="str">
            <v>SOJA</v>
          </cell>
          <cell r="E5794">
            <v>0</v>
          </cell>
        </row>
        <row r="5795">
          <cell r="A5795" t="str">
            <v>MG</v>
          </cell>
          <cell r="B5795">
            <v>2008</v>
          </cell>
          <cell r="D5795" t="str">
            <v>SOJA</v>
          </cell>
          <cell r="E5795">
            <v>0</v>
          </cell>
        </row>
        <row r="5796">
          <cell r="A5796" t="str">
            <v>MG</v>
          </cell>
          <cell r="B5796">
            <v>2008</v>
          </cell>
          <cell r="D5796" t="str">
            <v>SOJA</v>
          </cell>
          <cell r="E5796">
            <v>0</v>
          </cell>
        </row>
        <row r="5797">
          <cell r="A5797" t="str">
            <v>MG</v>
          </cell>
          <cell r="B5797">
            <v>2008</v>
          </cell>
          <cell r="D5797" t="str">
            <v>SOJA</v>
          </cell>
          <cell r="E5797">
            <v>0</v>
          </cell>
        </row>
        <row r="5798">
          <cell r="A5798" t="str">
            <v>MG</v>
          </cell>
          <cell r="B5798">
            <v>2008</v>
          </cell>
          <cell r="D5798" t="str">
            <v>SOJA</v>
          </cell>
          <cell r="E5798">
            <v>0</v>
          </cell>
        </row>
        <row r="5799">
          <cell r="A5799" t="str">
            <v>GO</v>
          </cell>
          <cell r="B5799">
            <v>2008</v>
          </cell>
          <cell r="D5799" t="str">
            <v>SOJA</v>
          </cell>
          <cell r="E5799">
            <v>4000</v>
          </cell>
        </row>
        <row r="5800">
          <cell r="A5800" t="str">
            <v>GO</v>
          </cell>
          <cell r="B5800">
            <v>2008</v>
          </cell>
          <cell r="D5800" t="str">
            <v>SOJA</v>
          </cell>
          <cell r="E5800">
            <v>8000</v>
          </cell>
        </row>
        <row r="5801">
          <cell r="A5801" t="str">
            <v>GO</v>
          </cell>
          <cell r="B5801">
            <v>2008</v>
          </cell>
          <cell r="D5801" t="str">
            <v>SOJA</v>
          </cell>
          <cell r="E5801">
            <v>5000</v>
          </cell>
        </row>
        <row r="5802">
          <cell r="A5802" t="str">
            <v>GO</v>
          </cell>
          <cell r="B5802">
            <v>2008</v>
          </cell>
          <cell r="D5802" t="str">
            <v>SOJA</v>
          </cell>
          <cell r="E5802">
            <v>1000</v>
          </cell>
        </row>
        <row r="5803">
          <cell r="A5803" t="str">
            <v>GO</v>
          </cell>
          <cell r="B5803">
            <v>2008</v>
          </cell>
          <cell r="D5803" t="str">
            <v>SOJA</v>
          </cell>
          <cell r="E5803">
            <v>0</v>
          </cell>
        </row>
        <row r="5804">
          <cell r="A5804" t="str">
            <v>GO</v>
          </cell>
          <cell r="B5804">
            <v>2008</v>
          </cell>
          <cell r="D5804" t="str">
            <v>SOJA</v>
          </cell>
          <cell r="E5804">
            <v>0</v>
          </cell>
        </row>
        <row r="5805">
          <cell r="A5805" t="str">
            <v>GO</v>
          </cell>
          <cell r="B5805">
            <v>2008</v>
          </cell>
          <cell r="D5805" t="str">
            <v>SOJA</v>
          </cell>
          <cell r="E5805">
            <v>0</v>
          </cell>
        </row>
        <row r="5806">
          <cell r="A5806" t="str">
            <v>GO</v>
          </cell>
          <cell r="B5806">
            <v>2008</v>
          </cell>
          <cell r="D5806" t="str">
            <v>SOJA</v>
          </cell>
          <cell r="E5806">
            <v>0</v>
          </cell>
        </row>
        <row r="5807">
          <cell r="A5807" t="str">
            <v>GO</v>
          </cell>
          <cell r="B5807">
            <v>2008</v>
          </cell>
          <cell r="D5807" t="str">
            <v>SOJA</v>
          </cell>
          <cell r="E5807">
            <v>0</v>
          </cell>
        </row>
        <row r="5808">
          <cell r="A5808" t="str">
            <v>GO</v>
          </cell>
          <cell r="B5808">
            <v>2008</v>
          </cell>
          <cell r="D5808" t="str">
            <v>SOJA</v>
          </cell>
          <cell r="E5808">
            <v>0</v>
          </cell>
        </row>
        <row r="5809">
          <cell r="A5809" t="str">
            <v>GO</v>
          </cell>
          <cell r="B5809">
            <v>2008</v>
          </cell>
          <cell r="D5809" t="str">
            <v>SOJA</v>
          </cell>
          <cell r="E5809">
            <v>4000</v>
          </cell>
        </row>
        <row r="5810">
          <cell r="A5810" t="str">
            <v>GO</v>
          </cell>
          <cell r="B5810">
            <v>2008</v>
          </cell>
          <cell r="D5810" t="str">
            <v>SOJA</v>
          </cell>
          <cell r="E5810">
            <v>18000</v>
          </cell>
        </row>
        <row r="5811">
          <cell r="A5811" t="str">
            <v>GO</v>
          </cell>
          <cell r="B5811">
            <v>2008</v>
          </cell>
          <cell r="D5811" t="str">
            <v>SOJA</v>
          </cell>
          <cell r="E5811">
            <v>15000</v>
          </cell>
        </row>
        <row r="5812">
          <cell r="A5812" t="str">
            <v>GO</v>
          </cell>
          <cell r="B5812">
            <v>2008</v>
          </cell>
          <cell r="D5812" t="str">
            <v>SOJA</v>
          </cell>
          <cell r="E5812">
            <v>11000</v>
          </cell>
        </row>
        <row r="5813">
          <cell r="A5813" t="str">
            <v>GO</v>
          </cell>
          <cell r="B5813">
            <v>2008</v>
          </cell>
          <cell r="D5813" t="str">
            <v>SOJA</v>
          </cell>
          <cell r="E5813">
            <v>2000</v>
          </cell>
        </row>
        <row r="5814">
          <cell r="A5814" t="str">
            <v>GO</v>
          </cell>
          <cell r="B5814">
            <v>2008</v>
          </cell>
          <cell r="D5814" t="str">
            <v>SOJA</v>
          </cell>
          <cell r="E5814">
            <v>0</v>
          </cell>
        </row>
        <row r="5815">
          <cell r="A5815" t="str">
            <v>GO</v>
          </cell>
          <cell r="B5815">
            <v>2008</v>
          </cell>
          <cell r="D5815" t="str">
            <v>SOJA</v>
          </cell>
          <cell r="E5815">
            <v>0</v>
          </cell>
        </row>
        <row r="5816">
          <cell r="A5816" t="str">
            <v>GO</v>
          </cell>
          <cell r="B5816">
            <v>2008</v>
          </cell>
          <cell r="D5816" t="str">
            <v>SOJA</v>
          </cell>
          <cell r="E5816">
            <v>0</v>
          </cell>
        </row>
        <row r="5817">
          <cell r="A5817" t="str">
            <v>GO</v>
          </cell>
          <cell r="B5817">
            <v>2008</v>
          </cell>
          <cell r="D5817" t="str">
            <v>SOJA</v>
          </cell>
          <cell r="E5817">
            <v>0</v>
          </cell>
        </row>
        <row r="5818">
          <cell r="A5818" t="str">
            <v>GO</v>
          </cell>
          <cell r="B5818">
            <v>2008</v>
          </cell>
          <cell r="D5818" t="str">
            <v>SOJA</v>
          </cell>
          <cell r="E5818">
            <v>0</v>
          </cell>
        </row>
        <row r="5819">
          <cell r="A5819" t="str">
            <v>GO</v>
          </cell>
          <cell r="B5819">
            <v>2008</v>
          </cell>
          <cell r="D5819" t="str">
            <v>SOJA</v>
          </cell>
          <cell r="E5819">
            <v>1000</v>
          </cell>
        </row>
        <row r="5820">
          <cell r="A5820" t="str">
            <v>GO</v>
          </cell>
          <cell r="B5820">
            <v>2008</v>
          </cell>
          <cell r="D5820" t="str">
            <v>SOJA</v>
          </cell>
          <cell r="E5820">
            <v>15000</v>
          </cell>
        </row>
        <row r="5821">
          <cell r="A5821" t="str">
            <v>GO</v>
          </cell>
          <cell r="B5821">
            <v>2008</v>
          </cell>
          <cell r="D5821" t="str">
            <v>SOJA</v>
          </cell>
          <cell r="E5821">
            <v>20000</v>
          </cell>
        </row>
        <row r="5822">
          <cell r="A5822" t="str">
            <v>GO</v>
          </cell>
          <cell r="B5822">
            <v>2008</v>
          </cell>
          <cell r="D5822" t="str">
            <v>SOJA</v>
          </cell>
          <cell r="E5822">
            <v>4000</v>
          </cell>
        </row>
        <row r="5823">
          <cell r="A5823" t="str">
            <v>GO</v>
          </cell>
          <cell r="B5823">
            <v>2008</v>
          </cell>
          <cell r="D5823" t="str">
            <v>SOJA</v>
          </cell>
          <cell r="E5823">
            <v>0</v>
          </cell>
        </row>
        <row r="5824">
          <cell r="A5824" t="str">
            <v>GO</v>
          </cell>
          <cell r="B5824">
            <v>2008</v>
          </cell>
          <cell r="D5824" t="str">
            <v>SOJA</v>
          </cell>
          <cell r="E5824">
            <v>0</v>
          </cell>
        </row>
        <row r="5825">
          <cell r="A5825" t="str">
            <v>GO</v>
          </cell>
          <cell r="B5825">
            <v>2008</v>
          </cell>
          <cell r="D5825" t="str">
            <v>SOJA</v>
          </cell>
          <cell r="E5825">
            <v>0</v>
          </cell>
        </row>
        <row r="5826">
          <cell r="A5826" t="str">
            <v>GO</v>
          </cell>
          <cell r="B5826">
            <v>2008</v>
          </cell>
          <cell r="D5826" t="str">
            <v>SOJA</v>
          </cell>
          <cell r="E5826">
            <v>0</v>
          </cell>
        </row>
        <row r="5827">
          <cell r="A5827" t="str">
            <v>GO</v>
          </cell>
          <cell r="B5827">
            <v>2008</v>
          </cell>
          <cell r="D5827" t="str">
            <v>SOJA</v>
          </cell>
          <cell r="E5827">
            <v>0</v>
          </cell>
        </row>
        <row r="5828">
          <cell r="A5828" t="str">
            <v>GO</v>
          </cell>
          <cell r="B5828">
            <v>2008</v>
          </cell>
          <cell r="D5828" t="str">
            <v>SOJA</v>
          </cell>
          <cell r="E5828">
            <v>0</v>
          </cell>
        </row>
        <row r="5829">
          <cell r="A5829" t="str">
            <v>GO</v>
          </cell>
          <cell r="B5829">
            <v>2008</v>
          </cell>
          <cell r="D5829" t="str">
            <v>SOJA</v>
          </cell>
          <cell r="E5829">
            <v>2000</v>
          </cell>
        </row>
        <row r="5830">
          <cell r="A5830" t="str">
            <v>GO</v>
          </cell>
          <cell r="B5830">
            <v>2008</v>
          </cell>
          <cell r="D5830" t="str">
            <v>SOJA</v>
          </cell>
          <cell r="E5830">
            <v>12000</v>
          </cell>
        </row>
        <row r="5831">
          <cell r="A5831" t="str">
            <v>GO</v>
          </cell>
          <cell r="B5831">
            <v>2008</v>
          </cell>
          <cell r="D5831" t="str">
            <v>SOJA</v>
          </cell>
          <cell r="E5831">
            <v>18000</v>
          </cell>
        </row>
        <row r="5832">
          <cell r="A5832" t="str">
            <v>GO</v>
          </cell>
          <cell r="B5832">
            <v>2008</v>
          </cell>
          <cell r="D5832" t="str">
            <v>SOJA</v>
          </cell>
          <cell r="E5832">
            <v>8000</v>
          </cell>
        </row>
        <row r="5833">
          <cell r="A5833" t="str">
            <v>GO</v>
          </cell>
          <cell r="B5833">
            <v>2008</v>
          </cell>
          <cell r="D5833" t="str">
            <v>SOJA</v>
          </cell>
          <cell r="E5833">
            <v>0</v>
          </cell>
        </row>
        <row r="5834">
          <cell r="A5834" t="str">
            <v>GO</v>
          </cell>
          <cell r="B5834">
            <v>2008</v>
          </cell>
          <cell r="D5834" t="str">
            <v>SOJA</v>
          </cell>
          <cell r="E5834">
            <v>0</v>
          </cell>
        </row>
        <row r="5835">
          <cell r="A5835" t="str">
            <v>GO</v>
          </cell>
          <cell r="B5835">
            <v>2008</v>
          </cell>
          <cell r="D5835" t="str">
            <v>SOJA</v>
          </cell>
          <cell r="E5835">
            <v>0</v>
          </cell>
        </row>
        <row r="5836">
          <cell r="A5836" t="str">
            <v>GO</v>
          </cell>
          <cell r="B5836">
            <v>2008</v>
          </cell>
          <cell r="D5836" t="str">
            <v>SOJA</v>
          </cell>
          <cell r="E5836">
            <v>0</v>
          </cell>
        </row>
        <row r="5837">
          <cell r="A5837" t="str">
            <v>GO</v>
          </cell>
          <cell r="B5837">
            <v>2008</v>
          </cell>
          <cell r="D5837" t="str">
            <v>SOJA</v>
          </cell>
          <cell r="E5837">
            <v>0</v>
          </cell>
        </row>
        <row r="5838">
          <cell r="A5838" t="str">
            <v>GO</v>
          </cell>
          <cell r="B5838">
            <v>2008</v>
          </cell>
          <cell r="D5838" t="str">
            <v>SOJA</v>
          </cell>
          <cell r="E5838">
            <v>0</v>
          </cell>
        </row>
        <row r="5839">
          <cell r="A5839" t="str">
            <v>GO</v>
          </cell>
          <cell r="B5839">
            <v>2008</v>
          </cell>
          <cell r="D5839" t="str">
            <v>SOJA</v>
          </cell>
          <cell r="E5839">
            <v>4000</v>
          </cell>
        </row>
        <row r="5840">
          <cell r="A5840" t="str">
            <v>GO</v>
          </cell>
          <cell r="B5840">
            <v>2008</v>
          </cell>
          <cell r="D5840" t="str">
            <v>SOJA</v>
          </cell>
          <cell r="E5840">
            <v>13000</v>
          </cell>
        </row>
        <row r="5841">
          <cell r="A5841" t="str">
            <v>GO</v>
          </cell>
          <cell r="B5841">
            <v>2008</v>
          </cell>
          <cell r="D5841" t="str">
            <v>SOJA</v>
          </cell>
          <cell r="E5841">
            <v>13000</v>
          </cell>
        </row>
        <row r="5842">
          <cell r="A5842" t="str">
            <v>GO</v>
          </cell>
          <cell r="B5842">
            <v>2008</v>
          </cell>
          <cell r="D5842" t="str">
            <v>SOJA</v>
          </cell>
          <cell r="E5842">
            <v>5000</v>
          </cell>
        </row>
        <row r="5843">
          <cell r="A5843" t="str">
            <v>GO</v>
          </cell>
          <cell r="B5843">
            <v>2008</v>
          </cell>
          <cell r="D5843" t="str">
            <v>SOJA</v>
          </cell>
          <cell r="E5843">
            <v>0</v>
          </cell>
        </row>
        <row r="5844">
          <cell r="A5844" t="str">
            <v>GO</v>
          </cell>
          <cell r="B5844">
            <v>2008</v>
          </cell>
          <cell r="D5844" t="str">
            <v>SOJA</v>
          </cell>
          <cell r="E5844">
            <v>0</v>
          </cell>
        </row>
        <row r="5845">
          <cell r="A5845" t="str">
            <v>GO</v>
          </cell>
          <cell r="B5845">
            <v>2008</v>
          </cell>
          <cell r="D5845" t="str">
            <v>SOJA</v>
          </cell>
          <cell r="E5845">
            <v>0</v>
          </cell>
        </row>
        <row r="5846">
          <cell r="A5846" t="str">
            <v>GO</v>
          </cell>
          <cell r="B5846">
            <v>2008</v>
          </cell>
          <cell r="D5846" t="str">
            <v>SOJA</v>
          </cell>
          <cell r="E5846">
            <v>0</v>
          </cell>
        </row>
        <row r="5847">
          <cell r="A5847" t="str">
            <v>GO</v>
          </cell>
          <cell r="B5847">
            <v>2008</v>
          </cell>
          <cell r="D5847" t="str">
            <v>SOJA</v>
          </cell>
          <cell r="E5847">
            <v>4000</v>
          </cell>
        </row>
        <row r="5848">
          <cell r="A5848" t="str">
            <v>GO</v>
          </cell>
          <cell r="B5848">
            <v>2008</v>
          </cell>
          <cell r="D5848" t="str">
            <v>SOJA</v>
          </cell>
          <cell r="E5848">
            <v>15000</v>
          </cell>
        </row>
        <row r="5849">
          <cell r="A5849" t="str">
            <v>GO</v>
          </cell>
          <cell r="B5849">
            <v>2008</v>
          </cell>
          <cell r="D5849" t="str">
            <v>SOJA</v>
          </cell>
          <cell r="E5849">
            <v>12000</v>
          </cell>
        </row>
        <row r="5850">
          <cell r="A5850" t="str">
            <v>GO</v>
          </cell>
          <cell r="B5850">
            <v>2008</v>
          </cell>
          <cell r="D5850" t="str">
            <v>SOJA</v>
          </cell>
          <cell r="E5850">
            <v>4000</v>
          </cell>
        </row>
        <row r="5851">
          <cell r="A5851" t="str">
            <v>GO</v>
          </cell>
          <cell r="B5851">
            <v>2008</v>
          </cell>
          <cell r="D5851" t="str">
            <v>SOJA</v>
          </cell>
          <cell r="E5851">
            <v>0</v>
          </cell>
        </row>
        <row r="5852">
          <cell r="A5852" t="str">
            <v>GO</v>
          </cell>
          <cell r="B5852">
            <v>2008</v>
          </cell>
          <cell r="D5852" t="str">
            <v>SOJA</v>
          </cell>
          <cell r="E5852">
            <v>0</v>
          </cell>
        </row>
        <row r="5853">
          <cell r="A5853" t="str">
            <v>GO</v>
          </cell>
          <cell r="B5853">
            <v>2008</v>
          </cell>
          <cell r="D5853" t="str">
            <v>SOJA</v>
          </cell>
          <cell r="E5853">
            <v>0</v>
          </cell>
        </row>
        <row r="5854">
          <cell r="A5854" t="str">
            <v>GO</v>
          </cell>
          <cell r="B5854">
            <v>2008</v>
          </cell>
          <cell r="D5854" t="str">
            <v>SOJA</v>
          </cell>
          <cell r="E5854">
            <v>0</v>
          </cell>
        </row>
        <row r="5855">
          <cell r="A5855" t="str">
            <v>GO</v>
          </cell>
          <cell r="B5855">
            <v>2008</v>
          </cell>
          <cell r="D5855" t="str">
            <v>SOJA</v>
          </cell>
          <cell r="E5855">
            <v>0</v>
          </cell>
        </row>
        <row r="5856">
          <cell r="A5856" t="str">
            <v>GO</v>
          </cell>
          <cell r="B5856">
            <v>2008</v>
          </cell>
          <cell r="D5856" t="str">
            <v>SOJA</v>
          </cell>
          <cell r="E5856">
            <v>1000</v>
          </cell>
        </row>
        <row r="5857">
          <cell r="A5857" t="str">
            <v>GO</v>
          </cell>
          <cell r="B5857">
            <v>2008</v>
          </cell>
          <cell r="D5857" t="str">
            <v>SOJA</v>
          </cell>
          <cell r="E5857">
            <v>18000</v>
          </cell>
        </row>
        <row r="5858">
          <cell r="A5858" t="str">
            <v>GO</v>
          </cell>
          <cell r="B5858">
            <v>2008</v>
          </cell>
          <cell r="D5858" t="str">
            <v>SOJA</v>
          </cell>
          <cell r="E5858">
            <v>26000</v>
          </cell>
        </row>
        <row r="5859">
          <cell r="A5859" t="str">
            <v>GO</v>
          </cell>
          <cell r="B5859">
            <v>2008</v>
          </cell>
          <cell r="D5859" t="str">
            <v>SOJA</v>
          </cell>
          <cell r="E5859">
            <v>5000</v>
          </cell>
        </row>
        <row r="5860">
          <cell r="A5860" t="str">
            <v>GO</v>
          </cell>
          <cell r="B5860">
            <v>2008</v>
          </cell>
          <cell r="D5860" t="str">
            <v>SOJA</v>
          </cell>
          <cell r="E5860">
            <v>0</v>
          </cell>
        </row>
        <row r="5861">
          <cell r="A5861" t="str">
            <v>GO</v>
          </cell>
          <cell r="B5861">
            <v>2008</v>
          </cell>
          <cell r="D5861" t="str">
            <v>SOJA</v>
          </cell>
          <cell r="E5861">
            <v>0</v>
          </cell>
        </row>
        <row r="5862">
          <cell r="A5862" t="str">
            <v>GO</v>
          </cell>
          <cell r="B5862">
            <v>2008</v>
          </cell>
          <cell r="D5862" t="str">
            <v>SOJA</v>
          </cell>
          <cell r="E5862">
            <v>0</v>
          </cell>
        </row>
        <row r="5863">
          <cell r="A5863" t="str">
            <v>GO</v>
          </cell>
          <cell r="B5863">
            <v>2008</v>
          </cell>
          <cell r="D5863" t="str">
            <v>SOJA</v>
          </cell>
          <cell r="E5863">
            <v>0</v>
          </cell>
        </row>
        <row r="5864">
          <cell r="A5864" t="str">
            <v>GO</v>
          </cell>
          <cell r="B5864">
            <v>2008</v>
          </cell>
          <cell r="D5864" t="str">
            <v>SOJA</v>
          </cell>
          <cell r="E5864">
            <v>0</v>
          </cell>
        </row>
        <row r="5865">
          <cell r="A5865" t="str">
            <v>GO</v>
          </cell>
          <cell r="B5865">
            <v>2008</v>
          </cell>
          <cell r="D5865" t="str">
            <v>SOJA</v>
          </cell>
          <cell r="E5865">
            <v>0</v>
          </cell>
        </row>
        <row r="5866">
          <cell r="A5866" t="str">
            <v>MT</v>
          </cell>
          <cell r="B5866">
            <v>2008</v>
          </cell>
          <cell r="D5866" t="str">
            <v>SOJA</v>
          </cell>
          <cell r="E5866">
            <v>5000</v>
          </cell>
        </row>
        <row r="5867">
          <cell r="A5867" t="str">
            <v>MT</v>
          </cell>
          <cell r="B5867">
            <v>2008</v>
          </cell>
          <cell r="D5867" t="str">
            <v>SOJA</v>
          </cell>
          <cell r="E5867">
            <v>10000</v>
          </cell>
        </row>
        <row r="5868">
          <cell r="A5868" t="str">
            <v>MT</v>
          </cell>
          <cell r="B5868">
            <v>2008</v>
          </cell>
          <cell r="D5868" t="str">
            <v>SOJA</v>
          </cell>
          <cell r="E5868">
            <v>0</v>
          </cell>
        </row>
        <row r="5869">
          <cell r="A5869" t="str">
            <v>MT</v>
          </cell>
          <cell r="B5869">
            <v>2008</v>
          </cell>
          <cell r="D5869" t="str">
            <v>SOJA</v>
          </cell>
          <cell r="E5869">
            <v>0</v>
          </cell>
        </row>
        <row r="5870">
          <cell r="A5870" t="str">
            <v>MT</v>
          </cell>
          <cell r="B5870">
            <v>2008</v>
          </cell>
          <cell r="D5870" t="str">
            <v>SOJA</v>
          </cell>
          <cell r="E5870">
            <v>0</v>
          </cell>
        </row>
        <row r="5871">
          <cell r="A5871" t="str">
            <v>MT</v>
          </cell>
          <cell r="B5871">
            <v>2008</v>
          </cell>
          <cell r="D5871" t="str">
            <v>SOJA</v>
          </cell>
          <cell r="E5871">
            <v>0</v>
          </cell>
        </row>
        <row r="5872">
          <cell r="A5872" t="str">
            <v>GO</v>
          </cell>
          <cell r="B5872">
            <v>2008</v>
          </cell>
          <cell r="D5872" t="str">
            <v>SOJA</v>
          </cell>
          <cell r="E5872">
            <v>6000</v>
          </cell>
        </row>
        <row r="5873">
          <cell r="A5873" t="str">
            <v>GO</v>
          </cell>
          <cell r="B5873">
            <v>2008</v>
          </cell>
          <cell r="D5873" t="str">
            <v>SOJA</v>
          </cell>
          <cell r="E5873">
            <v>8000</v>
          </cell>
        </row>
        <row r="5874">
          <cell r="A5874" t="str">
            <v>GO</v>
          </cell>
          <cell r="B5874">
            <v>2008</v>
          </cell>
          <cell r="D5874" t="str">
            <v>SOJA</v>
          </cell>
          <cell r="E5874">
            <v>8000</v>
          </cell>
        </row>
        <row r="5875">
          <cell r="A5875" t="str">
            <v>GO</v>
          </cell>
          <cell r="B5875">
            <v>2008</v>
          </cell>
          <cell r="D5875" t="str">
            <v>SOJA</v>
          </cell>
          <cell r="E5875">
            <v>5000</v>
          </cell>
        </row>
        <row r="5876">
          <cell r="A5876" t="str">
            <v>GO</v>
          </cell>
          <cell r="B5876">
            <v>2008</v>
          </cell>
          <cell r="D5876" t="str">
            <v>SOJA</v>
          </cell>
          <cell r="E5876">
            <v>5000</v>
          </cell>
        </row>
        <row r="5877">
          <cell r="A5877" t="str">
            <v>GO</v>
          </cell>
          <cell r="B5877">
            <v>2008</v>
          </cell>
          <cell r="D5877" t="str">
            <v>SOJA</v>
          </cell>
          <cell r="E5877">
            <v>4000</v>
          </cell>
        </row>
        <row r="5878">
          <cell r="A5878" t="str">
            <v>GO</v>
          </cell>
          <cell r="B5878">
            <v>2008</v>
          </cell>
          <cell r="D5878" t="str">
            <v>SOJA</v>
          </cell>
          <cell r="E5878">
            <v>13000</v>
          </cell>
        </row>
        <row r="5879">
          <cell r="A5879" t="str">
            <v>GO</v>
          </cell>
          <cell r="B5879">
            <v>2008</v>
          </cell>
          <cell r="D5879" t="str">
            <v>SOJA</v>
          </cell>
          <cell r="E5879">
            <v>21000</v>
          </cell>
        </row>
        <row r="5880">
          <cell r="A5880" t="str">
            <v>GO</v>
          </cell>
          <cell r="B5880">
            <v>2008</v>
          </cell>
          <cell r="D5880" t="str">
            <v>SOJA</v>
          </cell>
          <cell r="E5880">
            <v>3000</v>
          </cell>
        </row>
        <row r="5881">
          <cell r="A5881" t="str">
            <v>GO</v>
          </cell>
          <cell r="B5881">
            <v>2008</v>
          </cell>
          <cell r="D5881" t="str">
            <v>SOJA</v>
          </cell>
          <cell r="E5881">
            <v>0</v>
          </cell>
        </row>
        <row r="5882">
          <cell r="A5882" t="str">
            <v>GO</v>
          </cell>
          <cell r="B5882">
            <v>2008</v>
          </cell>
          <cell r="D5882" t="str">
            <v>SOJA</v>
          </cell>
          <cell r="E5882">
            <v>0</v>
          </cell>
        </row>
        <row r="5883">
          <cell r="A5883" t="str">
            <v>GO</v>
          </cell>
          <cell r="B5883">
            <v>2008</v>
          </cell>
          <cell r="D5883" t="str">
            <v>SOJA</v>
          </cell>
          <cell r="E5883">
            <v>0</v>
          </cell>
        </row>
        <row r="5884">
          <cell r="A5884" t="str">
            <v>MS</v>
          </cell>
          <cell r="B5884">
            <v>2008</v>
          </cell>
          <cell r="D5884" t="str">
            <v>SOJA</v>
          </cell>
          <cell r="E5884">
            <v>5000</v>
          </cell>
        </row>
        <row r="5885">
          <cell r="A5885" t="str">
            <v>MS</v>
          </cell>
          <cell r="B5885">
            <v>2008</v>
          </cell>
          <cell r="D5885" t="str">
            <v>SOJA</v>
          </cell>
          <cell r="E5885">
            <v>20000</v>
          </cell>
        </row>
        <row r="5886">
          <cell r="A5886" t="str">
            <v>MS</v>
          </cell>
          <cell r="B5886">
            <v>2008</v>
          </cell>
          <cell r="D5886" t="str">
            <v>SOJA</v>
          </cell>
          <cell r="E5886">
            <v>10000</v>
          </cell>
        </row>
        <row r="5887">
          <cell r="A5887" t="str">
            <v>MS</v>
          </cell>
          <cell r="B5887">
            <v>2008</v>
          </cell>
          <cell r="D5887" t="str">
            <v>SOJA</v>
          </cell>
          <cell r="E5887">
            <v>0</v>
          </cell>
        </row>
        <row r="5888">
          <cell r="A5888" t="str">
            <v>MS</v>
          </cell>
          <cell r="B5888">
            <v>2008</v>
          </cell>
          <cell r="D5888" t="str">
            <v>SOJA</v>
          </cell>
          <cell r="E5888">
            <v>0</v>
          </cell>
        </row>
        <row r="5889">
          <cell r="A5889" t="str">
            <v>MS</v>
          </cell>
          <cell r="B5889">
            <v>2008</v>
          </cell>
          <cell r="D5889" t="str">
            <v>SOJA</v>
          </cell>
          <cell r="E5889">
            <v>0</v>
          </cell>
        </row>
        <row r="5890">
          <cell r="A5890" t="str">
            <v>MS</v>
          </cell>
          <cell r="B5890">
            <v>2008</v>
          </cell>
          <cell r="D5890" t="str">
            <v>SOJA</v>
          </cell>
          <cell r="E5890">
            <v>0</v>
          </cell>
        </row>
        <row r="5891">
          <cell r="A5891" t="str">
            <v>GO</v>
          </cell>
          <cell r="B5891">
            <v>2008</v>
          </cell>
          <cell r="D5891" t="str">
            <v>SOJA</v>
          </cell>
          <cell r="E5891">
            <v>30000</v>
          </cell>
        </row>
        <row r="5892">
          <cell r="A5892" t="str">
            <v>GO</v>
          </cell>
          <cell r="B5892">
            <v>2008</v>
          </cell>
          <cell r="D5892" t="str">
            <v>SOJA</v>
          </cell>
          <cell r="E5892">
            <v>30700</v>
          </cell>
        </row>
        <row r="5893">
          <cell r="A5893" t="str">
            <v>GO</v>
          </cell>
          <cell r="B5893">
            <v>2008</v>
          </cell>
          <cell r="D5893" t="str">
            <v>SOJA</v>
          </cell>
          <cell r="E5893">
            <v>9300</v>
          </cell>
        </row>
        <row r="5894">
          <cell r="A5894" t="str">
            <v>GO</v>
          </cell>
          <cell r="B5894">
            <v>2008</v>
          </cell>
          <cell r="D5894" t="str">
            <v>SOJA</v>
          </cell>
          <cell r="E5894">
            <v>0</v>
          </cell>
        </row>
        <row r="5895">
          <cell r="A5895" t="str">
            <v>GO</v>
          </cell>
          <cell r="B5895">
            <v>2008</v>
          </cell>
          <cell r="D5895" t="str">
            <v>SOJA</v>
          </cell>
          <cell r="E5895">
            <v>0</v>
          </cell>
        </row>
        <row r="5896">
          <cell r="A5896" t="str">
            <v>GO</v>
          </cell>
          <cell r="B5896">
            <v>2008</v>
          </cell>
          <cell r="D5896" t="str">
            <v>SOJA</v>
          </cell>
          <cell r="E5896">
            <v>0</v>
          </cell>
        </row>
        <row r="5897">
          <cell r="A5897" t="str">
            <v>GO</v>
          </cell>
          <cell r="B5897">
            <v>2008</v>
          </cell>
          <cell r="D5897" t="str">
            <v>SOJA</v>
          </cell>
          <cell r="E5897">
            <v>0</v>
          </cell>
        </row>
        <row r="5898">
          <cell r="A5898" t="str">
            <v>GO</v>
          </cell>
          <cell r="B5898">
            <v>2008</v>
          </cell>
          <cell r="D5898" t="str">
            <v>SOJA</v>
          </cell>
          <cell r="E5898">
            <v>0</v>
          </cell>
        </row>
        <row r="5899">
          <cell r="A5899" t="str">
            <v>GO</v>
          </cell>
          <cell r="B5899">
            <v>2008</v>
          </cell>
          <cell r="D5899" t="str">
            <v>SOJA</v>
          </cell>
          <cell r="E5899">
            <v>0</v>
          </cell>
        </row>
        <row r="5900">
          <cell r="A5900" t="str">
            <v>GO</v>
          </cell>
          <cell r="B5900">
            <v>2008</v>
          </cell>
          <cell r="D5900" t="str">
            <v>SOJA</v>
          </cell>
          <cell r="E5900">
            <v>16000</v>
          </cell>
        </row>
        <row r="5901">
          <cell r="A5901" t="str">
            <v>GO</v>
          </cell>
          <cell r="B5901">
            <v>2008</v>
          </cell>
          <cell r="D5901" t="str">
            <v>SOJA</v>
          </cell>
          <cell r="E5901">
            <v>26000</v>
          </cell>
        </row>
        <row r="5902">
          <cell r="A5902" t="str">
            <v>GO</v>
          </cell>
          <cell r="B5902">
            <v>2008</v>
          </cell>
          <cell r="D5902" t="str">
            <v>SOJA</v>
          </cell>
          <cell r="E5902">
            <v>14000</v>
          </cell>
        </row>
        <row r="5903">
          <cell r="A5903" t="str">
            <v>GO</v>
          </cell>
          <cell r="B5903">
            <v>2008</v>
          </cell>
          <cell r="D5903" t="str">
            <v>SOJA</v>
          </cell>
          <cell r="E5903">
            <v>0</v>
          </cell>
        </row>
        <row r="5904">
          <cell r="A5904" t="str">
            <v>GO</v>
          </cell>
          <cell r="B5904">
            <v>2008</v>
          </cell>
          <cell r="D5904" t="str">
            <v>SOJA</v>
          </cell>
          <cell r="E5904">
            <v>0</v>
          </cell>
        </row>
        <row r="5905">
          <cell r="A5905" t="str">
            <v>GO</v>
          </cell>
          <cell r="B5905">
            <v>2008</v>
          </cell>
          <cell r="D5905" t="str">
            <v>SOJA</v>
          </cell>
          <cell r="E5905">
            <v>0</v>
          </cell>
        </row>
        <row r="5906">
          <cell r="A5906" t="str">
            <v>GO</v>
          </cell>
          <cell r="B5906">
            <v>2008</v>
          </cell>
          <cell r="D5906" t="str">
            <v>SOJA</v>
          </cell>
          <cell r="E5906">
            <v>0</v>
          </cell>
        </row>
        <row r="5907">
          <cell r="A5907" t="str">
            <v>GO</v>
          </cell>
          <cell r="B5907">
            <v>2008</v>
          </cell>
          <cell r="D5907" t="str">
            <v>SOJA</v>
          </cell>
          <cell r="E5907">
            <v>5000</v>
          </cell>
        </row>
        <row r="5908">
          <cell r="A5908" t="str">
            <v>GO</v>
          </cell>
          <cell r="B5908">
            <v>2008</v>
          </cell>
          <cell r="D5908" t="str">
            <v>SOJA</v>
          </cell>
          <cell r="E5908">
            <v>6000</v>
          </cell>
        </row>
        <row r="5909">
          <cell r="A5909" t="str">
            <v>GO</v>
          </cell>
          <cell r="B5909">
            <v>2008</v>
          </cell>
          <cell r="D5909" t="str">
            <v>SOJA</v>
          </cell>
          <cell r="E5909">
            <v>3000</v>
          </cell>
        </row>
        <row r="5910">
          <cell r="A5910" t="str">
            <v>PI</v>
          </cell>
          <cell r="B5910">
            <v>2008</v>
          </cell>
          <cell r="D5910" t="str">
            <v>SOJA</v>
          </cell>
          <cell r="E5910">
            <v>2000</v>
          </cell>
        </row>
        <row r="5911">
          <cell r="A5911" t="str">
            <v>PI</v>
          </cell>
          <cell r="B5911">
            <v>2008</v>
          </cell>
          <cell r="D5911" t="str">
            <v>SOJA</v>
          </cell>
          <cell r="E5911">
            <v>21000</v>
          </cell>
        </row>
        <row r="5912">
          <cell r="A5912" t="str">
            <v>PI</v>
          </cell>
          <cell r="B5912">
            <v>2008</v>
          </cell>
          <cell r="D5912" t="str">
            <v>SOJA</v>
          </cell>
          <cell r="E5912">
            <v>23000</v>
          </cell>
        </row>
        <row r="5913">
          <cell r="A5913" t="str">
            <v>PI</v>
          </cell>
          <cell r="B5913">
            <v>2008</v>
          </cell>
          <cell r="D5913" t="str">
            <v>SOJA</v>
          </cell>
          <cell r="E5913">
            <v>1000</v>
          </cell>
        </row>
        <row r="5914">
          <cell r="A5914" t="str">
            <v>PI</v>
          </cell>
          <cell r="B5914">
            <v>2008</v>
          </cell>
          <cell r="D5914" t="str">
            <v>SOJA</v>
          </cell>
          <cell r="E5914">
            <v>0</v>
          </cell>
        </row>
        <row r="5915">
          <cell r="A5915" t="str">
            <v>PI</v>
          </cell>
          <cell r="B5915">
            <v>2008</v>
          </cell>
          <cell r="D5915" t="str">
            <v>SOJA</v>
          </cell>
          <cell r="E5915">
            <v>0</v>
          </cell>
        </row>
        <row r="5916">
          <cell r="A5916" t="str">
            <v>PI</v>
          </cell>
          <cell r="B5916">
            <v>2008</v>
          </cell>
          <cell r="D5916" t="str">
            <v>SOJA</v>
          </cell>
          <cell r="E5916">
            <v>4000</v>
          </cell>
        </row>
        <row r="5917">
          <cell r="A5917" t="str">
            <v>PI</v>
          </cell>
          <cell r="B5917">
            <v>2008</v>
          </cell>
          <cell r="D5917" t="str">
            <v>SOJA</v>
          </cell>
          <cell r="E5917">
            <v>20000</v>
          </cell>
        </row>
        <row r="5918">
          <cell r="A5918" t="str">
            <v>PI</v>
          </cell>
          <cell r="B5918">
            <v>2008</v>
          </cell>
          <cell r="D5918" t="str">
            <v>SOJA</v>
          </cell>
          <cell r="E5918">
            <v>20000</v>
          </cell>
        </row>
        <row r="5919">
          <cell r="A5919" t="str">
            <v>PI</v>
          </cell>
          <cell r="B5919">
            <v>2008</v>
          </cell>
          <cell r="D5919" t="str">
            <v>SOJA</v>
          </cell>
          <cell r="E5919">
            <v>3000</v>
          </cell>
        </row>
        <row r="5920">
          <cell r="A5920" t="str">
            <v>PI</v>
          </cell>
          <cell r="B5920">
            <v>2008</v>
          </cell>
          <cell r="D5920" t="str">
            <v>SOJA</v>
          </cell>
          <cell r="E5920">
            <v>0</v>
          </cell>
        </row>
        <row r="5921">
          <cell r="A5921" t="str">
            <v>PI</v>
          </cell>
          <cell r="B5921">
            <v>2008</v>
          </cell>
          <cell r="D5921" t="str">
            <v>SOJA</v>
          </cell>
          <cell r="E5921">
            <v>0</v>
          </cell>
        </row>
        <row r="5922">
          <cell r="A5922" t="str">
            <v>PI</v>
          </cell>
          <cell r="B5922">
            <v>2008</v>
          </cell>
          <cell r="D5922" t="str">
            <v>SOJA</v>
          </cell>
          <cell r="E5922">
            <v>2000</v>
          </cell>
        </row>
        <row r="5923">
          <cell r="A5923" t="str">
            <v>PI</v>
          </cell>
          <cell r="B5923">
            <v>2008</v>
          </cell>
          <cell r="D5923" t="str">
            <v>SOJA</v>
          </cell>
          <cell r="E5923">
            <v>20000</v>
          </cell>
        </row>
        <row r="5924">
          <cell r="A5924" t="str">
            <v>PI</v>
          </cell>
          <cell r="B5924">
            <v>2008</v>
          </cell>
          <cell r="D5924" t="str">
            <v>SOJA</v>
          </cell>
          <cell r="E5924">
            <v>29000</v>
          </cell>
        </row>
        <row r="5925">
          <cell r="A5925" t="str">
            <v>PI</v>
          </cell>
          <cell r="B5925">
            <v>2008</v>
          </cell>
          <cell r="D5925" t="str">
            <v>SOJA</v>
          </cell>
          <cell r="E5925">
            <v>7000</v>
          </cell>
        </row>
        <row r="5926">
          <cell r="A5926" t="str">
            <v>PI</v>
          </cell>
          <cell r="B5926">
            <v>2008</v>
          </cell>
          <cell r="D5926" t="str">
            <v>SOJA</v>
          </cell>
          <cell r="E5926">
            <v>2500</v>
          </cell>
        </row>
        <row r="5927">
          <cell r="A5927" t="str">
            <v>PI</v>
          </cell>
          <cell r="B5927">
            <v>2008</v>
          </cell>
          <cell r="D5927" t="str">
            <v>SOJA</v>
          </cell>
          <cell r="E5927">
            <v>0</v>
          </cell>
        </row>
        <row r="5928">
          <cell r="A5928" t="str">
            <v>PI</v>
          </cell>
          <cell r="B5928">
            <v>2008</v>
          </cell>
          <cell r="D5928" t="str">
            <v>SOJA</v>
          </cell>
          <cell r="E5928">
            <v>0</v>
          </cell>
        </row>
        <row r="5929">
          <cell r="A5929" t="str">
            <v>PI</v>
          </cell>
          <cell r="B5929">
            <v>2008</v>
          </cell>
          <cell r="D5929" t="str">
            <v>SOJA</v>
          </cell>
          <cell r="E5929">
            <v>0</v>
          </cell>
        </row>
        <row r="5930">
          <cell r="A5930" t="str">
            <v>PI</v>
          </cell>
          <cell r="B5930">
            <v>2008</v>
          </cell>
          <cell r="D5930" t="str">
            <v>SOJA</v>
          </cell>
          <cell r="E5930">
            <v>2000</v>
          </cell>
        </row>
        <row r="5931">
          <cell r="A5931" t="str">
            <v>PI</v>
          </cell>
          <cell r="B5931">
            <v>2008</v>
          </cell>
          <cell r="D5931" t="str">
            <v>SOJA</v>
          </cell>
          <cell r="E5931">
            <v>22000</v>
          </cell>
        </row>
        <row r="5932">
          <cell r="A5932" t="str">
            <v>PI</v>
          </cell>
          <cell r="B5932">
            <v>2008</v>
          </cell>
          <cell r="D5932" t="str">
            <v>SOJA</v>
          </cell>
          <cell r="E5932">
            <v>26000</v>
          </cell>
        </row>
        <row r="5933">
          <cell r="A5933" t="str">
            <v>PI</v>
          </cell>
          <cell r="B5933">
            <v>2008</v>
          </cell>
          <cell r="D5933" t="str">
            <v>SOJA</v>
          </cell>
          <cell r="E5933">
            <v>1000</v>
          </cell>
        </row>
        <row r="5934">
          <cell r="A5934" t="str">
            <v>PI</v>
          </cell>
          <cell r="B5934">
            <v>2008</v>
          </cell>
          <cell r="D5934" t="str">
            <v>SOJA</v>
          </cell>
          <cell r="E5934">
            <v>0</v>
          </cell>
        </row>
        <row r="5935">
          <cell r="A5935" t="str">
            <v>MT</v>
          </cell>
          <cell r="B5935">
            <v>2008</v>
          </cell>
          <cell r="D5935" t="str">
            <v>SOJA</v>
          </cell>
          <cell r="E5935">
            <v>10000</v>
          </cell>
        </row>
        <row r="5936">
          <cell r="A5936" t="str">
            <v>MT</v>
          </cell>
          <cell r="B5936">
            <v>2008</v>
          </cell>
          <cell r="D5936" t="str">
            <v>SOJA</v>
          </cell>
          <cell r="E5936">
            <v>20000</v>
          </cell>
        </row>
        <row r="5937">
          <cell r="A5937" t="str">
            <v>MT</v>
          </cell>
          <cell r="B5937">
            <v>2008</v>
          </cell>
          <cell r="D5937" t="str">
            <v>SOJA</v>
          </cell>
          <cell r="E5937">
            <v>5000</v>
          </cell>
        </row>
        <row r="5938">
          <cell r="A5938" t="str">
            <v>MT</v>
          </cell>
          <cell r="B5938">
            <v>2008</v>
          </cell>
          <cell r="D5938" t="str">
            <v>SOJA</v>
          </cell>
          <cell r="E5938">
            <v>0</v>
          </cell>
        </row>
        <row r="5939">
          <cell r="A5939" t="str">
            <v>MT</v>
          </cell>
          <cell r="B5939">
            <v>2008</v>
          </cell>
          <cell r="D5939" t="str">
            <v>SOJA</v>
          </cell>
          <cell r="E5939">
            <v>0</v>
          </cell>
        </row>
        <row r="5940">
          <cell r="A5940" t="str">
            <v>MT</v>
          </cell>
          <cell r="B5940">
            <v>2008</v>
          </cell>
          <cell r="D5940" t="str">
            <v>SOJA</v>
          </cell>
          <cell r="E5940">
            <v>0</v>
          </cell>
        </row>
        <row r="5941">
          <cell r="A5941" t="str">
            <v>MT</v>
          </cell>
          <cell r="B5941">
            <v>2008</v>
          </cell>
          <cell r="D5941" t="str">
            <v>SOJA</v>
          </cell>
          <cell r="E5941">
            <v>0</v>
          </cell>
        </row>
        <row r="5942">
          <cell r="A5942" t="str">
            <v>MT</v>
          </cell>
          <cell r="B5942">
            <v>2008</v>
          </cell>
          <cell r="D5942" t="str">
            <v>SOJA</v>
          </cell>
          <cell r="E5942">
            <v>0</v>
          </cell>
        </row>
        <row r="5943">
          <cell r="A5943" t="str">
            <v>MT</v>
          </cell>
          <cell r="B5943">
            <v>2008</v>
          </cell>
          <cell r="D5943" t="str">
            <v>SOJA</v>
          </cell>
          <cell r="E5943">
            <v>0</v>
          </cell>
        </row>
        <row r="5944">
          <cell r="A5944" t="str">
            <v>MT</v>
          </cell>
          <cell r="B5944">
            <v>2008</v>
          </cell>
          <cell r="D5944" t="str">
            <v>SOJA</v>
          </cell>
          <cell r="E5944">
            <v>30000</v>
          </cell>
        </row>
        <row r="5945">
          <cell r="A5945" t="str">
            <v>MT</v>
          </cell>
          <cell r="B5945">
            <v>2008</v>
          </cell>
          <cell r="D5945" t="str">
            <v>SOJA</v>
          </cell>
          <cell r="E5945">
            <v>70000</v>
          </cell>
        </row>
        <row r="5946">
          <cell r="A5946" t="str">
            <v>MT</v>
          </cell>
          <cell r="B5946">
            <v>2008</v>
          </cell>
          <cell r="D5946" t="str">
            <v>SOJA</v>
          </cell>
          <cell r="E5946">
            <v>10000</v>
          </cell>
        </row>
        <row r="5947">
          <cell r="A5947" t="str">
            <v>MT</v>
          </cell>
          <cell r="B5947">
            <v>2008</v>
          </cell>
          <cell r="D5947" t="str">
            <v>SOJA</v>
          </cell>
          <cell r="E5947">
            <v>0</v>
          </cell>
        </row>
        <row r="5948">
          <cell r="A5948" t="str">
            <v>MT</v>
          </cell>
          <cell r="B5948">
            <v>2008</v>
          </cell>
          <cell r="D5948" t="str">
            <v>SOJA</v>
          </cell>
          <cell r="E5948">
            <v>0</v>
          </cell>
        </row>
        <row r="5949">
          <cell r="A5949" t="str">
            <v>MT</v>
          </cell>
          <cell r="B5949">
            <v>2008</v>
          </cell>
          <cell r="D5949" t="str">
            <v>SOJA</v>
          </cell>
          <cell r="E5949">
            <v>0</v>
          </cell>
        </row>
        <row r="5950">
          <cell r="A5950" t="str">
            <v>MT</v>
          </cell>
          <cell r="B5950">
            <v>2008</v>
          </cell>
          <cell r="D5950" t="str">
            <v>SOJA</v>
          </cell>
          <cell r="E5950">
            <v>0</v>
          </cell>
        </row>
        <row r="5951">
          <cell r="A5951" t="str">
            <v>MT</v>
          </cell>
          <cell r="B5951">
            <v>2008</v>
          </cell>
          <cell r="D5951" t="str">
            <v>SOJA</v>
          </cell>
          <cell r="E5951">
            <v>0</v>
          </cell>
        </row>
        <row r="5952">
          <cell r="A5952" t="str">
            <v>MT</v>
          </cell>
          <cell r="B5952">
            <v>2008</v>
          </cell>
          <cell r="D5952" t="str">
            <v>SOJA</v>
          </cell>
          <cell r="E5952">
            <v>0</v>
          </cell>
        </row>
        <row r="5953">
          <cell r="A5953" t="str">
            <v>MT</v>
          </cell>
          <cell r="B5953">
            <v>2008</v>
          </cell>
          <cell r="D5953" t="str">
            <v>SOJA</v>
          </cell>
          <cell r="E5953">
            <v>11000</v>
          </cell>
        </row>
        <row r="5954">
          <cell r="A5954" t="str">
            <v>MT</v>
          </cell>
          <cell r="B5954">
            <v>2008</v>
          </cell>
          <cell r="D5954" t="str">
            <v>SOJA</v>
          </cell>
          <cell r="E5954">
            <v>24000</v>
          </cell>
        </row>
        <row r="5955">
          <cell r="A5955" t="str">
            <v>MT</v>
          </cell>
          <cell r="B5955">
            <v>2008</v>
          </cell>
          <cell r="D5955" t="str">
            <v>SOJA</v>
          </cell>
          <cell r="E5955">
            <v>25000</v>
          </cell>
        </row>
        <row r="5956">
          <cell r="A5956" t="str">
            <v>MT</v>
          </cell>
          <cell r="B5956">
            <v>2008</v>
          </cell>
          <cell r="D5956" t="str">
            <v>SOJA</v>
          </cell>
          <cell r="E5956">
            <v>0</v>
          </cell>
        </row>
        <row r="5957">
          <cell r="A5957" t="str">
            <v>MT</v>
          </cell>
          <cell r="B5957">
            <v>2008</v>
          </cell>
          <cell r="D5957" t="str">
            <v>SOJA</v>
          </cell>
          <cell r="E5957">
            <v>0</v>
          </cell>
        </row>
        <row r="5958">
          <cell r="A5958" t="str">
            <v>MT</v>
          </cell>
          <cell r="B5958">
            <v>2008</v>
          </cell>
          <cell r="D5958" t="str">
            <v>SOJA</v>
          </cell>
          <cell r="E5958">
            <v>0</v>
          </cell>
        </row>
        <row r="5959">
          <cell r="A5959" t="str">
            <v>MT</v>
          </cell>
          <cell r="B5959">
            <v>2008</v>
          </cell>
          <cell r="D5959" t="str">
            <v>SOJA</v>
          </cell>
          <cell r="E5959">
            <v>0</v>
          </cell>
        </row>
        <row r="5960">
          <cell r="A5960" t="str">
            <v>MT</v>
          </cell>
          <cell r="B5960">
            <v>2008</v>
          </cell>
          <cell r="D5960" t="str">
            <v>SOJA</v>
          </cell>
          <cell r="E5960">
            <v>0</v>
          </cell>
        </row>
        <row r="5961">
          <cell r="A5961" t="str">
            <v>MT</v>
          </cell>
          <cell r="B5961">
            <v>2008</v>
          </cell>
          <cell r="D5961" t="str">
            <v>SOJA</v>
          </cell>
          <cell r="E5961">
            <v>0</v>
          </cell>
        </row>
        <row r="5962">
          <cell r="A5962" t="str">
            <v>MT</v>
          </cell>
          <cell r="B5962">
            <v>2008</v>
          </cell>
          <cell r="D5962" t="str">
            <v>SOJA</v>
          </cell>
          <cell r="E5962">
            <v>0</v>
          </cell>
        </row>
        <row r="5963">
          <cell r="A5963" t="str">
            <v>MT</v>
          </cell>
          <cell r="B5963">
            <v>2008</v>
          </cell>
          <cell r="D5963" t="str">
            <v>SOJA</v>
          </cell>
          <cell r="E5963">
            <v>0</v>
          </cell>
        </row>
        <row r="5964">
          <cell r="A5964" t="str">
            <v>MT</v>
          </cell>
          <cell r="B5964">
            <v>2008</v>
          </cell>
          <cell r="D5964" t="str">
            <v>SOJA</v>
          </cell>
          <cell r="E5964">
            <v>0</v>
          </cell>
        </row>
        <row r="5965">
          <cell r="A5965" t="str">
            <v>MT</v>
          </cell>
          <cell r="B5965">
            <v>2008</v>
          </cell>
          <cell r="D5965" t="str">
            <v>SOJA</v>
          </cell>
          <cell r="E5965">
            <v>0</v>
          </cell>
        </row>
        <row r="5966">
          <cell r="A5966" t="str">
            <v>MT</v>
          </cell>
          <cell r="B5966">
            <v>2008</v>
          </cell>
          <cell r="D5966" t="str">
            <v>SOJA</v>
          </cell>
          <cell r="E5966">
            <v>0</v>
          </cell>
        </row>
        <row r="5967">
          <cell r="A5967" t="str">
            <v>MT</v>
          </cell>
          <cell r="B5967">
            <v>2008</v>
          </cell>
          <cell r="D5967" t="str">
            <v>SOJA</v>
          </cell>
          <cell r="E5967">
            <v>0</v>
          </cell>
        </row>
        <row r="5968">
          <cell r="A5968" t="str">
            <v>MT</v>
          </cell>
          <cell r="B5968">
            <v>2008</v>
          </cell>
          <cell r="D5968" t="str">
            <v>SOJA</v>
          </cell>
          <cell r="E5968">
            <v>0</v>
          </cell>
        </row>
        <row r="5969">
          <cell r="A5969" t="str">
            <v>MT</v>
          </cell>
          <cell r="B5969">
            <v>2008</v>
          </cell>
          <cell r="D5969" t="str">
            <v>SOJA</v>
          </cell>
          <cell r="E5969">
            <v>25000</v>
          </cell>
        </row>
        <row r="5970">
          <cell r="A5970" t="str">
            <v>MT</v>
          </cell>
          <cell r="B5970">
            <v>2008</v>
          </cell>
          <cell r="D5970" t="str">
            <v>SOJA</v>
          </cell>
          <cell r="E5970">
            <v>75000</v>
          </cell>
        </row>
        <row r="5971">
          <cell r="A5971" t="str">
            <v>MT</v>
          </cell>
          <cell r="B5971">
            <v>2008</v>
          </cell>
          <cell r="D5971" t="str">
            <v>SOJA</v>
          </cell>
          <cell r="E5971">
            <v>10000</v>
          </cell>
        </row>
        <row r="5972">
          <cell r="A5972" t="str">
            <v>MT</v>
          </cell>
          <cell r="B5972">
            <v>2008</v>
          </cell>
          <cell r="D5972" t="str">
            <v>SOJA</v>
          </cell>
          <cell r="E5972">
            <v>0</v>
          </cell>
        </row>
        <row r="5973">
          <cell r="A5973" t="str">
            <v>MT</v>
          </cell>
          <cell r="B5973">
            <v>2008</v>
          </cell>
          <cell r="D5973" t="str">
            <v>SOJA</v>
          </cell>
          <cell r="E5973">
            <v>0</v>
          </cell>
        </row>
        <row r="5974">
          <cell r="A5974" t="str">
            <v>MT</v>
          </cell>
          <cell r="B5974">
            <v>2008</v>
          </cell>
          <cell r="D5974" t="str">
            <v>SOJA</v>
          </cell>
          <cell r="E5974">
            <v>0</v>
          </cell>
        </row>
        <row r="5975">
          <cell r="A5975" t="str">
            <v>MT</v>
          </cell>
          <cell r="B5975">
            <v>2008</v>
          </cell>
          <cell r="D5975" t="str">
            <v>SOJA</v>
          </cell>
          <cell r="E5975">
            <v>0</v>
          </cell>
        </row>
        <row r="5976">
          <cell r="A5976" t="str">
            <v>MT</v>
          </cell>
          <cell r="B5976">
            <v>2008</v>
          </cell>
          <cell r="D5976" t="str">
            <v>SOJA</v>
          </cell>
          <cell r="E5976">
            <v>0</v>
          </cell>
        </row>
        <row r="5977">
          <cell r="A5977" t="str">
            <v>MT</v>
          </cell>
          <cell r="B5977">
            <v>2008</v>
          </cell>
          <cell r="D5977" t="str">
            <v>SOJA</v>
          </cell>
          <cell r="E5977">
            <v>0</v>
          </cell>
        </row>
        <row r="5978">
          <cell r="A5978" t="str">
            <v>MT</v>
          </cell>
          <cell r="B5978">
            <v>2008</v>
          </cell>
          <cell r="D5978" t="str">
            <v>SOJA</v>
          </cell>
          <cell r="E5978">
            <v>0</v>
          </cell>
        </row>
        <row r="5979">
          <cell r="A5979" t="str">
            <v>MT</v>
          </cell>
          <cell r="B5979">
            <v>2008</v>
          </cell>
          <cell r="D5979" t="str">
            <v>SOJA</v>
          </cell>
          <cell r="E5979">
            <v>8000</v>
          </cell>
        </row>
        <row r="5980">
          <cell r="A5980" t="str">
            <v>MT</v>
          </cell>
          <cell r="B5980">
            <v>2008</v>
          </cell>
          <cell r="D5980" t="str">
            <v>SOJA</v>
          </cell>
          <cell r="E5980">
            <v>12000</v>
          </cell>
        </row>
        <row r="5981">
          <cell r="A5981" t="str">
            <v>MT</v>
          </cell>
          <cell r="B5981">
            <v>2008</v>
          </cell>
          <cell r="D5981" t="str">
            <v>SOJA</v>
          </cell>
          <cell r="E5981">
            <v>5000</v>
          </cell>
        </row>
        <row r="5982">
          <cell r="A5982" t="str">
            <v>MT</v>
          </cell>
          <cell r="B5982">
            <v>2008</v>
          </cell>
          <cell r="D5982" t="str">
            <v>SOJA</v>
          </cell>
          <cell r="E5982">
            <v>0</v>
          </cell>
        </row>
        <row r="5983">
          <cell r="A5983" t="str">
            <v>MT</v>
          </cell>
          <cell r="B5983">
            <v>2008</v>
          </cell>
          <cell r="D5983" t="str">
            <v>SOJA</v>
          </cell>
          <cell r="E5983">
            <v>0</v>
          </cell>
        </row>
        <row r="5984">
          <cell r="A5984" t="str">
            <v>MT</v>
          </cell>
          <cell r="B5984">
            <v>2008</v>
          </cell>
          <cell r="D5984" t="str">
            <v>SOJA</v>
          </cell>
          <cell r="E5984">
            <v>5000</v>
          </cell>
        </row>
        <row r="5985">
          <cell r="A5985" t="str">
            <v>MT</v>
          </cell>
          <cell r="B5985">
            <v>2008</v>
          </cell>
          <cell r="D5985" t="str">
            <v>SOJA</v>
          </cell>
          <cell r="E5985">
            <v>15000</v>
          </cell>
        </row>
        <row r="5986">
          <cell r="A5986" t="str">
            <v>MT</v>
          </cell>
          <cell r="B5986">
            <v>2008</v>
          </cell>
          <cell r="D5986" t="str">
            <v>SOJA</v>
          </cell>
          <cell r="E5986">
            <v>20000</v>
          </cell>
        </row>
        <row r="5987">
          <cell r="A5987" t="str">
            <v>MT</v>
          </cell>
          <cell r="B5987">
            <v>2008</v>
          </cell>
          <cell r="D5987" t="str">
            <v>SOJA</v>
          </cell>
          <cell r="E5987">
            <v>10000</v>
          </cell>
        </row>
        <row r="5988">
          <cell r="A5988" t="str">
            <v>MT</v>
          </cell>
          <cell r="B5988">
            <v>2008</v>
          </cell>
          <cell r="D5988" t="str">
            <v>SOJA</v>
          </cell>
          <cell r="E5988">
            <v>0</v>
          </cell>
        </row>
        <row r="5989">
          <cell r="A5989" t="str">
            <v>MT</v>
          </cell>
          <cell r="B5989">
            <v>2008</v>
          </cell>
          <cell r="D5989" t="str">
            <v>SOJA</v>
          </cell>
          <cell r="E5989">
            <v>10000</v>
          </cell>
        </row>
        <row r="5990">
          <cell r="A5990" t="str">
            <v>MT</v>
          </cell>
          <cell r="B5990">
            <v>2008</v>
          </cell>
          <cell r="D5990" t="str">
            <v>SOJA</v>
          </cell>
          <cell r="E5990">
            <v>10000</v>
          </cell>
        </row>
        <row r="5991">
          <cell r="A5991" t="str">
            <v>MT</v>
          </cell>
          <cell r="B5991">
            <v>2008</v>
          </cell>
          <cell r="D5991" t="str">
            <v>SOJA</v>
          </cell>
          <cell r="E5991">
            <v>10000</v>
          </cell>
        </row>
        <row r="5992">
          <cell r="A5992" t="str">
            <v>MT</v>
          </cell>
          <cell r="B5992">
            <v>2008</v>
          </cell>
          <cell r="D5992" t="str">
            <v>SOJA</v>
          </cell>
          <cell r="E5992">
            <v>0</v>
          </cell>
        </row>
        <row r="5993">
          <cell r="A5993" t="str">
            <v>MT</v>
          </cell>
          <cell r="B5993">
            <v>2008</v>
          </cell>
          <cell r="D5993" t="str">
            <v>SOJA</v>
          </cell>
          <cell r="E5993">
            <v>0</v>
          </cell>
        </row>
        <row r="5994">
          <cell r="A5994" t="str">
            <v>MT</v>
          </cell>
          <cell r="B5994">
            <v>2008</v>
          </cell>
          <cell r="D5994" t="str">
            <v>SOJA</v>
          </cell>
          <cell r="E5994">
            <v>10000</v>
          </cell>
        </row>
        <row r="5995">
          <cell r="A5995" t="str">
            <v>MT</v>
          </cell>
          <cell r="B5995">
            <v>2008</v>
          </cell>
          <cell r="D5995" t="str">
            <v>SOJA</v>
          </cell>
          <cell r="E5995">
            <v>3000</v>
          </cell>
        </row>
        <row r="5996">
          <cell r="A5996" t="str">
            <v>MT</v>
          </cell>
          <cell r="B5996">
            <v>2008</v>
          </cell>
          <cell r="D5996" t="str">
            <v>SOJA</v>
          </cell>
          <cell r="E5996">
            <v>8000</v>
          </cell>
        </row>
        <row r="5997">
          <cell r="A5997" t="str">
            <v>MT</v>
          </cell>
          <cell r="B5997">
            <v>2008</v>
          </cell>
          <cell r="D5997" t="str">
            <v>SOJA</v>
          </cell>
          <cell r="E5997">
            <v>4000</v>
          </cell>
        </row>
        <row r="5998">
          <cell r="A5998" t="str">
            <v>MT</v>
          </cell>
          <cell r="B5998">
            <v>2008</v>
          </cell>
          <cell r="D5998" t="str">
            <v>SOJA</v>
          </cell>
          <cell r="E5998">
            <v>0</v>
          </cell>
        </row>
        <row r="5999">
          <cell r="A5999" t="str">
            <v>MT</v>
          </cell>
          <cell r="B5999">
            <v>2008</v>
          </cell>
          <cell r="D5999" t="str">
            <v>SOJA</v>
          </cell>
          <cell r="E5999">
            <v>0</v>
          </cell>
        </row>
        <row r="6000">
          <cell r="A6000" t="str">
            <v>MT</v>
          </cell>
          <cell r="B6000">
            <v>2008</v>
          </cell>
          <cell r="D6000" t="str">
            <v>SOJA</v>
          </cell>
          <cell r="E6000">
            <v>20000</v>
          </cell>
        </row>
        <row r="6001">
          <cell r="A6001" t="str">
            <v>MT</v>
          </cell>
          <cell r="B6001">
            <v>2008</v>
          </cell>
          <cell r="D6001" t="str">
            <v>SOJA</v>
          </cell>
          <cell r="E6001">
            <v>40000</v>
          </cell>
        </row>
        <row r="6002">
          <cell r="A6002" t="str">
            <v>MT</v>
          </cell>
          <cell r="B6002">
            <v>2008</v>
          </cell>
          <cell r="D6002" t="str">
            <v>SOJA</v>
          </cell>
          <cell r="E6002">
            <v>40000</v>
          </cell>
        </row>
        <row r="6003">
          <cell r="A6003" t="str">
            <v>MT</v>
          </cell>
          <cell r="B6003">
            <v>2008</v>
          </cell>
          <cell r="D6003" t="str">
            <v>SOJA</v>
          </cell>
          <cell r="E6003">
            <v>0</v>
          </cell>
        </row>
        <row r="6004">
          <cell r="A6004" t="str">
            <v>MT</v>
          </cell>
          <cell r="B6004">
            <v>2008</v>
          </cell>
          <cell r="D6004" t="str">
            <v>SOJA</v>
          </cell>
          <cell r="E6004">
            <v>0</v>
          </cell>
        </row>
        <row r="6005">
          <cell r="A6005" t="str">
            <v>MT</v>
          </cell>
          <cell r="B6005">
            <v>2008</v>
          </cell>
          <cell r="D6005" t="str">
            <v>SOJA</v>
          </cell>
          <cell r="E6005">
            <v>0</v>
          </cell>
        </row>
        <row r="6006">
          <cell r="A6006" t="str">
            <v>MT</v>
          </cell>
          <cell r="B6006">
            <v>2008</v>
          </cell>
          <cell r="D6006" t="str">
            <v>SOJA</v>
          </cell>
          <cell r="E6006">
            <v>5000</v>
          </cell>
        </row>
        <row r="6007">
          <cell r="A6007" t="str">
            <v>MT</v>
          </cell>
          <cell r="B6007">
            <v>2008</v>
          </cell>
          <cell r="D6007" t="str">
            <v>SOJA</v>
          </cell>
          <cell r="E6007">
            <v>8000</v>
          </cell>
        </row>
        <row r="6008">
          <cell r="A6008" t="str">
            <v>MT</v>
          </cell>
          <cell r="B6008">
            <v>2008</v>
          </cell>
          <cell r="D6008" t="str">
            <v>SOJA</v>
          </cell>
          <cell r="E6008">
            <v>2000</v>
          </cell>
        </row>
        <row r="6009">
          <cell r="A6009" t="str">
            <v>PA</v>
          </cell>
          <cell r="B6009">
            <v>2008</v>
          </cell>
          <cell r="D6009" t="str">
            <v>SOJA</v>
          </cell>
          <cell r="E6009">
            <v>5000</v>
          </cell>
        </row>
        <row r="6010">
          <cell r="A6010" t="str">
            <v>PA</v>
          </cell>
          <cell r="B6010">
            <v>2008</v>
          </cell>
          <cell r="D6010" t="str">
            <v>SOJA</v>
          </cell>
          <cell r="E6010">
            <v>8000</v>
          </cell>
        </row>
        <row r="6011">
          <cell r="A6011" t="str">
            <v>PA</v>
          </cell>
          <cell r="B6011">
            <v>2008</v>
          </cell>
          <cell r="D6011" t="str">
            <v>SOJA</v>
          </cell>
          <cell r="E6011">
            <v>2000</v>
          </cell>
        </row>
        <row r="6012">
          <cell r="A6012" t="str">
            <v>MT</v>
          </cell>
          <cell r="B6012">
            <v>2008</v>
          </cell>
          <cell r="D6012" t="str">
            <v>SOJA</v>
          </cell>
          <cell r="E6012">
            <v>15000</v>
          </cell>
        </row>
        <row r="6013">
          <cell r="A6013" t="str">
            <v>MT</v>
          </cell>
          <cell r="B6013">
            <v>2008</v>
          </cell>
          <cell r="D6013" t="str">
            <v>SOJA</v>
          </cell>
          <cell r="E6013">
            <v>20000</v>
          </cell>
        </row>
        <row r="6014">
          <cell r="A6014" t="str">
            <v>MT</v>
          </cell>
          <cell r="B6014">
            <v>2008</v>
          </cell>
          <cell r="D6014" t="str">
            <v>SOJA</v>
          </cell>
          <cell r="E6014">
            <v>5000</v>
          </cell>
        </row>
        <row r="6015">
          <cell r="A6015" t="str">
            <v>MT</v>
          </cell>
          <cell r="B6015">
            <v>2008</v>
          </cell>
          <cell r="D6015" t="str">
            <v>SOJA</v>
          </cell>
          <cell r="E6015">
            <v>0</v>
          </cell>
        </row>
        <row r="6016">
          <cell r="A6016" t="str">
            <v>MT</v>
          </cell>
          <cell r="B6016">
            <v>2008</v>
          </cell>
          <cell r="D6016" t="str">
            <v>SOJA</v>
          </cell>
          <cell r="E6016">
            <v>0</v>
          </cell>
        </row>
        <row r="6017">
          <cell r="A6017" t="str">
            <v>MT</v>
          </cell>
          <cell r="B6017">
            <v>2008</v>
          </cell>
          <cell r="D6017" t="str">
            <v>SOJA</v>
          </cell>
          <cell r="E6017">
            <v>0</v>
          </cell>
        </row>
        <row r="6018">
          <cell r="A6018" t="str">
            <v>MS</v>
          </cell>
          <cell r="B6018">
            <v>2008</v>
          </cell>
          <cell r="D6018" t="str">
            <v>SOJA</v>
          </cell>
          <cell r="E6018">
            <v>5000</v>
          </cell>
        </row>
        <row r="6019">
          <cell r="A6019" t="str">
            <v>MS</v>
          </cell>
          <cell r="B6019">
            <v>2008</v>
          </cell>
          <cell r="D6019" t="str">
            <v>SOJA</v>
          </cell>
          <cell r="E6019">
            <v>14000</v>
          </cell>
        </row>
        <row r="6020">
          <cell r="A6020" t="str">
            <v>MS</v>
          </cell>
          <cell r="B6020">
            <v>2008</v>
          </cell>
          <cell r="D6020" t="str">
            <v>SOJA</v>
          </cell>
          <cell r="E6020">
            <v>500</v>
          </cell>
        </row>
        <row r="6021">
          <cell r="A6021" t="str">
            <v>MS</v>
          </cell>
          <cell r="B6021">
            <v>2008</v>
          </cell>
          <cell r="D6021" t="str">
            <v>SOJA</v>
          </cell>
          <cell r="E6021">
            <v>500</v>
          </cell>
        </row>
        <row r="6022">
          <cell r="A6022" t="str">
            <v>MS</v>
          </cell>
          <cell r="B6022">
            <v>2008</v>
          </cell>
          <cell r="D6022" t="str">
            <v>SOJA</v>
          </cell>
          <cell r="E6022">
            <v>15000</v>
          </cell>
        </row>
        <row r="6023">
          <cell r="A6023" t="str">
            <v>MS</v>
          </cell>
          <cell r="B6023">
            <v>2008</v>
          </cell>
          <cell r="D6023" t="str">
            <v>SOJA</v>
          </cell>
          <cell r="E6023">
            <v>36000</v>
          </cell>
        </row>
        <row r="6024">
          <cell r="A6024" t="str">
            <v>MS</v>
          </cell>
          <cell r="B6024">
            <v>2008</v>
          </cell>
          <cell r="D6024" t="str">
            <v>SOJA</v>
          </cell>
          <cell r="E6024">
            <v>35000</v>
          </cell>
        </row>
        <row r="6025">
          <cell r="A6025" t="str">
            <v>MS</v>
          </cell>
          <cell r="B6025">
            <v>2008</v>
          </cell>
          <cell r="D6025" t="str">
            <v>SOJA</v>
          </cell>
          <cell r="E6025">
            <v>25000</v>
          </cell>
        </row>
        <row r="6026">
          <cell r="A6026" t="str">
            <v>MS</v>
          </cell>
          <cell r="B6026">
            <v>2008</v>
          </cell>
          <cell r="D6026" t="str">
            <v>SOJA</v>
          </cell>
          <cell r="E6026">
            <v>15000</v>
          </cell>
        </row>
        <row r="6027">
          <cell r="A6027" t="str">
            <v>MS</v>
          </cell>
          <cell r="B6027">
            <v>2008</v>
          </cell>
          <cell r="D6027" t="str">
            <v>SOJA</v>
          </cell>
          <cell r="E6027">
            <v>15000</v>
          </cell>
        </row>
        <row r="6028">
          <cell r="A6028" t="str">
            <v>MS</v>
          </cell>
          <cell r="B6028">
            <v>2008</v>
          </cell>
          <cell r="D6028" t="str">
            <v>SOJA</v>
          </cell>
          <cell r="E6028">
            <v>14000</v>
          </cell>
        </row>
        <row r="6029">
          <cell r="A6029" t="str">
            <v>MS</v>
          </cell>
          <cell r="B6029">
            <v>2008</v>
          </cell>
          <cell r="D6029" t="str">
            <v>SOJA</v>
          </cell>
          <cell r="E6029">
            <v>8000</v>
          </cell>
        </row>
        <row r="6030">
          <cell r="A6030" t="str">
            <v>MS</v>
          </cell>
          <cell r="B6030">
            <v>2008</v>
          </cell>
          <cell r="D6030" t="str">
            <v>SOJA</v>
          </cell>
          <cell r="E6030">
            <v>5000</v>
          </cell>
        </row>
        <row r="6031">
          <cell r="A6031" t="str">
            <v>MS</v>
          </cell>
          <cell r="B6031">
            <v>2008</v>
          </cell>
          <cell r="D6031" t="str">
            <v>SOJA</v>
          </cell>
          <cell r="E6031">
            <v>2000</v>
          </cell>
        </row>
        <row r="6032">
          <cell r="A6032" t="str">
            <v>MS</v>
          </cell>
          <cell r="B6032">
            <v>2008</v>
          </cell>
          <cell r="D6032" t="str">
            <v>SOJA</v>
          </cell>
          <cell r="E6032">
            <v>10000</v>
          </cell>
        </row>
        <row r="6033">
          <cell r="A6033" t="str">
            <v>MS</v>
          </cell>
          <cell r="B6033">
            <v>2008</v>
          </cell>
          <cell r="D6033" t="str">
            <v>SOJA</v>
          </cell>
          <cell r="E6033">
            <v>35000</v>
          </cell>
        </row>
        <row r="6034">
          <cell r="A6034" t="str">
            <v>MS</v>
          </cell>
          <cell r="B6034">
            <v>2008</v>
          </cell>
          <cell r="D6034" t="str">
            <v>SOJA</v>
          </cell>
          <cell r="E6034">
            <v>30000</v>
          </cell>
        </row>
        <row r="6035">
          <cell r="A6035" t="str">
            <v>MS</v>
          </cell>
          <cell r="B6035">
            <v>2008</v>
          </cell>
          <cell r="D6035" t="str">
            <v>SOJA</v>
          </cell>
          <cell r="E6035">
            <v>10000</v>
          </cell>
        </row>
        <row r="6036">
          <cell r="A6036" t="str">
            <v>MS</v>
          </cell>
          <cell r="B6036">
            <v>2008</v>
          </cell>
          <cell r="D6036" t="str">
            <v>SOJA</v>
          </cell>
          <cell r="E6036">
            <v>0</v>
          </cell>
        </row>
        <row r="6037">
          <cell r="A6037" t="str">
            <v>MS</v>
          </cell>
          <cell r="B6037">
            <v>2008</v>
          </cell>
          <cell r="D6037" t="str">
            <v>SOJA</v>
          </cell>
          <cell r="E6037">
            <v>0</v>
          </cell>
        </row>
        <row r="6038">
          <cell r="A6038" t="str">
            <v>MS</v>
          </cell>
          <cell r="B6038">
            <v>2008</v>
          </cell>
          <cell r="D6038" t="str">
            <v>SOJA</v>
          </cell>
          <cell r="E6038">
            <v>0</v>
          </cell>
        </row>
        <row r="6039">
          <cell r="A6039" t="str">
            <v>MS</v>
          </cell>
          <cell r="B6039">
            <v>2008</v>
          </cell>
          <cell r="D6039" t="str">
            <v>SOJA</v>
          </cell>
          <cell r="E6039">
            <v>0</v>
          </cell>
        </row>
        <row r="6040">
          <cell r="A6040" t="str">
            <v>MS</v>
          </cell>
          <cell r="B6040">
            <v>2008</v>
          </cell>
          <cell r="D6040" t="str">
            <v>SOJA</v>
          </cell>
          <cell r="E6040">
            <v>0</v>
          </cell>
        </row>
        <row r="6041">
          <cell r="A6041" t="str">
            <v>MS</v>
          </cell>
          <cell r="B6041">
            <v>2008</v>
          </cell>
          <cell r="D6041" t="str">
            <v>SOJA</v>
          </cell>
          <cell r="E6041">
            <v>0</v>
          </cell>
        </row>
        <row r="6042">
          <cell r="A6042" t="str">
            <v>MS</v>
          </cell>
          <cell r="B6042">
            <v>2008</v>
          </cell>
          <cell r="D6042" t="str">
            <v>SOJA</v>
          </cell>
          <cell r="E6042">
            <v>7000</v>
          </cell>
        </row>
        <row r="6043">
          <cell r="A6043" t="str">
            <v>MS</v>
          </cell>
          <cell r="B6043">
            <v>2008</v>
          </cell>
          <cell r="D6043" t="str">
            <v>SOJA</v>
          </cell>
          <cell r="E6043">
            <v>15000</v>
          </cell>
        </row>
        <row r="6044">
          <cell r="A6044" t="str">
            <v>MS</v>
          </cell>
          <cell r="B6044">
            <v>2008</v>
          </cell>
          <cell r="D6044" t="str">
            <v>SOJA</v>
          </cell>
          <cell r="E6044">
            <v>17000</v>
          </cell>
        </row>
        <row r="6045">
          <cell r="A6045" t="str">
            <v>MS</v>
          </cell>
          <cell r="B6045">
            <v>2008</v>
          </cell>
          <cell r="D6045" t="str">
            <v>SOJA</v>
          </cell>
          <cell r="E6045">
            <v>6000</v>
          </cell>
        </row>
        <row r="6046">
          <cell r="A6046" t="str">
            <v>MS</v>
          </cell>
          <cell r="B6046">
            <v>2008</v>
          </cell>
          <cell r="D6046" t="str">
            <v>SOJA</v>
          </cell>
          <cell r="E6046">
            <v>0</v>
          </cell>
        </row>
        <row r="6047">
          <cell r="A6047" t="str">
            <v>MS</v>
          </cell>
          <cell r="B6047">
            <v>2008</v>
          </cell>
          <cell r="D6047" t="str">
            <v>SOJA</v>
          </cell>
          <cell r="E6047">
            <v>0</v>
          </cell>
        </row>
        <row r="6048">
          <cell r="A6048" t="str">
            <v>MS</v>
          </cell>
          <cell r="B6048">
            <v>2008</v>
          </cell>
          <cell r="D6048" t="str">
            <v>SOJA</v>
          </cell>
          <cell r="E6048">
            <v>0</v>
          </cell>
        </row>
        <row r="6049">
          <cell r="A6049" t="str">
            <v>MS</v>
          </cell>
          <cell r="B6049">
            <v>2008</v>
          </cell>
          <cell r="D6049" t="str">
            <v>SOJA</v>
          </cell>
          <cell r="E6049">
            <v>0</v>
          </cell>
        </row>
        <row r="6050">
          <cell r="A6050" t="str">
            <v>MS</v>
          </cell>
          <cell r="B6050">
            <v>2008</v>
          </cell>
          <cell r="D6050" t="str">
            <v>SOJA</v>
          </cell>
          <cell r="E6050">
            <v>0</v>
          </cell>
        </row>
        <row r="6051">
          <cell r="A6051" t="str">
            <v>MS</v>
          </cell>
          <cell r="B6051">
            <v>2008</v>
          </cell>
          <cell r="D6051" t="str">
            <v>SOJA</v>
          </cell>
          <cell r="E6051">
            <v>5000</v>
          </cell>
        </row>
        <row r="6052">
          <cell r="A6052" t="str">
            <v>MS</v>
          </cell>
          <cell r="B6052">
            <v>2008</v>
          </cell>
          <cell r="D6052" t="str">
            <v>SOJA</v>
          </cell>
          <cell r="E6052">
            <v>10000</v>
          </cell>
        </row>
        <row r="6053">
          <cell r="A6053" t="str">
            <v>MS</v>
          </cell>
          <cell r="B6053">
            <v>2008</v>
          </cell>
          <cell r="D6053" t="str">
            <v>SOJA</v>
          </cell>
          <cell r="E6053">
            <v>14000</v>
          </cell>
        </row>
        <row r="6054">
          <cell r="A6054" t="str">
            <v>MS</v>
          </cell>
          <cell r="B6054">
            <v>2008</v>
          </cell>
          <cell r="D6054" t="str">
            <v>SOJA</v>
          </cell>
          <cell r="E6054">
            <v>1000</v>
          </cell>
        </row>
        <row r="6055">
          <cell r="A6055" t="str">
            <v>MS</v>
          </cell>
          <cell r="B6055">
            <v>2008</v>
          </cell>
          <cell r="D6055" t="str">
            <v>SOJA</v>
          </cell>
          <cell r="E6055">
            <v>0</v>
          </cell>
        </row>
        <row r="6056">
          <cell r="A6056" t="str">
            <v>MS</v>
          </cell>
          <cell r="B6056">
            <v>2008</v>
          </cell>
          <cell r="D6056" t="str">
            <v>SOJA</v>
          </cell>
          <cell r="E6056">
            <v>0</v>
          </cell>
        </row>
        <row r="6057">
          <cell r="A6057" t="str">
            <v>MS</v>
          </cell>
          <cell r="B6057">
            <v>2008</v>
          </cell>
          <cell r="D6057" t="str">
            <v>SOJA</v>
          </cell>
          <cell r="E6057">
            <v>0</v>
          </cell>
        </row>
        <row r="6058">
          <cell r="A6058" t="str">
            <v>MS</v>
          </cell>
          <cell r="B6058">
            <v>2008</v>
          </cell>
          <cell r="D6058" t="str">
            <v>SOJA</v>
          </cell>
          <cell r="E6058">
            <v>0</v>
          </cell>
        </row>
        <row r="6059">
          <cell r="A6059" t="str">
            <v>MS</v>
          </cell>
          <cell r="B6059">
            <v>2008</v>
          </cell>
          <cell r="D6059" t="str">
            <v>SOJA</v>
          </cell>
          <cell r="E6059">
            <v>0</v>
          </cell>
        </row>
        <row r="6060">
          <cell r="A6060" t="str">
            <v>MS</v>
          </cell>
          <cell r="B6060">
            <v>2008</v>
          </cell>
          <cell r="D6060" t="str">
            <v>SOJA</v>
          </cell>
          <cell r="E6060">
            <v>0</v>
          </cell>
        </row>
        <row r="6061">
          <cell r="A6061" t="str">
            <v>MS</v>
          </cell>
          <cell r="B6061">
            <v>2008</v>
          </cell>
          <cell r="D6061" t="str">
            <v>SOJA</v>
          </cell>
          <cell r="E6061">
            <v>8000</v>
          </cell>
        </row>
        <row r="6062">
          <cell r="A6062" t="str">
            <v>MS</v>
          </cell>
          <cell r="B6062">
            <v>2008</v>
          </cell>
          <cell r="D6062" t="str">
            <v>SOJA</v>
          </cell>
          <cell r="E6062">
            <v>15000</v>
          </cell>
        </row>
        <row r="6063">
          <cell r="A6063" t="str">
            <v>MS</v>
          </cell>
          <cell r="B6063">
            <v>2008</v>
          </cell>
          <cell r="D6063" t="str">
            <v>SOJA</v>
          </cell>
          <cell r="E6063">
            <v>15000</v>
          </cell>
        </row>
        <row r="6064">
          <cell r="A6064" t="str">
            <v>MS</v>
          </cell>
          <cell r="B6064">
            <v>2008</v>
          </cell>
          <cell r="D6064" t="str">
            <v>SOJA</v>
          </cell>
          <cell r="E6064">
            <v>2000</v>
          </cell>
        </row>
        <row r="6065">
          <cell r="A6065" t="str">
            <v>MS</v>
          </cell>
          <cell r="B6065">
            <v>2008</v>
          </cell>
          <cell r="D6065" t="str">
            <v>SOJA</v>
          </cell>
          <cell r="E6065">
            <v>0</v>
          </cell>
        </row>
        <row r="6066">
          <cell r="A6066" t="str">
            <v>MS</v>
          </cell>
          <cell r="B6066">
            <v>2008</v>
          </cell>
          <cell r="D6066" t="str">
            <v>SOJA</v>
          </cell>
          <cell r="E6066">
            <v>0</v>
          </cell>
        </row>
        <row r="6067">
          <cell r="A6067" t="str">
            <v>MS</v>
          </cell>
          <cell r="B6067">
            <v>2008</v>
          </cell>
          <cell r="D6067" t="str">
            <v>SOJA</v>
          </cell>
          <cell r="E6067">
            <v>0</v>
          </cell>
        </row>
        <row r="6068">
          <cell r="A6068" t="str">
            <v>MS</v>
          </cell>
          <cell r="B6068">
            <v>2008</v>
          </cell>
          <cell r="D6068" t="str">
            <v>SOJA</v>
          </cell>
          <cell r="E6068">
            <v>0</v>
          </cell>
        </row>
        <row r="6069">
          <cell r="A6069" t="str">
            <v>MS</v>
          </cell>
          <cell r="B6069">
            <v>2008</v>
          </cell>
          <cell r="D6069" t="str">
            <v>SOJA</v>
          </cell>
          <cell r="E6069">
            <v>0</v>
          </cell>
        </row>
        <row r="6070">
          <cell r="A6070" t="str">
            <v>MT</v>
          </cell>
          <cell r="B6070">
            <v>2008</v>
          </cell>
          <cell r="D6070" t="str">
            <v>SOJA</v>
          </cell>
          <cell r="E6070">
            <v>2000</v>
          </cell>
        </row>
        <row r="6071">
          <cell r="A6071" t="str">
            <v>MT</v>
          </cell>
          <cell r="B6071">
            <v>2008</v>
          </cell>
          <cell r="D6071" t="str">
            <v>SOJA</v>
          </cell>
          <cell r="E6071">
            <v>28000</v>
          </cell>
        </row>
        <row r="6072">
          <cell r="A6072" t="str">
            <v>MT</v>
          </cell>
          <cell r="B6072">
            <v>2008</v>
          </cell>
          <cell r="D6072" t="str">
            <v>SOJA</v>
          </cell>
          <cell r="E6072">
            <v>20000</v>
          </cell>
        </row>
        <row r="6073">
          <cell r="A6073" t="str">
            <v>MT</v>
          </cell>
          <cell r="B6073">
            <v>2008</v>
          </cell>
          <cell r="D6073" t="str">
            <v>SOJA</v>
          </cell>
          <cell r="E6073">
            <v>0</v>
          </cell>
        </row>
        <row r="6074">
          <cell r="A6074" t="str">
            <v>MT</v>
          </cell>
          <cell r="B6074">
            <v>2008</v>
          </cell>
          <cell r="D6074" t="str">
            <v>SOJA</v>
          </cell>
          <cell r="E6074">
            <v>0</v>
          </cell>
        </row>
        <row r="6075">
          <cell r="A6075" t="str">
            <v>MT</v>
          </cell>
          <cell r="B6075">
            <v>2008</v>
          </cell>
          <cell r="D6075" t="str">
            <v>SOJA</v>
          </cell>
          <cell r="E6075">
            <v>19343</v>
          </cell>
        </row>
        <row r="6076">
          <cell r="A6076" t="str">
            <v>MT</v>
          </cell>
          <cell r="B6076">
            <v>2008</v>
          </cell>
          <cell r="D6076" t="str">
            <v>SOJA</v>
          </cell>
          <cell r="E6076">
            <v>130657</v>
          </cell>
        </row>
        <row r="6077">
          <cell r="A6077" t="str">
            <v>MT</v>
          </cell>
          <cell r="B6077">
            <v>2008</v>
          </cell>
          <cell r="D6077" t="str">
            <v>SOJA</v>
          </cell>
          <cell r="E6077">
            <v>50000</v>
          </cell>
        </row>
        <row r="6078">
          <cell r="A6078" t="str">
            <v>MT</v>
          </cell>
          <cell r="B6078">
            <v>2008</v>
          </cell>
          <cell r="D6078" t="str">
            <v>SOJA</v>
          </cell>
          <cell r="E6078">
            <v>0</v>
          </cell>
        </row>
        <row r="6079">
          <cell r="A6079" t="str">
            <v>MT</v>
          </cell>
          <cell r="B6079">
            <v>2008</v>
          </cell>
          <cell r="D6079" t="str">
            <v>SOJA</v>
          </cell>
          <cell r="E6079">
            <v>0</v>
          </cell>
        </row>
        <row r="6080">
          <cell r="A6080" t="str">
            <v>MT</v>
          </cell>
          <cell r="B6080">
            <v>2008</v>
          </cell>
          <cell r="D6080" t="str">
            <v>SOJA</v>
          </cell>
          <cell r="E6080">
            <v>0</v>
          </cell>
        </row>
        <row r="6081">
          <cell r="A6081" t="str">
            <v>MT</v>
          </cell>
          <cell r="B6081">
            <v>2008</v>
          </cell>
          <cell r="D6081" t="str">
            <v>SOJA</v>
          </cell>
          <cell r="E6081">
            <v>0</v>
          </cell>
        </row>
        <row r="6082">
          <cell r="A6082" t="str">
            <v>MT</v>
          </cell>
          <cell r="B6082">
            <v>2008</v>
          </cell>
          <cell r="D6082" t="str">
            <v>SOJA</v>
          </cell>
          <cell r="E6082">
            <v>0</v>
          </cell>
        </row>
        <row r="6083">
          <cell r="A6083" t="str">
            <v>MT</v>
          </cell>
          <cell r="B6083">
            <v>2008</v>
          </cell>
          <cell r="D6083" t="str">
            <v>SOJA</v>
          </cell>
          <cell r="E6083">
            <v>0</v>
          </cell>
        </row>
        <row r="6084">
          <cell r="A6084" t="str">
            <v>MT</v>
          </cell>
          <cell r="B6084">
            <v>2008</v>
          </cell>
          <cell r="D6084" t="str">
            <v>SOJA</v>
          </cell>
          <cell r="E6084">
            <v>2000</v>
          </cell>
        </row>
        <row r="6085">
          <cell r="A6085" t="str">
            <v>MT</v>
          </cell>
          <cell r="B6085">
            <v>2008</v>
          </cell>
          <cell r="D6085" t="str">
            <v>SOJA</v>
          </cell>
          <cell r="E6085">
            <v>23000</v>
          </cell>
        </row>
        <row r="6086">
          <cell r="A6086" t="str">
            <v>MT</v>
          </cell>
          <cell r="B6086">
            <v>2008</v>
          </cell>
          <cell r="D6086" t="str">
            <v>SOJA</v>
          </cell>
          <cell r="E6086">
            <v>15000</v>
          </cell>
        </row>
        <row r="6087">
          <cell r="A6087" t="str">
            <v>MT</v>
          </cell>
          <cell r="B6087">
            <v>2008</v>
          </cell>
          <cell r="D6087" t="str">
            <v>SOJA</v>
          </cell>
          <cell r="E6087">
            <v>5000</v>
          </cell>
        </row>
        <row r="6088">
          <cell r="A6088" t="str">
            <v>MT</v>
          </cell>
          <cell r="B6088">
            <v>2008</v>
          </cell>
          <cell r="D6088" t="str">
            <v>SOJA</v>
          </cell>
          <cell r="E6088">
            <v>45000</v>
          </cell>
        </row>
        <row r="6089">
          <cell r="A6089" t="str">
            <v>MT</v>
          </cell>
          <cell r="B6089">
            <v>2008</v>
          </cell>
          <cell r="D6089" t="str">
            <v>SOJA</v>
          </cell>
          <cell r="E6089">
            <v>30000</v>
          </cell>
        </row>
        <row r="6090">
          <cell r="A6090" t="str">
            <v>MT</v>
          </cell>
          <cell r="B6090">
            <v>2008</v>
          </cell>
          <cell r="D6090" t="str">
            <v>SOJA</v>
          </cell>
          <cell r="E6090">
            <v>10000</v>
          </cell>
        </row>
        <row r="6091">
          <cell r="A6091" t="str">
            <v>MT</v>
          </cell>
          <cell r="B6091">
            <v>2008</v>
          </cell>
          <cell r="D6091" t="str">
            <v>SOJA</v>
          </cell>
          <cell r="E6091">
            <v>0</v>
          </cell>
        </row>
        <row r="6092">
          <cell r="A6092" t="str">
            <v>MT</v>
          </cell>
          <cell r="B6092">
            <v>2008</v>
          </cell>
          <cell r="D6092" t="str">
            <v>SOJA</v>
          </cell>
          <cell r="E6092">
            <v>0</v>
          </cell>
        </row>
        <row r="6093">
          <cell r="A6093" t="str">
            <v>MT</v>
          </cell>
          <cell r="B6093">
            <v>2008</v>
          </cell>
          <cell r="D6093" t="str">
            <v>SOJA</v>
          </cell>
          <cell r="E6093">
            <v>0</v>
          </cell>
        </row>
        <row r="6094">
          <cell r="A6094" t="str">
            <v>MT</v>
          </cell>
          <cell r="B6094">
            <v>2008</v>
          </cell>
          <cell r="D6094" t="str">
            <v>SOJA</v>
          </cell>
          <cell r="E6094">
            <v>0</v>
          </cell>
        </row>
        <row r="6095">
          <cell r="A6095" t="str">
            <v>MT</v>
          </cell>
          <cell r="B6095">
            <v>2008</v>
          </cell>
          <cell r="D6095" t="str">
            <v>SOJA</v>
          </cell>
          <cell r="E6095">
            <v>0</v>
          </cell>
        </row>
        <row r="6096">
          <cell r="A6096" t="str">
            <v>MT</v>
          </cell>
          <cell r="B6096">
            <v>2008</v>
          </cell>
          <cell r="D6096" t="str">
            <v>SOJA</v>
          </cell>
          <cell r="E6096">
            <v>0</v>
          </cell>
        </row>
        <row r="6097">
          <cell r="A6097" t="str">
            <v>MT</v>
          </cell>
          <cell r="B6097">
            <v>2008</v>
          </cell>
          <cell r="D6097" t="str">
            <v>SOJA</v>
          </cell>
          <cell r="E6097">
            <v>0</v>
          </cell>
        </row>
        <row r="6098">
          <cell r="A6098" t="str">
            <v>MT</v>
          </cell>
          <cell r="B6098">
            <v>2008</v>
          </cell>
          <cell r="D6098" t="str">
            <v>SOJA</v>
          </cell>
          <cell r="E6098">
            <v>2000</v>
          </cell>
        </row>
        <row r="6099">
          <cell r="A6099" t="str">
            <v>MT</v>
          </cell>
          <cell r="B6099">
            <v>2008</v>
          </cell>
          <cell r="D6099" t="str">
            <v>SOJA</v>
          </cell>
          <cell r="E6099">
            <v>18000</v>
          </cell>
        </row>
        <row r="6100">
          <cell r="A6100" t="str">
            <v>MT</v>
          </cell>
          <cell r="B6100">
            <v>2008</v>
          </cell>
          <cell r="D6100" t="str">
            <v>SOJA</v>
          </cell>
          <cell r="E6100">
            <v>25000</v>
          </cell>
        </row>
        <row r="6101">
          <cell r="A6101" t="str">
            <v>MT</v>
          </cell>
          <cell r="B6101">
            <v>2008</v>
          </cell>
          <cell r="D6101" t="str">
            <v>SOJA</v>
          </cell>
          <cell r="E6101">
            <v>5000</v>
          </cell>
        </row>
        <row r="6102">
          <cell r="A6102" t="str">
            <v>MT</v>
          </cell>
          <cell r="B6102">
            <v>2008</v>
          </cell>
          <cell r="D6102" t="str">
            <v>SOJA</v>
          </cell>
          <cell r="E6102">
            <v>0</v>
          </cell>
        </row>
        <row r="6103">
          <cell r="A6103" t="str">
            <v>MT</v>
          </cell>
          <cell r="B6103">
            <v>2008</v>
          </cell>
          <cell r="D6103" t="str">
            <v>SOJA</v>
          </cell>
          <cell r="E6103">
            <v>7500</v>
          </cell>
        </row>
        <row r="6104">
          <cell r="A6104" t="str">
            <v>MT</v>
          </cell>
          <cell r="B6104">
            <v>2008</v>
          </cell>
          <cell r="D6104" t="str">
            <v>SOJA</v>
          </cell>
          <cell r="E6104">
            <v>11500</v>
          </cell>
        </row>
        <row r="6105">
          <cell r="A6105" t="str">
            <v>MT</v>
          </cell>
          <cell r="B6105">
            <v>2008</v>
          </cell>
          <cell r="D6105" t="str">
            <v>SOJA</v>
          </cell>
          <cell r="E6105">
            <v>1000</v>
          </cell>
        </row>
        <row r="6106">
          <cell r="A6106" t="str">
            <v>MT</v>
          </cell>
          <cell r="B6106">
            <v>2008</v>
          </cell>
          <cell r="D6106" t="str">
            <v>SOJA</v>
          </cell>
          <cell r="E6106">
            <v>0</v>
          </cell>
        </row>
        <row r="6107">
          <cell r="A6107" t="str">
            <v>MT</v>
          </cell>
          <cell r="B6107">
            <v>2008</v>
          </cell>
          <cell r="D6107" t="str">
            <v>SOJA</v>
          </cell>
          <cell r="E6107">
            <v>38000</v>
          </cell>
        </row>
        <row r="6108">
          <cell r="A6108" t="str">
            <v>MT</v>
          </cell>
          <cell r="B6108">
            <v>2008</v>
          </cell>
          <cell r="D6108" t="str">
            <v>SOJA</v>
          </cell>
          <cell r="E6108">
            <v>35000</v>
          </cell>
        </row>
        <row r="6109">
          <cell r="A6109" t="str">
            <v>MT</v>
          </cell>
          <cell r="B6109">
            <v>2008</v>
          </cell>
          <cell r="D6109" t="str">
            <v>SOJA</v>
          </cell>
          <cell r="E6109">
            <v>17000</v>
          </cell>
        </row>
        <row r="6110">
          <cell r="A6110" t="str">
            <v>MT</v>
          </cell>
          <cell r="B6110">
            <v>2008</v>
          </cell>
          <cell r="D6110" t="str">
            <v>SOJA</v>
          </cell>
          <cell r="E6110">
            <v>0</v>
          </cell>
        </row>
        <row r="6111">
          <cell r="A6111" t="str">
            <v>MT</v>
          </cell>
          <cell r="B6111">
            <v>2008</v>
          </cell>
          <cell r="D6111" t="str">
            <v>SOJA</v>
          </cell>
          <cell r="E6111">
            <v>5000</v>
          </cell>
        </row>
        <row r="6112">
          <cell r="A6112" t="str">
            <v>MT</v>
          </cell>
          <cell r="B6112">
            <v>2008</v>
          </cell>
          <cell r="D6112" t="str">
            <v>SOJA</v>
          </cell>
          <cell r="E6112">
            <v>25000</v>
          </cell>
        </row>
        <row r="6113">
          <cell r="A6113" t="str">
            <v>MT</v>
          </cell>
          <cell r="B6113">
            <v>2008</v>
          </cell>
          <cell r="D6113" t="str">
            <v>SOJA</v>
          </cell>
          <cell r="E6113">
            <v>20000</v>
          </cell>
        </row>
        <row r="6114">
          <cell r="A6114" t="str">
            <v>MT</v>
          </cell>
          <cell r="B6114">
            <v>2008</v>
          </cell>
          <cell r="D6114" t="str">
            <v>SOJA</v>
          </cell>
          <cell r="E6114">
            <v>30000</v>
          </cell>
        </row>
        <row r="6115">
          <cell r="A6115" t="str">
            <v>MT</v>
          </cell>
          <cell r="B6115">
            <v>2008</v>
          </cell>
          <cell r="D6115" t="str">
            <v>SOJA</v>
          </cell>
          <cell r="E6115">
            <v>20000</v>
          </cell>
        </row>
        <row r="6116">
          <cell r="A6116" t="str">
            <v>MT</v>
          </cell>
          <cell r="B6116">
            <v>2008</v>
          </cell>
          <cell r="D6116" t="str">
            <v>SOJA</v>
          </cell>
          <cell r="E6116">
            <v>0</v>
          </cell>
        </row>
        <row r="6117">
          <cell r="A6117" t="str">
            <v>MT</v>
          </cell>
          <cell r="B6117">
            <v>2008</v>
          </cell>
          <cell r="D6117" t="str">
            <v>SOJA</v>
          </cell>
          <cell r="E6117">
            <v>0</v>
          </cell>
        </row>
        <row r="6118">
          <cell r="A6118" t="str">
            <v>MT</v>
          </cell>
          <cell r="B6118">
            <v>2008</v>
          </cell>
          <cell r="D6118" t="str">
            <v>SOJA</v>
          </cell>
          <cell r="E6118">
            <v>0</v>
          </cell>
        </row>
        <row r="6119">
          <cell r="A6119" t="str">
            <v>MT</v>
          </cell>
          <cell r="B6119">
            <v>2008</v>
          </cell>
          <cell r="D6119" t="str">
            <v>SOJA</v>
          </cell>
          <cell r="E6119">
            <v>0</v>
          </cell>
        </row>
        <row r="6120">
          <cell r="A6120" t="str">
            <v>MT</v>
          </cell>
          <cell r="B6120">
            <v>2008</v>
          </cell>
          <cell r="D6120" t="str">
            <v>SOJA</v>
          </cell>
          <cell r="E6120">
            <v>0</v>
          </cell>
        </row>
        <row r="6121">
          <cell r="A6121" t="str">
            <v>MT</v>
          </cell>
          <cell r="B6121">
            <v>2008</v>
          </cell>
          <cell r="D6121" t="str">
            <v>SOJA</v>
          </cell>
          <cell r="E6121">
            <v>15000</v>
          </cell>
        </row>
        <row r="6122">
          <cell r="A6122" t="str">
            <v>MT</v>
          </cell>
          <cell r="B6122">
            <v>2008</v>
          </cell>
          <cell r="D6122" t="str">
            <v>SOJA</v>
          </cell>
          <cell r="E6122">
            <v>30000</v>
          </cell>
        </row>
        <row r="6123">
          <cell r="A6123" t="str">
            <v>MT</v>
          </cell>
          <cell r="B6123">
            <v>2008</v>
          </cell>
          <cell r="D6123" t="str">
            <v>SOJA</v>
          </cell>
          <cell r="E6123">
            <v>5000</v>
          </cell>
        </row>
        <row r="6124">
          <cell r="A6124" t="str">
            <v>MT</v>
          </cell>
          <cell r="B6124">
            <v>2008</v>
          </cell>
          <cell r="D6124" t="str">
            <v>SOJA</v>
          </cell>
          <cell r="E6124">
            <v>0</v>
          </cell>
        </row>
        <row r="6125">
          <cell r="A6125" t="str">
            <v>MT</v>
          </cell>
          <cell r="B6125">
            <v>2008</v>
          </cell>
          <cell r="D6125" t="str">
            <v>SOJA</v>
          </cell>
          <cell r="E6125">
            <v>0</v>
          </cell>
        </row>
        <row r="6126">
          <cell r="A6126" t="str">
            <v>MT</v>
          </cell>
          <cell r="B6126">
            <v>2008</v>
          </cell>
          <cell r="D6126" t="str">
            <v>SOJA</v>
          </cell>
          <cell r="E6126">
            <v>0</v>
          </cell>
        </row>
        <row r="6127">
          <cell r="A6127" t="str">
            <v>MT</v>
          </cell>
          <cell r="B6127">
            <v>2008</v>
          </cell>
          <cell r="D6127" t="str">
            <v>SOJA</v>
          </cell>
          <cell r="E6127">
            <v>0</v>
          </cell>
        </row>
        <row r="6128">
          <cell r="A6128" t="str">
            <v>MT</v>
          </cell>
          <cell r="B6128">
            <v>2008</v>
          </cell>
          <cell r="D6128" t="str">
            <v>SOJA</v>
          </cell>
          <cell r="E6128">
            <v>0</v>
          </cell>
        </row>
        <row r="6129">
          <cell r="A6129" t="str">
            <v>MT</v>
          </cell>
          <cell r="B6129">
            <v>2008</v>
          </cell>
          <cell r="D6129" t="str">
            <v>SOJA</v>
          </cell>
          <cell r="E6129">
            <v>0</v>
          </cell>
        </row>
        <row r="6130">
          <cell r="A6130" t="str">
            <v>MT</v>
          </cell>
          <cell r="B6130">
            <v>2008</v>
          </cell>
          <cell r="D6130" t="str">
            <v>SOJA</v>
          </cell>
          <cell r="E6130">
            <v>5000</v>
          </cell>
        </row>
        <row r="6131">
          <cell r="A6131" t="str">
            <v>MT</v>
          </cell>
          <cell r="B6131">
            <v>2008</v>
          </cell>
          <cell r="D6131" t="str">
            <v>SOJA</v>
          </cell>
          <cell r="E6131">
            <v>5000</v>
          </cell>
        </row>
        <row r="6132">
          <cell r="A6132" t="str">
            <v>MT</v>
          </cell>
          <cell r="B6132">
            <v>2008</v>
          </cell>
          <cell r="D6132" t="str">
            <v>SOJA</v>
          </cell>
          <cell r="E6132">
            <v>0</v>
          </cell>
        </row>
        <row r="6133">
          <cell r="A6133" t="str">
            <v>MT</v>
          </cell>
          <cell r="B6133">
            <v>2008</v>
          </cell>
          <cell r="D6133" t="str">
            <v>SOJA</v>
          </cell>
          <cell r="E6133">
            <v>40000</v>
          </cell>
        </row>
        <row r="6134">
          <cell r="A6134" t="str">
            <v>MT</v>
          </cell>
          <cell r="B6134">
            <v>2008</v>
          </cell>
          <cell r="D6134" t="str">
            <v>SOJA</v>
          </cell>
          <cell r="E6134">
            <v>60000</v>
          </cell>
        </row>
        <row r="6135">
          <cell r="A6135" t="str">
            <v>MT</v>
          </cell>
          <cell r="B6135">
            <v>2008</v>
          </cell>
          <cell r="D6135" t="str">
            <v>SOJA</v>
          </cell>
          <cell r="E6135">
            <v>30000</v>
          </cell>
        </row>
        <row r="6136">
          <cell r="A6136" t="str">
            <v>MT</v>
          </cell>
          <cell r="B6136">
            <v>2008</v>
          </cell>
          <cell r="D6136" t="str">
            <v>SOJA</v>
          </cell>
          <cell r="E6136">
            <v>0</v>
          </cell>
        </row>
        <row r="6137">
          <cell r="A6137" t="str">
            <v>MT</v>
          </cell>
          <cell r="B6137">
            <v>2008</v>
          </cell>
          <cell r="D6137" t="str">
            <v>SOJA</v>
          </cell>
          <cell r="E6137">
            <v>0</v>
          </cell>
        </row>
        <row r="6138">
          <cell r="A6138" t="str">
            <v>MT</v>
          </cell>
          <cell r="B6138">
            <v>2008</v>
          </cell>
          <cell r="D6138" t="str">
            <v>SOJA</v>
          </cell>
          <cell r="E6138">
            <v>0</v>
          </cell>
        </row>
        <row r="6139">
          <cell r="A6139" t="str">
            <v>MT</v>
          </cell>
          <cell r="B6139">
            <v>2008</v>
          </cell>
          <cell r="D6139" t="str">
            <v>SOJA</v>
          </cell>
          <cell r="E6139">
            <v>0</v>
          </cell>
        </row>
        <row r="6140">
          <cell r="A6140" t="str">
            <v>MT</v>
          </cell>
          <cell r="B6140">
            <v>2008</v>
          </cell>
          <cell r="D6140" t="str">
            <v>SOJA</v>
          </cell>
          <cell r="E6140">
            <v>0</v>
          </cell>
        </row>
        <row r="6141">
          <cell r="A6141" t="str">
            <v>MT</v>
          </cell>
          <cell r="B6141">
            <v>2008</v>
          </cell>
          <cell r="D6141" t="str">
            <v>SOJA</v>
          </cell>
          <cell r="E6141">
            <v>0</v>
          </cell>
        </row>
        <row r="6142">
          <cell r="A6142" t="str">
            <v>MT</v>
          </cell>
          <cell r="B6142">
            <v>2008</v>
          </cell>
          <cell r="D6142" t="str">
            <v>SOJA</v>
          </cell>
          <cell r="E6142">
            <v>0</v>
          </cell>
        </row>
        <row r="6143">
          <cell r="A6143" t="str">
            <v>MT</v>
          </cell>
          <cell r="B6143">
            <v>2008</v>
          </cell>
          <cell r="D6143" t="str">
            <v>SOJA</v>
          </cell>
          <cell r="E6143">
            <v>18000</v>
          </cell>
        </row>
        <row r="6144">
          <cell r="A6144" t="str">
            <v>MT</v>
          </cell>
          <cell r="B6144">
            <v>2008</v>
          </cell>
          <cell r="D6144" t="str">
            <v>SOJA</v>
          </cell>
          <cell r="E6144">
            <v>20000</v>
          </cell>
        </row>
        <row r="6145">
          <cell r="A6145" t="str">
            <v>MT</v>
          </cell>
          <cell r="B6145">
            <v>2008</v>
          </cell>
          <cell r="D6145" t="str">
            <v>SOJA</v>
          </cell>
          <cell r="E6145">
            <v>15000</v>
          </cell>
        </row>
        <row r="6146">
          <cell r="A6146" t="str">
            <v>MT</v>
          </cell>
          <cell r="B6146">
            <v>2008</v>
          </cell>
          <cell r="D6146" t="str">
            <v>SOJA</v>
          </cell>
          <cell r="E6146">
            <v>10000</v>
          </cell>
        </row>
        <row r="6147">
          <cell r="A6147" t="str">
            <v>MT</v>
          </cell>
          <cell r="B6147">
            <v>2008</v>
          </cell>
          <cell r="D6147" t="str">
            <v>SOJA</v>
          </cell>
          <cell r="E6147">
            <v>10000</v>
          </cell>
        </row>
        <row r="6148">
          <cell r="A6148" t="str">
            <v>MT</v>
          </cell>
          <cell r="B6148">
            <v>2008</v>
          </cell>
          <cell r="D6148" t="str">
            <v>SOJA</v>
          </cell>
          <cell r="E6148">
            <v>5000</v>
          </cell>
        </row>
        <row r="6149">
          <cell r="A6149" t="str">
            <v>MT</v>
          </cell>
          <cell r="B6149">
            <v>2008</v>
          </cell>
          <cell r="D6149" t="str">
            <v>SOJA</v>
          </cell>
          <cell r="E6149">
            <v>5000</v>
          </cell>
        </row>
        <row r="6150">
          <cell r="A6150" t="str">
            <v>MT</v>
          </cell>
          <cell r="B6150">
            <v>2008</v>
          </cell>
          <cell r="D6150" t="str">
            <v>SOJA</v>
          </cell>
          <cell r="E6150">
            <v>5000</v>
          </cell>
        </row>
        <row r="6151">
          <cell r="A6151" t="str">
            <v>MT</v>
          </cell>
          <cell r="B6151">
            <v>2008</v>
          </cell>
          <cell r="D6151" t="str">
            <v>SOJA</v>
          </cell>
          <cell r="E6151">
            <v>5000</v>
          </cell>
        </row>
        <row r="6152">
          <cell r="A6152" t="str">
            <v>MT</v>
          </cell>
          <cell r="B6152">
            <v>2008</v>
          </cell>
          <cell r="D6152" t="str">
            <v>SOJA</v>
          </cell>
          <cell r="E6152">
            <v>5000</v>
          </cell>
        </row>
        <row r="6153">
          <cell r="A6153" t="str">
            <v>MT</v>
          </cell>
          <cell r="B6153">
            <v>2008</v>
          </cell>
          <cell r="D6153" t="str">
            <v>SOJA</v>
          </cell>
          <cell r="E6153">
            <v>2000</v>
          </cell>
        </row>
        <row r="6154">
          <cell r="A6154" t="str">
            <v>MT</v>
          </cell>
          <cell r="B6154">
            <v>2008</v>
          </cell>
          <cell r="D6154" t="str">
            <v>SOJA</v>
          </cell>
          <cell r="E6154">
            <v>10000</v>
          </cell>
        </row>
        <row r="6155">
          <cell r="A6155" t="str">
            <v>MT</v>
          </cell>
          <cell r="B6155">
            <v>2008</v>
          </cell>
          <cell r="D6155" t="str">
            <v>SOJA</v>
          </cell>
          <cell r="E6155">
            <v>12000</v>
          </cell>
        </row>
        <row r="6156">
          <cell r="A6156" t="str">
            <v>MT</v>
          </cell>
          <cell r="B6156">
            <v>2008</v>
          </cell>
          <cell r="D6156" t="str">
            <v>SOJA</v>
          </cell>
          <cell r="E6156">
            <v>8000</v>
          </cell>
        </row>
        <row r="6157">
          <cell r="A6157" t="str">
            <v>MT</v>
          </cell>
          <cell r="B6157">
            <v>2008</v>
          </cell>
          <cell r="D6157" t="str">
            <v>SOJA</v>
          </cell>
          <cell r="E6157">
            <v>0</v>
          </cell>
        </row>
        <row r="6158">
          <cell r="A6158" t="str">
            <v>MT</v>
          </cell>
          <cell r="B6158">
            <v>2008</v>
          </cell>
          <cell r="D6158" t="str">
            <v>SOJA</v>
          </cell>
          <cell r="E6158">
            <v>0</v>
          </cell>
        </row>
        <row r="6159">
          <cell r="A6159" t="str">
            <v>MT</v>
          </cell>
          <cell r="B6159">
            <v>2008</v>
          </cell>
          <cell r="D6159" t="str">
            <v>SOJA</v>
          </cell>
          <cell r="E6159">
            <v>0</v>
          </cell>
        </row>
        <row r="6160">
          <cell r="A6160" t="str">
            <v>MT</v>
          </cell>
          <cell r="B6160">
            <v>2008</v>
          </cell>
          <cell r="D6160" t="str">
            <v>SOJA</v>
          </cell>
          <cell r="E6160">
            <v>0</v>
          </cell>
        </row>
        <row r="6161">
          <cell r="A6161" t="str">
            <v>MT</v>
          </cell>
          <cell r="B6161">
            <v>2008</v>
          </cell>
          <cell r="D6161" t="str">
            <v>SOJA</v>
          </cell>
          <cell r="E6161">
            <v>0</v>
          </cell>
        </row>
        <row r="6162">
          <cell r="A6162" t="str">
            <v>MT</v>
          </cell>
          <cell r="B6162">
            <v>2008</v>
          </cell>
          <cell r="D6162" t="str">
            <v>SOJA</v>
          </cell>
          <cell r="E6162">
            <v>0</v>
          </cell>
        </row>
        <row r="6163">
          <cell r="A6163" t="str">
            <v>MT</v>
          </cell>
          <cell r="B6163">
            <v>2008</v>
          </cell>
          <cell r="D6163" t="str">
            <v>SOJA</v>
          </cell>
          <cell r="E6163">
            <v>0</v>
          </cell>
        </row>
        <row r="6164">
          <cell r="A6164" t="str">
            <v>MT</v>
          </cell>
          <cell r="B6164">
            <v>2008</v>
          </cell>
          <cell r="D6164" t="str">
            <v>SOJA</v>
          </cell>
          <cell r="E6164">
            <v>0</v>
          </cell>
        </row>
        <row r="6165">
          <cell r="A6165" t="str">
            <v>MT</v>
          </cell>
          <cell r="B6165">
            <v>2008</v>
          </cell>
          <cell r="D6165" t="str">
            <v>SOJA</v>
          </cell>
          <cell r="E6165">
            <v>0</v>
          </cell>
        </row>
        <row r="6166">
          <cell r="A6166" t="str">
            <v>MT</v>
          </cell>
          <cell r="B6166">
            <v>2008</v>
          </cell>
          <cell r="D6166" t="str">
            <v>SOJA</v>
          </cell>
          <cell r="E6166">
            <v>0</v>
          </cell>
        </row>
        <row r="6167">
          <cell r="A6167" t="str">
            <v>MT</v>
          </cell>
          <cell r="B6167">
            <v>2008</v>
          </cell>
          <cell r="D6167" t="str">
            <v>SOJA</v>
          </cell>
          <cell r="E6167">
            <v>0</v>
          </cell>
        </row>
        <row r="6168">
          <cell r="A6168" t="str">
            <v>MT</v>
          </cell>
          <cell r="B6168">
            <v>2008</v>
          </cell>
          <cell r="D6168" t="str">
            <v>SOJA</v>
          </cell>
          <cell r="E6168">
            <v>0</v>
          </cell>
        </row>
        <row r="6169">
          <cell r="A6169" t="str">
            <v>MT</v>
          </cell>
          <cell r="B6169">
            <v>2008</v>
          </cell>
          <cell r="D6169" t="str">
            <v>SOJA</v>
          </cell>
          <cell r="E6169">
            <v>0</v>
          </cell>
        </row>
        <row r="6170">
          <cell r="A6170" t="str">
            <v>MT</v>
          </cell>
          <cell r="B6170">
            <v>2008</v>
          </cell>
          <cell r="D6170" t="str">
            <v>SOJA</v>
          </cell>
          <cell r="E6170">
            <v>0</v>
          </cell>
        </row>
        <row r="6171">
          <cell r="A6171" t="str">
            <v>MT</v>
          </cell>
          <cell r="B6171">
            <v>2008</v>
          </cell>
          <cell r="D6171" t="str">
            <v>SOJA</v>
          </cell>
          <cell r="E6171">
            <v>0</v>
          </cell>
        </row>
        <row r="6172">
          <cell r="A6172" t="str">
            <v>MT</v>
          </cell>
          <cell r="B6172">
            <v>2008</v>
          </cell>
          <cell r="D6172" t="str">
            <v>SOJA</v>
          </cell>
          <cell r="E6172">
            <v>0</v>
          </cell>
        </row>
        <row r="6173">
          <cell r="A6173" t="str">
            <v>MT</v>
          </cell>
          <cell r="B6173">
            <v>2008</v>
          </cell>
          <cell r="D6173" t="str">
            <v>SOJA</v>
          </cell>
          <cell r="E6173">
            <v>0</v>
          </cell>
        </row>
        <row r="6174">
          <cell r="A6174" t="str">
            <v>MT</v>
          </cell>
          <cell r="B6174">
            <v>2008</v>
          </cell>
          <cell r="D6174" t="str">
            <v>SOJA</v>
          </cell>
          <cell r="E6174">
            <v>0</v>
          </cell>
        </row>
        <row r="6175">
          <cell r="A6175" t="str">
            <v>MT</v>
          </cell>
          <cell r="B6175">
            <v>2008</v>
          </cell>
          <cell r="D6175" t="str">
            <v>SOJA</v>
          </cell>
          <cell r="E6175">
            <v>0</v>
          </cell>
        </row>
        <row r="6176">
          <cell r="A6176" t="str">
            <v>MT</v>
          </cell>
          <cell r="B6176">
            <v>2008</v>
          </cell>
          <cell r="D6176" t="str">
            <v>SOJA</v>
          </cell>
          <cell r="E6176">
            <v>0</v>
          </cell>
        </row>
        <row r="6177">
          <cell r="A6177" t="str">
            <v>MT</v>
          </cell>
          <cell r="B6177">
            <v>2008</v>
          </cell>
          <cell r="D6177" t="str">
            <v>SOJA</v>
          </cell>
          <cell r="E6177">
            <v>0</v>
          </cell>
        </row>
        <row r="6178">
          <cell r="A6178" t="str">
            <v>MT</v>
          </cell>
          <cell r="B6178">
            <v>2008</v>
          </cell>
          <cell r="D6178" t="str">
            <v>SOJA</v>
          </cell>
          <cell r="E6178">
            <v>32000</v>
          </cell>
        </row>
        <row r="6179">
          <cell r="A6179" t="str">
            <v>MT</v>
          </cell>
          <cell r="B6179">
            <v>2008</v>
          </cell>
          <cell r="D6179" t="str">
            <v>SOJA</v>
          </cell>
          <cell r="E6179">
            <v>25000</v>
          </cell>
        </row>
        <row r="6180">
          <cell r="A6180" t="str">
            <v>MT</v>
          </cell>
          <cell r="B6180">
            <v>2008</v>
          </cell>
          <cell r="D6180" t="str">
            <v>SOJA</v>
          </cell>
          <cell r="E6180">
            <v>3000</v>
          </cell>
        </row>
        <row r="6181">
          <cell r="A6181" t="str">
            <v>MT</v>
          </cell>
          <cell r="B6181">
            <v>2008</v>
          </cell>
          <cell r="D6181" t="str">
            <v>SOJA</v>
          </cell>
          <cell r="E6181">
            <v>0</v>
          </cell>
        </row>
        <row r="6182">
          <cell r="A6182" t="str">
            <v>MT</v>
          </cell>
          <cell r="B6182">
            <v>2008</v>
          </cell>
          <cell r="D6182" t="str">
            <v>SOJA</v>
          </cell>
          <cell r="E6182">
            <v>8000</v>
          </cell>
        </row>
        <row r="6183">
          <cell r="A6183" t="str">
            <v>MT</v>
          </cell>
          <cell r="B6183">
            <v>2008</v>
          </cell>
          <cell r="D6183" t="str">
            <v>SOJA</v>
          </cell>
          <cell r="E6183">
            <v>30000</v>
          </cell>
        </row>
        <row r="6184">
          <cell r="A6184" t="str">
            <v>MT</v>
          </cell>
          <cell r="B6184">
            <v>2008</v>
          </cell>
          <cell r="D6184" t="str">
            <v>SOJA</v>
          </cell>
          <cell r="E6184">
            <v>8000</v>
          </cell>
        </row>
        <row r="6185">
          <cell r="A6185" t="str">
            <v>MT</v>
          </cell>
          <cell r="B6185">
            <v>2008</v>
          </cell>
          <cell r="D6185" t="str">
            <v>SOJA</v>
          </cell>
          <cell r="E6185">
            <v>4000</v>
          </cell>
        </row>
        <row r="6186">
          <cell r="A6186" t="str">
            <v>MT</v>
          </cell>
          <cell r="B6186">
            <v>2008</v>
          </cell>
          <cell r="D6186" t="str">
            <v>SOJA</v>
          </cell>
          <cell r="E6186">
            <v>0</v>
          </cell>
        </row>
        <row r="6187">
          <cell r="A6187" t="str">
            <v>MT</v>
          </cell>
          <cell r="B6187">
            <v>2008</v>
          </cell>
          <cell r="D6187" t="str">
            <v>SOJA</v>
          </cell>
          <cell r="E6187">
            <v>0</v>
          </cell>
        </row>
        <row r="6188">
          <cell r="A6188" t="str">
            <v>MT</v>
          </cell>
          <cell r="B6188">
            <v>2008</v>
          </cell>
          <cell r="D6188" t="str">
            <v>SOJA</v>
          </cell>
          <cell r="E6188">
            <v>0</v>
          </cell>
        </row>
        <row r="6189">
          <cell r="A6189" t="str">
            <v>MT</v>
          </cell>
          <cell r="B6189">
            <v>2008</v>
          </cell>
          <cell r="D6189" t="str">
            <v>SOJA</v>
          </cell>
          <cell r="E6189">
            <v>0</v>
          </cell>
        </row>
        <row r="6190">
          <cell r="A6190" t="str">
            <v>MT</v>
          </cell>
          <cell r="B6190">
            <v>2008</v>
          </cell>
          <cell r="D6190" t="str">
            <v>SOJA</v>
          </cell>
          <cell r="E6190">
            <v>8000</v>
          </cell>
        </row>
        <row r="6191">
          <cell r="A6191" t="str">
            <v>MT</v>
          </cell>
          <cell r="B6191">
            <v>2008</v>
          </cell>
          <cell r="D6191" t="str">
            <v>SOJA</v>
          </cell>
          <cell r="E6191">
            <v>45000</v>
          </cell>
        </row>
        <row r="6192">
          <cell r="A6192" t="str">
            <v>MT</v>
          </cell>
          <cell r="B6192">
            <v>2008</v>
          </cell>
          <cell r="D6192" t="str">
            <v>SOJA</v>
          </cell>
          <cell r="E6192">
            <v>50000</v>
          </cell>
        </row>
        <row r="6193">
          <cell r="A6193" t="str">
            <v>MT</v>
          </cell>
          <cell r="B6193">
            <v>2008</v>
          </cell>
          <cell r="D6193" t="str">
            <v>SOJA</v>
          </cell>
          <cell r="E6193">
            <v>27000</v>
          </cell>
        </row>
        <row r="6194">
          <cell r="A6194" t="str">
            <v>MT</v>
          </cell>
          <cell r="B6194">
            <v>2008</v>
          </cell>
          <cell r="D6194" t="str">
            <v>SOJA</v>
          </cell>
          <cell r="E6194">
            <v>0</v>
          </cell>
        </row>
        <row r="6195">
          <cell r="A6195" t="str">
            <v>MT</v>
          </cell>
          <cell r="B6195">
            <v>2008</v>
          </cell>
          <cell r="D6195" t="str">
            <v>SOJA</v>
          </cell>
          <cell r="E6195">
            <v>0</v>
          </cell>
        </row>
        <row r="6196">
          <cell r="A6196" t="str">
            <v>MT</v>
          </cell>
          <cell r="B6196">
            <v>2008</v>
          </cell>
          <cell r="D6196" t="str">
            <v>SOJA</v>
          </cell>
          <cell r="E6196">
            <v>28000</v>
          </cell>
        </row>
        <row r="6197">
          <cell r="A6197" t="str">
            <v>MT</v>
          </cell>
          <cell r="B6197">
            <v>2008</v>
          </cell>
          <cell r="D6197" t="str">
            <v>SOJA</v>
          </cell>
          <cell r="E6197">
            <v>24000</v>
          </cell>
        </row>
        <row r="6198">
          <cell r="A6198" t="str">
            <v>MT</v>
          </cell>
          <cell r="B6198">
            <v>2008</v>
          </cell>
          <cell r="D6198" t="str">
            <v>SOJA</v>
          </cell>
          <cell r="E6198">
            <v>18000</v>
          </cell>
        </row>
        <row r="6199">
          <cell r="A6199" t="str">
            <v>MT</v>
          </cell>
          <cell r="B6199">
            <v>2008</v>
          </cell>
          <cell r="D6199" t="str">
            <v>SOJA</v>
          </cell>
          <cell r="E6199">
            <v>0</v>
          </cell>
        </row>
        <row r="6200">
          <cell r="A6200" t="str">
            <v>MT</v>
          </cell>
          <cell r="B6200">
            <v>2008</v>
          </cell>
          <cell r="D6200" t="str">
            <v>SOJA</v>
          </cell>
          <cell r="E6200">
            <v>0</v>
          </cell>
        </row>
        <row r="6201">
          <cell r="A6201" t="str">
            <v>MT</v>
          </cell>
          <cell r="B6201">
            <v>2008</v>
          </cell>
          <cell r="D6201" t="str">
            <v>SOJA</v>
          </cell>
          <cell r="E6201">
            <v>0</v>
          </cell>
        </row>
        <row r="6202">
          <cell r="A6202" t="str">
            <v>MT</v>
          </cell>
          <cell r="B6202">
            <v>2008</v>
          </cell>
          <cell r="D6202" t="str">
            <v>SOJA</v>
          </cell>
          <cell r="E6202">
            <v>6000</v>
          </cell>
        </row>
        <row r="6203">
          <cell r="A6203" t="str">
            <v>MT</v>
          </cell>
          <cell r="B6203">
            <v>2008</v>
          </cell>
          <cell r="D6203" t="str">
            <v>SOJA</v>
          </cell>
          <cell r="E6203">
            <v>28000</v>
          </cell>
        </row>
        <row r="6204">
          <cell r="A6204" t="str">
            <v>MT</v>
          </cell>
          <cell r="B6204">
            <v>2008</v>
          </cell>
          <cell r="D6204" t="str">
            <v>SOJA</v>
          </cell>
          <cell r="E6204">
            <v>23000</v>
          </cell>
        </row>
        <row r="6205">
          <cell r="A6205" t="str">
            <v>MT</v>
          </cell>
          <cell r="B6205">
            <v>2008</v>
          </cell>
          <cell r="D6205" t="str">
            <v>SOJA</v>
          </cell>
          <cell r="E6205">
            <v>3000</v>
          </cell>
        </row>
        <row r="6206">
          <cell r="A6206" t="str">
            <v>MT</v>
          </cell>
          <cell r="B6206">
            <v>2008</v>
          </cell>
          <cell r="D6206" t="str">
            <v>SOJA</v>
          </cell>
          <cell r="E6206">
            <v>2000</v>
          </cell>
        </row>
        <row r="6207">
          <cell r="A6207" t="str">
            <v>MT</v>
          </cell>
          <cell r="B6207">
            <v>2008</v>
          </cell>
          <cell r="D6207" t="str">
            <v>SOJA</v>
          </cell>
          <cell r="E6207">
            <v>13000</v>
          </cell>
        </row>
        <row r="6208">
          <cell r="A6208" t="str">
            <v>MT</v>
          </cell>
          <cell r="B6208">
            <v>2008</v>
          </cell>
          <cell r="D6208" t="str">
            <v>SOJA</v>
          </cell>
          <cell r="E6208">
            <v>10000</v>
          </cell>
        </row>
        <row r="6209">
          <cell r="A6209" t="str">
            <v>MT</v>
          </cell>
          <cell r="B6209">
            <v>2008</v>
          </cell>
          <cell r="D6209" t="str">
            <v>SOJA</v>
          </cell>
          <cell r="E6209">
            <v>5000</v>
          </cell>
        </row>
        <row r="6210">
          <cell r="A6210" t="str">
            <v>MT</v>
          </cell>
          <cell r="B6210">
            <v>2008</v>
          </cell>
          <cell r="D6210" t="str">
            <v>SOJA</v>
          </cell>
          <cell r="E6210">
            <v>0</v>
          </cell>
        </row>
        <row r="6211">
          <cell r="A6211" t="str">
            <v>MT</v>
          </cell>
          <cell r="B6211">
            <v>2008</v>
          </cell>
          <cell r="D6211" t="str">
            <v>SOJA</v>
          </cell>
          <cell r="E6211">
            <v>0</v>
          </cell>
        </row>
        <row r="6212">
          <cell r="A6212" t="str">
            <v>MT</v>
          </cell>
          <cell r="B6212">
            <v>2008</v>
          </cell>
          <cell r="D6212" t="str">
            <v>SOJA</v>
          </cell>
          <cell r="E6212">
            <v>0</v>
          </cell>
        </row>
        <row r="6213">
          <cell r="A6213" t="str">
            <v>MT</v>
          </cell>
          <cell r="B6213">
            <v>2008</v>
          </cell>
          <cell r="D6213" t="str">
            <v>SOJA</v>
          </cell>
          <cell r="E6213">
            <v>20000</v>
          </cell>
        </row>
        <row r="6214">
          <cell r="A6214" t="str">
            <v>MT</v>
          </cell>
          <cell r="B6214">
            <v>2008</v>
          </cell>
          <cell r="D6214" t="str">
            <v>SOJA</v>
          </cell>
          <cell r="E6214">
            <v>20000</v>
          </cell>
        </row>
        <row r="6215">
          <cell r="A6215" t="str">
            <v>MT</v>
          </cell>
          <cell r="B6215">
            <v>2008</v>
          </cell>
          <cell r="D6215" t="str">
            <v>SOJA</v>
          </cell>
          <cell r="E6215">
            <v>0</v>
          </cell>
        </row>
        <row r="6216">
          <cell r="A6216" t="str">
            <v>MT</v>
          </cell>
          <cell r="B6216">
            <v>2008</v>
          </cell>
          <cell r="D6216" t="str">
            <v>SOJA</v>
          </cell>
          <cell r="E6216">
            <v>0</v>
          </cell>
        </row>
        <row r="6217">
          <cell r="A6217" t="str">
            <v>MT</v>
          </cell>
          <cell r="B6217">
            <v>2008</v>
          </cell>
          <cell r="D6217" t="str">
            <v>SOJA</v>
          </cell>
          <cell r="E6217">
            <v>15000</v>
          </cell>
        </row>
        <row r="6218">
          <cell r="A6218" t="str">
            <v>MT</v>
          </cell>
          <cell r="B6218">
            <v>2008</v>
          </cell>
          <cell r="D6218" t="str">
            <v>SOJA</v>
          </cell>
          <cell r="E6218">
            <v>20000</v>
          </cell>
        </row>
        <row r="6219">
          <cell r="A6219" t="str">
            <v>MT</v>
          </cell>
          <cell r="B6219">
            <v>2008</v>
          </cell>
          <cell r="D6219" t="str">
            <v>SOJA</v>
          </cell>
          <cell r="E6219">
            <v>5000</v>
          </cell>
        </row>
        <row r="6220">
          <cell r="A6220" t="str">
            <v>MT</v>
          </cell>
          <cell r="B6220">
            <v>2008</v>
          </cell>
          <cell r="D6220" t="str">
            <v>SOJA</v>
          </cell>
          <cell r="E6220">
            <v>0</v>
          </cell>
        </row>
        <row r="6221">
          <cell r="A6221" t="str">
            <v>PR</v>
          </cell>
          <cell r="B6221">
            <v>2008</v>
          </cell>
          <cell r="D6221" t="str">
            <v>SOJA</v>
          </cell>
          <cell r="E6221">
            <v>1000</v>
          </cell>
        </row>
        <row r="6222">
          <cell r="A6222" t="str">
            <v>PR</v>
          </cell>
          <cell r="B6222">
            <v>2008</v>
          </cell>
          <cell r="D6222" t="str">
            <v>SOJA</v>
          </cell>
          <cell r="E6222">
            <v>13500</v>
          </cell>
        </row>
        <row r="6223">
          <cell r="A6223" t="str">
            <v>PR</v>
          </cell>
          <cell r="B6223">
            <v>2008</v>
          </cell>
          <cell r="D6223" t="str">
            <v>SOJA</v>
          </cell>
          <cell r="E6223">
            <v>500</v>
          </cell>
        </row>
        <row r="6224">
          <cell r="A6224" t="str">
            <v>PR</v>
          </cell>
          <cell r="B6224">
            <v>2008</v>
          </cell>
          <cell r="D6224" t="str">
            <v>SOJA</v>
          </cell>
          <cell r="E6224">
            <v>0</v>
          </cell>
        </row>
        <row r="6225">
          <cell r="A6225" t="str">
            <v>PR</v>
          </cell>
          <cell r="B6225">
            <v>2008</v>
          </cell>
          <cell r="D6225" t="str">
            <v>SOJA</v>
          </cell>
          <cell r="E6225">
            <v>0</v>
          </cell>
        </row>
        <row r="6226">
          <cell r="A6226" t="str">
            <v>PR</v>
          </cell>
          <cell r="B6226">
            <v>2008</v>
          </cell>
          <cell r="D6226" t="str">
            <v>SOJA</v>
          </cell>
          <cell r="E6226">
            <v>0</v>
          </cell>
        </row>
        <row r="6227">
          <cell r="A6227" t="str">
            <v>PR</v>
          </cell>
          <cell r="B6227">
            <v>2008</v>
          </cell>
          <cell r="D6227" t="str">
            <v>SOJA</v>
          </cell>
          <cell r="E6227">
            <v>0</v>
          </cell>
        </row>
        <row r="6228">
          <cell r="A6228" t="str">
            <v>PR</v>
          </cell>
          <cell r="B6228">
            <v>2008</v>
          </cell>
          <cell r="D6228" t="str">
            <v>SOJA</v>
          </cell>
          <cell r="E6228">
            <v>0</v>
          </cell>
        </row>
        <row r="6229">
          <cell r="A6229" t="str">
            <v>PR</v>
          </cell>
          <cell r="B6229">
            <v>2008</v>
          </cell>
          <cell r="D6229" t="str">
            <v>SOJA</v>
          </cell>
          <cell r="E6229">
            <v>1000</v>
          </cell>
        </row>
        <row r="6230">
          <cell r="A6230" t="str">
            <v>PR</v>
          </cell>
          <cell r="B6230">
            <v>2008</v>
          </cell>
          <cell r="D6230" t="str">
            <v>SOJA</v>
          </cell>
          <cell r="E6230">
            <v>18000</v>
          </cell>
        </row>
        <row r="6231">
          <cell r="A6231" t="str">
            <v>PR</v>
          </cell>
          <cell r="B6231">
            <v>2008</v>
          </cell>
          <cell r="D6231" t="str">
            <v>SOJA</v>
          </cell>
          <cell r="E6231">
            <v>1000</v>
          </cell>
        </row>
        <row r="6232">
          <cell r="A6232" t="str">
            <v>PR</v>
          </cell>
          <cell r="B6232">
            <v>2008</v>
          </cell>
          <cell r="D6232" t="str">
            <v>SOJA</v>
          </cell>
          <cell r="E6232">
            <v>0</v>
          </cell>
        </row>
        <row r="6233">
          <cell r="A6233" t="str">
            <v>PR</v>
          </cell>
          <cell r="B6233">
            <v>2008</v>
          </cell>
          <cell r="D6233" t="str">
            <v>SOJA</v>
          </cell>
          <cell r="E6233">
            <v>0</v>
          </cell>
        </row>
        <row r="6234">
          <cell r="A6234" t="str">
            <v>PR</v>
          </cell>
          <cell r="B6234">
            <v>2008</v>
          </cell>
          <cell r="D6234" t="str">
            <v>SOJA</v>
          </cell>
          <cell r="E6234">
            <v>0</v>
          </cell>
        </row>
        <row r="6235">
          <cell r="A6235" t="str">
            <v>PR</v>
          </cell>
          <cell r="B6235">
            <v>2008</v>
          </cell>
          <cell r="D6235" t="str">
            <v>SOJA</v>
          </cell>
          <cell r="E6235">
            <v>0</v>
          </cell>
        </row>
        <row r="6236">
          <cell r="A6236" t="str">
            <v>PR</v>
          </cell>
          <cell r="B6236">
            <v>2008</v>
          </cell>
          <cell r="D6236" t="str">
            <v>SOJA</v>
          </cell>
          <cell r="E6236">
            <v>0</v>
          </cell>
        </row>
        <row r="6237">
          <cell r="A6237" t="str">
            <v>PR</v>
          </cell>
          <cell r="B6237">
            <v>2008</v>
          </cell>
          <cell r="D6237" t="str">
            <v>SOJA</v>
          </cell>
          <cell r="E6237">
            <v>0</v>
          </cell>
        </row>
        <row r="6238">
          <cell r="A6238" t="str">
            <v>PR</v>
          </cell>
          <cell r="B6238">
            <v>2008</v>
          </cell>
          <cell r="D6238" t="str">
            <v>SOJA</v>
          </cell>
          <cell r="E6238">
            <v>1000</v>
          </cell>
        </row>
        <row r="6239">
          <cell r="A6239" t="str">
            <v>PR</v>
          </cell>
          <cell r="B6239">
            <v>2008</v>
          </cell>
          <cell r="D6239" t="str">
            <v>SOJA</v>
          </cell>
          <cell r="E6239">
            <v>1000</v>
          </cell>
        </row>
        <row r="6240">
          <cell r="A6240" t="str">
            <v>PR</v>
          </cell>
          <cell r="B6240">
            <v>2008</v>
          </cell>
          <cell r="D6240" t="str">
            <v>SOJA</v>
          </cell>
          <cell r="E6240">
            <v>40000</v>
          </cell>
        </row>
        <row r="6241">
          <cell r="A6241" t="str">
            <v>PR</v>
          </cell>
          <cell r="B6241">
            <v>2008</v>
          </cell>
          <cell r="D6241" t="str">
            <v>SOJA</v>
          </cell>
          <cell r="E6241">
            <v>8000</v>
          </cell>
        </row>
        <row r="6242">
          <cell r="A6242" t="str">
            <v>PR</v>
          </cell>
          <cell r="B6242">
            <v>2008</v>
          </cell>
          <cell r="D6242" t="str">
            <v>SOJA</v>
          </cell>
          <cell r="E6242">
            <v>5000</v>
          </cell>
        </row>
        <row r="6243">
          <cell r="A6243" t="str">
            <v>PR</v>
          </cell>
          <cell r="B6243">
            <v>2008</v>
          </cell>
          <cell r="D6243" t="str">
            <v>SOJA</v>
          </cell>
          <cell r="E6243">
            <v>5000</v>
          </cell>
        </row>
        <row r="6244">
          <cell r="A6244" t="str">
            <v>PR</v>
          </cell>
          <cell r="B6244">
            <v>2008</v>
          </cell>
          <cell r="D6244" t="str">
            <v>SOJA</v>
          </cell>
          <cell r="E6244">
            <v>0</v>
          </cell>
        </row>
        <row r="6245">
          <cell r="A6245" t="str">
            <v>PR</v>
          </cell>
          <cell r="B6245">
            <v>2008</v>
          </cell>
          <cell r="D6245" t="str">
            <v>SOJA</v>
          </cell>
          <cell r="E6245">
            <v>0</v>
          </cell>
        </row>
        <row r="6246">
          <cell r="A6246" t="str">
            <v>PR</v>
          </cell>
          <cell r="B6246">
            <v>2008</v>
          </cell>
          <cell r="D6246" t="str">
            <v>SOJA</v>
          </cell>
          <cell r="E6246">
            <v>0</v>
          </cell>
        </row>
        <row r="6247">
          <cell r="A6247" t="str">
            <v>PR</v>
          </cell>
          <cell r="B6247">
            <v>2008</v>
          </cell>
          <cell r="D6247" t="str">
            <v>SOJA</v>
          </cell>
          <cell r="E6247">
            <v>0</v>
          </cell>
        </row>
        <row r="6248">
          <cell r="A6248" t="str">
            <v>PR</v>
          </cell>
          <cell r="B6248">
            <v>2008</v>
          </cell>
          <cell r="D6248" t="str">
            <v>SOJA</v>
          </cell>
          <cell r="E6248">
            <v>0</v>
          </cell>
        </row>
        <row r="6249">
          <cell r="A6249" t="str">
            <v>PR</v>
          </cell>
          <cell r="B6249">
            <v>2008</v>
          </cell>
          <cell r="D6249" t="str">
            <v>SOJA</v>
          </cell>
          <cell r="E6249">
            <v>0</v>
          </cell>
        </row>
        <row r="6250">
          <cell r="A6250" t="str">
            <v>SP</v>
          </cell>
          <cell r="B6250">
            <v>2008</v>
          </cell>
          <cell r="D6250" t="str">
            <v>SOJA</v>
          </cell>
          <cell r="E6250">
            <v>1000</v>
          </cell>
        </row>
        <row r="6251">
          <cell r="A6251" t="str">
            <v>SP</v>
          </cell>
          <cell r="B6251">
            <v>2008</v>
          </cell>
          <cell r="D6251" t="str">
            <v>SOJA</v>
          </cell>
          <cell r="E6251">
            <v>8000</v>
          </cell>
        </row>
        <row r="6252">
          <cell r="A6252" t="str">
            <v>SP</v>
          </cell>
          <cell r="B6252">
            <v>2008</v>
          </cell>
          <cell r="D6252" t="str">
            <v>SOJA</v>
          </cell>
          <cell r="E6252">
            <v>1000</v>
          </cell>
        </row>
        <row r="6253">
          <cell r="A6253" t="str">
            <v>SP</v>
          </cell>
          <cell r="B6253">
            <v>2008</v>
          </cell>
          <cell r="D6253" t="str">
            <v>SOJA</v>
          </cell>
          <cell r="E6253">
            <v>0</v>
          </cell>
        </row>
        <row r="6254">
          <cell r="A6254" t="str">
            <v>SP</v>
          </cell>
          <cell r="B6254">
            <v>2008</v>
          </cell>
          <cell r="D6254" t="str">
            <v>SOJA</v>
          </cell>
          <cell r="E6254">
            <v>0</v>
          </cell>
        </row>
        <row r="6255">
          <cell r="A6255" t="str">
            <v>SP</v>
          </cell>
          <cell r="B6255">
            <v>2008</v>
          </cell>
          <cell r="D6255" t="str">
            <v>SOJA</v>
          </cell>
          <cell r="E6255">
            <v>0</v>
          </cell>
        </row>
        <row r="6256">
          <cell r="A6256" t="str">
            <v>SP</v>
          </cell>
          <cell r="B6256">
            <v>2008</v>
          </cell>
          <cell r="D6256" t="str">
            <v>SOJA</v>
          </cell>
          <cell r="E6256">
            <v>0</v>
          </cell>
        </row>
        <row r="6257">
          <cell r="A6257" t="str">
            <v>SP</v>
          </cell>
          <cell r="B6257">
            <v>2008</v>
          </cell>
          <cell r="D6257" t="str">
            <v>SOJA</v>
          </cell>
          <cell r="E6257">
            <v>0</v>
          </cell>
        </row>
        <row r="6258">
          <cell r="A6258" t="str">
            <v>SP</v>
          </cell>
          <cell r="B6258">
            <v>2008</v>
          </cell>
          <cell r="D6258" t="str">
            <v>SOJA</v>
          </cell>
          <cell r="E6258">
            <v>0</v>
          </cell>
        </row>
        <row r="6259">
          <cell r="A6259" t="str">
            <v>PR</v>
          </cell>
          <cell r="B6259">
            <v>2008</v>
          </cell>
          <cell r="D6259" t="str">
            <v>SOJA</v>
          </cell>
          <cell r="E6259">
            <v>5000</v>
          </cell>
        </row>
        <row r="6260">
          <cell r="A6260" t="str">
            <v>PR</v>
          </cell>
          <cell r="B6260">
            <v>2008</v>
          </cell>
          <cell r="D6260" t="str">
            <v>SOJA</v>
          </cell>
          <cell r="E6260">
            <v>3000</v>
          </cell>
        </row>
        <row r="6261">
          <cell r="A6261" t="str">
            <v>PR</v>
          </cell>
          <cell r="B6261">
            <v>2008</v>
          </cell>
          <cell r="D6261" t="str">
            <v>SOJA</v>
          </cell>
          <cell r="E6261">
            <v>3000</v>
          </cell>
        </row>
        <row r="6262">
          <cell r="A6262" t="str">
            <v>PR</v>
          </cell>
          <cell r="B6262">
            <v>2008</v>
          </cell>
          <cell r="D6262" t="str">
            <v>SOJA</v>
          </cell>
          <cell r="E6262">
            <v>2000</v>
          </cell>
        </row>
        <row r="6263">
          <cell r="A6263" t="str">
            <v>PR</v>
          </cell>
          <cell r="B6263">
            <v>2008</v>
          </cell>
          <cell r="D6263" t="str">
            <v>SOJA</v>
          </cell>
          <cell r="E6263">
            <v>2000</v>
          </cell>
        </row>
        <row r="6264">
          <cell r="A6264" t="str">
            <v>PR</v>
          </cell>
          <cell r="B6264">
            <v>2008</v>
          </cell>
          <cell r="D6264" t="str">
            <v>SOJA</v>
          </cell>
          <cell r="E6264">
            <v>2000</v>
          </cell>
        </row>
        <row r="6265">
          <cell r="A6265" t="str">
            <v>PR</v>
          </cell>
          <cell r="B6265">
            <v>2008</v>
          </cell>
          <cell r="D6265" t="str">
            <v>SOJA</v>
          </cell>
          <cell r="E6265">
            <v>2000</v>
          </cell>
        </row>
        <row r="6266">
          <cell r="A6266" t="str">
            <v>PR</v>
          </cell>
          <cell r="B6266">
            <v>2008</v>
          </cell>
          <cell r="D6266" t="str">
            <v>SOJA</v>
          </cell>
          <cell r="E6266">
            <v>1000</v>
          </cell>
        </row>
        <row r="6267">
          <cell r="A6267" t="str">
            <v>PR</v>
          </cell>
          <cell r="B6267">
            <v>2008</v>
          </cell>
          <cell r="D6267" t="str">
            <v>SOJA</v>
          </cell>
          <cell r="E6267">
            <v>1000</v>
          </cell>
        </row>
        <row r="6268">
          <cell r="A6268" t="str">
            <v>PR</v>
          </cell>
          <cell r="B6268">
            <v>2008</v>
          </cell>
          <cell r="D6268" t="str">
            <v>SOJA</v>
          </cell>
          <cell r="E6268">
            <v>28000</v>
          </cell>
        </row>
        <row r="6269">
          <cell r="A6269" t="str">
            <v>PR</v>
          </cell>
          <cell r="B6269">
            <v>2008</v>
          </cell>
          <cell r="D6269" t="str">
            <v>SOJA</v>
          </cell>
          <cell r="E6269">
            <v>1000</v>
          </cell>
        </row>
        <row r="6270">
          <cell r="A6270" t="str">
            <v>PR</v>
          </cell>
          <cell r="B6270">
            <v>2008</v>
          </cell>
          <cell r="D6270" t="str">
            <v>SOJA</v>
          </cell>
          <cell r="E6270">
            <v>0</v>
          </cell>
        </row>
        <row r="6271">
          <cell r="A6271" t="str">
            <v>PR</v>
          </cell>
          <cell r="B6271">
            <v>2008</v>
          </cell>
          <cell r="D6271" t="str">
            <v>SOJA</v>
          </cell>
          <cell r="E6271">
            <v>0</v>
          </cell>
        </row>
        <row r="6272">
          <cell r="A6272" t="str">
            <v>PR</v>
          </cell>
          <cell r="B6272">
            <v>2008</v>
          </cell>
          <cell r="D6272" t="str">
            <v>SOJA</v>
          </cell>
          <cell r="E6272">
            <v>0</v>
          </cell>
        </row>
        <row r="6273">
          <cell r="A6273" t="str">
            <v>PR</v>
          </cell>
          <cell r="B6273">
            <v>2008</v>
          </cell>
          <cell r="D6273" t="str">
            <v>SOJA</v>
          </cell>
          <cell r="E6273">
            <v>0</v>
          </cell>
        </row>
        <row r="6274">
          <cell r="A6274" t="str">
            <v>PR</v>
          </cell>
          <cell r="B6274">
            <v>2008</v>
          </cell>
          <cell r="D6274" t="str">
            <v>SOJA</v>
          </cell>
          <cell r="E6274">
            <v>1000</v>
          </cell>
        </row>
        <row r="6275">
          <cell r="A6275" t="str">
            <v>PR</v>
          </cell>
          <cell r="B6275">
            <v>2008</v>
          </cell>
          <cell r="D6275" t="str">
            <v>SOJA</v>
          </cell>
          <cell r="E6275">
            <v>28000</v>
          </cell>
        </row>
        <row r="6276">
          <cell r="A6276" t="str">
            <v>PR</v>
          </cell>
          <cell r="B6276">
            <v>2008</v>
          </cell>
          <cell r="D6276" t="str">
            <v>SOJA</v>
          </cell>
          <cell r="E6276">
            <v>1000</v>
          </cell>
        </row>
        <row r="6277">
          <cell r="A6277" t="str">
            <v>PR</v>
          </cell>
          <cell r="B6277">
            <v>2008</v>
          </cell>
          <cell r="D6277" t="str">
            <v>SOJA</v>
          </cell>
          <cell r="E6277">
            <v>0</v>
          </cell>
        </row>
        <row r="6278">
          <cell r="A6278" t="str">
            <v>PR</v>
          </cell>
          <cell r="B6278">
            <v>2008</v>
          </cell>
          <cell r="D6278" t="str">
            <v>SOJA</v>
          </cell>
          <cell r="E6278">
            <v>0</v>
          </cell>
        </row>
        <row r="6279">
          <cell r="A6279" t="str">
            <v>PR</v>
          </cell>
          <cell r="B6279">
            <v>2008</v>
          </cell>
          <cell r="D6279" t="str">
            <v>SOJA</v>
          </cell>
          <cell r="E6279">
            <v>0</v>
          </cell>
        </row>
        <row r="6280">
          <cell r="A6280" t="str">
            <v>PR</v>
          </cell>
          <cell r="B6280">
            <v>2008</v>
          </cell>
          <cell r="D6280" t="str">
            <v>SOJA</v>
          </cell>
          <cell r="E6280">
            <v>0</v>
          </cell>
        </row>
        <row r="6281">
          <cell r="A6281" t="str">
            <v>PR</v>
          </cell>
          <cell r="B6281">
            <v>2008</v>
          </cell>
          <cell r="D6281" t="str">
            <v>SOJA</v>
          </cell>
          <cell r="E6281">
            <v>0</v>
          </cell>
        </row>
        <row r="6282">
          <cell r="A6282" t="str">
            <v>PR</v>
          </cell>
          <cell r="B6282">
            <v>2008</v>
          </cell>
          <cell r="D6282" t="str">
            <v>SOJA</v>
          </cell>
          <cell r="E6282">
            <v>0</v>
          </cell>
        </row>
        <row r="6283">
          <cell r="A6283" t="str">
            <v>RS</v>
          </cell>
          <cell r="B6283">
            <v>2008</v>
          </cell>
          <cell r="D6283" t="str">
            <v>SOJA</v>
          </cell>
          <cell r="E6283">
            <v>2000</v>
          </cell>
        </row>
        <row r="6284">
          <cell r="A6284" t="str">
            <v>RS</v>
          </cell>
          <cell r="B6284">
            <v>2008</v>
          </cell>
          <cell r="D6284" t="str">
            <v>SOJA</v>
          </cell>
          <cell r="E6284">
            <v>27000</v>
          </cell>
        </row>
        <row r="6285">
          <cell r="A6285" t="str">
            <v>RS</v>
          </cell>
          <cell r="B6285">
            <v>2008</v>
          </cell>
          <cell r="D6285" t="str">
            <v>SOJA</v>
          </cell>
          <cell r="E6285">
            <v>12500</v>
          </cell>
        </row>
        <row r="6286">
          <cell r="A6286" t="str">
            <v>RS</v>
          </cell>
          <cell r="B6286">
            <v>2008</v>
          </cell>
          <cell r="D6286" t="str">
            <v>SOJA</v>
          </cell>
          <cell r="E6286">
            <v>3500</v>
          </cell>
        </row>
        <row r="6287">
          <cell r="A6287" t="str">
            <v>RS</v>
          </cell>
          <cell r="B6287">
            <v>2008</v>
          </cell>
          <cell r="D6287" t="str">
            <v>SOJA</v>
          </cell>
          <cell r="E6287">
            <v>0</v>
          </cell>
        </row>
        <row r="6288">
          <cell r="A6288" t="str">
            <v>RS</v>
          </cell>
          <cell r="B6288">
            <v>2008</v>
          </cell>
          <cell r="D6288" t="str">
            <v>SOJA</v>
          </cell>
          <cell r="E6288">
            <v>0</v>
          </cell>
        </row>
        <row r="6289">
          <cell r="A6289" t="str">
            <v>RS</v>
          </cell>
          <cell r="B6289">
            <v>2008</v>
          </cell>
          <cell r="D6289" t="str">
            <v>SOJA</v>
          </cell>
          <cell r="E6289">
            <v>0</v>
          </cell>
        </row>
        <row r="6290">
          <cell r="A6290" t="str">
            <v>RS</v>
          </cell>
          <cell r="B6290">
            <v>2008</v>
          </cell>
          <cell r="D6290" t="str">
            <v>SOJA</v>
          </cell>
          <cell r="E6290">
            <v>0</v>
          </cell>
        </row>
        <row r="6291">
          <cell r="A6291" t="str">
            <v>RS</v>
          </cell>
          <cell r="B6291">
            <v>2008</v>
          </cell>
          <cell r="D6291" t="str">
            <v>SOJA</v>
          </cell>
          <cell r="E6291">
            <v>0</v>
          </cell>
        </row>
        <row r="6292">
          <cell r="A6292" t="str">
            <v>RS</v>
          </cell>
          <cell r="B6292">
            <v>2008</v>
          </cell>
          <cell r="D6292" t="str">
            <v>SOJA</v>
          </cell>
          <cell r="E6292">
            <v>0</v>
          </cell>
        </row>
        <row r="6293">
          <cell r="A6293" t="str">
            <v>RS</v>
          </cell>
          <cell r="B6293">
            <v>2008</v>
          </cell>
          <cell r="D6293" t="str">
            <v>SOJA</v>
          </cell>
          <cell r="E6293">
            <v>6500</v>
          </cell>
        </row>
        <row r="6294">
          <cell r="A6294" t="str">
            <v>RS</v>
          </cell>
          <cell r="B6294">
            <v>2008</v>
          </cell>
          <cell r="D6294" t="str">
            <v>SOJA</v>
          </cell>
          <cell r="E6294">
            <v>39000</v>
          </cell>
        </row>
        <row r="6295">
          <cell r="A6295" t="str">
            <v>RS</v>
          </cell>
          <cell r="B6295">
            <v>2008</v>
          </cell>
          <cell r="D6295" t="str">
            <v>SOJA</v>
          </cell>
          <cell r="E6295">
            <v>18500</v>
          </cell>
        </row>
        <row r="6296">
          <cell r="A6296" t="str">
            <v>RS</v>
          </cell>
          <cell r="B6296">
            <v>2008</v>
          </cell>
          <cell r="D6296" t="str">
            <v>SOJA</v>
          </cell>
          <cell r="E6296">
            <v>7000</v>
          </cell>
        </row>
        <row r="6297">
          <cell r="A6297" t="str">
            <v>RS</v>
          </cell>
          <cell r="B6297">
            <v>2008</v>
          </cell>
          <cell r="D6297" t="str">
            <v>SOJA</v>
          </cell>
          <cell r="E6297">
            <v>5500</v>
          </cell>
        </row>
        <row r="6298">
          <cell r="A6298" t="str">
            <v>RS</v>
          </cell>
          <cell r="B6298">
            <v>2008</v>
          </cell>
          <cell r="D6298" t="str">
            <v>SOJA</v>
          </cell>
          <cell r="E6298">
            <v>3500</v>
          </cell>
        </row>
        <row r="6299">
          <cell r="A6299" t="str">
            <v>RS</v>
          </cell>
          <cell r="B6299">
            <v>2008</v>
          </cell>
          <cell r="D6299" t="str">
            <v>SOJA</v>
          </cell>
          <cell r="E6299">
            <v>0</v>
          </cell>
        </row>
        <row r="6300">
          <cell r="A6300" t="str">
            <v>RS</v>
          </cell>
          <cell r="B6300">
            <v>2008</v>
          </cell>
          <cell r="D6300" t="str">
            <v>SOJA</v>
          </cell>
          <cell r="E6300">
            <v>0</v>
          </cell>
        </row>
        <row r="6301">
          <cell r="A6301" t="str">
            <v>RS</v>
          </cell>
          <cell r="B6301">
            <v>2008</v>
          </cell>
          <cell r="D6301" t="str">
            <v>SOJA</v>
          </cell>
          <cell r="E6301">
            <v>0</v>
          </cell>
        </row>
        <row r="6302">
          <cell r="A6302" t="str">
            <v>RS</v>
          </cell>
          <cell r="B6302">
            <v>2008</v>
          </cell>
          <cell r="D6302" t="str">
            <v>SOJA</v>
          </cell>
          <cell r="E6302">
            <v>0</v>
          </cell>
        </row>
        <row r="6303">
          <cell r="A6303" t="str">
            <v>RS</v>
          </cell>
          <cell r="B6303">
            <v>2008</v>
          </cell>
          <cell r="D6303" t="str">
            <v>SOJA</v>
          </cell>
          <cell r="E6303">
            <v>5000</v>
          </cell>
        </row>
        <row r="6304">
          <cell r="A6304" t="str">
            <v>RS</v>
          </cell>
          <cell r="B6304">
            <v>2008</v>
          </cell>
          <cell r="D6304" t="str">
            <v>SOJA</v>
          </cell>
          <cell r="E6304">
            <v>20000</v>
          </cell>
        </row>
        <row r="6305">
          <cell r="A6305" t="str">
            <v>RS</v>
          </cell>
          <cell r="B6305">
            <v>2008</v>
          </cell>
          <cell r="D6305" t="str">
            <v>SOJA</v>
          </cell>
          <cell r="E6305">
            <v>15000</v>
          </cell>
        </row>
        <row r="6306">
          <cell r="A6306" t="str">
            <v>RS</v>
          </cell>
          <cell r="B6306">
            <v>2008</v>
          </cell>
          <cell r="D6306" t="str">
            <v>SOJA</v>
          </cell>
          <cell r="E6306">
            <v>0</v>
          </cell>
        </row>
        <row r="6307">
          <cell r="A6307" t="str">
            <v>RS</v>
          </cell>
          <cell r="B6307">
            <v>2008</v>
          </cell>
          <cell r="D6307" t="str">
            <v>SOJA</v>
          </cell>
          <cell r="E6307">
            <v>0</v>
          </cell>
        </row>
        <row r="6308">
          <cell r="A6308" t="str">
            <v>RS</v>
          </cell>
          <cell r="B6308">
            <v>2008</v>
          </cell>
          <cell r="D6308" t="str">
            <v>SOJA</v>
          </cell>
          <cell r="E6308">
            <v>0</v>
          </cell>
        </row>
        <row r="6309">
          <cell r="A6309" t="str">
            <v>RS</v>
          </cell>
          <cell r="B6309">
            <v>2008</v>
          </cell>
          <cell r="D6309" t="str">
            <v>SOJA</v>
          </cell>
          <cell r="E6309">
            <v>0</v>
          </cell>
        </row>
        <row r="6310">
          <cell r="A6310" t="str">
            <v>RS</v>
          </cell>
          <cell r="B6310">
            <v>2008</v>
          </cell>
          <cell r="D6310" t="str">
            <v>SOJA</v>
          </cell>
          <cell r="E6310">
            <v>0</v>
          </cell>
        </row>
        <row r="6311">
          <cell r="A6311" t="str">
            <v>RS</v>
          </cell>
          <cell r="B6311">
            <v>2008</v>
          </cell>
          <cell r="D6311" t="str">
            <v>SOJA</v>
          </cell>
          <cell r="E6311">
            <v>0</v>
          </cell>
        </row>
        <row r="6312">
          <cell r="A6312" t="str">
            <v>RS</v>
          </cell>
          <cell r="B6312">
            <v>2008</v>
          </cell>
          <cell r="D6312" t="str">
            <v>SOJA</v>
          </cell>
          <cell r="E6312">
            <v>0</v>
          </cell>
        </row>
        <row r="6313">
          <cell r="A6313" t="str">
            <v>RS</v>
          </cell>
          <cell r="B6313">
            <v>2008</v>
          </cell>
          <cell r="D6313" t="str">
            <v>SOJA</v>
          </cell>
          <cell r="E6313">
            <v>5000</v>
          </cell>
        </row>
        <row r="6314">
          <cell r="A6314" t="str">
            <v>RS</v>
          </cell>
          <cell r="B6314">
            <v>2008</v>
          </cell>
          <cell r="D6314" t="str">
            <v>SOJA</v>
          </cell>
          <cell r="E6314">
            <v>20000</v>
          </cell>
        </row>
        <row r="6315">
          <cell r="A6315" t="str">
            <v>RS</v>
          </cell>
          <cell r="B6315">
            <v>2008</v>
          </cell>
          <cell r="D6315" t="str">
            <v>SOJA</v>
          </cell>
          <cell r="E6315">
            <v>15000</v>
          </cell>
        </row>
        <row r="6316">
          <cell r="A6316" t="str">
            <v>RS</v>
          </cell>
          <cell r="B6316">
            <v>2008</v>
          </cell>
          <cell r="D6316" t="str">
            <v>SOJA</v>
          </cell>
          <cell r="E6316">
            <v>15000</v>
          </cell>
        </row>
        <row r="6317">
          <cell r="A6317" t="str">
            <v>RS</v>
          </cell>
          <cell r="B6317">
            <v>2008</v>
          </cell>
          <cell r="D6317" t="str">
            <v>SOJA</v>
          </cell>
          <cell r="E6317">
            <v>5000</v>
          </cell>
        </row>
        <row r="6318">
          <cell r="A6318" t="str">
            <v>RS</v>
          </cell>
          <cell r="B6318">
            <v>2008</v>
          </cell>
          <cell r="D6318" t="str">
            <v>SOJA</v>
          </cell>
          <cell r="E6318">
            <v>0</v>
          </cell>
        </row>
        <row r="6319">
          <cell r="A6319" t="str">
            <v>RS</v>
          </cell>
          <cell r="B6319">
            <v>2008</v>
          </cell>
          <cell r="D6319" t="str">
            <v>SOJA</v>
          </cell>
          <cell r="E6319">
            <v>0</v>
          </cell>
        </row>
        <row r="6320">
          <cell r="A6320" t="str">
            <v>RS</v>
          </cell>
          <cell r="B6320">
            <v>2008</v>
          </cell>
          <cell r="D6320" t="str">
            <v>SOJA</v>
          </cell>
          <cell r="E6320">
            <v>0</v>
          </cell>
        </row>
        <row r="6321">
          <cell r="A6321" t="str">
            <v>RS</v>
          </cell>
          <cell r="B6321">
            <v>2008</v>
          </cell>
          <cell r="D6321" t="str">
            <v>SOJA</v>
          </cell>
          <cell r="E6321">
            <v>0</v>
          </cell>
        </row>
        <row r="6322">
          <cell r="A6322" t="str">
            <v>RS</v>
          </cell>
          <cell r="B6322">
            <v>2008</v>
          </cell>
          <cell r="D6322" t="str">
            <v>SOJA</v>
          </cell>
          <cell r="E6322">
            <v>0</v>
          </cell>
        </row>
        <row r="6323">
          <cell r="A6323" t="str">
            <v>RS</v>
          </cell>
          <cell r="B6323">
            <v>2008</v>
          </cell>
          <cell r="D6323" t="str">
            <v>SOJA</v>
          </cell>
          <cell r="E6323">
            <v>10000</v>
          </cell>
        </row>
        <row r="6324">
          <cell r="A6324" t="str">
            <v>RS</v>
          </cell>
          <cell r="B6324">
            <v>2008</v>
          </cell>
          <cell r="D6324" t="str">
            <v>SOJA</v>
          </cell>
          <cell r="E6324">
            <v>35000</v>
          </cell>
        </row>
        <row r="6325">
          <cell r="A6325" t="str">
            <v>RS</v>
          </cell>
          <cell r="B6325">
            <v>2008</v>
          </cell>
          <cell r="D6325" t="str">
            <v>SOJA</v>
          </cell>
          <cell r="E6325">
            <v>20000</v>
          </cell>
        </row>
        <row r="6326">
          <cell r="A6326" t="str">
            <v>RS</v>
          </cell>
          <cell r="B6326">
            <v>2008</v>
          </cell>
          <cell r="D6326" t="str">
            <v>SOJA</v>
          </cell>
          <cell r="E6326">
            <v>20000</v>
          </cell>
        </row>
        <row r="6327">
          <cell r="A6327" t="str">
            <v>RS</v>
          </cell>
          <cell r="B6327">
            <v>2008</v>
          </cell>
          <cell r="D6327" t="str">
            <v>SOJA</v>
          </cell>
          <cell r="E6327">
            <v>20000</v>
          </cell>
        </row>
        <row r="6328">
          <cell r="A6328" t="str">
            <v>RS</v>
          </cell>
          <cell r="B6328">
            <v>2008</v>
          </cell>
          <cell r="D6328" t="str">
            <v>SOJA</v>
          </cell>
          <cell r="E6328">
            <v>5000</v>
          </cell>
        </row>
        <row r="6329">
          <cell r="A6329" t="str">
            <v>RS</v>
          </cell>
          <cell r="B6329">
            <v>2008</v>
          </cell>
          <cell r="D6329" t="str">
            <v>SOJA</v>
          </cell>
          <cell r="E6329">
            <v>5000</v>
          </cell>
        </row>
        <row r="6330">
          <cell r="A6330" t="str">
            <v>RS</v>
          </cell>
          <cell r="B6330">
            <v>2008</v>
          </cell>
          <cell r="D6330" t="str">
            <v>SOJA</v>
          </cell>
          <cell r="E6330">
            <v>3000</v>
          </cell>
        </row>
        <row r="6331">
          <cell r="A6331" t="str">
            <v>RS</v>
          </cell>
          <cell r="B6331">
            <v>2008</v>
          </cell>
          <cell r="D6331" t="str">
            <v>SOJA</v>
          </cell>
          <cell r="E6331">
            <v>2000</v>
          </cell>
        </row>
        <row r="6332">
          <cell r="A6332" t="str">
            <v>RS</v>
          </cell>
          <cell r="B6332">
            <v>2008</v>
          </cell>
          <cell r="D6332" t="str">
            <v>SOJA</v>
          </cell>
          <cell r="E6332">
            <v>1500</v>
          </cell>
        </row>
        <row r="6333">
          <cell r="A6333" t="str">
            <v>RS</v>
          </cell>
          <cell r="B6333">
            <v>2008</v>
          </cell>
          <cell r="D6333" t="str">
            <v>SOJA</v>
          </cell>
          <cell r="E6333">
            <v>1500</v>
          </cell>
        </row>
        <row r="6334">
          <cell r="A6334" t="str">
            <v>RS</v>
          </cell>
          <cell r="B6334">
            <v>2008</v>
          </cell>
          <cell r="D6334" t="str">
            <v>SOJA</v>
          </cell>
          <cell r="E6334">
            <v>5500</v>
          </cell>
        </row>
        <row r="6335">
          <cell r="A6335" t="str">
            <v>RS</v>
          </cell>
          <cell r="B6335">
            <v>2008</v>
          </cell>
          <cell r="D6335" t="str">
            <v>SOJA</v>
          </cell>
          <cell r="E6335">
            <v>53000</v>
          </cell>
        </row>
        <row r="6336">
          <cell r="A6336" t="str">
            <v>RS</v>
          </cell>
          <cell r="B6336">
            <v>2008</v>
          </cell>
          <cell r="D6336" t="str">
            <v>SOJA</v>
          </cell>
          <cell r="E6336">
            <v>79500</v>
          </cell>
        </row>
        <row r="6337">
          <cell r="A6337" t="str">
            <v>RS</v>
          </cell>
          <cell r="B6337">
            <v>2008</v>
          </cell>
          <cell r="D6337" t="str">
            <v>SOJA</v>
          </cell>
          <cell r="E6337">
            <v>64500</v>
          </cell>
        </row>
        <row r="6338">
          <cell r="A6338" t="str">
            <v>RS</v>
          </cell>
          <cell r="B6338">
            <v>2008</v>
          </cell>
          <cell r="D6338" t="str">
            <v>SOJA</v>
          </cell>
          <cell r="E6338">
            <v>55000</v>
          </cell>
        </row>
        <row r="6339">
          <cell r="A6339" t="str">
            <v>RS</v>
          </cell>
          <cell r="B6339">
            <v>2008</v>
          </cell>
          <cell r="D6339" t="str">
            <v>SOJA</v>
          </cell>
          <cell r="E6339">
            <v>27500</v>
          </cell>
        </row>
        <row r="6340">
          <cell r="A6340" t="str">
            <v>RS</v>
          </cell>
          <cell r="B6340">
            <v>2008</v>
          </cell>
          <cell r="D6340" t="str">
            <v>SOJA</v>
          </cell>
          <cell r="E6340">
            <v>24500</v>
          </cell>
        </row>
        <row r="6341">
          <cell r="A6341" t="str">
            <v>RS</v>
          </cell>
          <cell r="B6341">
            <v>2008</v>
          </cell>
          <cell r="D6341" t="str">
            <v>SOJA</v>
          </cell>
          <cell r="E6341">
            <v>12500</v>
          </cell>
        </row>
        <row r="6342">
          <cell r="A6342" t="str">
            <v>RS</v>
          </cell>
          <cell r="B6342">
            <v>2008</v>
          </cell>
          <cell r="D6342" t="str">
            <v>SOJA</v>
          </cell>
          <cell r="E6342">
            <v>5000</v>
          </cell>
        </row>
        <row r="6343">
          <cell r="A6343" t="str">
            <v>RS</v>
          </cell>
          <cell r="B6343">
            <v>2008</v>
          </cell>
          <cell r="D6343" t="str">
            <v>SOJA</v>
          </cell>
          <cell r="E6343">
            <v>5000</v>
          </cell>
        </row>
        <row r="6344">
          <cell r="A6344" t="str">
            <v>RS</v>
          </cell>
          <cell r="B6344">
            <v>2008</v>
          </cell>
          <cell r="D6344" t="str">
            <v>SOJA</v>
          </cell>
          <cell r="E6344">
            <v>5000</v>
          </cell>
        </row>
        <row r="6345">
          <cell r="A6345" t="str">
            <v>RS</v>
          </cell>
          <cell r="B6345">
            <v>2008</v>
          </cell>
          <cell r="D6345" t="str">
            <v>SOJA</v>
          </cell>
          <cell r="E6345">
            <v>21500</v>
          </cell>
        </row>
        <row r="6346">
          <cell r="A6346" t="str">
            <v>RS</v>
          </cell>
          <cell r="B6346">
            <v>2008</v>
          </cell>
          <cell r="D6346" t="str">
            <v>SOJA</v>
          </cell>
          <cell r="E6346">
            <v>10000</v>
          </cell>
        </row>
        <row r="6347">
          <cell r="A6347" t="str">
            <v>RS</v>
          </cell>
          <cell r="B6347">
            <v>2008</v>
          </cell>
          <cell r="D6347" t="str">
            <v>SOJA</v>
          </cell>
          <cell r="E6347">
            <v>3500</v>
          </cell>
        </row>
        <row r="6348">
          <cell r="A6348" t="str">
            <v>RS</v>
          </cell>
          <cell r="B6348">
            <v>2008</v>
          </cell>
          <cell r="D6348" t="str">
            <v>SOJA</v>
          </cell>
          <cell r="E6348">
            <v>0</v>
          </cell>
        </row>
        <row r="6349">
          <cell r="A6349" t="str">
            <v>RS</v>
          </cell>
          <cell r="B6349">
            <v>2008</v>
          </cell>
          <cell r="D6349" t="str">
            <v>SOJA</v>
          </cell>
          <cell r="E6349">
            <v>0</v>
          </cell>
        </row>
        <row r="6350">
          <cell r="A6350" t="str">
            <v>RS</v>
          </cell>
          <cell r="B6350">
            <v>2008</v>
          </cell>
          <cell r="D6350" t="str">
            <v>SOJA</v>
          </cell>
          <cell r="E6350">
            <v>0</v>
          </cell>
        </row>
        <row r="6351">
          <cell r="A6351" t="str">
            <v>RS</v>
          </cell>
          <cell r="B6351">
            <v>2008</v>
          </cell>
          <cell r="D6351" t="str">
            <v>SOJA</v>
          </cell>
          <cell r="E6351">
            <v>0</v>
          </cell>
        </row>
        <row r="6352">
          <cell r="A6352" t="str">
            <v>RS</v>
          </cell>
          <cell r="B6352">
            <v>2008</v>
          </cell>
          <cell r="D6352" t="str">
            <v>SOJA</v>
          </cell>
          <cell r="E6352">
            <v>0</v>
          </cell>
        </row>
        <row r="6353">
          <cell r="A6353" t="str">
            <v>RS</v>
          </cell>
          <cell r="B6353">
            <v>2008</v>
          </cell>
          <cell r="D6353" t="str">
            <v>SOJA</v>
          </cell>
          <cell r="E6353">
            <v>0</v>
          </cell>
        </row>
        <row r="6354">
          <cell r="A6354" t="str">
            <v>PR</v>
          </cell>
          <cell r="B6354">
            <v>2008</v>
          </cell>
          <cell r="D6354" t="str">
            <v>SOJA</v>
          </cell>
          <cell r="E6354">
            <v>5000</v>
          </cell>
        </row>
        <row r="6355">
          <cell r="A6355" t="str">
            <v>PR</v>
          </cell>
          <cell r="B6355">
            <v>2008</v>
          </cell>
          <cell r="D6355" t="str">
            <v>SOJA</v>
          </cell>
          <cell r="E6355">
            <v>8000</v>
          </cell>
        </row>
        <row r="6356">
          <cell r="A6356" t="str">
            <v>PR</v>
          </cell>
          <cell r="B6356">
            <v>2008</v>
          </cell>
          <cell r="D6356" t="str">
            <v>SOJA</v>
          </cell>
          <cell r="E6356">
            <v>8000</v>
          </cell>
        </row>
        <row r="6357">
          <cell r="A6357" t="str">
            <v>PR</v>
          </cell>
          <cell r="B6357">
            <v>2008</v>
          </cell>
          <cell r="D6357" t="str">
            <v>SOJA</v>
          </cell>
          <cell r="E6357">
            <v>6000</v>
          </cell>
        </row>
        <row r="6358">
          <cell r="A6358" t="str">
            <v>PR</v>
          </cell>
          <cell r="B6358">
            <v>2008</v>
          </cell>
          <cell r="D6358" t="str">
            <v>SOJA</v>
          </cell>
          <cell r="E6358">
            <v>0</v>
          </cell>
        </row>
        <row r="6359">
          <cell r="A6359" t="str">
            <v>PR</v>
          </cell>
          <cell r="B6359">
            <v>2008</v>
          </cell>
          <cell r="D6359" t="str">
            <v>SOJA</v>
          </cell>
          <cell r="E6359">
            <v>0</v>
          </cell>
        </row>
        <row r="6360">
          <cell r="A6360" t="str">
            <v>PR</v>
          </cell>
          <cell r="B6360">
            <v>2008</v>
          </cell>
          <cell r="D6360" t="str">
            <v>SOJA</v>
          </cell>
          <cell r="E6360">
            <v>6000</v>
          </cell>
        </row>
        <row r="6361">
          <cell r="A6361" t="str">
            <v>PR</v>
          </cell>
          <cell r="B6361">
            <v>2008</v>
          </cell>
          <cell r="D6361" t="str">
            <v>SOJA</v>
          </cell>
          <cell r="E6361">
            <v>7000</v>
          </cell>
        </row>
        <row r="6362">
          <cell r="A6362" t="str">
            <v>PR</v>
          </cell>
          <cell r="B6362">
            <v>2008</v>
          </cell>
          <cell r="D6362" t="str">
            <v>SOJA</v>
          </cell>
          <cell r="E6362">
            <v>27000</v>
          </cell>
        </row>
        <row r="6363">
          <cell r="A6363" t="str">
            <v>PR</v>
          </cell>
          <cell r="B6363">
            <v>2008</v>
          </cell>
          <cell r="D6363" t="str">
            <v>SOJA</v>
          </cell>
          <cell r="E6363">
            <v>31000</v>
          </cell>
        </row>
        <row r="6364">
          <cell r="A6364" t="str">
            <v>PR</v>
          </cell>
          <cell r="B6364">
            <v>2008</v>
          </cell>
          <cell r="D6364" t="str">
            <v>SOJA</v>
          </cell>
          <cell r="E6364">
            <v>20000</v>
          </cell>
        </row>
        <row r="6365">
          <cell r="A6365" t="str">
            <v>PR</v>
          </cell>
          <cell r="B6365">
            <v>2008</v>
          </cell>
          <cell r="D6365" t="str">
            <v>SOJA</v>
          </cell>
          <cell r="E6365">
            <v>0</v>
          </cell>
        </row>
        <row r="6366">
          <cell r="A6366" t="str">
            <v>PR</v>
          </cell>
          <cell r="B6366">
            <v>2008</v>
          </cell>
          <cell r="D6366" t="str">
            <v>SOJA</v>
          </cell>
          <cell r="E6366">
            <v>0</v>
          </cell>
        </row>
        <row r="6367">
          <cell r="A6367" t="str">
            <v>PR</v>
          </cell>
          <cell r="B6367">
            <v>2008</v>
          </cell>
          <cell r="D6367" t="str">
            <v>SOJA</v>
          </cell>
          <cell r="E6367">
            <v>0</v>
          </cell>
        </row>
        <row r="6368">
          <cell r="A6368" t="str">
            <v>PR</v>
          </cell>
          <cell r="B6368">
            <v>2008</v>
          </cell>
          <cell r="D6368" t="str">
            <v>SOJA</v>
          </cell>
          <cell r="E6368">
            <v>0</v>
          </cell>
        </row>
        <row r="6369">
          <cell r="A6369" t="str">
            <v>PR</v>
          </cell>
          <cell r="B6369">
            <v>2008</v>
          </cell>
          <cell r="D6369" t="str">
            <v>SOJA</v>
          </cell>
          <cell r="E6369">
            <v>0</v>
          </cell>
        </row>
        <row r="6370">
          <cell r="A6370" t="str">
            <v>PR</v>
          </cell>
          <cell r="B6370">
            <v>2008</v>
          </cell>
          <cell r="D6370" t="str">
            <v>SOJA</v>
          </cell>
          <cell r="E6370">
            <v>30000</v>
          </cell>
        </row>
        <row r="6371">
          <cell r="A6371" t="str">
            <v>PR</v>
          </cell>
          <cell r="B6371">
            <v>2008</v>
          </cell>
          <cell r="D6371" t="str">
            <v>SOJA</v>
          </cell>
          <cell r="E6371">
            <v>40000</v>
          </cell>
        </row>
        <row r="6372">
          <cell r="A6372" t="str">
            <v>PR</v>
          </cell>
          <cell r="B6372">
            <v>2008</v>
          </cell>
          <cell r="D6372" t="str">
            <v>SOJA</v>
          </cell>
          <cell r="E6372">
            <v>25000</v>
          </cell>
        </row>
        <row r="6373">
          <cell r="A6373" t="str">
            <v>PR</v>
          </cell>
          <cell r="B6373">
            <v>2008</v>
          </cell>
          <cell r="D6373" t="str">
            <v>SOJA</v>
          </cell>
          <cell r="E6373">
            <v>25000</v>
          </cell>
        </row>
        <row r="6374">
          <cell r="A6374" t="str">
            <v>PR</v>
          </cell>
          <cell r="B6374">
            <v>2008</v>
          </cell>
          <cell r="D6374" t="str">
            <v>SOJA</v>
          </cell>
          <cell r="E6374">
            <v>0</v>
          </cell>
        </row>
        <row r="6375">
          <cell r="A6375" t="str">
            <v>PR</v>
          </cell>
          <cell r="B6375">
            <v>2008</v>
          </cell>
          <cell r="D6375" t="str">
            <v>SOJA</v>
          </cell>
          <cell r="E6375">
            <v>0</v>
          </cell>
        </row>
        <row r="6376">
          <cell r="A6376" t="str">
            <v>PR</v>
          </cell>
          <cell r="B6376">
            <v>2008</v>
          </cell>
          <cell r="D6376" t="str">
            <v>SOJA</v>
          </cell>
          <cell r="E6376">
            <v>0</v>
          </cell>
        </row>
        <row r="6377">
          <cell r="A6377" t="str">
            <v>PR</v>
          </cell>
          <cell r="B6377">
            <v>2008</v>
          </cell>
          <cell r="D6377" t="str">
            <v>SOJA</v>
          </cell>
          <cell r="E6377">
            <v>0</v>
          </cell>
        </row>
        <row r="6378">
          <cell r="A6378" t="str">
            <v>PR</v>
          </cell>
          <cell r="B6378">
            <v>2008</v>
          </cell>
          <cell r="D6378" t="str">
            <v>SOJA</v>
          </cell>
          <cell r="E6378">
            <v>0</v>
          </cell>
        </row>
        <row r="6379">
          <cell r="A6379" t="str">
            <v>PR</v>
          </cell>
          <cell r="B6379">
            <v>2008</v>
          </cell>
          <cell r="D6379" t="str">
            <v>SOJA</v>
          </cell>
          <cell r="E6379">
            <v>0</v>
          </cell>
        </row>
        <row r="6380">
          <cell r="A6380" t="str">
            <v>PR</v>
          </cell>
          <cell r="B6380">
            <v>2008</v>
          </cell>
          <cell r="D6380" t="str">
            <v>SOJA</v>
          </cell>
          <cell r="E6380">
            <v>0</v>
          </cell>
        </row>
        <row r="6381">
          <cell r="A6381" t="str">
            <v>PR</v>
          </cell>
          <cell r="B6381">
            <v>2008</v>
          </cell>
          <cell r="D6381" t="str">
            <v>SOJA</v>
          </cell>
          <cell r="E6381">
            <v>12000</v>
          </cell>
        </row>
        <row r="6382">
          <cell r="A6382" t="str">
            <v>PR</v>
          </cell>
          <cell r="B6382">
            <v>2008</v>
          </cell>
          <cell r="D6382" t="str">
            <v>SOJA</v>
          </cell>
          <cell r="E6382">
            <v>15000</v>
          </cell>
        </row>
        <row r="6383">
          <cell r="A6383" t="str">
            <v>PR</v>
          </cell>
          <cell r="B6383">
            <v>2008</v>
          </cell>
          <cell r="D6383" t="str">
            <v>SOJA</v>
          </cell>
          <cell r="E6383">
            <v>3000</v>
          </cell>
        </row>
        <row r="6384">
          <cell r="A6384" t="str">
            <v>PR</v>
          </cell>
          <cell r="B6384">
            <v>2008</v>
          </cell>
          <cell r="D6384" t="str">
            <v>SOJA</v>
          </cell>
          <cell r="E6384">
            <v>0</v>
          </cell>
        </row>
        <row r="6385">
          <cell r="A6385" t="str">
            <v>PR</v>
          </cell>
          <cell r="B6385">
            <v>2008</v>
          </cell>
          <cell r="D6385" t="str">
            <v>SOJA</v>
          </cell>
          <cell r="E6385">
            <v>0</v>
          </cell>
        </row>
        <row r="6386">
          <cell r="A6386" t="str">
            <v>PR</v>
          </cell>
          <cell r="B6386">
            <v>2008</v>
          </cell>
          <cell r="D6386" t="str">
            <v>SOJA</v>
          </cell>
          <cell r="E6386">
            <v>0</v>
          </cell>
        </row>
        <row r="6387">
          <cell r="A6387" t="str">
            <v>PR</v>
          </cell>
          <cell r="B6387">
            <v>2008</v>
          </cell>
          <cell r="D6387" t="str">
            <v>SOJA</v>
          </cell>
          <cell r="E6387">
            <v>0</v>
          </cell>
        </row>
        <row r="6388">
          <cell r="A6388" t="str">
            <v>PR</v>
          </cell>
          <cell r="B6388">
            <v>2008</v>
          </cell>
          <cell r="D6388" t="str">
            <v>SOJA</v>
          </cell>
          <cell r="E6388">
            <v>2000</v>
          </cell>
        </row>
        <row r="6389">
          <cell r="A6389" t="str">
            <v>PR</v>
          </cell>
          <cell r="B6389">
            <v>2008</v>
          </cell>
          <cell r="D6389" t="str">
            <v>SOJA</v>
          </cell>
          <cell r="E6389">
            <v>8000</v>
          </cell>
        </row>
        <row r="6390">
          <cell r="A6390" t="str">
            <v>PR</v>
          </cell>
          <cell r="B6390">
            <v>2008</v>
          </cell>
          <cell r="D6390" t="str">
            <v>SOJA</v>
          </cell>
          <cell r="E6390">
            <v>17000</v>
          </cell>
        </row>
        <row r="6391">
          <cell r="A6391" t="str">
            <v>PR</v>
          </cell>
          <cell r="B6391">
            <v>2008</v>
          </cell>
          <cell r="D6391" t="str">
            <v>SOJA</v>
          </cell>
          <cell r="E6391">
            <v>13000</v>
          </cell>
        </row>
        <row r="6392">
          <cell r="A6392" t="str">
            <v>PR</v>
          </cell>
          <cell r="B6392">
            <v>2008</v>
          </cell>
          <cell r="D6392" t="str">
            <v>SOJA</v>
          </cell>
          <cell r="E6392">
            <v>0</v>
          </cell>
        </row>
        <row r="6393">
          <cell r="A6393" t="str">
            <v>PR</v>
          </cell>
          <cell r="B6393">
            <v>2008</v>
          </cell>
          <cell r="D6393" t="str">
            <v>SOJA</v>
          </cell>
          <cell r="E6393">
            <v>0</v>
          </cell>
        </row>
        <row r="6394">
          <cell r="A6394" t="str">
            <v>PR</v>
          </cell>
          <cell r="B6394">
            <v>2008</v>
          </cell>
          <cell r="D6394" t="str">
            <v>SOJA</v>
          </cell>
          <cell r="E6394">
            <v>0</v>
          </cell>
        </row>
        <row r="6395">
          <cell r="A6395" t="str">
            <v>PR</v>
          </cell>
          <cell r="B6395">
            <v>2008</v>
          </cell>
          <cell r="D6395" t="str">
            <v>SOJA</v>
          </cell>
          <cell r="E6395">
            <v>0</v>
          </cell>
        </row>
        <row r="6396">
          <cell r="A6396" t="str">
            <v>PR</v>
          </cell>
          <cell r="B6396">
            <v>2008</v>
          </cell>
          <cell r="D6396" t="str">
            <v>SOJA</v>
          </cell>
          <cell r="E6396">
            <v>0</v>
          </cell>
        </row>
        <row r="6397">
          <cell r="A6397" t="str">
            <v>PR</v>
          </cell>
          <cell r="B6397">
            <v>2008</v>
          </cell>
          <cell r="D6397" t="str">
            <v>SOJA</v>
          </cell>
          <cell r="E6397">
            <v>5000</v>
          </cell>
        </row>
        <row r="6398">
          <cell r="A6398" t="str">
            <v>PR</v>
          </cell>
          <cell r="B6398">
            <v>2008</v>
          </cell>
          <cell r="D6398" t="str">
            <v>SOJA</v>
          </cell>
          <cell r="E6398">
            <v>15000</v>
          </cell>
        </row>
        <row r="6399">
          <cell r="A6399" t="str">
            <v>PR</v>
          </cell>
          <cell r="B6399">
            <v>2008</v>
          </cell>
          <cell r="D6399" t="str">
            <v>SOJA</v>
          </cell>
          <cell r="E6399">
            <v>15000</v>
          </cell>
        </row>
        <row r="6400">
          <cell r="A6400" t="str">
            <v>PR</v>
          </cell>
          <cell r="B6400">
            <v>2008</v>
          </cell>
          <cell r="D6400" t="str">
            <v>SOJA</v>
          </cell>
          <cell r="E6400">
            <v>10000</v>
          </cell>
        </row>
        <row r="6401">
          <cell r="A6401" t="str">
            <v>PR</v>
          </cell>
          <cell r="B6401">
            <v>2008</v>
          </cell>
          <cell r="D6401" t="str">
            <v>SOJA</v>
          </cell>
          <cell r="E6401">
            <v>0</v>
          </cell>
        </row>
        <row r="6402">
          <cell r="A6402" t="str">
            <v>PR</v>
          </cell>
          <cell r="B6402">
            <v>2008</v>
          </cell>
          <cell r="D6402" t="str">
            <v>SOJA</v>
          </cell>
          <cell r="E6402">
            <v>10000</v>
          </cell>
        </row>
        <row r="6403">
          <cell r="A6403" t="str">
            <v>PR</v>
          </cell>
          <cell r="B6403">
            <v>2008</v>
          </cell>
          <cell r="D6403" t="str">
            <v>SOJA</v>
          </cell>
          <cell r="E6403">
            <v>10000</v>
          </cell>
        </row>
        <row r="6404">
          <cell r="A6404" t="str">
            <v>PR</v>
          </cell>
          <cell r="B6404">
            <v>2008</v>
          </cell>
          <cell r="D6404" t="str">
            <v>SOJA</v>
          </cell>
          <cell r="E6404">
            <v>15000</v>
          </cell>
        </row>
        <row r="6405">
          <cell r="A6405" t="str">
            <v>PR</v>
          </cell>
          <cell r="B6405">
            <v>2008</v>
          </cell>
          <cell r="D6405" t="str">
            <v>SOJA</v>
          </cell>
          <cell r="E6405">
            <v>5000</v>
          </cell>
        </row>
        <row r="6406">
          <cell r="A6406" t="str">
            <v>PR</v>
          </cell>
          <cell r="B6406">
            <v>2008</v>
          </cell>
          <cell r="D6406" t="str">
            <v>SOJA</v>
          </cell>
          <cell r="E6406">
            <v>0</v>
          </cell>
        </row>
        <row r="6407">
          <cell r="A6407" t="str">
            <v>PR</v>
          </cell>
          <cell r="B6407">
            <v>2008</v>
          </cell>
          <cell r="D6407" t="str">
            <v>SOJA</v>
          </cell>
          <cell r="E6407">
            <v>0</v>
          </cell>
        </row>
        <row r="6408">
          <cell r="A6408" t="str">
            <v>PR</v>
          </cell>
          <cell r="B6408">
            <v>2008</v>
          </cell>
          <cell r="D6408" t="str">
            <v>SOJA</v>
          </cell>
          <cell r="E6408">
            <v>6000</v>
          </cell>
        </row>
        <row r="6409">
          <cell r="A6409" t="str">
            <v>PR</v>
          </cell>
          <cell r="B6409">
            <v>2008</v>
          </cell>
          <cell r="D6409" t="str">
            <v>SOJA</v>
          </cell>
          <cell r="E6409">
            <v>20000</v>
          </cell>
        </row>
        <row r="6410">
          <cell r="A6410" t="str">
            <v>PR</v>
          </cell>
          <cell r="B6410">
            <v>2008</v>
          </cell>
          <cell r="D6410" t="str">
            <v>SOJA</v>
          </cell>
          <cell r="E6410">
            <v>4000</v>
          </cell>
        </row>
        <row r="6411">
          <cell r="A6411" t="str">
            <v>PR</v>
          </cell>
          <cell r="B6411">
            <v>2008</v>
          </cell>
          <cell r="D6411" t="str">
            <v>SOJA</v>
          </cell>
          <cell r="E6411">
            <v>0</v>
          </cell>
        </row>
        <row r="6412">
          <cell r="A6412" t="str">
            <v>PR</v>
          </cell>
          <cell r="B6412">
            <v>2008</v>
          </cell>
          <cell r="D6412" t="str">
            <v>SOJA</v>
          </cell>
          <cell r="E6412">
            <v>0</v>
          </cell>
        </row>
        <row r="6413">
          <cell r="A6413" t="str">
            <v>PR</v>
          </cell>
          <cell r="B6413">
            <v>2008</v>
          </cell>
          <cell r="D6413" t="str">
            <v>SOJA</v>
          </cell>
          <cell r="E6413">
            <v>0</v>
          </cell>
        </row>
        <row r="6414">
          <cell r="A6414" t="str">
            <v>PR</v>
          </cell>
          <cell r="B6414">
            <v>2008</v>
          </cell>
          <cell r="D6414" t="str">
            <v>SOJA</v>
          </cell>
          <cell r="E6414">
            <v>0</v>
          </cell>
        </row>
        <row r="6415">
          <cell r="A6415" t="str">
            <v>PR</v>
          </cell>
          <cell r="B6415">
            <v>2008</v>
          </cell>
          <cell r="D6415" t="str">
            <v>SOJA</v>
          </cell>
          <cell r="E6415">
            <v>5000</v>
          </cell>
        </row>
        <row r="6416">
          <cell r="A6416" t="str">
            <v>PR</v>
          </cell>
          <cell r="B6416">
            <v>2008</v>
          </cell>
          <cell r="D6416" t="str">
            <v>SOJA</v>
          </cell>
          <cell r="E6416">
            <v>15000</v>
          </cell>
        </row>
        <row r="6417">
          <cell r="A6417" t="str">
            <v>PR</v>
          </cell>
          <cell r="B6417">
            <v>2008</v>
          </cell>
          <cell r="D6417" t="str">
            <v>SOJA</v>
          </cell>
          <cell r="E6417">
            <v>15000</v>
          </cell>
        </row>
        <row r="6418">
          <cell r="A6418" t="str">
            <v>PR</v>
          </cell>
          <cell r="B6418">
            <v>2008</v>
          </cell>
          <cell r="D6418" t="str">
            <v>SOJA</v>
          </cell>
          <cell r="E6418">
            <v>0</v>
          </cell>
        </row>
        <row r="6419">
          <cell r="A6419" t="str">
            <v>PR</v>
          </cell>
          <cell r="B6419">
            <v>2008</v>
          </cell>
          <cell r="D6419" t="str">
            <v>SOJA</v>
          </cell>
          <cell r="E6419">
            <v>0</v>
          </cell>
        </row>
        <row r="6420">
          <cell r="A6420" t="str">
            <v>PR</v>
          </cell>
          <cell r="B6420">
            <v>2008</v>
          </cell>
          <cell r="D6420" t="str">
            <v>SOJA</v>
          </cell>
          <cell r="E6420">
            <v>0</v>
          </cell>
        </row>
        <row r="6421">
          <cell r="A6421" t="str">
            <v>PR</v>
          </cell>
          <cell r="B6421">
            <v>2008</v>
          </cell>
          <cell r="D6421" t="str">
            <v>SOJA</v>
          </cell>
          <cell r="E6421">
            <v>0</v>
          </cell>
        </row>
        <row r="6422">
          <cell r="A6422" t="str">
            <v>PR</v>
          </cell>
          <cell r="B6422">
            <v>2008</v>
          </cell>
          <cell r="D6422" t="str">
            <v>SOJA</v>
          </cell>
          <cell r="E6422">
            <v>0</v>
          </cell>
        </row>
        <row r="6423">
          <cell r="A6423" t="str">
            <v>PR</v>
          </cell>
          <cell r="B6423">
            <v>2008</v>
          </cell>
          <cell r="D6423" t="str">
            <v>SOJA</v>
          </cell>
          <cell r="E6423">
            <v>0</v>
          </cell>
        </row>
        <row r="6424">
          <cell r="A6424" t="str">
            <v>PR</v>
          </cell>
          <cell r="B6424">
            <v>2008</v>
          </cell>
          <cell r="D6424" t="str">
            <v>SOJA</v>
          </cell>
          <cell r="E6424">
            <v>0</v>
          </cell>
        </row>
        <row r="6425">
          <cell r="A6425" t="str">
            <v>PR</v>
          </cell>
          <cell r="B6425">
            <v>2008</v>
          </cell>
          <cell r="D6425" t="str">
            <v>SOJA</v>
          </cell>
          <cell r="E6425">
            <v>0</v>
          </cell>
        </row>
        <row r="6426">
          <cell r="A6426" t="str">
            <v>PR</v>
          </cell>
          <cell r="B6426">
            <v>2008</v>
          </cell>
          <cell r="D6426" t="str">
            <v>SOJA</v>
          </cell>
          <cell r="E6426">
            <v>0</v>
          </cell>
        </row>
        <row r="6427">
          <cell r="A6427" t="str">
            <v>PR</v>
          </cell>
          <cell r="B6427">
            <v>2008</v>
          </cell>
          <cell r="D6427" t="str">
            <v>SOJA</v>
          </cell>
          <cell r="E6427">
            <v>0</v>
          </cell>
        </row>
        <row r="6428">
          <cell r="A6428" t="str">
            <v>PR</v>
          </cell>
          <cell r="B6428">
            <v>2008</v>
          </cell>
          <cell r="D6428" t="str">
            <v>SOJA</v>
          </cell>
          <cell r="E6428">
            <v>0</v>
          </cell>
        </row>
        <row r="6429">
          <cell r="A6429" t="str">
            <v>PR</v>
          </cell>
          <cell r="B6429">
            <v>2008</v>
          </cell>
          <cell r="D6429" t="str">
            <v>SOJA</v>
          </cell>
          <cell r="E6429">
            <v>16000</v>
          </cell>
        </row>
        <row r="6430">
          <cell r="A6430" t="str">
            <v>PR</v>
          </cell>
          <cell r="B6430">
            <v>2008</v>
          </cell>
          <cell r="D6430" t="str">
            <v>SOJA</v>
          </cell>
          <cell r="E6430">
            <v>35000</v>
          </cell>
        </row>
        <row r="6431">
          <cell r="A6431" t="str">
            <v>PR</v>
          </cell>
          <cell r="B6431">
            <v>2008</v>
          </cell>
          <cell r="D6431" t="str">
            <v>SOJA</v>
          </cell>
          <cell r="E6431">
            <v>45000</v>
          </cell>
        </row>
        <row r="6432">
          <cell r="A6432" t="str">
            <v>PR</v>
          </cell>
          <cell r="B6432">
            <v>2008</v>
          </cell>
          <cell r="D6432" t="str">
            <v>SOJA</v>
          </cell>
          <cell r="E6432">
            <v>45000</v>
          </cell>
        </row>
        <row r="6433">
          <cell r="A6433" t="str">
            <v>PR</v>
          </cell>
          <cell r="B6433">
            <v>2008</v>
          </cell>
          <cell r="D6433" t="str">
            <v>SOJA</v>
          </cell>
          <cell r="E6433">
            <v>23000</v>
          </cell>
        </row>
        <row r="6434">
          <cell r="A6434" t="str">
            <v>PR</v>
          </cell>
          <cell r="B6434">
            <v>2008</v>
          </cell>
          <cell r="D6434" t="str">
            <v>SOJA</v>
          </cell>
          <cell r="E6434">
            <v>13000</v>
          </cell>
        </row>
        <row r="6435">
          <cell r="A6435" t="str">
            <v>PR</v>
          </cell>
          <cell r="B6435">
            <v>2008</v>
          </cell>
          <cell r="D6435" t="str">
            <v>SOJA</v>
          </cell>
          <cell r="E6435">
            <v>8000</v>
          </cell>
        </row>
        <row r="6436">
          <cell r="A6436" t="str">
            <v>PR</v>
          </cell>
          <cell r="B6436">
            <v>2008</v>
          </cell>
          <cell r="D6436" t="str">
            <v>SOJA</v>
          </cell>
          <cell r="E6436">
            <v>8000</v>
          </cell>
        </row>
        <row r="6437">
          <cell r="A6437" t="str">
            <v>PR</v>
          </cell>
          <cell r="B6437">
            <v>2008</v>
          </cell>
          <cell r="D6437" t="str">
            <v>SOJA</v>
          </cell>
          <cell r="E6437">
            <v>8000</v>
          </cell>
        </row>
        <row r="6438">
          <cell r="A6438" t="str">
            <v>PR</v>
          </cell>
          <cell r="B6438">
            <v>2008</v>
          </cell>
          <cell r="D6438" t="str">
            <v>SOJA</v>
          </cell>
          <cell r="E6438">
            <v>2000</v>
          </cell>
        </row>
        <row r="6439">
          <cell r="A6439" t="str">
            <v>PR</v>
          </cell>
          <cell r="B6439">
            <v>2008</v>
          </cell>
          <cell r="D6439" t="str">
            <v>SOJA</v>
          </cell>
          <cell r="E6439">
            <v>6000</v>
          </cell>
        </row>
        <row r="6440">
          <cell r="A6440" t="str">
            <v>PR</v>
          </cell>
          <cell r="B6440">
            <v>2008</v>
          </cell>
          <cell r="D6440" t="str">
            <v>SOJA</v>
          </cell>
          <cell r="E6440">
            <v>6000</v>
          </cell>
        </row>
        <row r="6441">
          <cell r="A6441" t="str">
            <v>PR</v>
          </cell>
          <cell r="B6441">
            <v>2008</v>
          </cell>
          <cell r="D6441" t="str">
            <v>SOJA</v>
          </cell>
          <cell r="E6441">
            <v>2000</v>
          </cell>
        </row>
        <row r="6442">
          <cell r="A6442" t="str">
            <v>PR</v>
          </cell>
          <cell r="B6442">
            <v>2008</v>
          </cell>
          <cell r="D6442" t="str">
            <v>SOJA</v>
          </cell>
          <cell r="E6442">
            <v>0</v>
          </cell>
        </row>
        <row r="6443">
          <cell r="A6443" t="str">
            <v>PR</v>
          </cell>
          <cell r="B6443">
            <v>2008</v>
          </cell>
          <cell r="D6443" t="str">
            <v>SOJA</v>
          </cell>
          <cell r="E6443">
            <v>2000</v>
          </cell>
        </row>
        <row r="6444">
          <cell r="A6444" t="str">
            <v>PR</v>
          </cell>
          <cell r="B6444">
            <v>2008</v>
          </cell>
          <cell r="D6444" t="str">
            <v>SOJA</v>
          </cell>
          <cell r="E6444">
            <v>8000</v>
          </cell>
        </row>
        <row r="6445">
          <cell r="A6445" t="str">
            <v>PR</v>
          </cell>
          <cell r="B6445">
            <v>2008</v>
          </cell>
          <cell r="D6445" t="str">
            <v>SOJA</v>
          </cell>
          <cell r="E6445">
            <v>10000</v>
          </cell>
        </row>
        <row r="6446">
          <cell r="A6446" t="str">
            <v>PR</v>
          </cell>
          <cell r="B6446">
            <v>2008</v>
          </cell>
          <cell r="D6446" t="str">
            <v>SOJA</v>
          </cell>
          <cell r="E6446">
            <v>4000</v>
          </cell>
        </row>
        <row r="6447">
          <cell r="A6447" t="str">
            <v>PR</v>
          </cell>
          <cell r="B6447">
            <v>2008</v>
          </cell>
          <cell r="D6447" t="str">
            <v>SOJA</v>
          </cell>
          <cell r="E6447">
            <v>0</v>
          </cell>
        </row>
        <row r="6448">
          <cell r="A6448" t="str">
            <v>PR</v>
          </cell>
          <cell r="B6448">
            <v>2008</v>
          </cell>
          <cell r="D6448" t="str">
            <v>SOJA</v>
          </cell>
          <cell r="E6448">
            <v>0</v>
          </cell>
        </row>
        <row r="6449">
          <cell r="A6449" t="str">
            <v>RS</v>
          </cell>
          <cell r="B6449">
            <v>2008</v>
          </cell>
          <cell r="D6449" t="str">
            <v>SOJA</v>
          </cell>
          <cell r="E6449">
            <v>0</v>
          </cell>
        </row>
        <row r="6450">
          <cell r="A6450" t="str">
            <v>RS</v>
          </cell>
          <cell r="B6450">
            <v>2008</v>
          </cell>
          <cell r="D6450" t="str">
            <v>SOJA</v>
          </cell>
          <cell r="E6450">
            <v>0</v>
          </cell>
        </row>
        <row r="6451">
          <cell r="A6451" t="str">
            <v>RS</v>
          </cell>
          <cell r="B6451">
            <v>2008</v>
          </cell>
          <cell r="D6451" t="str">
            <v>SOJA</v>
          </cell>
          <cell r="E6451">
            <v>1000</v>
          </cell>
        </row>
        <row r="6452">
          <cell r="A6452" t="str">
            <v>RS</v>
          </cell>
          <cell r="B6452">
            <v>2008</v>
          </cell>
          <cell r="D6452" t="str">
            <v>SOJA</v>
          </cell>
          <cell r="E6452">
            <v>10000</v>
          </cell>
        </row>
        <row r="6453">
          <cell r="A6453" t="str">
            <v>RS</v>
          </cell>
          <cell r="B6453">
            <v>2008</v>
          </cell>
          <cell r="D6453" t="str">
            <v>SOJA</v>
          </cell>
          <cell r="E6453">
            <v>15000</v>
          </cell>
        </row>
        <row r="6454">
          <cell r="A6454" t="str">
            <v>RS</v>
          </cell>
          <cell r="B6454">
            <v>2008</v>
          </cell>
          <cell r="D6454" t="str">
            <v>SOJA</v>
          </cell>
          <cell r="E6454">
            <v>8000</v>
          </cell>
        </row>
        <row r="6455">
          <cell r="A6455" t="str">
            <v>RS</v>
          </cell>
          <cell r="B6455">
            <v>2008</v>
          </cell>
          <cell r="D6455" t="str">
            <v>SOJA</v>
          </cell>
          <cell r="E6455">
            <v>500</v>
          </cell>
        </row>
        <row r="6456">
          <cell r="A6456" t="str">
            <v>RS</v>
          </cell>
          <cell r="B6456">
            <v>2008</v>
          </cell>
          <cell r="D6456" t="str">
            <v>SOJA</v>
          </cell>
          <cell r="E6456">
            <v>500</v>
          </cell>
        </row>
        <row r="6457">
          <cell r="A6457" t="str">
            <v>RS</v>
          </cell>
          <cell r="B6457">
            <v>2008</v>
          </cell>
          <cell r="D6457" t="str">
            <v>SOJA</v>
          </cell>
          <cell r="E6457">
            <v>0</v>
          </cell>
        </row>
        <row r="6458">
          <cell r="A6458" t="str">
            <v>RS</v>
          </cell>
          <cell r="B6458">
            <v>2008</v>
          </cell>
          <cell r="D6458" t="str">
            <v>SOJA</v>
          </cell>
          <cell r="E6458">
            <v>0</v>
          </cell>
        </row>
        <row r="6459">
          <cell r="A6459" t="str">
            <v>RS</v>
          </cell>
          <cell r="B6459">
            <v>2008</v>
          </cell>
          <cell r="D6459" t="str">
            <v>SOJA</v>
          </cell>
          <cell r="E6459">
            <v>0</v>
          </cell>
        </row>
        <row r="6460">
          <cell r="A6460" t="str">
            <v>RS</v>
          </cell>
          <cell r="B6460">
            <v>2008</v>
          </cell>
          <cell r="D6460" t="str">
            <v>SOJA</v>
          </cell>
          <cell r="E6460">
            <v>0</v>
          </cell>
        </row>
        <row r="6461">
          <cell r="A6461" t="str">
            <v>RS</v>
          </cell>
          <cell r="B6461">
            <v>2008</v>
          </cell>
          <cell r="D6461" t="str">
            <v>SOJA</v>
          </cell>
          <cell r="E6461">
            <v>0</v>
          </cell>
        </row>
        <row r="6462">
          <cell r="A6462" t="str">
            <v>RS</v>
          </cell>
          <cell r="B6462">
            <v>2008</v>
          </cell>
          <cell r="D6462" t="str">
            <v>SOJA</v>
          </cell>
          <cell r="E6462">
            <v>0</v>
          </cell>
        </row>
        <row r="6463">
          <cell r="A6463" t="str">
            <v>RS</v>
          </cell>
          <cell r="B6463">
            <v>2008</v>
          </cell>
          <cell r="D6463" t="str">
            <v>SOJA</v>
          </cell>
          <cell r="E6463">
            <v>0</v>
          </cell>
        </row>
        <row r="6464">
          <cell r="A6464" t="str">
            <v>RS</v>
          </cell>
          <cell r="B6464">
            <v>2008</v>
          </cell>
          <cell r="D6464" t="str">
            <v>SOJA</v>
          </cell>
          <cell r="E6464">
            <v>17000</v>
          </cell>
        </row>
        <row r="6465">
          <cell r="A6465" t="str">
            <v>RS</v>
          </cell>
          <cell r="B6465">
            <v>2008</v>
          </cell>
          <cell r="D6465" t="str">
            <v>SOJA</v>
          </cell>
          <cell r="E6465">
            <v>27000</v>
          </cell>
        </row>
        <row r="6466">
          <cell r="A6466" t="str">
            <v>RS</v>
          </cell>
          <cell r="B6466">
            <v>2008</v>
          </cell>
          <cell r="D6466" t="str">
            <v>SOJA</v>
          </cell>
          <cell r="E6466">
            <v>5000</v>
          </cell>
        </row>
        <row r="6467">
          <cell r="A6467" t="str">
            <v>RS</v>
          </cell>
          <cell r="B6467">
            <v>2008</v>
          </cell>
          <cell r="D6467" t="str">
            <v>SOJA</v>
          </cell>
          <cell r="E6467">
            <v>500</v>
          </cell>
        </row>
        <row r="6468">
          <cell r="A6468" t="str">
            <v>RS</v>
          </cell>
          <cell r="B6468">
            <v>2008</v>
          </cell>
          <cell r="D6468" t="str">
            <v>SOJA</v>
          </cell>
          <cell r="E6468">
            <v>500</v>
          </cell>
        </row>
        <row r="6469">
          <cell r="A6469" t="str">
            <v>RS</v>
          </cell>
          <cell r="B6469">
            <v>2008</v>
          </cell>
          <cell r="D6469" t="str">
            <v>SOJA</v>
          </cell>
          <cell r="E6469">
            <v>0</v>
          </cell>
        </row>
        <row r="6470">
          <cell r="A6470" t="str">
            <v>RS</v>
          </cell>
          <cell r="B6470">
            <v>2008</v>
          </cell>
          <cell r="D6470" t="str">
            <v>SOJA</v>
          </cell>
          <cell r="E6470">
            <v>0</v>
          </cell>
        </row>
        <row r="6471">
          <cell r="A6471" t="str">
            <v>RS</v>
          </cell>
          <cell r="B6471">
            <v>2008</v>
          </cell>
          <cell r="D6471" t="str">
            <v>SOJA</v>
          </cell>
          <cell r="E6471">
            <v>0</v>
          </cell>
        </row>
        <row r="6472">
          <cell r="A6472" t="str">
            <v>RS</v>
          </cell>
          <cell r="B6472">
            <v>2008</v>
          </cell>
          <cell r="D6472" t="str">
            <v>SOJA</v>
          </cell>
          <cell r="E6472">
            <v>0</v>
          </cell>
        </row>
        <row r="6473">
          <cell r="A6473" t="str">
            <v>RS</v>
          </cell>
          <cell r="B6473">
            <v>2008</v>
          </cell>
          <cell r="D6473" t="str">
            <v>SOJA</v>
          </cell>
          <cell r="E6473">
            <v>0</v>
          </cell>
        </row>
        <row r="6474">
          <cell r="A6474" t="str">
            <v>RS</v>
          </cell>
          <cell r="B6474">
            <v>2008</v>
          </cell>
          <cell r="D6474" t="str">
            <v>SOJA</v>
          </cell>
          <cell r="E6474">
            <v>0</v>
          </cell>
        </row>
        <row r="6475">
          <cell r="A6475" t="str">
            <v>RS</v>
          </cell>
          <cell r="B6475">
            <v>2008</v>
          </cell>
          <cell r="D6475" t="str">
            <v>SOJA</v>
          </cell>
          <cell r="E6475">
            <v>2000</v>
          </cell>
        </row>
        <row r="6476">
          <cell r="A6476" t="str">
            <v>RS</v>
          </cell>
          <cell r="B6476">
            <v>2008</v>
          </cell>
          <cell r="D6476" t="str">
            <v>SOJA</v>
          </cell>
          <cell r="E6476">
            <v>22000</v>
          </cell>
        </row>
        <row r="6477">
          <cell r="A6477" t="str">
            <v>RS</v>
          </cell>
          <cell r="B6477">
            <v>2008</v>
          </cell>
          <cell r="D6477" t="str">
            <v>SOJA</v>
          </cell>
          <cell r="E6477">
            <v>27000</v>
          </cell>
        </row>
        <row r="6478">
          <cell r="A6478" t="str">
            <v>RS</v>
          </cell>
          <cell r="B6478">
            <v>2008</v>
          </cell>
          <cell r="D6478" t="str">
            <v>SOJA</v>
          </cell>
          <cell r="E6478">
            <v>8000</v>
          </cell>
        </row>
        <row r="6479">
          <cell r="A6479" t="str">
            <v>RS</v>
          </cell>
          <cell r="B6479">
            <v>2008</v>
          </cell>
          <cell r="D6479" t="str">
            <v>SOJA</v>
          </cell>
          <cell r="E6479">
            <v>1000</v>
          </cell>
        </row>
        <row r="6480">
          <cell r="A6480" t="str">
            <v>RS</v>
          </cell>
          <cell r="B6480">
            <v>2008</v>
          </cell>
          <cell r="D6480" t="str">
            <v>SOJA</v>
          </cell>
          <cell r="E6480">
            <v>1000</v>
          </cell>
        </row>
        <row r="6481">
          <cell r="A6481" t="str">
            <v>RS</v>
          </cell>
          <cell r="B6481">
            <v>2008</v>
          </cell>
          <cell r="D6481" t="str">
            <v>SOJA</v>
          </cell>
          <cell r="E6481">
            <v>0</v>
          </cell>
        </row>
        <row r="6482">
          <cell r="A6482" t="str">
            <v>RS</v>
          </cell>
          <cell r="B6482">
            <v>2008</v>
          </cell>
          <cell r="D6482" t="str">
            <v>SOJA</v>
          </cell>
          <cell r="E6482">
            <v>0</v>
          </cell>
        </row>
        <row r="6483">
          <cell r="A6483" t="str">
            <v>RS</v>
          </cell>
          <cell r="B6483">
            <v>2008</v>
          </cell>
          <cell r="D6483" t="str">
            <v>SOJA</v>
          </cell>
          <cell r="E6483">
            <v>0</v>
          </cell>
        </row>
        <row r="6484">
          <cell r="A6484" t="str">
            <v>RS</v>
          </cell>
          <cell r="B6484">
            <v>2008</v>
          </cell>
          <cell r="D6484" t="str">
            <v>SOJA</v>
          </cell>
          <cell r="E6484">
            <v>0</v>
          </cell>
        </row>
        <row r="6485">
          <cell r="A6485" t="str">
            <v>RS</v>
          </cell>
          <cell r="B6485">
            <v>2008</v>
          </cell>
          <cell r="D6485" t="str">
            <v>SOJA</v>
          </cell>
          <cell r="E6485">
            <v>0</v>
          </cell>
        </row>
        <row r="6486">
          <cell r="A6486" t="str">
            <v>RS</v>
          </cell>
          <cell r="B6486">
            <v>2008</v>
          </cell>
          <cell r="D6486" t="str">
            <v>SOJA</v>
          </cell>
          <cell r="E6486">
            <v>0</v>
          </cell>
        </row>
        <row r="6487">
          <cell r="A6487" t="str">
            <v>RS</v>
          </cell>
          <cell r="B6487">
            <v>2008</v>
          </cell>
          <cell r="D6487" t="str">
            <v>SOJA</v>
          </cell>
          <cell r="E6487">
            <v>1000</v>
          </cell>
        </row>
        <row r="6488">
          <cell r="A6488" t="str">
            <v>RS</v>
          </cell>
          <cell r="B6488">
            <v>2008</v>
          </cell>
          <cell r="D6488" t="str">
            <v>SOJA</v>
          </cell>
          <cell r="E6488">
            <v>17000</v>
          </cell>
        </row>
        <row r="6489">
          <cell r="A6489" t="str">
            <v>RS</v>
          </cell>
          <cell r="B6489">
            <v>2008</v>
          </cell>
          <cell r="D6489" t="str">
            <v>SOJA</v>
          </cell>
          <cell r="E6489">
            <v>21000</v>
          </cell>
        </row>
        <row r="6490">
          <cell r="A6490" t="str">
            <v>RS</v>
          </cell>
          <cell r="B6490">
            <v>2008</v>
          </cell>
          <cell r="D6490" t="str">
            <v>SOJA</v>
          </cell>
          <cell r="E6490">
            <v>10000</v>
          </cell>
        </row>
        <row r="6491">
          <cell r="A6491" t="str">
            <v>RS</v>
          </cell>
          <cell r="B6491">
            <v>2008</v>
          </cell>
          <cell r="D6491" t="str">
            <v>SOJA</v>
          </cell>
          <cell r="E6491">
            <v>1000</v>
          </cell>
        </row>
        <row r="6492">
          <cell r="A6492" t="str">
            <v>RS</v>
          </cell>
          <cell r="B6492">
            <v>2008</v>
          </cell>
          <cell r="D6492" t="str">
            <v>SOJA</v>
          </cell>
          <cell r="E6492">
            <v>0</v>
          </cell>
        </row>
        <row r="6493">
          <cell r="A6493" t="str">
            <v>RS</v>
          </cell>
          <cell r="B6493">
            <v>2008</v>
          </cell>
          <cell r="D6493" t="str">
            <v>SOJA</v>
          </cell>
          <cell r="E6493">
            <v>0</v>
          </cell>
        </row>
        <row r="6494">
          <cell r="A6494" t="str">
            <v>RS</v>
          </cell>
          <cell r="B6494">
            <v>2008</v>
          </cell>
          <cell r="D6494" t="str">
            <v>SOJA</v>
          </cell>
          <cell r="E6494">
            <v>0</v>
          </cell>
        </row>
        <row r="6495">
          <cell r="A6495" t="str">
            <v>RS</v>
          </cell>
          <cell r="B6495">
            <v>2008</v>
          </cell>
          <cell r="D6495" t="str">
            <v>SOJA</v>
          </cell>
          <cell r="E6495">
            <v>0</v>
          </cell>
        </row>
        <row r="6496">
          <cell r="A6496" t="str">
            <v>RS</v>
          </cell>
          <cell r="B6496">
            <v>2008</v>
          </cell>
          <cell r="D6496" t="str">
            <v>SOJA</v>
          </cell>
          <cell r="E6496">
            <v>0</v>
          </cell>
        </row>
        <row r="6497">
          <cell r="A6497" t="str">
            <v>RS</v>
          </cell>
          <cell r="B6497">
            <v>2008</v>
          </cell>
          <cell r="D6497" t="str">
            <v>SOJA</v>
          </cell>
          <cell r="E6497">
            <v>0</v>
          </cell>
        </row>
        <row r="6498">
          <cell r="A6498" t="str">
            <v>RS</v>
          </cell>
          <cell r="B6498">
            <v>2008</v>
          </cell>
          <cell r="D6498" t="str">
            <v>SOJA</v>
          </cell>
          <cell r="E6498">
            <v>0</v>
          </cell>
        </row>
        <row r="6499">
          <cell r="A6499" t="str">
            <v>RS</v>
          </cell>
          <cell r="B6499">
            <v>2008</v>
          </cell>
          <cell r="D6499" t="str">
            <v>SOJA</v>
          </cell>
          <cell r="E6499">
            <v>0</v>
          </cell>
        </row>
        <row r="6500">
          <cell r="A6500" t="str">
            <v>RS</v>
          </cell>
          <cell r="B6500">
            <v>2008</v>
          </cell>
          <cell r="D6500" t="str">
            <v>SOJA</v>
          </cell>
          <cell r="E6500">
            <v>10000</v>
          </cell>
        </row>
        <row r="6501">
          <cell r="A6501" t="str">
            <v>RS</v>
          </cell>
          <cell r="B6501">
            <v>2008</v>
          </cell>
          <cell r="D6501" t="str">
            <v>SOJA</v>
          </cell>
          <cell r="E6501">
            <v>27000</v>
          </cell>
        </row>
        <row r="6502">
          <cell r="A6502" t="str">
            <v>RS</v>
          </cell>
          <cell r="B6502">
            <v>2008</v>
          </cell>
          <cell r="D6502" t="str">
            <v>SOJA</v>
          </cell>
          <cell r="E6502">
            <v>12000</v>
          </cell>
        </row>
        <row r="6503">
          <cell r="A6503" t="str">
            <v>RS</v>
          </cell>
          <cell r="B6503">
            <v>2008</v>
          </cell>
          <cell r="D6503" t="str">
            <v>SOJA</v>
          </cell>
          <cell r="E6503">
            <v>1000</v>
          </cell>
        </row>
        <row r="6504">
          <cell r="A6504" t="str">
            <v>RS</v>
          </cell>
          <cell r="B6504">
            <v>2008</v>
          </cell>
          <cell r="D6504" t="str">
            <v>SOJA</v>
          </cell>
          <cell r="E6504">
            <v>0</v>
          </cell>
        </row>
        <row r="6505">
          <cell r="A6505" t="str">
            <v>RS</v>
          </cell>
          <cell r="B6505">
            <v>2008</v>
          </cell>
          <cell r="D6505" t="str">
            <v>SOJA</v>
          </cell>
          <cell r="E6505">
            <v>0</v>
          </cell>
        </row>
        <row r="6506">
          <cell r="A6506" t="str">
            <v>RS</v>
          </cell>
          <cell r="B6506">
            <v>2008</v>
          </cell>
          <cell r="D6506" t="str">
            <v>SOJA</v>
          </cell>
          <cell r="E6506">
            <v>0</v>
          </cell>
        </row>
        <row r="6507">
          <cell r="A6507" t="str">
            <v>RS</v>
          </cell>
          <cell r="B6507">
            <v>2008</v>
          </cell>
          <cell r="D6507" t="str">
            <v>SOJA</v>
          </cell>
          <cell r="E6507">
            <v>0</v>
          </cell>
        </row>
        <row r="6508">
          <cell r="A6508" t="str">
            <v>RS</v>
          </cell>
          <cell r="B6508">
            <v>2008</v>
          </cell>
          <cell r="D6508" t="str">
            <v>SOJA</v>
          </cell>
          <cell r="E6508">
            <v>0</v>
          </cell>
        </row>
        <row r="6509">
          <cell r="A6509" t="str">
            <v>RS</v>
          </cell>
          <cell r="B6509">
            <v>2008</v>
          </cell>
          <cell r="D6509" t="str">
            <v>SOJA</v>
          </cell>
          <cell r="E6509">
            <v>0</v>
          </cell>
        </row>
        <row r="6510">
          <cell r="A6510" t="str">
            <v>RS</v>
          </cell>
          <cell r="B6510">
            <v>2008</v>
          </cell>
          <cell r="D6510" t="str">
            <v>SOJA</v>
          </cell>
          <cell r="E6510">
            <v>0</v>
          </cell>
        </row>
        <row r="6511">
          <cell r="A6511" t="str">
            <v>RS</v>
          </cell>
          <cell r="B6511">
            <v>2008</v>
          </cell>
          <cell r="D6511" t="str">
            <v>SOJA</v>
          </cell>
          <cell r="E6511">
            <v>1000</v>
          </cell>
        </row>
        <row r="6512">
          <cell r="A6512" t="str">
            <v>RS</v>
          </cell>
          <cell r="B6512">
            <v>2008</v>
          </cell>
          <cell r="D6512" t="str">
            <v>SOJA</v>
          </cell>
          <cell r="E6512">
            <v>12000</v>
          </cell>
        </row>
        <row r="6513">
          <cell r="A6513" t="str">
            <v>RS</v>
          </cell>
          <cell r="B6513">
            <v>2008</v>
          </cell>
          <cell r="D6513" t="str">
            <v>SOJA</v>
          </cell>
          <cell r="E6513">
            <v>23000</v>
          </cell>
        </row>
        <row r="6514">
          <cell r="A6514" t="str">
            <v>RS</v>
          </cell>
          <cell r="B6514">
            <v>2008</v>
          </cell>
          <cell r="D6514" t="str">
            <v>SOJA</v>
          </cell>
          <cell r="E6514">
            <v>8000</v>
          </cell>
        </row>
        <row r="6515">
          <cell r="A6515" t="str">
            <v>RS</v>
          </cell>
          <cell r="B6515">
            <v>2008</v>
          </cell>
          <cell r="D6515" t="str">
            <v>SOJA</v>
          </cell>
          <cell r="E6515">
            <v>1000</v>
          </cell>
        </row>
        <row r="6516">
          <cell r="A6516" t="str">
            <v>RS</v>
          </cell>
          <cell r="B6516">
            <v>2008</v>
          </cell>
          <cell r="D6516" t="str">
            <v>SOJA</v>
          </cell>
          <cell r="E6516">
            <v>0</v>
          </cell>
        </row>
        <row r="6517">
          <cell r="A6517" t="str">
            <v>RS</v>
          </cell>
          <cell r="B6517">
            <v>2008</v>
          </cell>
          <cell r="D6517" t="str">
            <v>SOJA</v>
          </cell>
          <cell r="E6517">
            <v>0</v>
          </cell>
        </row>
        <row r="6518">
          <cell r="A6518" t="str">
            <v>RS</v>
          </cell>
          <cell r="B6518">
            <v>2008</v>
          </cell>
          <cell r="D6518" t="str">
            <v>SOJA</v>
          </cell>
          <cell r="E6518">
            <v>0</v>
          </cell>
        </row>
        <row r="6519">
          <cell r="A6519" t="str">
            <v>RS</v>
          </cell>
          <cell r="B6519">
            <v>2008</v>
          </cell>
          <cell r="D6519" t="str">
            <v>SOJA</v>
          </cell>
          <cell r="E6519">
            <v>0</v>
          </cell>
        </row>
        <row r="6520">
          <cell r="A6520" t="str">
            <v>RS</v>
          </cell>
          <cell r="B6520">
            <v>2008</v>
          </cell>
          <cell r="D6520" t="str">
            <v>SOJA</v>
          </cell>
          <cell r="E6520">
            <v>0</v>
          </cell>
        </row>
        <row r="6521">
          <cell r="A6521" t="str">
            <v>SC</v>
          </cell>
          <cell r="B6521">
            <v>2008</v>
          </cell>
          <cell r="D6521" t="str">
            <v>SOJA</v>
          </cell>
          <cell r="E6521">
            <v>14000</v>
          </cell>
        </row>
        <row r="6522">
          <cell r="A6522" t="str">
            <v>SC</v>
          </cell>
          <cell r="B6522">
            <v>2008</v>
          </cell>
          <cell r="D6522" t="str">
            <v>SOJA</v>
          </cell>
          <cell r="E6522">
            <v>50000</v>
          </cell>
        </row>
        <row r="6523">
          <cell r="A6523" t="str">
            <v>SC</v>
          </cell>
          <cell r="B6523">
            <v>2008</v>
          </cell>
          <cell r="D6523" t="str">
            <v>SOJA</v>
          </cell>
          <cell r="E6523">
            <v>38000</v>
          </cell>
        </row>
        <row r="6524">
          <cell r="A6524" t="str">
            <v>SC</v>
          </cell>
          <cell r="B6524">
            <v>2008</v>
          </cell>
          <cell r="D6524" t="str">
            <v>SOJA</v>
          </cell>
          <cell r="E6524">
            <v>10000</v>
          </cell>
        </row>
        <row r="6525">
          <cell r="A6525" t="str">
            <v>SC</v>
          </cell>
          <cell r="B6525">
            <v>2008</v>
          </cell>
          <cell r="D6525" t="str">
            <v>SOJA</v>
          </cell>
          <cell r="E6525">
            <v>10000</v>
          </cell>
        </row>
        <row r="6526">
          <cell r="A6526" t="str">
            <v>SC</v>
          </cell>
          <cell r="B6526">
            <v>2008</v>
          </cell>
          <cell r="D6526" t="str">
            <v>SOJA</v>
          </cell>
          <cell r="E6526">
            <v>8000</v>
          </cell>
        </row>
        <row r="6527">
          <cell r="A6527" t="str">
            <v>SC</v>
          </cell>
          <cell r="B6527">
            <v>2008</v>
          </cell>
          <cell r="D6527" t="str">
            <v>SOJA</v>
          </cell>
          <cell r="E6527">
            <v>0</v>
          </cell>
        </row>
        <row r="6528">
          <cell r="A6528" t="str">
            <v>BA</v>
          </cell>
          <cell r="B6528">
            <v>2008</v>
          </cell>
          <cell r="D6528" t="str">
            <v>MILHO</v>
          </cell>
          <cell r="E6528">
            <v>76.241</v>
          </cell>
        </row>
        <row r="6529">
          <cell r="A6529" t="str">
            <v>BA</v>
          </cell>
          <cell r="B6529">
            <v>2008</v>
          </cell>
          <cell r="D6529" t="str">
            <v>MILHO</v>
          </cell>
          <cell r="E6529">
            <v>126.43899999999999</v>
          </cell>
        </row>
        <row r="6530">
          <cell r="A6530" t="str">
            <v>MT</v>
          </cell>
          <cell r="B6530">
            <v>2008</v>
          </cell>
          <cell r="D6530" t="str">
            <v>MILHO</v>
          </cell>
          <cell r="E6530">
            <v>-85.912000000000006</v>
          </cell>
        </row>
        <row r="6531">
          <cell r="A6531" t="str">
            <v>MT</v>
          </cell>
          <cell r="B6531">
            <v>2008</v>
          </cell>
          <cell r="D6531" t="str">
            <v>MILHO</v>
          </cell>
          <cell r="E6531">
            <v>0</v>
          </cell>
        </row>
        <row r="6532">
          <cell r="A6532" t="str">
            <v>MT</v>
          </cell>
          <cell r="B6532">
            <v>2008</v>
          </cell>
          <cell r="D6532" t="str">
            <v>MILHO</v>
          </cell>
          <cell r="E6532">
            <v>95.869</v>
          </cell>
        </row>
        <row r="6533">
          <cell r="A6533" t="str">
            <v>MS</v>
          </cell>
          <cell r="B6533">
            <v>2008</v>
          </cell>
          <cell r="D6533" t="str">
            <v>MILHO</v>
          </cell>
          <cell r="E6533">
            <v>16.815000000000001</v>
          </cell>
        </row>
        <row r="6534">
          <cell r="A6534" t="str">
            <v>MS</v>
          </cell>
          <cell r="B6534">
            <v>2008</v>
          </cell>
          <cell r="D6534" t="str">
            <v>MILHO</v>
          </cell>
          <cell r="E6534">
            <v>-16.815000000000001</v>
          </cell>
        </row>
        <row r="6535">
          <cell r="A6535" t="str">
            <v>MT</v>
          </cell>
          <cell r="B6535">
            <v>2008</v>
          </cell>
          <cell r="D6535" t="str">
            <v>MILHO</v>
          </cell>
          <cell r="E6535">
            <v>0</v>
          </cell>
        </row>
        <row r="6536">
          <cell r="A6536" t="str">
            <v>MT</v>
          </cell>
          <cell r="B6536">
            <v>2008</v>
          </cell>
          <cell r="D6536" t="str">
            <v>MILHO</v>
          </cell>
          <cell r="E6536">
            <v>0</v>
          </cell>
        </row>
        <row r="6537">
          <cell r="A6537" t="str">
            <v>MT</v>
          </cell>
          <cell r="B6537">
            <v>2008</v>
          </cell>
          <cell r="D6537" t="str">
            <v>MILHO</v>
          </cell>
          <cell r="E6537">
            <v>0</v>
          </cell>
        </row>
        <row r="6538">
          <cell r="A6538" t="str">
            <v>MT</v>
          </cell>
          <cell r="B6538">
            <v>2008</v>
          </cell>
          <cell r="D6538" t="str">
            <v>MILHO</v>
          </cell>
          <cell r="E6538">
            <v>-69.742000000000004</v>
          </cell>
        </row>
        <row r="6539">
          <cell r="A6539" t="str">
            <v>MT</v>
          </cell>
          <cell r="B6539">
            <v>2008</v>
          </cell>
          <cell r="D6539" t="str">
            <v>MILHO</v>
          </cell>
          <cell r="E6539">
            <v>0</v>
          </cell>
        </row>
        <row r="6540">
          <cell r="A6540" t="str">
            <v>MT</v>
          </cell>
          <cell r="B6540">
            <v>2008</v>
          </cell>
          <cell r="D6540" t="str">
            <v>MILHO</v>
          </cell>
          <cell r="E6540">
            <v>0</v>
          </cell>
        </row>
        <row r="6541">
          <cell r="A6541" t="str">
            <v>RS</v>
          </cell>
          <cell r="B6541">
            <v>2008</v>
          </cell>
          <cell r="D6541" t="str">
            <v>MILHO</v>
          </cell>
          <cell r="E6541">
            <v>14.984999999999999</v>
          </cell>
        </row>
        <row r="6542">
          <cell r="A6542" t="str">
            <v>RS</v>
          </cell>
          <cell r="B6542">
            <v>2008</v>
          </cell>
          <cell r="D6542" t="str">
            <v>MILHO</v>
          </cell>
          <cell r="E6542">
            <v>253.001</v>
          </cell>
        </row>
        <row r="6543">
          <cell r="A6543" t="str">
            <v>RS</v>
          </cell>
          <cell r="B6543">
            <v>2008</v>
          </cell>
          <cell r="D6543" t="str">
            <v>MILHO</v>
          </cell>
          <cell r="E6543">
            <v>278.81700000000001</v>
          </cell>
        </row>
        <row r="6544">
          <cell r="A6544" t="str">
            <v>RS</v>
          </cell>
          <cell r="B6544">
            <v>2008</v>
          </cell>
          <cell r="D6544" t="str">
            <v>MILHO</v>
          </cell>
          <cell r="E6544">
            <v>108.348</v>
          </cell>
        </row>
        <row r="6545">
          <cell r="A6545" t="str">
            <v>RS</v>
          </cell>
          <cell r="B6545">
            <v>2008</v>
          </cell>
          <cell r="D6545" t="str">
            <v>MILHO</v>
          </cell>
          <cell r="E6545">
            <v>27.45</v>
          </cell>
        </row>
        <row r="6546">
          <cell r="A6546" t="str">
            <v>SC</v>
          </cell>
          <cell r="B6546">
            <v>2008</v>
          </cell>
          <cell r="D6546" t="str">
            <v>MILHO</v>
          </cell>
          <cell r="E6546">
            <v>-40.29</v>
          </cell>
        </row>
        <row r="6547">
          <cell r="A6547" t="str">
            <v>PR</v>
          </cell>
          <cell r="B6547">
            <v>2008</v>
          </cell>
          <cell r="D6547" t="str">
            <v>MILHO</v>
          </cell>
          <cell r="E6547">
            <v>0</v>
          </cell>
        </row>
        <row r="6548">
          <cell r="A6548" t="str">
            <v>PR</v>
          </cell>
          <cell r="B6548">
            <v>2008</v>
          </cell>
          <cell r="D6548" t="str">
            <v>MILHO</v>
          </cell>
          <cell r="E6548">
            <v>-28.45</v>
          </cell>
        </row>
        <row r="6549">
          <cell r="A6549" t="str">
            <v>PR</v>
          </cell>
          <cell r="B6549">
            <v>2008</v>
          </cell>
          <cell r="D6549" t="str">
            <v>MILHO</v>
          </cell>
          <cell r="E6549">
            <v>0.03</v>
          </cell>
        </row>
        <row r="6550">
          <cell r="A6550" t="str">
            <v>PR</v>
          </cell>
          <cell r="B6550">
            <v>2008</v>
          </cell>
          <cell r="D6550" t="str">
            <v>MILHO</v>
          </cell>
          <cell r="E6550">
            <v>3.44</v>
          </cell>
        </row>
        <row r="6551">
          <cell r="A6551" t="str">
            <v>PR</v>
          </cell>
          <cell r="B6551">
            <v>2008</v>
          </cell>
          <cell r="D6551" t="str">
            <v>MILHO</v>
          </cell>
          <cell r="E6551">
            <v>6112.1819999999998</v>
          </cell>
        </row>
        <row r="6552">
          <cell r="A6552" t="str">
            <v>BA</v>
          </cell>
          <cell r="B6552">
            <v>2008</v>
          </cell>
          <cell r="D6552" t="str">
            <v>MILHO</v>
          </cell>
          <cell r="E6552">
            <v>0</v>
          </cell>
        </row>
        <row r="6553">
          <cell r="A6553" t="str">
            <v>RS</v>
          </cell>
          <cell r="B6553">
            <v>2008</v>
          </cell>
          <cell r="D6553" t="str">
            <v>MILHO</v>
          </cell>
          <cell r="E6553">
            <v>3298.9340000000002</v>
          </cell>
        </row>
        <row r="6554">
          <cell r="A6554" t="str">
            <v>RS</v>
          </cell>
          <cell r="B6554">
            <v>2008</v>
          </cell>
          <cell r="D6554" t="str">
            <v>MILHO</v>
          </cell>
          <cell r="E6554">
            <v>100.72</v>
          </cell>
        </row>
        <row r="6555">
          <cell r="A6555" t="str">
            <v>RS</v>
          </cell>
          <cell r="B6555">
            <v>2008</v>
          </cell>
          <cell r="D6555" t="str">
            <v>MILHO</v>
          </cell>
          <cell r="E6555">
            <v>191.52</v>
          </cell>
        </row>
        <row r="6556">
          <cell r="A6556" t="str">
            <v>RS</v>
          </cell>
          <cell r="B6556">
            <v>2008</v>
          </cell>
          <cell r="D6556" t="str">
            <v>MILHO</v>
          </cell>
          <cell r="E6556">
            <v>831.19299999999998</v>
          </cell>
        </row>
        <row r="6557">
          <cell r="A6557" t="str">
            <v>RS</v>
          </cell>
          <cell r="B6557">
            <v>2008</v>
          </cell>
          <cell r="D6557" t="str">
            <v>MILHO</v>
          </cell>
          <cell r="E6557">
            <v>2024.204</v>
          </cell>
        </row>
        <row r="6558">
          <cell r="A6558" t="str">
            <v>RS</v>
          </cell>
          <cell r="B6558">
            <v>2008</v>
          </cell>
          <cell r="D6558" t="str">
            <v>MILHO</v>
          </cell>
          <cell r="E6558">
            <v>3122.07</v>
          </cell>
        </row>
        <row r="6559">
          <cell r="A6559" t="str">
            <v>RS</v>
          </cell>
          <cell r="B6559">
            <v>2008</v>
          </cell>
          <cell r="D6559" t="str">
            <v>MILHO</v>
          </cell>
          <cell r="E6559">
            <v>702.78700000000003</v>
          </cell>
        </row>
        <row r="6560">
          <cell r="A6560" t="str">
            <v>RS</v>
          </cell>
          <cell r="B6560">
            <v>2008</v>
          </cell>
          <cell r="D6560" t="str">
            <v>MILHO</v>
          </cell>
          <cell r="E6560">
            <v>33.07</v>
          </cell>
        </row>
        <row r="6561">
          <cell r="A6561" t="str">
            <v>RS</v>
          </cell>
          <cell r="B6561">
            <v>2008</v>
          </cell>
          <cell r="D6561" t="str">
            <v>MILHO</v>
          </cell>
          <cell r="E6561">
            <v>1738.367</v>
          </cell>
        </row>
        <row r="6562">
          <cell r="A6562" t="str">
            <v>PR</v>
          </cell>
          <cell r="B6562">
            <v>2008</v>
          </cell>
          <cell r="D6562" t="str">
            <v>MILHO</v>
          </cell>
          <cell r="E6562">
            <v>44.496000000000002</v>
          </cell>
        </row>
        <row r="6563">
          <cell r="A6563" t="str">
            <v>PR</v>
          </cell>
          <cell r="B6563">
            <v>2008</v>
          </cell>
          <cell r="D6563" t="str">
            <v>MILHO</v>
          </cell>
          <cell r="E6563">
            <v>36.606999999999999</v>
          </cell>
        </row>
        <row r="6564">
          <cell r="A6564" t="str">
            <v>BA</v>
          </cell>
          <cell r="B6564">
            <v>2008</v>
          </cell>
          <cell r="D6564" t="str">
            <v>SOJA</v>
          </cell>
          <cell r="E6564">
            <v>177.71299999999999</v>
          </cell>
        </row>
        <row r="6565">
          <cell r="A6565" t="str">
            <v>BA</v>
          </cell>
          <cell r="B6565">
            <v>2008</v>
          </cell>
          <cell r="D6565" t="str">
            <v>SOJA</v>
          </cell>
          <cell r="E6565">
            <v>0</v>
          </cell>
        </row>
        <row r="6566">
          <cell r="A6566" t="str">
            <v>BA</v>
          </cell>
          <cell r="B6566">
            <v>2008</v>
          </cell>
          <cell r="D6566" t="str">
            <v>SOJA</v>
          </cell>
          <cell r="E6566">
            <v>20.657</v>
          </cell>
        </row>
        <row r="6567">
          <cell r="A6567" t="str">
            <v>BA</v>
          </cell>
          <cell r="B6567">
            <v>2008</v>
          </cell>
          <cell r="D6567" t="str">
            <v>SOJA</v>
          </cell>
          <cell r="E6567">
            <v>0</v>
          </cell>
        </row>
        <row r="6568">
          <cell r="A6568" t="str">
            <v>BA</v>
          </cell>
          <cell r="B6568">
            <v>2008</v>
          </cell>
          <cell r="D6568" t="str">
            <v>SOJA</v>
          </cell>
          <cell r="E6568">
            <v>395.81</v>
          </cell>
        </row>
        <row r="6569">
          <cell r="A6569" t="str">
            <v>BA</v>
          </cell>
          <cell r="B6569">
            <v>2008</v>
          </cell>
          <cell r="D6569" t="str">
            <v>SOJA</v>
          </cell>
          <cell r="E6569">
            <v>0</v>
          </cell>
        </row>
        <row r="6570">
          <cell r="A6570" t="str">
            <v>BA</v>
          </cell>
          <cell r="B6570">
            <v>2008</v>
          </cell>
          <cell r="D6570" t="str">
            <v>SOJA</v>
          </cell>
          <cell r="E6570">
            <v>0</v>
          </cell>
        </row>
        <row r="6571">
          <cell r="A6571" t="str">
            <v>PI</v>
          </cell>
          <cell r="B6571">
            <v>2008</v>
          </cell>
          <cell r="D6571" t="str">
            <v>SOJA</v>
          </cell>
          <cell r="E6571">
            <v>6.73</v>
          </cell>
        </row>
        <row r="6572">
          <cell r="A6572" t="str">
            <v>PI</v>
          </cell>
          <cell r="B6572">
            <v>2008</v>
          </cell>
          <cell r="D6572" t="str">
            <v>SOJA</v>
          </cell>
          <cell r="E6572">
            <v>8.69</v>
          </cell>
        </row>
        <row r="6573">
          <cell r="A6573" t="str">
            <v>GO</v>
          </cell>
          <cell r="B6573">
            <v>2008</v>
          </cell>
          <cell r="D6573" t="str">
            <v>SOJA</v>
          </cell>
          <cell r="E6573">
            <v>0</v>
          </cell>
        </row>
        <row r="6574">
          <cell r="A6574" t="str">
            <v>GO</v>
          </cell>
          <cell r="B6574">
            <v>2008</v>
          </cell>
          <cell r="D6574" t="str">
            <v>SOJA</v>
          </cell>
          <cell r="E6574">
            <v>0</v>
          </cell>
        </row>
        <row r="6575">
          <cell r="A6575" t="str">
            <v>GO</v>
          </cell>
          <cell r="B6575">
            <v>2008</v>
          </cell>
          <cell r="D6575" t="str">
            <v>SOJA</v>
          </cell>
          <cell r="E6575">
            <v>-300</v>
          </cell>
        </row>
        <row r="6576">
          <cell r="A6576" t="str">
            <v>GO</v>
          </cell>
          <cell r="B6576">
            <v>2008</v>
          </cell>
          <cell r="D6576" t="str">
            <v>SOJA</v>
          </cell>
          <cell r="E6576">
            <v>21.47</v>
          </cell>
        </row>
        <row r="6577">
          <cell r="A6577" t="str">
            <v>MT</v>
          </cell>
          <cell r="B6577">
            <v>2008</v>
          </cell>
          <cell r="D6577" t="str">
            <v>SOJA</v>
          </cell>
          <cell r="E6577">
            <v>0</v>
          </cell>
        </row>
        <row r="6578">
          <cell r="A6578" t="str">
            <v>MT</v>
          </cell>
          <cell r="B6578">
            <v>2008</v>
          </cell>
          <cell r="D6578" t="str">
            <v>SOJA</v>
          </cell>
          <cell r="E6578">
            <v>26.620999999999999</v>
          </cell>
        </row>
        <row r="6579">
          <cell r="A6579" t="str">
            <v>MT</v>
          </cell>
          <cell r="B6579">
            <v>2008</v>
          </cell>
          <cell r="D6579" t="str">
            <v>SOJA</v>
          </cell>
          <cell r="E6579">
            <v>0</v>
          </cell>
        </row>
        <row r="6580">
          <cell r="A6580" t="str">
            <v>MS</v>
          </cell>
          <cell r="B6580">
            <v>2008</v>
          </cell>
          <cell r="D6580" t="str">
            <v>SOJA</v>
          </cell>
          <cell r="E6580">
            <v>0.40600000000000003</v>
          </cell>
        </row>
        <row r="6581">
          <cell r="A6581" t="str">
            <v>MS</v>
          </cell>
          <cell r="B6581">
            <v>2008</v>
          </cell>
          <cell r="D6581" t="str">
            <v>SOJA</v>
          </cell>
          <cell r="E6581">
            <v>18.95</v>
          </cell>
        </row>
        <row r="6582">
          <cell r="A6582" t="str">
            <v>MT</v>
          </cell>
          <cell r="B6582">
            <v>2008</v>
          </cell>
          <cell r="D6582" t="str">
            <v>SOJA</v>
          </cell>
          <cell r="E6582">
            <v>131.81700000000001</v>
          </cell>
        </row>
        <row r="6583">
          <cell r="A6583" t="str">
            <v>MT</v>
          </cell>
          <cell r="B6583">
            <v>2008</v>
          </cell>
          <cell r="D6583" t="str">
            <v>SOJA</v>
          </cell>
          <cell r="E6583">
            <v>0</v>
          </cell>
        </row>
        <row r="6584">
          <cell r="A6584" t="str">
            <v>MT</v>
          </cell>
          <cell r="B6584">
            <v>2008</v>
          </cell>
          <cell r="D6584" t="str">
            <v>SOJA</v>
          </cell>
          <cell r="E6584">
            <v>8.32</v>
          </cell>
        </row>
        <row r="6585">
          <cell r="A6585" t="str">
            <v>MT</v>
          </cell>
          <cell r="B6585">
            <v>2008</v>
          </cell>
          <cell r="D6585" t="str">
            <v>SOJA</v>
          </cell>
          <cell r="E6585">
            <v>-3.53</v>
          </cell>
        </row>
        <row r="6586">
          <cell r="A6586" t="str">
            <v>MT</v>
          </cell>
          <cell r="B6586">
            <v>2008</v>
          </cell>
          <cell r="D6586" t="str">
            <v>SOJA</v>
          </cell>
          <cell r="E6586">
            <v>0</v>
          </cell>
        </row>
        <row r="6587">
          <cell r="A6587" t="str">
            <v>MT</v>
          </cell>
          <cell r="B6587">
            <v>2008</v>
          </cell>
          <cell r="D6587" t="str">
            <v>SOJA</v>
          </cell>
          <cell r="E6587">
            <v>0</v>
          </cell>
        </row>
        <row r="6588">
          <cell r="A6588" t="str">
            <v>MT</v>
          </cell>
          <cell r="B6588">
            <v>2008</v>
          </cell>
          <cell r="D6588" t="str">
            <v>SOJA</v>
          </cell>
          <cell r="E6588">
            <v>0</v>
          </cell>
        </row>
        <row r="6589">
          <cell r="A6589" t="str">
            <v>MT</v>
          </cell>
          <cell r="B6589">
            <v>2008</v>
          </cell>
          <cell r="D6589" t="str">
            <v>SOJA</v>
          </cell>
          <cell r="E6589">
            <v>-0.6</v>
          </cell>
        </row>
        <row r="6590">
          <cell r="A6590" t="str">
            <v>MT</v>
          </cell>
          <cell r="B6590">
            <v>2008</v>
          </cell>
          <cell r="D6590" t="str">
            <v>SOJA</v>
          </cell>
          <cell r="E6590">
            <v>208.56200000000001</v>
          </cell>
        </row>
        <row r="6591">
          <cell r="A6591" t="str">
            <v>MT</v>
          </cell>
          <cell r="B6591">
            <v>2008</v>
          </cell>
          <cell r="D6591" t="str">
            <v>SOJA</v>
          </cell>
          <cell r="E6591">
            <v>0</v>
          </cell>
        </row>
        <row r="6592">
          <cell r="A6592" t="str">
            <v>RS</v>
          </cell>
          <cell r="B6592">
            <v>2008</v>
          </cell>
          <cell r="D6592" t="str">
            <v>SOJA</v>
          </cell>
          <cell r="E6592">
            <v>4531.0730000000003</v>
          </cell>
        </row>
        <row r="6593">
          <cell r="A6593" t="str">
            <v>RS</v>
          </cell>
          <cell r="B6593">
            <v>2008</v>
          </cell>
          <cell r="D6593" t="str">
            <v>SOJA</v>
          </cell>
          <cell r="E6593">
            <v>1959.335</v>
          </cell>
        </row>
        <row r="6594">
          <cell r="A6594" t="str">
            <v>RS</v>
          </cell>
          <cell r="B6594">
            <v>2008</v>
          </cell>
          <cell r="D6594" t="str">
            <v>SOJA</v>
          </cell>
          <cell r="E6594">
            <v>6333.8890000000001</v>
          </cell>
        </row>
        <row r="6595">
          <cell r="A6595" t="str">
            <v>RS</v>
          </cell>
          <cell r="B6595">
            <v>2008</v>
          </cell>
          <cell r="D6595" t="str">
            <v>SOJA</v>
          </cell>
          <cell r="E6595">
            <v>25.76</v>
          </cell>
        </row>
        <row r="6596">
          <cell r="A6596" t="str">
            <v>RS</v>
          </cell>
          <cell r="B6596">
            <v>2008</v>
          </cell>
          <cell r="D6596" t="str">
            <v>SOJA</v>
          </cell>
          <cell r="E6596">
            <v>18</v>
          </cell>
        </row>
        <row r="6597">
          <cell r="A6597" t="str">
            <v>RS</v>
          </cell>
          <cell r="B6597">
            <v>2008</v>
          </cell>
          <cell r="D6597" t="str">
            <v>SOJA</v>
          </cell>
          <cell r="E6597">
            <v>2413.306</v>
          </cell>
        </row>
        <row r="6598">
          <cell r="A6598" t="str">
            <v>RS</v>
          </cell>
          <cell r="B6598">
            <v>2008</v>
          </cell>
          <cell r="D6598" t="str">
            <v>SOJA</v>
          </cell>
          <cell r="E6598">
            <v>204.38300000000001</v>
          </cell>
        </row>
        <row r="6599">
          <cell r="A6599" t="str">
            <v>RS</v>
          </cell>
          <cell r="B6599">
            <v>2008</v>
          </cell>
          <cell r="D6599" t="str">
            <v>SOJA</v>
          </cell>
          <cell r="E6599">
            <v>0</v>
          </cell>
        </row>
        <row r="6600">
          <cell r="A6600" t="str">
            <v>RS</v>
          </cell>
          <cell r="B6600">
            <v>2008</v>
          </cell>
          <cell r="D6600" t="str">
            <v>SOJA</v>
          </cell>
          <cell r="E6600">
            <v>2850.1080000000002</v>
          </cell>
        </row>
        <row r="6601">
          <cell r="A6601" t="str">
            <v>RS</v>
          </cell>
          <cell r="B6601">
            <v>2008</v>
          </cell>
          <cell r="D6601" t="str">
            <v>SOJA</v>
          </cell>
          <cell r="E6601">
            <v>4368.442</v>
          </cell>
        </row>
        <row r="6602">
          <cell r="A6602" t="str">
            <v>RS</v>
          </cell>
          <cell r="B6602">
            <v>2008</v>
          </cell>
          <cell r="D6602" t="str">
            <v>SOJA</v>
          </cell>
          <cell r="E6602">
            <v>-18.888999999999999</v>
          </cell>
        </row>
        <row r="6603">
          <cell r="A6603" t="str">
            <v>RS</v>
          </cell>
          <cell r="B6603">
            <v>2008</v>
          </cell>
          <cell r="D6603" t="str">
            <v>SOJA</v>
          </cell>
          <cell r="E6603">
            <v>377.1</v>
          </cell>
        </row>
        <row r="6604">
          <cell r="A6604" t="str">
            <v>RS</v>
          </cell>
          <cell r="B6604">
            <v>2008</v>
          </cell>
          <cell r="D6604" t="str">
            <v>SOJA</v>
          </cell>
          <cell r="E6604">
            <v>-254.024</v>
          </cell>
        </row>
        <row r="6605">
          <cell r="A6605" t="str">
            <v>RS</v>
          </cell>
          <cell r="B6605">
            <v>2008</v>
          </cell>
          <cell r="D6605" t="str">
            <v>SOJA</v>
          </cell>
          <cell r="E6605">
            <v>14713.227999999999</v>
          </cell>
        </row>
        <row r="6606">
          <cell r="A6606" t="str">
            <v>SP</v>
          </cell>
          <cell r="B6606">
            <v>2008</v>
          </cell>
          <cell r="D6606" t="str">
            <v>SOJA</v>
          </cell>
          <cell r="E6606">
            <v>-10.371</v>
          </cell>
        </row>
        <row r="6607">
          <cell r="A6607" t="str">
            <v>PR</v>
          </cell>
          <cell r="B6607">
            <v>2008</v>
          </cell>
          <cell r="D6607" t="str">
            <v>SOJA</v>
          </cell>
          <cell r="E6607">
            <v>6000</v>
          </cell>
        </row>
        <row r="6608">
          <cell r="A6608" t="str">
            <v>PR</v>
          </cell>
          <cell r="B6608">
            <v>2008</v>
          </cell>
          <cell r="D6608" t="str">
            <v>SOJA</v>
          </cell>
          <cell r="E6608">
            <v>291.92099999999999</v>
          </cell>
        </row>
        <row r="6609">
          <cell r="A6609" t="str">
            <v>PR</v>
          </cell>
          <cell r="B6609">
            <v>2008</v>
          </cell>
          <cell r="D6609" t="str">
            <v>SOJA</v>
          </cell>
          <cell r="E6609">
            <v>772.44100000000003</v>
          </cell>
        </row>
        <row r="6610">
          <cell r="A6610" t="str">
            <v>PR</v>
          </cell>
          <cell r="B6610">
            <v>2008</v>
          </cell>
          <cell r="D6610" t="str">
            <v>SOJA</v>
          </cell>
          <cell r="E6610">
            <v>10.95</v>
          </cell>
        </row>
        <row r="6611">
          <cell r="A6611" t="str">
            <v>PR</v>
          </cell>
          <cell r="B6611">
            <v>2008</v>
          </cell>
          <cell r="D6611" t="str">
            <v>SOJA</v>
          </cell>
          <cell r="E6611">
            <v>1500</v>
          </cell>
        </row>
        <row r="6612">
          <cell r="A6612" t="str">
            <v>PR</v>
          </cell>
          <cell r="B6612">
            <v>2008</v>
          </cell>
          <cell r="D6612" t="str">
            <v>SOJA</v>
          </cell>
          <cell r="E6612">
            <v>0</v>
          </cell>
        </row>
        <row r="6613">
          <cell r="A6613" t="str">
            <v>PR</v>
          </cell>
          <cell r="B6613">
            <v>2008</v>
          </cell>
          <cell r="D6613" t="str">
            <v>SOJA</v>
          </cell>
          <cell r="E6613">
            <v>408.83199999999999</v>
          </cell>
        </row>
        <row r="6614">
          <cell r="A6614" t="str">
            <v>BA</v>
          </cell>
          <cell r="B6614">
            <v>2008</v>
          </cell>
          <cell r="D6614" t="str">
            <v>SOJA</v>
          </cell>
          <cell r="E6614">
            <v>0</v>
          </cell>
        </row>
        <row r="6615">
          <cell r="A6615" t="str">
            <v>BA</v>
          </cell>
          <cell r="B6615">
            <v>2008</v>
          </cell>
          <cell r="D6615" t="str">
            <v>SOJA</v>
          </cell>
          <cell r="E6615">
            <v>0</v>
          </cell>
        </row>
        <row r="6616">
          <cell r="A6616" t="str">
            <v>BA</v>
          </cell>
          <cell r="B6616">
            <v>2008</v>
          </cell>
          <cell r="D6616" t="str">
            <v>SOJA</v>
          </cell>
          <cell r="E6616">
            <v>0</v>
          </cell>
        </row>
        <row r="6617">
          <cell r="A6617" t="str">
            <v>BA</v>
          </cell>
          <cell r="B6617">
            <v>2008</v>
          </cell>
          <cell r="D6617" t="str">
            <v>SOJA</v>
          </cell>
          <cell r="E6617">
            <v>141.95599999999999</v>
          </cell>
        </row>
        <row r="6618">
          <cell r="A6618" t="str">
            <v>BA</v>
          </cell>
          <cell r="B6618">
            <v>2008</v>
          </cell>
          <cell r="D6618" t="str">
            <v>SOJA</v>
          </cell>
          <cell r="E6618">
            <v>0</v>
          </cell>
        </row>
        <row r="6619">
          <cell r="A6619" t="str">
            <v>PI</v>
          </cell>
          <cell r="B6619">
            <v>2008</v>
          </cell>
          <cell r="D6619" t="str">
            <v>SOJA</v>
          </cell>
          <cell r="E6619">
            <v>11.05</v>
          </cell>
        </row>
        <row r="6620">
          <cell r="A6620" t="str">
            <v>GO</v>
          </cell>
          <cell r="B6620">
            <v>2008</v>
          </cell>
          <cell r="D6620" t="str">
            <v>SOJA</v>
          </cell>
          <cell r="E6620">
            <v>8.7360000000000007</v>
          </cell>
        </row>
        <row r="6621">
          <cell r="A6621" t="str">
            <v>GO</v>
          </cell>
          <cell r="B6621">
            <v>2008</v>
          </cell>
          <cell r="D6621" t="str">
            <v>SOJA</v>
          </cell>
          <cell r="E6621">
            <v>18.91</v>
          </cell>
        </row>
        <row r="6622">
          <cell r="A6622" t="str">
            <v>MT</v>
          </cell>
          <cell r="B6622">
            <v>2008</v>
          </cell>
          <cell r="D6622" t="str">
            <v>SOJA</v>
          </cell>
          <cell r="E6622">
            <v>47.942</v>
          </cell>
        </row>
        <row r="6623">
          <cell r="A6623" t="str">
            <v>MT</v>
          </cell>
          <cell r="B6623">
            <v>2008</v>
          </cell>
          <cell r="D6623" t="str">
            <v>SOJA</v>
          </cell>
          <cell r="E6623">
            <v>2753.4830000000002</v>
          </cell>
        </row>
        <row r="6624">
          <cell r="A6624" t="str">
            <v>MT</v>
          </cell>
          <cell r="B6624">
            <v>2008</v>
          </cell>
          <cell r="D6624" t="str">
            <v>SOJA</v>
          </cell>
          <cell r="E6624">
            <v>369.91699999999997</v>
          </cell>
        </row>
        <row r="6625">
          <cell r="A6625" t="str">
            <v>MT</v>
          </cell>
          <cell r="B6625">
            <v>2008</v>
          </cell>
          <cell r="D6625" t="str">
            <v>SOJA</v>
          </cell>
          <cell r="E6625">
            <v>1733.462</v>
          </cell>
        </row>
        <row r="6626">
          <cell r="A6626" t="str">
            <v>MT</v>
          </cell>
          <cell r="B6626">
            <v>2008</v>
          </cell>
          <cell r="D6626" t="str">
            <v>SOJA</v>
          </cell>
          <cell r="E6626">
            <v>2145.009</v>
          </cell>
        </row>
        <row r="6627">
          <cell r="A6627" t="str">
            <v>MT</v>
          </cell>
          <cell r="B6627">
            <v>2008</v>
          </cell>
          <cell r="D6627" t="str">
            <v>SOJA</v>
          </cell>
          <cell r="E6627">
            <v>0</v>
          </cell>
        </row>
        <row r="6628">
          <cell r="A6628" t="str">
            <v>MT</v>
          </cell>
          <cell r="B6628">
            <v>2008</v>
          </cell>
          <cell r="D6628" t="str">
            <v>SOJA</v>
          </cell>
          <cell r="E6628">
            <v>43.755000000000003</v>
          </cell>
        </row>
        <row r="6629">
          <cell r="A6629" t="str">
            <v>MT</v>
          </cell>
          <cell r="B6629">
            <v>2008</v>
          </cell>
          <cell r="D6629" t="str">
            <v>SOJA</v>
          </cell>
          <cell r="E6629">
            <v>421.14299999999997</v>
          </cell>
        </row>
        <row r="6630">
          <cell r="A6630" t="str">
            <v>MS</v>
          </cell>
          <cell r="B6630">
            <v>2008</v>
          </cell>
          <cell r="D6630" t="str">
            <v>SOJA</v>
          </cell>
          <cell r="E6630">
            <v>0</v>
          </cell>
        </row>
        <row r="6631">
          <cell r="A6631" t="str">
            <v>MT</v>
          </cell>
          <cell r="B6631">
            <v>2008</v>
          </cell>
          <cell r="D6631" t="str">
            <v>SOJA</v>
          </cell>
          <cell r="E6631">
            <v>20.03</v>
          </cell>
        </row>
        <row r="6632">
          <cell r="A6632" t="str">
            <v>MT</v>
          </cell>
          <cell r="B6632">
            <v>2008</v>
          </cell>
          <cell r="D6632" t="str">
            <v>SOJA</v>
          </cell>
          <cell r="E6632">
            <v>12.56</v>
          </cell>
        </row>
        <row r="6633">
          <cell r="A6633" t="str">
            <v>MT</v>
          </cell>
          <cell r="B6633">
            <v>2008</v>
          </cell>
          <cell r="D6633" t="str">
            <v>SOJA</v>
          </cell>
          <cell r="E6633">
            <v>9.6199999999999992</v>
          </cell>
        </row>
        <row r="6634">
          <cell r="A6634" t="str">
            <v>MT</v>
          </cell>
          <cell r="B6634">
            <v>2008</v>
          </cell>
          <cell r="D6634" t="str">
            <v>SOJA</v>
          </cell>
          <cell r="E6634">
            <v>527.87599999999998</v>
          </cell>
        </row>
        <row r="6635">
          <cell r="A6635" t="str">
            <v>MT</v>
          </cell>
          <cell r="B6635">
            <v>2008</v>
          </cell>
          <cell r="D6635" t="str">
            <v>SOJA</v>
          </cell>
          <cell r="E6635">
            <v>13.5</v>
          </cell>
        </row>
        <row r="6636">
          <cell r="A6636" t="str">
            <v>MT</v>
          </cell>
          <cell r="B6636">
            <v>2008</v>
          </cell>
          <cell r="D6636" t="str">
            <v>SOJA</v>
          </cell>
          <cell r="E6636">
            <v>1.18</v>
          </cell>
        </row>
        <row r="6637">
          <cell r="A6637" t="str">
            <v>MT</v>
          </cell>
          <cell r="B6637">
            <v>2008</v>
          </cell>
          <cell r="D6637" t="str">
            <v>SOJA</v>
          </cell>
          <cell r="E6637">
            <v>4489.2849999999999</v>
          </cell>
        </row>
        <row r="6638">
          <cell r="A6638" t="str">
            <v>MT</v>
          </cell>
          <cell r="B6638">
            <v>2008</v>
          </cell>
          <cell r="D6638" t="str">
            <v>SOJA</v>
          </cell>
          <cell r="E6638">
            <v>0</v>
          </cell>
        </row>
        <row r="6639">
          <cell r="A6639" t="str">
            <v>MT</v>
          </cell>
          <cell r="B6639">
            <v>2008</v>
          </cell>
          <cell r="D6639" t="str">
            <v>SOJA</v>
          </cell>
          <cell r="E6639">
            <v>33.887999999999998</v>
          </cell>
        </row>
        <row r="6640">
          <cell r="A6640" t="str">
            <v>MT</v>
          </cell>
          <cell r="B6640">
            <v>2008</v>
          </cell>
          <cell r="D6640" t="str">
            <v>SOJA</v>
          </cell>
          <cell r="E6640">
            <v>4.38</v>
          </cell>
        </row>
        <row r="6641">
          <cell r="A6641" t="str">
            <v>MT</v>
          </cell>
          <cell r="B6641">
            <v>2008</v>
          </cell>
          <cell r="D6641" t="str">
            <v>SOJA</v>
          </cell>
          <cell r="E6641">
            <v>0</v>
          </cell>
        </row>
        <row r="6642">
          <cell r="A6642" t="str">
            <v>RS</v>
          </cell>
          <cell r="B6642">
            <v>2008</v>
          </cell>
          <cell r="D6642" t="str">
            <v>SOJA</v>
          </cell>
          <cell r="E6642">
            <v>1.61</v>
          </cell>
        </row>
        <row r="6643">
          <cell r="A6643" t="str">
            <v>RS</v>
          </cell>
          <cell r="B6643">
            <v>2008</v>
          </cell>
          <cell r="D6643" t="str">
            <v>SOJA</v>
          </cell>
          <cell r="E6643">
            <v>0</v>
          </cell>
        </row>
        <row r="6644">
          <cell r="A6644" t="str">
            <v>RS</v>
          </cell>
          <cell r="B6644">
            <v>2008</v>
          </cell>
          <cell r="D6644" t="str">
            <v>SOJA</v>
          </cell>
          <cell r="E6644">
            <v>0</v>
          </cell>
        </row>
        <row r="6645">
          <cell r="A6645" t="str">
            <v>RS</v>
          </cell>
          <cell r="B6645">
            <v>2008</v>
          </cell>
          <cell r="D6645" t="str">
            <v>SOJA</v>
          </cell>
          <cell r="E6645">
            <v>16.812000000000001</v>
          </cell>
        </row>
        <row r="6646">
          <cell r="A6646" t="str">
            <v>RS</v>
          </cell>
          <cell r="B6646">
            <v>2008</v>
          </cell>
          <cell r="D6646" t="str">
            <v>SOJA</v>
          </cell>
          <cell r="E6646">
            <v>1861.22</v>
          </cell>
        </row>
        <row r="6647">
          <cell r="A6647" t="str">
            <v>PR</v>
          </cell>
          <cell r="B6647">
            <v>2008</v>
          </cell>
          <cell r="D6647" t="str">
            <v>SOJA</v>
          </cell>
          <cell r="E6647">
            <v>10.3</v>
          </cell>
        </row>
        <row r="6648">
          <cell r="A6648" t="str">
            <v>PR</v>
          </cell>
          <cell r="B6648">
            <v>2008</v>
          </cell>
          <cell r="D6648" t="str">
            <v>SOJA</v>
          </cell>
          <cell r="E6648">
            <v>89.233999999999995</v>
          </cell>
        </row>
        <row r="6649">
          <cell r="A6649" t="str">
            <v>PR</v>
          </cell>
          <cell r="B6649">
            <v>2008</v>
          </cell>
          <cell r="D6649" t="str">
            <v>SOJA</v>
          </cell>
          <cell r="E6649">
            <v>9321</v>
          </cell>
        </row>
        <row r="6650">
          <cell r="A6650" t="str">
            <v>PR</v>
          </cell>
          <cell r="B6650">
            <v>2008</v>
          </cell>
          <cell r="D6650" t="str">
            <v>SOJA</v>
          </cell>
          <cell r="E6650">
            <v>1463.383</v>
          </cell>
        </row>
        <row r="6651">
          <cell r="A6651" t="str">
            <v>PR</v>
          </cell>
          <cell r="B6651">
            <v>2008</v>
          </cell>
          <cell r="D6651" t="str">
            <v>SOJA</v>
          </cell>
          <cell r="E6651">
            <v>0</v>
          </cell>
        </row>
        <row r="6652">
          <cell r="A6652" t="str">
            <v>PR</v>
          </cell>
          <cell r="B6652">
            <v>2008</v>
          </cell>
          <cell r="D6652" t="str">
            <v>SOJA</v>
          </cell>
          <cell r="E6652">
            <v>118.14</v>
          </cell>
        </row>
        <row r="6653">
          <cell r="A6653" t="str">
            <v>PR</v>
          </cell>
          <cell r="B6653">
            <v>2008</v>
          </cell>
          <cell r="D6653" t="str">
            <v>SOJA</v>
          </cell>
          <cell r="E6653">
            <v>270.58</v>
          </cell>
        </row>
        <row r="6654">
          <cell r="A6654" t="str">
            <v>PR</v>
          </cell>
          <cell r="B6654">
            <v>2008</v>
          </cell>
          <cell r="D6654" t="str">
            <v>SOJA</v>
          </cell>
          <cell r="E6654">
            <v>108.045</v>
          </cell>
        </row>
        <row r="6655">
          <cell r="A6655" t="str">
            <v>PR</v>
          </cell>
          <cell r="B6655">
            <v>2008</v>
          </cell>
          <cell r="D6655" t="str">
            <v>SOJA</v>
          </cell>
          <cell r="E6655">
            <v>0</v>
          </cell>
        </row>
        <row r="6656">
          <cell r="A6656" t="str">
            <v>PR</v>
          </cell>
          <cell r="B6656">
            <v>2008</v>
          </cell>
          <cell r="D6656" t="str">
            <v>SOJA</v>
          </cell>
          <cell r="E6656">
            <v>0</v>
          </cell>
        </row>
        <row r="6657">
          <cell r="A6657" t="str">
            <v>PR</v>
          </cell>
          <cell r="B6657">
            <v>2008</v>
          </cell>
          <cell r="D6657" t="str">
            <v>SOJA</v>
          </cell>
          <cell r="E6657">
            <v>465.77</v>
          </cell>
        </row>
        <row r="6658">
          <cell r="A6658" t="str">
            <v>BA</v>
          </cell>
          <cell r="B6658">
            <v>2008</v>
          </cell>
          <cell r="D6658" t="str">
            <v>MILHO</v>
          </cell>
          <cell r="E6658">
            <v>162.48599999999999</v>
          </cell>
        </row>
        <row r="6659">
          <cell r="A6659" t="str">
            <v>MT</v>
          </cell>
          <cell r="B6659">
            <v>2008</v>
          </cell>
          <cell r="D6659" t="str">
            <v>MILHO</v>
          </cell>
          <cell r="E6659">
            <v>0</v>
          </cell>
        </row>
        <row r="6660">
          <cell r="A6660" t="str">
            <v>MT</v>
          </cell>
          <cell r="B6660">
            <v>2008</v>
          </cell>
          <cell r="D6660" t="str">
            <v>MILHO</v>
          </cell>
          <cell r="E6660">
            <v>0</v>
          </cell>
        </row>
        <row r="6661">
          <cell r="A6661" t="str">
            <v>MT</v>
          </cell>
          <cell r="B6661">
            <v>2008</v>
          </cell>
          <cell r="D6661" t="str">
            <v>MILHO</v>
          </cell>
          <cell r="E6661">
            <v>261.666</v>
          </cell>
        </row>
        <row r="6662">
          <cell r="A6662" t="str">
            <v>RS</v>
          </cell>
          <cell r="B6662">
            <v>2008</v>
          </cell>
          <cell r="D6662" t="str">
            <v>MILHO</v>
          </cell>
          <cell r="E6662">
            <v>0</v>
          </cell>
        </row>
        <row r="6663">
          <cell r="A6663" t="str">
            <v>RS</v>
          </cell>
          <cell r="B6663">
            <v>2008</v>
          </cell>
          <cell r="D6663" t="str">
            <v>MILHO</v>
          </cell>
          <cell r="E6663">
            <v>-26.4</v>
          </cell>
        </row>
        <row r="6664">
          <cell r="A6664" t="str">
            <v>RS</v>
          </cell>
          <cell r="B6664">
            <v>2008</v>
          </cell>
          <cell r="D6664" t="str">
            <v>MILHO</v>
          </cell>
          <cell r="E6664">
            <v>-240.95699999999999</v>
          </cell>
        </row>
        <row r="6665">
          <cell r="A6665" t="str">
            <v>RS</v>
          </cell>
          <cell r="B6665">
            <v>2008</v>
          </cell>
          <cell r="D6665" t="str">
            <v>MILHO</v>
          </cell>
          <cell r="E6665">
            <v>-108.348</v>
          </cell>
        </row>
        <row r="6666">
          <cell r="A6666" t="str">
            <v>RS</v>
          </cell>
          <cell r="B6666">
            <v>2008</v>
          </cell>
          <cell r="D6666" t="str">
            <v>MILHO</v>
          </cell>
          <cell r="E6666">
            <v>0</v>
          </cell>
        </row>
        <row r="6667">
          <cell r="A6667" t="str">
            <v>PR</v>
          </cell>
          <cell r="B6667">
            <v>2008</v>
          </cell>
          <cell r="D6667" t="str">
            <v>MILHO</v>
          </cell>
          <cell r="E6667">
            <v>0</v>
          </cell>
        </row>
        <row r="6668">
          <cell r="A6668" t="str">
            <v>PR</v>
          </cell>
          <cell r="B6668">
            <v>2008</v>
          </cell>
          <cell r="D6668" t="str">
            <v>MILHO</v>
          </cell>
          <cell r="E6668">
            <v>0</v>
          </cell>
        </row>
        <row r="6669">
          <cell r="A6669" t="str">
            <v>PR</v>
          </cell>
          <cell r="B6669">
            <v>2008</v>
          </cell>
          <cell r="D6669" t="str">
            <v>MILHO</v>
          </cell>
          <cell r="E6669">
            <v>0</v>
          </cell>
        </row>
        <row r="6670">
          <cell r="A6670" t="str">
            <v>PR</v>
          </cell>
          <cell r="B6670">
            <v>2008</v>
          </cell>
          <cell r="D6670" t="str">
            <v>MILHO</v>
          </cell>
          <cell r="E6670">
            <v>14.513999999999999</v>
          </cell>
        </row>
        <row r="6671">
          <cell r="A6671" t="str">
            <v>PR</v>
          </cell>
          <cell r="B6671">
            <v>2008</v>
          </cell>
          <cell r="D6671" t="str">
            <v>MILHO</v>
          </cell>
          <cell r="E6671">
            <v>0</v>
          </cell>
        </row>
        <row r="6672">
          <cell r="A6672" t="str">
            <v>BA</v>
          </cell>
          <cell r="B6672">
            <v>2008</v>
          </cell>
          <cell r="D6672" t="str">
            <v>MILHO</v>
          </cell>
          <cell r="E6672">
            <v>1007.705</v>
          </cell>
        </row>
        <row r="6673">
          <cell r="A6673" t="str">
            <v>MG</v>
          </cell>
          <cell r="B6673">
            <v>2008</v>
          </cell>
          <cell r="D6673" t="str">
            <v>MILHO</v>
          </cell>
          <cell r="E6673">
            <v>0</v>
          </cell>
        </row>
        <row r="6674">
          <cell r="A6674" t="str">
            <v>MS</v>
          </cell>
          <cell r="B6674">
            <v>2008</v>
          </cell>
          <cell r="D6674" t="str">
            <v>MILHO</v>
          </cell>
          <cell r="E6674">
            <v>0</v>
          </cell>
        </row>
        <row r="6675">
          <cell r="A6675" t="str">
            <v>MS</v>
          </cell>
          <cell r="B6675">
            <v>2008</v>
          </cell>
          <cell r="D6675" t="str">
            <v>MILHO</v>
          </cell>
          <cell r="E6675">
            <v>47.436</v>
          </cell>
        </row>
        <row r="6676">
          <cell r="A6676" t="str">
            <v>MT</v>
          </cell>
          <cell r="B6676">
            <v>2008</v>
          </cell>
          <cell r="D6676" t="str">
            <v>MILHO</v>
          </cell>
          <cell r="E6676">
            <v>0.03</v>
          </cell>
        </row>
        <row r="6677">
          <cell r="A6677" t="str">
            <v>RS</v>
          </cell>
          <cell r="B6677">
            <v>2008</v>
          </cell>
          <cell r="D6677" t="str">
            <v>MILHO</v>
          </cell>
          <cell r="E6677">
            <v>7469.93</v>
          </cell>
        </row>
        <row r="6678">
          <cell r="A6678" t="str">
            <v>RS</v>
          </cell>
          <cell r="B6678">
            <v>2008</v>
          </cell>
          <cell r="D6678" t="str">
            <v>MILHO</v>
          </cell>
          <cell r="E6678">
            <v>957.98</v>
          </cell>
        </row>
        <row r="6679">
          <cell r="A6679" t="str">
            <v>RS</v>
          </cell>
          <cell r="B6679">
            <v>2008</v>
          </cell>
          <cell r="D6679" t="str">
            <v>MILHO</v>
          </cell>
          <cell r="E6679">
            <v>765.43</v>
          </cell>
        </row>
        <row r="6680">
          <cell r="A6680" t="str">
            <v>RS</v>
          </cell>
          <cell r="B6680">
            <v>2008</v>
          </cell>
          <cell r="D6680" t="str">
            <v>MILHO</v>
          </cell>
          <cell r="E6680">
            <v>3316.223</v>
          </cell>
        </row>
        <row r="6681">
          <cell r="A6681" t="str">
            <v>RS</v>
          </cell>
          <cell r="B6681">
            <v>2008</v>
          </cell>
          <cell r="D6681" t="str">
            <v>MILHO</v>
          </cell>
          <cell r="E6681">
            <v>6166.5249999999996</v>
          </cell>
        </row>
        <row r="6682">
          <cell r="A6682" t="str">
            <v>RS</v>
          </cell>
          <cell r="B6682">
            <v>2008</v>
          </cell>
          <cell r="D6682" t="str">
            <v>MILHO</v>
          </cell>
          <cell r="E6682">
            <v>7805.2169999999996</v>
          </cell>
        </row>
        <row r="6683">
          <cell r="A6683" t="str">
            <v>RS</v>
          </cell>
          <cell r="B6683">
            <v>2008</v>
          </cell>
          <cell r="D6683" t="str">
            <v>MILHO</v>
          </cell>
          <cell r="E6683">
            <v>933.79700000000003</v>
          </cell>
        </row>
        <row r="6684">
          <cell r="A6684" t="str">
            <v>RS</v>
          </cell>
          <cell r="B6684">
            <v>2008</v>
          </cell>
          <cell r="D6684" t="str">
            <v>MILHO</v>
          </cell>
          <cell r="E6684">
            <v>5674.5690000000004</v>
          </cell>
        </row>
        <row r="6685">
          <cell r="A6685" t="str">
            <v>RS</v>
          </cell>
          <cell r="B6685">
            <v>2008</v>
          </cell>
          <cell r="D6685" t="str">
            <v>MILHO</v>
          </cell>
          <cell r="E6685">
            <v>22292.377</v>
          </cell>
        </row>
        <row r="6686">
          <cell r="A6686" t="str">
            <v>RS</v>
          </cell>
          <cell r="B6686">
            <v>2008</v>
          </cell>
          <cell r="D6686" t="str">
            <v>MILHO</v>
          </cell>
          <cell r="E6686">
            <v>589.35400000000004</v>
          </cell>
        </row>
        <row r="6687">
          <cell r="A6687" t="str">
            <v>RS</v>
          </cell>
          <cell r="B6687">
            <v>2008</v>
          </cell>
          <cell r="D6687" t="str">
            <v>MILHO</v>
          </cell>
          <cell r="E6687">
            <v>0</v>
          </cell>
        </row>
        <row r="6688">
          <cell r="A6688" t="str">
            <v>RS</v>
          </cell>
          <cell r="B6688">
            <v>2008</v>
          </cell>
          <cell r="D6688" t="str">
            <v>MILHO</v>
          </cell>
          <cell r="E6688">
            <v>424.34</v>
          </cell>
        </row>
        <row r="6689">
          <cell r="A6689" t="str">
            <v>SC</v>
          </cell>
          <cell r="B6689">
            <v>2008</v>
          </cell>
          <cell r="D6689" t="str">
            <v>MILHO</v>
          </cell>
          <cell r="E6689">
            <v>57.14</v>
          </cell>
        </row>
        <row r="6690">
          <cell r="A6690" t="str">
            <v>PR</v>
          </cell>
          <cell r="B6690">
            <v>2008</v>
          </cell>
          <cell r="D6690" t="str">
            <v>MILHO</v>
          </cell>
          <cell r="E6690">
            <v>360</v>
          </cell>
        </row>
        <row r="6691">
          <cell r="A6691" t="str">
            <v>SP</v>
          </cell>
          <cell r="B6691">
            <v>2008</v>
          </cell>
          <cell r="D6691" t="str">
            <v>MILHO</v>
          </cell>
          <cell r="E6691">
            <v>0</v>
          </cell>
        </row>
        <row r="6692">
          <cell r="A6692" t="str">
            <v>PR</v>
          </cell>
          <cell r="B6692">
            <v>2008</v>
          </cell>
          <cell r="D6692" t="str">
            <v>MILHO</v>
          </cell>
          <cell r="E6692">
            <v>1899.252</v>
          </cell>
        </row>
        <row r="6693">
          <cell r="A6693" t="str">
            <v>PR</v>
          </cell>
          <cell r="B6693">
            <v>2008</v>
          </cell>
          <cell r="D6693" t="str">
            <v>MILHO</v>
          </cell>
          <cell r="E6693">
            <v>1148.92</v>
          </cell>
        </row>
        <row r="6694">
          <cell r="A6694" t="str">
            <v>PR</v>
          </cell>
          <cell r="B6694">
            <v>2008</v>
          </cell>
          <cell r="D6694" t="str">
            <v>MILHO</v>
          </cell>
          <cell r="E6694">
            <v>7142.317</v>
          </cell>
        </row>
        <row r="6695">
          <cell r="A6695" t="str">
            <v>PR</v>
          </cell>
          <cell r="B6695">
            <v>2008</v>
          </cell>
          <cell r="D6695" t="str">
            <v>MILHO</v>
          </cell>
          <cell r="E6695">
            <v>126.18600000000001</v>
          </cell>
        </row>
        <row r="6696">
          <cell r="A6696" t="str">
            <v>PR</v>
          </cell>
          <cell r="B6696">
            <v>2008</v>
          </cell>
          <cell r="D6696" t="str">
            <v>MILHO</v>
          </cell>
          <cell r="E6696">
            <v>272.61200000000002</v>
          </cell>
        </row>
        <row r="6697">
          <cell r="A6697" t="str">
            <v>PR</v>
          </cell>
          <cell r="B6697">
            <v>2008</v>
          </cell>
          <cell r="D6697" t="str">
            <v>MILHO</v>
          </cell>
          <cell r="E6697">
            <v>0</v>
          </cell>
        </row>
        <row r="6698">
          <cell r="A6698" t="str">
            <v>PR</v>
          </cell>
          <cell r="B6698">
            <v>2008</v>
          </cell>
          <cell r="D6698" t="str">
            <v>MILHO</v>
          </cell>
          <cell r="E6698">
            <v>1403.56</v>
          </cell>
        </row>
        <row r="6699">
          <cell r="A6699" t="str">
            <v>PR</v>
          </cell>
          <cell r="B6699">
            <v>2008</v>
          </cell>
          <cell r="D6699" t="str">
            <v>MILHO</v>
          </cell>
          <cell r="E6699">
            <v>1974.5740000000001</v>
          </cell>
        </row>
        <row r="6700">
          <cell r="A6700" t="str">
            <v>PR</v>
          </cell>
          <cell r="B6700">
            <v>2008</v>
          </cell>
          <cell r="D6700" t="str">
            <v>MILHO</v>
          </cell>
          <cell r="E6700">
            <v>1646.3789999999999</v>
          </cell>
        </row>
        <row r="6701">
          <cell r="A6701" t="str">
            <v>PR</v>
          </cell>
          <cell r="B6701">
            <v>2008</v>
          </cell>
          <cell r="D6701" t="str">
            <v>MILHO</v>
          </cell>
          <cell r="E6701">
            <v>17232.201000000001</v>
          </cell>
        </row>
        <row r="6702">
          <cell r="A6702" t="str">
            <v>PR</v>
          </cell>
          <cell r="B6702">
            <v>2008</v>
          </cell>
          <cell r="D6702" t="str">
            <v>MILHO</v>
          </cell>
          <cell r="E6702">
            <v>406.15499999999997</v>
          </cell>
        </row>
        <row r="6703">
          <cell r="A6703" t="str">
            <v>PR</v>
          </cell>
          <cell r="B6703">
            <v>2008</v>
          </cell>
          <cell r="D6703" t="str">
            <v>MILHO</v>
          </cell>
          <cell r="E6703">
            <v>1822.2729999999999</v>
          </cell>
        </row>
        <row r="6704">
          <cell r="A6704" t="str">
            <v>PR</v>
          </cell>
          <cell r="B6704">
            <v>2008</v>
          </cell>
          <cell r="D6704" t="str">
            <v>MILHO</v>
          </cell>
          <cell r="E6704">
            <v>2962.0340000000001</v>
          </cell>
        </row>
        <row r="6705">
          <cell r="A6705" t="str">
            <v>PR</v>
          </cell>
          <cell r="B6705">
            <v>2008</v>
          </cell>
          <cell r="D6705" t="str">
            <v>MILHO</v>
          </cell>
          <cell r="E6705">
            <v>4798.3019999999997</v>
          </cell>
        </row>
        <row r="6706">
          <cell r="A6706" t="str">
            <v>BA</v>
          </cell>
          <cell r="B6706">
            <v>2008</v>
          </cell>
          <cell r="D6706" t="str">
            <v>SOJA</v>
          </cell>
          <cell r="E6706">
            <v>74.489999999999995</v>
          </cell>
        </row>
        <row r="6707">
          <cell r="A6707" t="str">
            <v>BA</v>
          </cell>
          <cell r="B6707">
            <v>2008</v>
          </cell>
          <cell r="D6707" t="str">
            <v>SOJA</v>
          </cell>
          <cell r="E6707">
            <v>0</v>
          </cell>
        </row>
        <row r="6708">
          <cell r="A6708" t="str">
            <v>BA</v>
          </cell>
          <cell r="B6708">
            <v>2008</v>
          </cell>
          <cell r="D6708" t="str">
            <v>SOJA</v>
          </cell>
          <cell r="E6708">
            <v>0</v>
          </cell>
        </row>
        <row r="6709">
          <cell r="A6709" t="str">
            <v>BA</v>
          </cell>
          <cell r="B6709">
            <v>2008</v>
          </cell>
          <cell r="D6709" t="str">
            <v>SOJA</v>
          </cell>
          <cell r="E6709">
            <v>-1.544</v>
          </cell>
        </row>
        <row r="6710">
          <cell r="A6710" t="str">
            <v>BA</v>
          </cell>
          <cell r="B6710">
            <v>2008</v>
          </cell>
          <cell r="D6710" t="str">
            <v>SOJA</v>
          </cell>
          <cell r="E6710">
            <v>0</v>
          </cell>
        </row>
        <row r="6711">
          <cell r="A6711" t="str">
            <v>MT</v>
          </cell>
          <cell r="B6711">
            <v>2008</v>
          </cell>
          <cell r="D6711" t="str">
            <v>SOJA</v>
          </cell>
          <cell r="E6711">
            <v>0</v>
          </cell>
        </row>
        <row r="6712">
          <cell r="A6712" t="str">
            <v>MT</v>
          </cell>
          <cell r="B6712">
            <v>2008</v>
          </cell>
          <cell r="D6712" t="str">
            <v>SOJA</v>
          </cell>
          <cell r="E6712">
            <v>-26.620999999999999</v>
          </cell>
        </row>
        <row r="6713">
          <cell r="A6713" t="str">
            <v>MS</v>
          </cell>
          <cell r="B6713">
            <v>2008</v>
          </cell>
          <cell r="D6713" t="str">
            <v>SOJA</v>
          </cell>
          <cell r="E6713">
            <v>0</v>
          </cell>
        </row>
        <row r="6714">
          <cell r="A6714" t="str">
            <v>MT</v>
          </cell>
          <cell r="B6714">
            <v>2008</v>
          </cell>
          <cell r="D6714" t="str">
            <v>SOJA</v>
          </cell>
          <cell r="E6714">
            <v>-22.129000000000001</v>
          </cell>
        </row>
        <row r="6715">
          <cell r="A6715" t="str">
            <v>MT</v>
          </cell>
          <cell r="B6715">
            <v>2008</v>
          </cell>
          <cell r="D6715" t="str">
            <v>SOJA</v>
          </cell>
          <cell r="E6715">
            <v>16.222000000000001</v>
          </cell>
        </row>
        <row r="6716">
          <cell r="A6716" t="str">
            <v>MT</v>
          </cell>
          <cell r="B6716">
            <v>2008</v>
          </cell>
          <cell r="D6716" t="str">
            <v>SOJA</v>
          </cell>
          <cell r="E6716">
            <v>1754.327</v>
          </cell>
        </row>
        <row r="6717">
          <cell r="A6717" t="str">
            <v>MT</v>
          </cell>
          <cell r="B6717">
            <v>2008</v>
          </cell>
          <cell r="D6717" t="str">
            <v>SOJA</v>
          </cell>
          <cell r="E6717">
            <v>0</v>
          </cell>
        </row>
        <row r="6718">
          <cell r="A6718" t="str">
            <v>MT</v>
          </cell>
          <cell r="B6718">
            <v>2008</v>
          </cell>
          <cell r="D6718" t="str">
            <v>SOJA</v>
          </cell>
          <cell r="E6718">
            <v>0</v>
          </cell>
        </row>
        <row r="6719">
          <cell r="A6719" t="str">
            <v>MT</v>
          </cell>
          <cell r="B6719">
            <v>2008</v>
          </cell>
          <cell r="D6719" t="str">
            <v>SOJA</v>
          </cell>
          <cell r="E6719">
            <v>4567.8140000000003</v>
          </cell>
        </row>
        <row r="6720">
          <cell r="A6720" t="str">
            <v>MT</v>
          </cell>
          <cell r="B6720">
            <v>2008</v>
          </cell>
          <cell r="D6720" t="str">
            <v>SOJA</v>
          </cell>
          <cell r="E6720">
            <v>466.52300000000002</v>
          </cell>
        </row>
        <row r="6721">
          <cell r="A6721" t="str">
            <v>SC</v>
          </cell>
          <cell r="B6721">
            <v>2008</v>
          </cell>
          <cell r="D6721" t="str">
            <v>SOJA</v>
          </cell>
          <cell r="E6721">
            <v>39.32</v>
          </cell>
        </row>
        <row r="6722">
          <cell r="A6722" t="str">
            <v>RS</v>
          </cell>
          <cell r="B6722">
            <v>2008</v>
          </cell>
          <cell r="D6722" t="str">
            <v>SOJA</v>
          </cell>
          <cell r="E6722">
            <v>127.18</v>
          </cell>
        </row>
        <row r="6723">
          <cell r="A6723" t="str">
            <v>RS</v>
          </cell>
          <cell r="B6723">
            <v>2008</v>
          </cell>
          <cell r="D6723" t="str">
            <v>SOJA</v>
          </cell>
          <cell r="E6723">
            <v>1241.7</v>
          </cell>
        </row>
        <row r="6724">
          <cell r="A6724" t="str">
            <v>RS</v>
          </cell>
          <cell r="B6724">
            <v>2008</v>
          </cell>
          <cell r="D6724" t="str">
            <v>SOJA</v>
          </cell>
          <cell r="E6724">
            <v>7357.1859999999997</v>
          </cell>
        </row>
        <row r="6725">
          <cell r="A6725" t="str">
            <v>RS</v>
          </cell>
          <cell r="B6725">
            <v>2008</v>
          </cell>
          <cell r="D6725" t="str">
            <v>SOJA</v>
          </cell>
          <cell r="E6725">
            <v>429.70400000000001</v>
          </cell>
        </row>
        <row r="6726">
          <cell r="A6726" t="str">
            <v>RS</v>
          </cell>
          <cell r="B6726">
            <v>2008</v>
          </cell>
          <cell r="D6726" t="str">
            <v>SOJA</v>
          </cell>
          <cell r="E6726">
            <v>0</v>
          </cell>
        </row>
        <row r="6727">
          <cell r="A6727" t="str">
            <v>RS</v>
          </cell>
          <cell r="B6727">
            <v>2008</v>
          </cell>
          <cell r="D6727" t="str">
            <v>SOJA</v>
          </cell>
          <cell r="E6727">
            <v>1661.5440000000001</v>
          </cell>
        </row>
        <row r="6728">
          <cell r="A6728" t="str">
            <v>RS</v>
          </cell>
          <cell r="B6728">
            <v>2008</v>
          </cell>
          <cell r="D6728" t="str">
            <v>SOJA</v>
          </cell>
          <cell r="E6728">
            <v>56.915999999999997</v>
          </cell>
        </row>
        <row r="6729">
          <cell r="A6729" t="str">
            <v>RS</v>
          </cell>
          <cell r="B6729">
            <v>2008</v>
          </cell>
          <cell r="D6729" t="str">
            <v>SOJA</v>
          </cell>
          <cell r="E6729">
            <v>3262.2060000000001</v>
          </cell>
        </row>
        <row r="6730">
          <cell r="A6730" t="str">
            <v>RS</v>
          </cell>
          <cell r="B6730">
            <v>2008</v>
          </cell>
          <cell r="D6730" t="str">
            <v>SOJA</v>
          </cell>
          <cell r="E6730">
            <v>522.23599999999999</v>
          </cell>
        </row>
        <row r="6731">
          <cell r="A6731" t="str">
            <v>RS</v>
          </cell>
          <cell r="B6731">
            <v>2008</v>
          </cell>
          <cell r="D6731" t="str">
            <v>SOJA</v>
          </cell>
          <cell r="E6731">
            <v>-48.375</v>
          </cell>
        </row>
        <row r="6732">
          <cell r="A6732" t="str">
            <v>RS</v>
          </cell>
          <cell r="B6732">
            <v>2008</v>
          </cell>
          <cell r="D6732" t="str">
            <v>SOJA</v>
          </cell>
          <cell r="E6732">
            <v>128.47999999999999</v>
          </cell>
        </row>
        <row r="6733">
          <cell r="A6733" t="str">
            <v>RS</v>
          </cell>
          <cell r="B6733">
            <v>2008</v>
          </cell>
          <cell r="D6733" t="str">
            <v>SOJA</v>
          </cell>
          <cell r="E6733">
            <v>840.46500000000003</v>
          </cell>
        </row>
        <row r="6734">
          <cell r="A6734" t="str">
            <v>RS</v>
          </cell>
          <cell r="B6734">
            <v>2008</v>
          </cell>
          <cell r="D6734" t="str">
            <v>SOJA</v>
          </cell>
          <cell r="E6734">
            <v>5570.7920000000004</v>
          </cell>
        </row>
        <row r="6735">
          <cell r="A6735" t="str">
            <v>SC</v>
          </cell>
          <cell r="B6735">
            <v>2008</v>
          </cell>
          <cell r="D6735" t="str">
            <v>SOJA</v>
          </cell>
          <cell r="E6735">
            <v>42.6</v>
          </cell>
        </row>
        <row r="6736">
          <cell r="A6736" t="str">
            <v>PR</v>
          </cell>
          <cell r="B6736">
            <v>2008</v>
          </cell>
          <cell r="D6736" t="str">
            <v>SOJA</v>
          </cell>
          <cell r="E6736">
            <v>15.645</v>
          </cell>
        </row>
        <row r="6737">
          <cell r="A6737" t="str">
            <v>PR</v>
          </cell>
          <cell r="B6737">
            <v>2008</v>
          </cell>
          <cell r="D6737" t="str">
            <v>SOJA</v>
          </cell>
          <cell r="E6737">
            <v>506.16</v>
          </cell>
        </row>
        <row r="6738">
          <cell r="A6738" t="str">
            <v>PR</v>
          </cell>
          <cell r="B6738">
            <v>2008</v>
          </cell>
          <cell r="D6738" t="str">
            <v>SOJA</v>
          </cell>
          <cell r="E6738">
            <v>-32.265000000000001</v>
          </cell>
        </row>
        <row r="6739">
          <cell r="A6739" t="str">
            <v>PR</v>
          </cell>
          <cell r="B6739">
            <v>2008</v>
          </cell>
          <cell r="D6739" t="str">
            <v>SOJA</v>
          </cell>
          <cell r="E6739">
            <v>907.56100000000004</v>
          </cell>
        </row>
        <row r="6740">
          <cell r="A6740" t="str">
            <v>PR</v>
          </cell>
          <cell r="B6740">
            <v>2008</v>
          </cell>
          <cell r="D6740" t="str">
            <v>SOJA</v>
          </cell>
          <cell r="E6740">
            <v>198.73</v>
          </cell>
        </row>
        <row r="6741">
          <cell r="A6741" t="str">
            <v>PR</v>
          </cell>
          <cell r="B6741">
            <v>2008</v>
          </cell>
          <cell r="D6741" t="str">
            <v>SOJA</v>
          </cell>
          <cell r="E6741">
            <v>3.78</v>
          </cell>
        </row>
        <row r="6742">
          <cell r="A6742" t="str">
            <v>PR</v>
          </cell>
          <cell r="B6742">
            <v>2008</v>
          </cell>
          <cell r="D6742" t="str">
            <v>SOJA</v>
          </cell>
          <cell r="E6742">
            <v>39.909999999999997</v>
          </cell>
        </row>
        <row r="6743">
          <cell r="A6743" t="str">
            <v>PR</v>
          </cell>
          <cell r="B6743">
            <v>2008</v>
          </cell>
          <cell r="D6743" t="str">
            <v>SOJA</v>
          </cell>
          <cell r="E6743">
            <v>0</v>
          </cell>
        </row>
        <row r="6744">
          <cell r="A6744" t="str">
            <v>BA</v>
          </cell>
          <cell r="B6744">
            <v>2008</v>
          </cell>
          <cell r="D6744" t="str">
            <v>SOJA</v>
          </cell>
          <cell r="E6744">
            <v>8.5399999999999991</v>
          </cell>
        </row>
        <row r="6745">
          <cell r="A6745" t="str">
            <v>BA</v>
          </cell>
          <cell r="B6745">
            <v>2008</v>
          </cell>
          <cell r="D6745" t="str">
            <v>SOJA</v>
          </cell>
          <cell r="E6745">
            <v>9.75</v>
          </cell>
        </row>
        <row r="6746">
          <cell r="A6746" t="str">
            <v>BA</v>
          </cell>
          <cell r="B6746">
            <v>2008</v>
          </cell>
          <cell r="D6746" t="str">
            <v>SOJA</v>
          </cell>
          <cell r="E6746">
            <v>0</v>
          </cell>
        </row>
        <row r="6747">
          <cell r="A6747" t="str">
            <v>BA</v>
          </cell>
          <cell r="B6747">
            <v>2008</v>
          </cell>
          <cell r="D6747" t="str">
            <v>SOJA</v>
          </cell>
          <cell r="E6747">
            <v>418.44400000000002</v>
          </cell>
        </row>
        <row r="6748">
          <cell r="A6748" t="str">
            <v>BA</v>
          </cell>
          <cell r="B6748">
            <v>2008</v>
          </cell>
          <cell r="D6748" t="str">
            <v>SOJA</v>
          </cell>
          <cell r="E6748">
            <v>4.4889999999999999</v>
          </cell>
        </row>
        <row r="6749">
          <cell r="A6749" t="str">
            <v>TO</v>
          </cell>
          <cell r="B6749">
            <v>2008</v>
          </cell>
          <cell r="D6749" t="str">
            <v>SOJA</v>
          </cell>
          <cell r="E6749">
            <v>129.173</v>
          </cell>
        </row>
        <row r="6750">
          <cell r="A6750" t="str">
            <v>MA</v>
          </cell>
          <cell r="B6750">
            <v>2008</v>
          </cell>
          <cell r="D6750" t="str">
            <v>SOJA</v>
          </cell>
          <cell r="E6750">
            <v>120.422</v>
          </cell>
        </row>
        <row r="6751">
          <cell r="A6751" t="str">
            <v>TO</v>
          </cell>
          <cell r="B6751">
            <v>2008</v>
          </cell>
          <cell r="D6751" t="str">
            <v>SOJA</v>
          </cell>
          <cell r="E6751">
            <v>114.634</v>
          </cell>
        </row>
        <row r="6752">
          <cell r="A6752" t="str">
            <v>TO</v>
          </cell>
          <cell r="B6752">
            <v>2008</v>
          </cell>
          <cell r="D6752" t="str">
            <v>SOJA</v>
          </cell>
          <cell r="E6752">
            <v>499.3</v>
          </cell>
        </row>
        <row r="6753">
          <cell r="A6753" t="str">
            <v>TO</v>
          </cell>
          <cell r="B6753">
            <v>2008</v>
          </cell>
          <cell r="D6753" t="str">
            <v>SOJA</v>
          </cell>
          <cell r="E6753">
            <v>3.35</v>
          </cell>
        </row>
        <row r="6754">
          <cell r="A6754" t="str">
            <v>PI</v>
          </cell>
          <cell r="B6754">
            <v>2008</v>
          </cell>
          <cell r="D6754" t="str">
            <v>SOJA</v>
          </cell>
          <cell r="E6754">
            <v>18.899999999999999</v>
          </cell>
        </row>
        <row r="6755">
          <cell r="A6755" t="str">
            <v>GO</v>
          </cell>
          <cell r="B6755">
            <v>2008</v>
          </cell>
          <cell r="D6755" t="str">
            <v>SOJA</v>
          </cell>
          <cell r="E6755">
            <v>11.773</v>
          </cell>
        </row>
        <row r="6756">
          <cell r="A6756" t="str">
            <v>GO</v>
          </cell>
          <cell r="B6756">
            <v>2008</v>
          </cell>
          <cell r="D6756" t="str">
            <v>SOJA</v>
          </cell>
          <cell r="E6756">
            <v>417.99799999999999</v>
          </cell>
        </row>
        <row r="6757">
          <cell r="A6757" t="str">
            <v>MG</v>
          </cell>
          <cell r="B6757">
            <v>2008</v>
          </cell>
          <cell r="D6757" t="str">
            <v>SOJA</v>
          </cell>
          <cell r="E6757">
            <v>0</v>
          </cell>
        </row>
        <row r="6758">
          <cell r="A6758" t="str">
            <v>GO</v>
          </cell>
          <cell r="B6758">
            <v>2008</v>
          </cell>
          <cell r="D6758" t="str">
            <v>SOJA</v>
          </cell>
          <cell r="E6758">
            <v>0</v>
          </cell>
        </row>
        <row r="6759">
          <cell r="A6759" t="str">
            <v>GO</v>
          </cell>
          <cell r="B6759">
            <v>2008</v>
          </cell>
          <cell r="D6759" t="str">
            <v>SOJA</v>
          </cell>
          <cell r="E6759">
            <v>553.21299999999997</v>
          </cell>
        </row>
        <row r="6760">
          <cell r="A6760" t="str">
            <v>GO</v>
          </cell>
          <cell r="B6760">
            <v>2008</v>
          </cell>
          <cell r="D6760" t="str">
            <v>SOJA</v>
          </cell>
          <cell r="E6760">
            <v>268.93299999999999</v>
          </cell>
        </row>
        <row r="6761">
          <cell r="A6761" t="str">
            <v>GO</v>
          </cell>
          <cell r="B6761">
            <v>2008</v>
          </cell>
          <cell r="D6761" t="str">
            <v>SOJA</v>
          </cell>
          <cell r="E6761">
            <v>12412.805</v>
          </cell>
        </row>
        <row r="6762">
          <cell r="A6762" t="str">
            <v>MT</v>
          </cell>
          <cell r="B6762">
            <v>2008</v>
          </cell>
          <cell r="D6762" t="str">
            <v>SOJA</v>
          </cell>
          <cell r="E6762">
            <v>3255.933</v>
          </cell>
        </row>
        <row r="6763">
          <cell r="A6763" t="str">
            <v>GO</v>
          </cell>
          <cell r="B6763">
            <v>2008</v>
          </cell>
          <cell r="D6763" t="str">
            <v>SOJA</v>
          </cell>
          <cell r="E6763">
            <v>5373.6409999999996</v>
          </cell>
        </row>
        <row r="6764">
          <cell r="A6764" t="str">
            <v>GO</v>
          </cell>
          <cell r="B6764">
            <v>2008</v>
          </cell>
          <cell r="D6764" t="str">
            <v>SOJA</v>
          </cell>
          <cell r="E6764">
            <v>1184.9349999999999</v>
          </cell>
        </row>
        <row r="6765">
          <cell r="A6765" t="str">
            <v>MS</v>
          </cell>
          <cell r="B6765">
            <v>2008</v>
          </cell>
          <cell r="D6765" t="str">
            <v>SOJA</v>
          </cell>
          <cell r="E6765">
            <v>2381.5039999999999</v>
          </cell>
        </row>
        <row r="6766">
          <cell r="A6766" t="str">
            <v>GO</v>
          </cell>
          <cell r="B6766">
            <v>2008</v>
          </cell>
          <cell r="D6766" t="str">
            <v>SOJA</v>
          </cell>
          <cell r="E6766">
            <v>371</v>
          </cell>
        </row>
        <row r="6767">
          <cell r="A6767" t="str">
            <v>GO</v>
          </cell>
          <cell r="B6767">
            <v>2008</v>
          </cell>
          <cell r="D6767" t="str">
            <v>SOJA</v>
          </cell>
          <cell r="E6767">
            <v>16452.666000000001</v>
          </cell>
        </row>
        <row r="6768">
          <cell r="A6768" t="str">
            <v>MT</v>
          </cell>
          <cell r="B6768">
            <v>2008</v>
          </cell>
          <cell r="D6768" t="str">
            <v>SOJA</v>
          </cell>
          <cell r="E6768">
            <v>2420.835</v>
          </cell>
        </row>
        <row r="6769">
          <cell r="A6769" t="str">
            <v>MT</v>
          </cell>
          <cell r="B6769">
            <v>2008</v>
          </cell>
          <cell r="D6769" t="str">
            <v>SOJA</v>
          </cell>
          <cell r="E6769">
            <v>12657.853999999999</v>
          </cell>
        </row>
        <row r="6770">
          <cell r="A6770" t="str">
            <v>MT</v>
          </cell>
          <cell r="B6770">
            <v>2008</v>
          </cell>
          <cell r="D6770" t="str">
            <v>SOJA</v>
          </cell>
          <cell r="E6770">
            <v>23087.97</v>
          </cell>
        </row>
        <row r="6771">
          <cell r="A6771" t="str">
            <v>MT</v>
          </cell>
          <cell r="B6771">
            <v>2008</v>
          </cell>
          <cell r="D6771" t="str">
            <v>SOJA</v>
          </cell>
          <cell r="E6771">
            <v>25963.523000000001</v>
          </cell>
        </row>
        <row r="6772">
          <cell r="A6772" t="str">
            <v>MT</v>
          </cell>
          <cell r="B6772">
            <v>2008</v>
          </cell>
          <cell r="D6772" t="str">
            <v>SOJA</v>
          </cell>
          <cell r="E6772">
            <v>21503.563999999998</v>
          </cell>
        </row>
        <row r="6773">
          <cell r="A6773" t="str">
            <v>MT</v>
          </cell>
          <cell r="B6773">
            <v>2008</v>
          </cell>
          <cell r="D6773" t="str">
            <v>SOJA</v>
          </cell>
          <cell r="E6773">
            <v>187.87799999999999</v>
          </cell>
        </row>
        <row r="6774">
          <cell r="A6774" t="str">
            <v>MT</v>
          </cell>
          <cell r="B6774">
            <v>2008</v>
          </cell>
          <cell r="D6774" t="str">
            <v>SOJA</v>
          </cell>
          <cell r="E6774">
            <v>16970.811000000002</v>
          </cell>
        </row>
        <row r="6775">
          <cell r="A6775" t="str">
            <v>MT</v>
          </cell>
          <cell r="B6775">
            <v>2008</v>
          </cell>
          <cell r="D6775" t="str">
            <v>SOJA</v>
          </cell>
          <cell r="E6775">
            <v>24850.866000000002</v>
          </cell>
        </row>
        <row r="6776">
          <cell r="A6776" t="str">
            <v>MT</v>
          </cell>
          <cell r="B6776">
            <v>2008</v>
          </cell>
          <cell r="D6776" t="str">
            <v>SOJA</v>
          </cell>
          <cell r="E6776">
            <v>0</v>
          </cell>
        </row>
        <row r="6777">
          <cell r="A6777" t="str">
            <v>MT</v>
          </cell>
          <cell r="B6777">
            <v>2008</v>
          </cell>
          <cell r="D6777" t="str">
            <v>SOJA</v>
          </cell>
          <cell r="E6777">
            <v>10512.42</v>
          </cell>
        </row>
        <row r="6778">
          <cell r="A6778" t="str">
            <v>MT</v>
          </cell>
          <cell r="B6778">
            <v>2008</v>
          </cell>
          <cell r="D6778" t="str">
            <v>SOJA</v>
          </cell>
          <cell r="E6778">
            <v>15391.866</v>
          </cell>
        </row>
        <row r="6779">
          <cell r="A6779" t="str">
            <v>MT</v>
          </cell>
          <cell r="B6779">
            <v>2008</v>
          </cell>
          <cell r="D6779" t="str">
            <v>SOJA</v>
          </cell>
          <cell r="E6779">
            <v>6209.558</v>
          </cell>
        </row>
        <row r="6780">
          <cell r="A6780" t="str">
            <v>MS</v>
          </cell>
          <cell r="B6780">
            <v>2008</v>
          </cell>
          <cell r="D6780" t="str">
            <v>SOJA</v>
          </cell>
          <cell r="E6780">
            <v>1191.8209999999999</v>
          </cell>
        </row>
        <row r="6781">
          <cell r="A6781" t="str">
            <v>MS</v>
          </cell>
          <cell r="B6781">
            <v>2008</v>
          </cell>
          <cell r="D6781" t="str">
            <v>SOJA</v>
          </cell>
          <cell r="E6781">
            <v>572.79</v>
          </cell>
        </row>
        <row r="6782">
          <cell r="A6782" t="str">
            <v>MS</v>
          </cell>
          <cell r="B6782">
            <v>2008</v>
          </cell>
          <cell r="D6782" t="str">
            <v>SOJA</v>
          </cell>
          <cell r="E6782">
            <v>2608.3690000000001</v>
          </cell>
        </row>
        <row r="6783">
          <cell r="A6783" t="str">
            <v>MS</v>
          </cell>
          <cell r="B6783">
            <v>2008</v>
          </cell>
          <cell r="D6783" t="str">
            <v>SOJA</v>
          </cell>
          <cell r="E6783">
            <v>1383.6880000000001</v>
          </cell>
        </row>
        <row r="6784">
          <cell r="A6784" t="str">
            <v>MS</v>
          </cell>
          <cell r="B6784">
            <v>2008</v>
          </cell>
          <cell r="D6784" t="str">
            <v>SOJA</v>
          </cell>
          <cell r="E6784">
            <v>0</v>
          </cell>
        </row>
        <row r="6785">
          <cell r="A6785" t="str">
            <v>MS</v>
          </cell>
          <cell r="B6785">
            <v>2008</v>
          </cell>
          <cell r="D6785" t="str">
            <v>SOJA</v>
          </cell>
          <cell r="E6785">
            <v>332.87799999999999</v>
          </cell>
        </row>
        <row r="6786">
          <cell r="A6786" t="str">
            <v>MT</v>
          </cell>
          <cell r="B6786">
            <v>2008</v>
          </cell>
          <cell r="D6786" t="str">
            <v>SOJA</v>
          </cell>
          <cell r="E6786">
            <v>13609.403</v>
          </cell>
        </row>
        <row r="6787">
          <cell r="A6787" t="str">
            <v>MT</v>
          </cell>
          <cell r="B6787">
            <v>2008</v>
          </cell>
          <cell r="D6787" t="str">
            <v>SOJA</v>
          </cell>
          <cell r="E6787">
            <v>20977.334999999999</v>
          </cell>
        </row>
        <row r="6788">
          <cell r="A6788" t="str">
            <v>MT</v>
          </cell>
          <cell r="B6788">
            <v>2008</v>
          </cell>
          <cell r="D6788" t="str">
            <v>SOJA</v>
          </cell>
          <cell r="E6788">
            <v>12364.138999999999</v>
          </cell>
        </row>
        <row r="6789">
          <cell r="A6789" t="str">
            <v>MT</v>
          </cell>
          <cell r="B6789">
            <v>2008</v>
          </cell>
          <cell r="D6789" t="str">
            <v>SOJA</v>
          </cell>
          <cell r="E6789">
            <v>4966.7839999999997</v>
          </cell>
        </row>
        <row r="6790">
          <cell r="A6790" t="str">
            <v>MT</v>
          </cell>
          <cell r="B6790">
            <v>2008</v>
          </cell>
          <cell r="D6790" t="str">
            <v>SOJA</v>
          </cell>
          <cell r="E6790">
            <v>364.26299999999998</v>
          </cell>
        </row>
        <row r="6791">
          <cell r="A6791" t="str">
            <v>MT</v>
          </cell>
          <cell r="B6791">
            <v>2008</v>
          </cell>
          <cell r="D6791" t="str">
            <v>SOJA</v>
          </cell>
          <cell r="E6791">
            <v>7898.1670000000004</v>
          </cell>
        </row>
        <row r="6792">
          <cell r="A6792" t="str">
            <v>MT</v>
          </cell>
          <cell r="B6792">
            <v>2008</v>
          </cell>
          <cell r="D6792" t="str">
            <v>SOJA</v>
          </cell>
          <cell r="E6792">
            <v>1426.461</v>
          </cell>
        </row>
        <row r="6793">
          <cell r="A6793" t="str">
            <v>MT</v>
          </cell>
          <cell r="B6793">
            <v>2008</v>
          </cell>
          <cell r="D6793" t="str">
            <v>SOJA</v>
          </cell>
          <cell r="E6793">
            <v>706.13</v>
          </cell>
        </row>
        <row r="6794">
          <cell r="A6794" t="str">
            <v>MT</v>
          </cell>
          <cell r="B6794">
            <v>2008</v>
          </cell>
          <cell r="D6794" t="str">
            <v>SOJA</v>
          </cell>
          <cell r="E6794">
            <v>2515.4589999999998</v>
          </cell>
        </row>
        <row r="6795">
          <cell r="A6795" t="str">
            <v>MT</v>
          </cell>
          <cell r="B6795">
            <v>2008</v>
          </cell>
          <cell r="D6795" t="str">
            <v>SOJA</v>
          </cell>
          <cell r="E6795">
            <v>6352.402</v>
          </cell>
        </row>
        <row r="6796">
          <cell r="A6796" t="str">
            <v>MT</v>
          </cell>
          <cell r="B6796">
            <v>2008</v>
          </cell>
          <cell r="D6796" t="str">
            <v>SOJA</v>
          </cell>
          <cell r="E6796">
            <v>446.55500000000001</v>
          </cell>
        </row>
        <row r="6797">
          <cell r="A6797" t="str">
            <v>PA</v>
          </cell>
          <cell r="B6797">
            <v>2008</v>
          </cell>
          <cell r="D6797" t="str">
            <v>SOJA</v>
          </cell>
          <cell r="E6797">
            <v>1629.769</v>
          </cell>
        </row>
        <row r="6798">
          <cell r="A6798" t="str">
            <v>MT</v>
          </cell>
          <cell r="B6798">
            <v>2008</v>
          </cell>
          <cell r="D6798" t="str">
            <v>SOJA</v>
          </cell>
          <cell r="E6798">
            <v>5326.5339999999997</v>
          </cell>
        </row>
        <row r="6799">
          <cell r="A6799" t="str">
            <v>MT</v>
          </cell>
          <cell r="B6799">
            <v>2008</v>
          </cell>
          <cell r="D6799" t="str">
            <v>SOJA</v>
          </cell>
          <cell r="E6799">
            <v>9741.482</v>
          </cell>
        </row>
        <row r="6800">
          <cell r="A6800" t="str">
            <v>MT</v>
          </cell>
          <cell r="B6800">
            <v>2008</v>
          </cell>
          <cell r="D6800" t="str">
            <v>SOJA</v>
          </cell>
          <cell r="E6800">
            <v>5903.8019999999997</v>
          </cell>
        </row>
        <row r="6801">
          <cell r="A6801" t="str">
            <v>MT</v>
          </cell>
          <cell r="B6801">
            <v>2008</v>
          </cell>
          <cell r="D6801" t="str">
            <v>SOJA</v>
          </cell>
          <cell r="E6801">
            <v>1558.82</v>
          </cell>
        </row>
        <row r="6802">
          <cell r="A6802" t="str">
            <v>MT</v>
          </cell>
          <cell r="B6802">
            <v>2008</v>
          </cell>
          <cell r="D6802" t="str">
            <v>SOJA</v>
          </cell>
          <cell r="E6802">
            <v>27015.42</v>
          </cell>
        </row>
        <row r="6803">
          <cell r="A6803" t="str">
            <v>MT</v>
          </cell>
          <cell r="B6803">
            <v>2008</v>
          </cell>
          <cell r="D6803" t="str">
            <v>SOJA</v>
          </cell>
          <cell r="E6803">
            <v>1973.019</v>
          </cell>
        </row>
        <row r="6804">
          <cell r="A6804" t="str">
            <v>MT</v>
          </cell>
          <cell r="B6804">
            <v>2008</v>
          </cell>
          <cell r="D6804" t="str">
            <v>SOJA</v>
          </cell>
          <cell r="E6804">
            <v>7270.6220000000003</v>
          </cell>
        </row>
        <row r="6805">
          <cell r="A6805" t="str">
            <v>MT</v>
          </cell>
          <cell r="B6805">
            <v>2008</v>
          </cell>
          <cell r="D6805" t="str">
            <v>SOJA</v>
          </cell>
          <cell r="E6805">
            <v>95773.365999999995</v>
          </cell>
        </row>
        <row r="6806">
          <cell r="A6806" t="str">
            <v>MT</v>
          </cell>
          <cell r="B6806">
            <v>2008</v>
          </cell>
          <cell r="D6806" t="str">
            <v>SOJA</v>
          </cell>
          <cell r="E6806">
            <v>17527.944</v>
          </cell>
        </row>
        <row r="6807">
          <cell r="A6807" t="str">
            <v>MT</v>
          </cell>
          <cell r="B6807">
            <v>2008</v>
          </cell>
          <cell r="D6807" t="str">
            <v>SOJA</v>
          </cell>
          <cell r="E6807">
            <v>30504.173999999999</v>
          </cell>
        </row>
        <row r="6808">
          <cell r="A6808" t="str">
            <v>MT</v>
          </cell>
          <cell r="B6808">
            <v>2008</v>
          </cell>
          <cell r="D6808" t="str">
            <v>SOJA</v>
          </cell>
          <cell r="E6808">
            <v>9678.268</v>
          </cell>
        </row>
        <row r="6809">
          <cell r="A6809" t="str">
            <v>MT</v>
          </cell>
          <cell r="B6809">
            <v>2008</v>
          </cell>
          <cell r="D6809" t="str">
            <v>SOJA</v>
          </cell>
          <cell r="E6809">
            <v>23638.159</v>
          </cell>
        </row>
        <row r="6810">
          <cell r="A6810" t="str">
            <v>MT</v>
          </cell>
          <cell r="B6810">
            <v>2008</v>
          </cell>
          <cell r="D6810" t="str">
            <v>SOJA</v>
          </cell>
          <cell r="E6810">
            <v>25506.607</v>
          </cell>
        </row>
        <row r="6811">
          <cell r="A6811" t="str">
            <v>MT</v>
          </cell>
          <cell r="B6811">
            <v>2008</v>
          </cell>
          <cell r="D6811" t="str">
            <v>SOJA</v>
          </cell>
          <cell r="E6811">
            <v>12689.081</v>
          </cell>
        </row>
        <row r="6812">
          <cell r="A6812" t="str">
            <v>MT</v>
          </cell>
          <cell r="B6812">
            <v>2008</v>
          </cell>
          <cell r="D6812" t="str">
            <v>SOJA</v>
          </cell>
          <cell r="E6812">
            <v>7256.6880000000001</v>
          </cell>
        </row>
        <row r="6813">
          <cell r="A6813" t="str">
            <v>MT</v>
          </cell>
          <cell r="B6813">
            <v>2008</v>
          </cell>
          <cell r="D6813" t="str">
            <v>SOJA</v>
          </cell>
          <cell r="E6813">
            <v>4885.0259999999998</v>
          </cell>
        </row>
        <row r="6814">
          <cell r="A6814" t="str">
            <v>RS</v>
          </cell>
          <cell r="B6814">
            <v>2008</v>
          </cell>
          <cell r="D6814" t="str">
            <v>SOJA</v>
          </cell>
          <cell r="E6814">
            <v>120.94799999999999</v>
          </cell>
        </row>
        <row r="6815">
          <cell r="A6815" t="str">
            <v>RS</v>
          </cell>
          <cell r="B6815">
            <v>2008</v>
          </cell>
          <cell r="D6815" t="str">
            <v>SOJA</v>
          </cell>
          <cell r="E6815">
            <v>29.925000000000001</v>
          </cell>
        </row>
        <row r="6816">
          <cell r="A6816" t="str">
            <v>RS</v>
          </cell>
          <cell r="B6816">
            <v>2008</v>
          </cell>
          <cell r="D6816" t="str">
            <v>SOJA</v>
          </cell>
          <cell r="E6816">
            <v>94.451999999999998</v>
          </cell>
        </row>
        <row r="6817">
          <cell r="A6817" t="str">
            <v>RS</v>
          </cell>
          <cell r="B6817">
            <v>2008</v>
          </cell>
          <cell r="D6817" t="str">
            <v>SOJA</v>
          </cell>
          <cell r="E6817">
            <v>0</v>
          </cell>
        </row>
        <row r="6818">
          <cell r="A6818" t="str">
            <v>RS</v>
          </cell>
          <cell r="B6818">
            <v>2008</v>
          </cell>
          <cell r="D6818" t="str">
            <v>SOJA</v>
          </cell>
          <cell r="E6818">
            <v>383.17200000000003</v>
          </cell>
        </row>
        <row r="6819">
          <cell r="A6819" t="str">
            <v>RS</v>
          </cell>
          <cell r="B6819">
            <v>2008</v>
          </cell>
          <cell r="D6819" t="str">
            <v>SOJA</v>
          </cell>
          <cell r="E6819">
            <v>664.78399999999999</v>
          </cell>
        </row>
        <row r="6820">
          <cell r="A6820" t="str">
            <v>SC</v>
          </cell>
          <cell r="B6820">
            <v>2008</v>
          </cell>
          <cell r="D6820" t="str">
            <v>SOJA</v>
          </cell>
          <cell r="E6820">
            <v>249.38499999999999</v>
          </cell>
        </row>
        <row r="6821">
          <cell r="A6821" t="str">
            <v>PR</v>
          </cell>
          <cell r="B6821">
            <v>2008</v>
          </cell>
          <cell r="D6821" t="str">
            <v>SOJA</v>
          </cell>
          <cell r="E6821">
            <v>5112.1409999999996</v>
          </cell>
        </row>
        <row r="6822">
          <cell r="A6822" t="str">
            <v>SP</v>
          </cell>
          <cell r="B6822">
            <v>2008</v>
          </cell>
          <cell r="D6822" t="str">
            <v>SOJA</v>
          </cell>
          <cell r="E6822">
            <v>52.284999999999997</v>
          </cell>
        </row>
        <row r="6823">
          <cell r="A6823" t="str">
            <v>PR</v>
          </cell>
          <cell r="B6823">
            <v>2008</v>
          </cell>
          <cell r="D6823" t="str">
            <v>SOJA</v>
          </cell>
          <cell r="E6823">
            <v>8884.3349999999991</v>
          </cell>
        </row>
        <row r="6824">
          <cell r="A6824" t="str">
            <v>PR</v>
          </cell>
          <cell r="B6824">
            <v>2008</v>
          </cell>
          <cell r="D6824" t="str">
            <v>SOJA</v>
          </cell>
          <cell r="E6824">
            <v>17279.512999999999</v>
          </cell>
        </row>
        <row r="6825">
          <cell r="A6825" t="str">
            <v>PR</v>
          </cell>
          <cell r="B6825">
            <v>2008</v>
          </cell>
          <cell r="D6825" t="str">
            <v>SOJA</v>
          </cell>
          <cell r="E6825">
            <v>2465.5949999999998</v>
          </cell>
        </row>
        <row r="6826">
          <cell r="A6826" t="str">
            <v>PR</v>
          </cell>
          <cell r="B6826">
            <v>2008</v>
          </cell>
          <cell r="D6826" t="str">
            <v>SOJA</v>
          </cell>
          <cell r="E6826">
            <v>3710.5120000000002</v>
          </cell>
        </row>
        <row r="6827">
          <cell r="A6827" t="str">
            <v>PR</v>
          </cell>
          <cell r="B6827">
            <v>2008</v>
          </cell>
          <cell r="D6827" t="str">
            <v>SOJA</v>
          </cell>
          <cell r="E6827">
            <v>61.853000000000002</v>
          </cell>
        </row>
        <row r="6828">
          <cell r="A6828" t="str">
            <v>PR</v>
          </cell>
          <cell r="B6828">
            <v>2008</v>
          </cell>
          <cell r="D6828" t="str">
            <v>SOJA</v>
          </cell>
          <cell r="E6828">
            <v>100.321</v>
          </cell>
        </row>
        <row r="6829">
          <cell r="A6829" t="str">
            <v>PR</v>
          </cell>
          <cell r="B6829">
            <v>2008</v>
          </cell>
          <cell r="D6829" t="str">
            <v>SOJA</v>
          </cell>
          <cell r="E6829">
            <v>79.929000000000002</v>
          </cell>
        </row>
        <row r="6830">
          <cell r="A6830" t="str">
            <v>PR</v>
          </cell>
          <cell r="B6830">
            <v>2008</v>
          </cell>
          <cell r="D6830" t="str">
            <v>SOJA</v>
          </cell>
          <cell r="E6830">
            <v>2154.5720000000001</v>
          </cell>
        </row>
        <row r="6831">
          <cell r="A6831" t="str">
            <v>PR</v>
          </cell>
          <cell r="B6831">
            <v>2008</v>
          </cell>
          <cell r="D6831" t="str">
            <v>SOJA</v>
          </cell>
          <cell r="E6831">
            <v>137.19499999999999</v>
          </cell>
        </row>
        <row r="6832">
          <cell r="A6832" t="str">
            <v>PR</v>
          </cell>
          <cell r="B6832">
            <v>2008</v>
          </cell>
          <cell r="D6832" t="str">
            <v>SOJA</v>
          </cell>
          <cell r="E6832">
            <v>917.65499999999997</v>
          </cell>
        </row>
        <row r="6833">
          <cell r="A6833" t="str">
            <v>PR</v>
          </cell>
          <cell r="B6833">
            <v>2008</v>
          </cell>
          <cell r="D6833" t="str">
            <v>SOJA</v>
          </cell>
          <cell r="E6833">
            <v>363.74299999999999</v>
          </cell>
        </row>
        <row r="6834">
          <cell r="A6834" t="str">
            <v>PR</v>
          </cell>
          <cell r="B6834">
            <v>2008</v>
          </cell>
          <cell r="D6834" t="str">
            <v>SOJA</v>
          </cell>
          <cell r="E6834">
            <v>15590.263000000001</v>
          </cell>
        </row>
        <row r="6835">
          <cell r="A6835" t="str">
            <v>PR</v>
          </cell>
          <cell r="B6835">
            <v>2008</v>
          </cell>
          <cell r="D6835" t="str">
            <v>SOJA</v>
          </cell>
          <cell r="E6835">
            <v>500.42500000000001</v>
          </cell>
        </row>
        <row r="6836">
          <cell r="A6836" t="str">
            <v>PR</v>
          </cell>
          <cell r="B6836">
            <v>2008</v>
          </cell>
          <cell r="D6836" t="str">
            <v>SOJA</v>
          </cell>
          <cell r="E6836">
            <v>345.24200000000002</v>
          </cell>
        </row>
        <row r="6837">
          <cell r="A6837" t="str">
            <v>PR</v>
          </cell>
          <cell r="B6837">
            <v>2008</v>
          </cell>
          <cell r="D6837" t="str">
            <v>SOJA</v>
          </cell>
          <cell r="E6837">
            <v>342.892</v>
          </cell>
        </row>
        <row r="6838">
          <cell r="A6838" t="str">
            <v>PR</v>
          </cell>
          <cell r="B6838">
            <v>2008</v>
          </cell>
          <cell r="D6838" t="str">
            <v>SOJA</v>
          </cell>
          <cell r="E6838">
            <v>346.76499999999999</v>
          </cell>
        </row>
        <row r="6839">
          <cell r="A6839" t="str">
            <v>MT</v>
          </cell>
          <cell r="B6839">
            <v>2008</v>
          </cell>
          <cell r="D6839" t="str">
            <v>MILHO</v>
          </cell>
          <cell r="E6839">
            <v>0</v>
          </cell>
        </row>
        <row r="6840">
          <cell r="A6840" t="str">
            <v>MT</v>
          </cell>
          <cell r="B6840">
            <v>2008</v>
          </cell>
          <cell r="D6840" t="str">
            <v>MILHO</v>
          </cell>
          <cell r="E6840">
            <v>0</v>
          </cell>
        </row>
        <row r="6841">
          <cell r="A6841" t="str">
            <v>RS</v>
          </cell>
          <cell r="B6841">
            <v>2008</v>
          </cell>
          <cell r="D6841" t="str">
            <v>MILHO</v>
          </cell>
          <cell r="E6841">
            <v>-195.92099999999999</v>
          </cell>
        </row>
        <row r="6842">
          <cell r="A6842" t="str">
            <v>RS</v>
          </cell>
          <cell r="B6842">
            <v>2008</v>
          </cell>
          <cell r="D6842" t="str">
            <v>MILHO</v>
          </cell>
          <cell r="E6842">
            <v>-27.45</v>
          </cell>
        </row>
        <row r="6843">
          <cell r="A6843" t="str">
            <v>BA</v>
          </cell>
          <cell r="B6843">
            <v>2008</v>
          </cell>
          <cell r="D6843" t="str">
            <v>MILHO</v>
          </cell>
          <cell r="E6843">
            <v>1155.326</v>
          </cell>
        </row>
        <row r="6844">
          <cell r="A6844" t="str">
            <v>BA</v>
          </cell>
          <cell r="B6844">
            <v>2008</v>
          </cell>
          <cell r="D6844" t="str">
            <v>MILHO</v>
          </cell>
          <cell r="E6844">
            <v>14.269</v>
          </cell>
        </row>
        <row r="6845">
          <cell r="A6845" t="str">
            <v>MG</v>
          </cell>
          <cell r="B6845">
            <v>2008</v>
          </cell>
          <cell r="D6845" t="str">
            <v>MILHO</v>
          </cell>
          <cell r="E6845">
            <v>8045.2359999999999</v>
          </cell>
        </row>
        <row r="6846">
          <cell r="A6846" t="str">
            <v>GO</v>
          </cell>
          <cell r="B6846">
            <v>2008</v>
          </cell>
          <cell r="D6846" t="str">
            <v>MILHO</v>
          </cell>
          <cell r="E6846">
            <v>0</v>
          </cell>
        </row>
        <row r="6847">
          <cell r="A6847" t="str">
            <v>MS</v>
          </cell>
          <cell r="B6847">
            <v>2008</v>
          </cell>
          <cell r="D6847" t="str">
            <v>MILHO</v>
          </cell>
          <cell r="E6847">
            <v>0</v>
          </cell>
        </row>
        <row r="6848">
          <cell r="A6848" t="str">
            <v>MS</v>
          </cell>
          <cell r="B6848">
            <v>2008</v>
          </cell>
          <cell r="D6848" t="str">
            <v>MILHO</v>
          </cell>
          <cell r="E6848">
            <v>0</v>
          </cell>
        </row>
        <row r="6849">
          <cell r="A6849" t="str">
            <v>MS</v>
          </cell>
          <cell r="B6849">
            <v>2008</v>
          </cell>
          <cell r="D6849" t="str">
            <v>MILHO</v>
          </cell>
          <cell r="E6849">
            <v>10.295</v>
          </cell>
        </row>
        <row r="6850">
          <cell r="A6850" t="str">
            <v>RS</v>
          </cell>
          <cell r="B6850">
            <v>2008</v>
          </cell>
          <cell r="D6850" t="str">
            <v>MILHO</v>
          </cell>
          <cell r="E6850">
            <v>2664.056</v>
          </cell>
        </row>
        <row r="6851">
          <cell r="A6851" t="str">
            <v>RS</v>
          </cell>
          <cell r="B6851">
            <v>2008</v>
          </cell>
          <cell r="D6851" t="str">
            <v>MILHO</v>
          </cell>
          <cell r="E6851">
            <v>750.97699999999998</v>
          </cell>
        </row>
        <row r="6852">
          <cell r="A6852" t="str">
            <v>RS</v>
          </cell>
          <cell r="B6852">
            <v>2008</v>
          </cell>
          <cell r="D6852" t="str">
            <v>MILHO</v>
          </cell>
          <cell r="E6852">
            <v>243.851</v>
          </cell>
        </row>
        <row r="6853">
          <cell r="A6853" t="str">
            <v>RS</v>
          </cell>
          <cell r="B6853">
            <v>2008</v>
          </cell>
          <cell r="D6853" t="str">
            <v>MILHO</v>
          </cell>
          <cell r="E6853">
            <v>-289.61500000000001</v>
          </cell>
        </row>
        <row r="6854">
          <cell r="A6854" t="str">
            <v>RS</v>
          </cell>
          <cell r="B6854">
            <v>2008</v>
          </cell>
          <cell r="D6854" t="str">
            <v>MILHO</v>
          </cell>
          <cell r="E6854">
            <v>5473.6729999999998</v>
          </cell>
        </row>
        <row r="6855">
          <cell r="A6855" t="str">
            <v>RS</v>
          </cell>
          <cell r="B6855">
            <v>2008</v>
          </cell>
          <cell r="D6855" t="str">
            <v>MILHO</v>
          </cell>
          <cell r="E6855">
            <v>1905.3430000000001</v>
          </cell>
        </row>
        <row r="6856">
          <cell r="A6856" t="str">
            <v>RS</v>
          </cell>
          <cell r="B6856">
            <v>2008</v>
          </cell>
          <cell r="D6856" t="str">
            <v>MILHO</v>
          </cell>
          <cell r="E6856">
            <v>23.271000000000001</v>
          </cell>
        </row>
        <row r="6857">
          <cell r="A6857" t="str">
            <v>RS</v>
          </cell>
          <cell r="B6857">
            <v>2008</v>
          </cell>
          <cell r="D6857" t="str">
            <v>MILHO</v>
          </cell>
          <cell r="E6857">
            <v>8476.4500000000007</v>
          </cell>
        </row>
        <row r="6858">
          <cell r="A6858" t="str">
            <v>RS</v>
          </cell>
          <cell r="B6858">
            <v>2008</v>
          </cell>
          <cell r="D6858" t="str">
            <v>MILHO</v>
          </cell>
          <cell r="E6858">
            <v>7333.2550000000001</v>
          </cell>
        </row>
        <row r="6859">
          <cell r="A6859" t="str">
            <v>RS</v>
          </cell>
          <cell r="B6859">
            <v>2008</v>
          </cell>
          <cell r="D6859" t="str">
            <v>MILHO</v>
          </cell>
          <cell r="E6859">
            <v>-522.67399999999998</v>
          </cell>
        </row>
        <row r="6860">
          <cell r="A6860" t="str">
            <v>RS</v>
          </cell>
          <cell r="B6860">
            <v>2008</v>
          </cell>
          <cell r="D6860" t="str">
            <v>MILHO</v>
          </cell>
          <cell r="E6860">
            <v>5569.2250000000004</v>
          </cell>
        </row>
        <row r="6861">
          <cell r="A6861" t="str">
            <v>SC</v>
          </cell>
          <cell r="B6861">
            <v>2008</v>
          </cell>
          <cell r="D6861" t="str">
            <v>MILHO</v>
          </cell>
          <cell r="E6861">
            <v>44599.294999999998</v>
          </cell>
        </row>
        <row r="6862">
          <cell r="A6862" t="str">
            <v>PR</v>
          </cell>
          <cell r="B6862">
            <v>2008</v>
          </cell>
          <cell r="D6862" t="str">
            <v>MILHO</v>
          </cell>
          <cell r="E6862">
            <v>6902.9129999999996</v>
          </cell>
        </row>
        <row r="6863">
          <cell r="A6863" t="str">
            <v>SP</v>
          </cell>
          <cell r="B6863">
            <v>2008</v>
          </cell>
          <cell r="D6863" t="str">
            <v>MILHO</v>
          </cell>
          <cell r="E6863">
            <v>0</v>
          </cell>
        </row>
        <row r="6864">
          <cell r="A6864" t="str">
            <v>PR</v>
          </cell>
          <cell r="B6864">
            <v>2008</v>
          </cell>
          <cell r="D6864" t="str">
            <v>MILHO</v>
          </cell>
          <cell r="E6864">
            <v>5949.7479999999996</v>
          </cell>
        </row>
        <row r="6865">
          <cell r="A6865" t="str">
            <v>PR</v>
          </cell>
          <cell r="B6865">
            <v>2008</v>
          </cell>
          <cell r="D6865" t="str">
            <v>MILHO</v>
          </cell>
          <cell r="E6865">
            <v>5240.7560000000003</v>
          </cell>
        </row>
        <row r="6866">
          <cell r="A6866" t="str">
            <v>PR</v>
          </cell>
          <cell r="B6866">
            <v>2008</v>
          </cell>
          <cell r="D6866" t="str">
            <v>MILHO</v>
          </cell>
          <cell r="E6866">
            <v>374.17</v>
          </cell>
        </row>
        <row r="6867">
          <cell r="A6867" t="str">
            <v>PR</v>
          </cell>
          <cell r="B6867">
            <v>2008</v>
          </cell>
          <cell r="D6867" t="str">
            <v>MILHO</v>
          </cell>
          <cell r="E6867">
            <v>22691.831999999999</v>
          </cell>
        </row>
        <row r="6868">
          <cell r="A6868" t="str">
            <v>PR</v>
          </cell>
          <cell r="B6868">
            <v>2008</v>
          </cell>
          <cell r="D6868" t="str">
            <v>MILHO</v>
          </cell>
          <cell r="E6868">
            <v>12997.323</v>
          </cell>
        </row>
        <row r="6869">
          <cell r="A6869" t="str">
            <v>PR</v>
          </cell>
          <cell r="B6869">
            <v>2008</v>
          </cell>
          <cell r="D6869" t="str">
            <v>MILHO</v>
          </cell>
          <cell r="E6869">
            <v>1171.8399999999999</v>
          </cell>
        </row>
        <row r="6870">
          <cell r="A6870" t="str">
            <v>PR</v>
          </cell>
          <cell r="B6870">
            <v>2008</v>
          </cell>
          <cell r="D6870" t="str">
            <v>MILHO</v>
          </cell>
          <cell r="E6870">
            <v>521.327</v>
          </cell>
        </row>
        <row r="6871">
          <cell r="A6871" t="str">
            <v>PR</v>
          </cell>
          <cell r="B6871">
            <v>2008</v>
          </cell>
          <cell r="D6871" t="str">
            <v>MILHO</v>
          </cell>
          <cell r="E6871">
            <v>557.34400000000005</v>
          </cell>
        </row>
        <row r="6872">
          <cell r="A6872" t="str">
            <v>PR</v>
          </cell>
          <cell r="B6872">
            <v>2008</v>
          </cell>
          <cell r="D6872" t="str">
            <v>MILHO</v>
          </cell>
          <cell r="E6872">
            <v>4184.6880000000001</v>
          </cell>
        </row>
        <row r="6873">
          <cell r="A6873" t="str">
            <v>PR</v>
          </cell>
          <cell r="B6873">
            <v>2008</v>
          </cell>
          <cell r="D6873" t="str">
            <v>MILHO</v>
          </cell>
          <cell r="E6873">
            <v>8958.8070000000007</v>
          </cell>
        </row>
        <row r="6874">
          <cell r="A6874" t="str">
            <v>PR</v>
          </cell>
          <cell r="B6874">
            <v>2008</v>
          </cell>
          <cell r="D6874" t="str">
            <v>MILHO</v>
          </cell>
          <cell r="E6874">
            <v>11195.279</v>
          </cell>
        </row>
        <row r="6875">
          <cell r="A6875" t="str">
            <v>PR</v>
          </cell>
          <cell r="B6875">
            <v>2008</v>
          </cell>
          <cell r="D6875" t="str">
            <v>MILHO</v>
          </cell>
          <cell r="E6875">
            <v>6896.4279999999999</v>
          </cell>
        </row>
        <row r="6876">
          <cell r="A6876" t="str">
            <v>PR</v>
          </cell>
          <cell r="B6876">
            <v>2008</v>
          </cell>
          <cell r="D6876" t="str">
            <v>MILHO</v>
          </cell>
          <cell r="E6876">
            <v>16884.460999999999</v>
          </cell>
        </row>
        <row r="6877">
          <cell r="A6877" t="str">
            <v>PR</v>
          </cell>
          <cell r="B6877">
            <v>2008</v>
          </cell>
          <cell r="D6877" t="str">
            <v>MILHO</v>
          </cell>
          <cell r="E6877">
            <v>6747.5249999999996</v>
          </cell>
        </row>
        <row r="6878">
          <cell r="A6878" t="str">
            <v>PR</v>
          </cell>
          <cell r="B6878">
            <v>2008</v>
          </cell>
          <cell r="D6878" t="str">
            <v>MILHO</v>
          </cell>
          <cell r="E6878">
            <v>4068.2429999999999</v>
          </cell>
        </row>
        <row r="6879">
          <cell r="A6879" t="str">
            <v>PR</v>
          </cell>
          <cell r="B6879">
            <v>2008</v>
          </cell>
          <cell r="D6879" t="str">
            <v>MILHO</v>
          </cell>
          <cell r="E6879">
            <v>7007.9530000000004</v>
          </cell>
        </row>
        <row r="6880">
          <cell r="A6880" t="str">
            <v>PR</v>
          </cell>
          <cell r="B6880">
            <v>2008</v>
          </cell>
          <cell r="D6880" t="str">
            <v>MILHO</v>
          </cell>
          <cell r="E6880">
            <v>18157.054</v>
          </cell>
        </row>
        <row r="6881">
          <cell r="A6881" t="str">
            <v>MT</v>
          </cell>
          <cell r="B6881">
            <v>2008</v>
          </cell>
          <cell r="D6881" t="str">
            <v>SOJA</v>
          </cell>
          <cell r="E6881">
            <v>1021.069</v>
          </cell>
        </row>
        <row r="6882">
          <cell r="A6882" t="str">
            <v>MT</v>
          </cell>
          <cell r="B6882">
            <v>2008</v>
          </cell>
          <cell r="D6882" t="str">
            <v>SOJA</v>
          </cell>
          <cell r="E6882">
            <v>1917.742</v>
          </cell>
        </row>
        <row r="6883">
          <cell r="A6883" t="str">
            <v>MT</v>
          </cell>
          <cell r="B6883">
            <v>2008</v>
          </cell>
          <cell r="D6883" t="str">
            <v>SOJA</v>
          </cell>
          <cell r="E6883">
            <v>-36.823</v>
          </cell>
        </row>
        <row r="6884">
          <cell r="A6884" t="str">
            <v>MT</v>
          </cell>
          <cell r="B6884">
            <v>2008</v>
          </cell>
          <cell r="D6884" t="str">
            <v>SOJA</v>
          </cell>
          <cell r="E6884">
            <v>0</v>
          </cell>
        </row>
        <row r="6885">
          <cell r="A6885" t="str">
            <v>MT</v>
          </cell>
          <cell r="B6885">
            <v>2008</v>
          </cell>
          <cell r="D6885" t="str">
            <v>SOJA</v>
          </cell>
          <cell r="E6885">
            <v>2.12</v>
          </cell>
        </row>
        <row r="6886">
          <cell r="A6886" t="str">
            <v>MT</v>
          </cell>
          <cell r="B6886">
            <v>2008</v>
          </cell>
          <cell r="D6886" t="str">
            <v>SOJA</v>
          </cell>
          <cell r="E6886">
            <v>2268.2710000000002</v>
          </cell>
        </row>
        <row r="6887">
          <cell r="A6887" t="str">
            <v>MT</v>
          </cell>
          <cell r="B6887">
            <v>2008</v>
          </cell>
          <cell r="D6887" t="str">
            <v>SOJA</v>
          </cell>
          <cell r="E6887">
            <v>813.62900000000002</v>
          </cell>
        </row>
        <row r="6888">
          <cell r="A6888" t="str">
            <v>MT</v>
          </cell>
          <cell r="B6888">
            <v>2008</v>
          </cell>
          <cell r="D6888" t="str">
            <v>SOJA</v>
          </cell>
          <cell r="E6888">
            <v>1241.548</v>
          </cell>
        </row>
        <row r="6889">
          <cell r="A6889" t="str">
            <v>MT</v>
          </cell>
          <cell r="B6889">
            <v>2008</v>
          </cell>
          <cell r="D6889" t="str">
            <v>SOJA</v>
          </cell>
          <cell r="E6889">
            <v>2061.404</v>
          </cell>
        </row>
        <row r="6890">
          <cell r="A6890" t="str">
            <v>MT</v>
          </cell>
          <cell r="B6890">
            <v>2008</v>
          </cell>
          <cell r="D6890" t="str">
            <v>SOJA</v>
          </cell>
          <cell r="E6890">
            <v>2234.181</v>
          </cell>
        </row>
        <row r="6891">
          <cell r="A6891" t="str">
            <v>MT</v>
          </cell>
          <cell r="B6891">
            <v>2008</v>
          </cell>
          <cell r="D6891" t="str">
            <v>SOJA</v>
          </cell>
          <cell r="E6891">
            <v>862.91899999999998</v>
          </cell>
        </row>
        <row r="6892">
          <cell r="A6892" t="str">
            <v>MT</v>
          </cell>
          <cell r="B6892">
            <v>2008</v>
          </cell>
          <cell r="D6892" t="str">
            <v>SOJA</v>
          </cell>
          <cell r="E6892">
            <v>432.18599999999998</v>
          </cell>
        </row>
        <row r="6893">
          <cell r="A6893" t="str">
            <v>MT</v>
          </cell>
          <cell r="B6893">
            <v>2008</v>
          </cell>
          <cell r="D6893" t="str">
            <v>SOJA</v>
          </cell>
          <cell r="E6893">
            <v>0</v>
          </cell>
        </row>
        <row r="6894">
          <cell r="A6894" t="str">
            <v>RS</v>
          </cell>
          <cell r="B6894">
            <v>2008</v>
          </cell>
          <cell r="D6894" t="str">
            <v>SOJA</v>
          </cell>
          <cell r="E6894">
            <v>55.012999999999998</v>
          </cell>
        </row>
        <row r="6895">
          <cell r="A6895" t="str">
            <v>RS</v>
          </cell>
          <cell r="B6895">
            <v>2008</v>
          </cell>
          <cell r="D6895" t="str">
            <v>SOJA</v>
          </cell>
          <cell r="E6895">
            <v>24.91</v>
          </cell>
        </row>
        <row r="6896">
          <cell r="A6896" t="str">
            <v>RS</v>
          </cell>
          <cell r="B6896">
            <v>2008</v>
          </cell>
          <cell r="D6896" t="str">
            <v>SOJA</v>
          </cell>
          <cell r="E6896">
            <v>0</v>
          </cell>
        </row>
        <row r="6897">
          <cell r="A6897" t="str">
            <v>RS</v>
          </cell>
          <cell r="B6897">
            <v>2008</v>
          </cell>
          <cell r="D6897" t="str">
            <v>SOJA</v>
          </cell>
          <cell r="E6897">
            <v>4.9169999999999998</v>
          </cell>
        </row>
        <row r="6898">
          <cell r="A6898" t="str">
            <v>RS</v>
          </cell>
          <cell r="B6898">
            <v>2008</v>
          </cell>
          <cell r="D6898" t="str">
            <v>SOJA</v>
          </cell>
          <cell r="E6898">
            <v>-42.21</v>
          </cell>
        </row>
        <row r="6899">
          <cell r="A6899" t="str">
            <v>RS</v>
          </cell>
          <cell r="B6899">
            <v>2008</v>
          </cell>
          <cell r="D6899" t="str">
            <v>SOJA</v>
          </cell>
          <cell r="E6899">
            <v>104.953</v>
          </cell>
        </row>
        <row r="6900">
          <cell r="A6900" t="str">
            <v>RS</v>
          </cell>
          <cell r="B6900">
            <v>2008</v>
          </cell>
          <cell r="D6900" t="str">
            <v>SOJA</v>
          </cell>
          <cell r="E6900">
            <v>0.16400000000000001</v>
          </cell>
        </row>
        <row r="6901">
          <cell r="A6901" t="str">
            <v>RS</v>
          </cell>
          <cell r="B6901">
            <v>2008</v>
          </cell>
          <cell r="D6901" t="str">
            <v>SOJA</v>
          </cell>
          <cell r="E6901">
            <v>-65.760999999999996</v>
          </cell>
        </row>
        <row r="6902">
          <cell r="A6902" t="str">
            <v>RS</v>
          </cell>
          <cell r="B6902">
            <v>2008</v>
          </cell>
          <cell r="D6902" t="str">
            <v>SOJA</v>
          </cell>
          <cell r="E6902">
            <v>214.93</v>
          </cell>
        </row>
        <row r="6903">
          <cell r="A6903" t="str">
            <v>PR</v>
          </cell>
          <cell r="B6903">
            <v>2008</v>
          </cell>
          <cell r="D6903" t="str">
            <v>SOJA</v>
          </cell>
          <cell r="E6903">
            <v>67.929000000000002</v>
          </cell>
        </row>
        <row r="6904">
          <cell r="A6904" t="str">
            <v>PR</v>
          </cell>
          <cell r="B6904">
            <v>2008</v>
          </cell>
          <cell r="D6904" t="str">
            <v>SOJA</v>
          </cell>
          <cell r="E6904">
            <v>0</v>
          </cell>
        </row>
        <row r="6905">
          <cell r="A6905" t="str">
            <v>BA</v>
          </cell>
          <cell r="B6905">
            <v>2008</v>
          </cell>
          <cell r="D6905" t="str">
            <v>SOJA</v>
          </cell>
          <cell r="E6905">
            <v>1315.914</v>
          </cell>
        </row>
        <row r="6906">
          <cell r="A6906" t="str">
            <v>BA</v>
          </cell>
          <cell r="B6906">
            <v>2008</v>
          </cell>
          <cell r="D6906" t="str">
            <v>SOJA</v>
          </cell>
          <cell r="E6906">
            <v>58.631</v>
          </cell>
        </row>
        <row r="6907">
          <cell r="A6907" t="str">
            <v>BA</v>
          </cell>
          <cell r="B6907">
            <v>2008</v>
          </cell>
          <cell r="D6907" t="str">
            <v>SOJA</v>
          </cell>
          <cell r="E6907">
            <v>2300.7660000000001</v>
          </cell>
        </row>
        <row r="6908">
          <cell r="A6908" t="str">
            <v>BA</v>
          </cell>
          <cell r="B6908">
            <v>2008</v>
          </cell>
          <cell r="D6908" t="str">
            <v>SOJA</v>
          </cell>
          <cell r="E6908">
            <v>2465.0010000000002</v>
          </cell>
        </row>
        <row r="6909">
          <cell r="A6909" t="str">
            <v>BA</v>
          </cell>
          <cell r="B6909">
            <v>2008</v>
          </cell>
          <cell r="D6909" t="str">
            <v>SOJA</v>
          </cell>
          <cell r="E6909">
            <v>418.84100000000001</v>
          </cell>
        </row>
        <row r="6910">
          <cell r="A6910" t="str">
            <v>BA</v>
          </cell>
          <cell r="B6910">
            <v>2008</v>
          </cell>
          <cell r="D6910" t="str">
            <v>SOJA</v>
          </cell>
          <cell r="E6910">
            <v>520.59500000000003</v>
          </cell>
        </row>
        <row r="6911">
          <cell r="A6911" t="str">
            <v>BA</v>
          </cell>
          <cell r="B6911">
            <v>2008</v>
          </cell>
          <cell r="D6911" t="str">
            <v>SOJA</v>
          </cell>
          <cell r="E6911">
            <v>240</v>
          </cell>
        </row>
        <row r="6912">
          <cell r="A6912" t="str">
            <v>BA</v>
          </cell>
          <cell r="B6912">
            <v>2008</v>
          </cell>
          <cell r="D6912" t="str">
            <v>SOJA</v>
          </cell>
          <cell r="E6912">
            <v>2355.1529999999998</v>
          </cell>
        </row>
        <row r="6913">
          <cell r="A6913" t="str">
            <v>BA</v>
          </cell>
          <cell r="B6913">
            <v>2008</v>
          </cell>
          <cell r="D6913" t="str">
            <v>SOJA</v>
          </cell>
          <cell r="E6913">
            <v>779.423</v>
          </cell>
        </row>
        <row r="6914">
          <cell r="A6914" t="str">
            <v>BA</v>
          </cell>
          <cell r="B6914">
            <v>2008</v>
          </cell>
          <cell r="D6914" t="str">
            <v>SOJA</v>
          </cell>
          <cell r="E6914">
            <v>478.54300000000001</v>
          </cell>
        </row>
        <row r="6915">
          <cell r="A6915" t="str">
            <v>BA</v>
          </cell>
          <cell r="B6915">
            <v>2008</v>
          </cell>
          <cell r="D6915" t="str">
            <v>SOJA</v>
          </cell>
          <cell r="E6915">
            <v>8982.2389999999996</v>
          </cell>
        </row>
        <row r="6916">
          <cell r="A6916" t="str">
            <v>BA</v>
          </cell>
          <cell r="B6916">
            <v>2008</v>
          </cell>
          <cell r="D6916" t="str">
            <v>SOJA</v>
          </cell>
          <cell r="E6916">
            <v>1042.635</v>
          </cell>
        </row>
        <row r="6917">
          <cell r="A6917" t="str">
            <v>BA</v>
          </cell>
          <cell r="B6917">
            <v>2008</v>
          </cell>
          <cell r="D6917" t="str">
            <v>SOJA</v>
          </cell>
          <cell r="E6917">
            <v>3576.3789999999999</v>
          </cell>
        </row>
        <row r="6918">
          <cell r="A6918" t="str">
            <v>TO</v>
          </cell>
          <cell r="B6918">
            <v>2008</v>
          </cell>
          <cell r="D6918" t="str">
            <v>SOJA</v>
          </cell>
          <cell r="E6918">
            <v>14018.513999999999</v>
          </cell>
        </row>
        <row r="6919">
          <cell r="A6919" t="str">
            <v>MA</v>
          </cell>
          <cell r="B6919">
            <v>2008</v>
          </cell>
          <cell r="D6919" t="str">
            <v>SOJA</v>
          </cell>
          <cell r="E6919">
            <v>6329.915</v>
          </cell>
        </row>
        <row r="6920">
          <cell r="A6920" t="str">
            <v>TO</v>
          </cell>
          <cell r="B6920">
            <v>2008</v>
          </cell>
          <cell r="D6920" t="str">
            <v>SOJA</v>
          </cell>
          <cell r="E6920">
            <v>2699.4</v>
          </cell>
        </row>
        <row r="6921">
          <cell r="A6921" t="str">
            <v>PA</v>
          </cell>
          <cell r="B6921">
            <v>2008</v>
          </cell>
          <cell r="D6921" t="str">
            <v>SOJA</v>
          </cell>
          <cell r="E6921">
            <v>71.158000000000001</v>
          </cell>
        </row>
        <row r="6922">
          <cell r="A6922" t="str">
            <v>MA</v>
          </cell>
          <cell r="B6922">
            <v>2008</v>
          </cell>
          <cell r="D6922" t="str">
            <v>SOJA</v>
          </cell>
          <cell r="E6922">
            <v>4148.3320000000003</v>
          </cell>
        </row>
        <row r="6923">
          <cell r="A6923" t="str">
            <v>MA</v>
          </cell>
          <cell r="B6923">
            <v>2008</v>
          </cell>
          <cell r="D6923" t="str">
            <v>SOJA</v>
          </cell>
          <cell r="E6923">
            <v>3269.0369999999998</v>
          </cell>
        </row>
        <row r="6924">
          <cell r="A6924" t="str">
            <v>TO</v>
          </cell>
          <cell r="B6924">
            <v>2008</v>
          </cell>
          <cell r="D6924" t="str">
            <v>SOJA</v>
          </cell>
          <cell r="E6924">
            <v>9569.1129999999994</v>
          </cell>
        </row>
        <row r="6925">
          <cell r="A6925" t="str">
            <v>MA</v>
          </cell>
          <cell r="B6925">
            <v>2008</v>
          </cell>
          <cell r="D6925" t="str">
            <v>SOJA</v>
          </cell>
          <cell r="E6925">
            <v>1911.252</v>
          </cell>
        </row>
        <row r="6926">
          <cell r="A6926" t="str">
            <v>MA</v>
          </cell>
          <cell r="B6926">
            <v>2008</v>
          </cell>
          <cell r="D6926" t="str">
            <v>SOJA</v>
          </cell>
          <cell r="E6926">
            <v>418.71800000000002</v>
          </cell>
        </row>
        <row r="6927">
          <cell r="A6927" t="str">
            <v>TO</v>
          </cell>
          <cell r="B6927">
            <v>2008</v>
          </cell>
          <cell r="D6927" t="str">
            <v>SOJA</v>
          </cell>
          <cell r="E6927">
            <v>14899.037</v>
          </cell>
        </row>
        <row r="6928">
          <cell r="A6928" t="str">
            <v>MA</v>
          </cell>
          <cell r="B6928">
            <v>2008</v>
          </cell>
          <cell r="D6928" t="str">
            <v>SOJA</v>
          </cell>
          <cell r="E6928">
            <v>4882.6840000000002</v>
          </cell>
        </row>
        <row r="6929">
          <cell r="A6929" t="str">
            <v>TO</v>
          </cell>
          <cell r="B6929">
            <v>2008</v>
          </cell>
          <cell r="D6929" t="str">
            <v>SOJA</v>
          </cell>
          <cell r="E6929">
            <v>9757.8089999999993</v>
          </cell>
        </row>
        <row r="6930">
          <cell r="A6930" t="str">
            <v>PI</v>
          </cell>
          <cell r="B6930">
            <v>2008</v>
          </cell>
          <cell r="D6930" t="str">
            <v>SOJA</v>
          </cell>
          <cell r="E6930">
            <v>130.36699999999999</v>
          </cell>
        </row>
        <row r="6931">
          <cell r="A6931" t="str">
            <v>PI</v>
          </cell>
          <cell r="B6931">
            <v>2008</v>
          </cell>
          <cell r="D6931" t="str">
            <v>SOJA</v>
          </cell>
          <cell r="E6931">
            <v>11.936</v>
          </cell>
        </row>
        <row r="6932">
          <cell r="A6932" t="str">
            <v>PI</v>
          </cell>
          <cell r="B6932">
            <v>2008</v>
          </cell>
          <cell r="D6932" t="str">
            <v>SOJA</v>
          </cell>
          <cell r="E6932">
            <v>16.024000000000001</v>
          </cell>
        </row>
        <row r="6933">
          <cell r="A6933" t="str">
            <v>PI</v>
          </cell>
          <cell r="B6933">
            <v>2008</v>
          </cell>
          <cell r="D6933" t="str">
            <v>SOJA</v>
          </cell>
          <cell r="E6933">
            <v>173.37100000000001</v>
          </cell>
        </row>
        <row r="6934">
          <cell r="A6934" t="str">
            <v>GO</v>
          </cell>
          <cell r="B6934">
            <v>2008</v>
          </cell>
          <cell r="D6934" t="str">
            <v>SOJA</v>
          </cell>
          <cell r="E6934">
            <v>6011.5159999999996</v>
          </cell>
        </row>
        <row r="6935">
          <cell r="A6935" t="str">
            <v>GO</v>
          </cell>
          <cell r="B6935">
            <v>2008</v>
          </cell>
          <cell r="D6935" t="str">
            <v>SOJA</v>
          </cell>
          <cell r="E6935">
            <v>3135.99</v>
          </cell>
        </row>
        <row r="6936">
          <cell r="A6936" t="str">
            <v>MG</v>
          </cell>
          <cell r="B6936">
            <v>2008</v>
          </cell>
          <cell r="D6936" t="str">
            <v>SOJA</v>
          </cell>
          <cell r="E6936">
            <v>861.12699999999995</v>
          </cell>
        </row>
        <row r="6937">
          <cell r="A6937" t="str">
            <v>GO</v>
          </cell>
          <cell r="B6937">
            <v>2008</v>
          </cell>
          <cell r="D6937" t="str">
            <v>SOJA</v>
          </cell>
          <cell r="E6937">
            <v>1833.9190000000001</v>
          </cell>
        </row>
        <row r="6938">
          <cell r="A6938" t="str">
            <v>GO</v>
          </cell>
          <cell r="B6938">
            <v>2008</v>
          </cell>
          <cell r="D6938" t="str">
            <v>SOJA</v>
          </cell>
          <cell r="E6938">
            <v>624.76199999999994</v>
          </cell>
        </row>
        <row r="6939">
          <cell r="A6939" t="str">
            <v>GO</v>
          </cell>
          <cell r="B6939">
            <v>2008</v>
          </cell>
          <cell r="D6939" t="str">
            <v>SOJA</v>
          </cell>
          <cell r="E6939">
            <v>108.551</v>
          </cell>
        </row>
        <row r="6940">
          <cell r="A6940" t="str">
            <v>GO</v>
          </cell>
          <cell r="B6940">
            <v>2008</v>
          </cell>
          <cell r="D6940" t="str">
            <v>SOJA</v>
          </cell>
          <cell r="E6940">
            <v>12243.177</v>
          </cell>
        </row>
        <row r="6941">
          <cell r="A6941" t="str">
            <v>MG</v>
          </cell>
          <cell r="B6941">
            <v>2008</v>
          </cell>
          <cell r="D6941" t="str">
            <v>SOJA</v>
          </cell>
          <cell r="E6941">
            <v>217.43299999999999</v>
          </cell>
        </row>
        <row r="6942">
          <cell r="A6942" t="str">
            <v>MG</v>
          </cell>
          <cell r="B6942">
            <v>2008</v>
          </cell>
          <cell r="D6942" t="str">
            <v>SOJA</v>
          </cell>
          <cell r="E6942">
            <v>5899.5829999999996</v>
          </cell>
        </row>
        <row r="6943">
          <cell r="A6943" t="str">
            <v>GO</v>
          </cell>
          <cell r="B6943">
            <v>2008</v>
          </cell>
          <cell r="D6943" t="str">
            <v>SOJA</v>
          </cell>
          <cell r="E6943">
            <v>7544.7460000000001</v>
          </cell>
        </row>
        <row r="6944">
          <cell r="A6944" t="str">
            <v>GO</v>
          </cell>
          <cell r="B6944">
            <v>2008</v>
          </cell>
          <cell r="D6944" t="str">
            <v>SOJA</v>
          </cell>
          <cell r="E6944">
            <v>19060.378000000001</v>
          </cell>
        </row>
        <row r="6945">
          <cell r="A6945" t="str">
            <v>MT</v>
          </cell>
          <cell r="B6945">
            <v>2008</v>
          </cell>
          <cell r="D6945" t="str">
            <v>SOJA</v>
          </cell>
          <cell r="E6945">
            <v>14101.37</v>
          </cell>
        </row>
        <row r="6946">
          <cell r="A6946" t="str">
            <v>GO</v>
          </cell>
          <cell r="B6946">
            <v>2008</v>
          </cell>
          <cell r="D6946" t="str">
            <v>SOJA</v>
          </cell>
          <cell r="E6946">
            <v>30273.940999999999</v>
          </cell>
        </row>
        <row r="6947">
          <cell r="A6947" t="str">
            <v>GO</v>
          </cell>
          <cell r="B6947">
            <v>2008</v>
          </cell>
          <cell r="D6947" t="str">
            <v>SOJA</v>
          </cell>
          <cell r="E6947">
            <v>7424.52</v>
          </cell>
        </row>
        <row r="6948">
          <cell r="A6948" t="str">
            <v>MS</v>
          </cell>
          <cell r="B6948">
            <v>2008</v>
          </cell>
          <cell r="D6948" t="str">
            <v>SOJA</v>
          </cell>
          <cell r="E6948">
            <v>15411.546</v>
          </cell>
        </row>
        <row r="6949">
          <cell r="A6949" t="str">
            <v>GO</v>
          </cell>
          <cell r="B6949">
            <v>2008</v>
          </cell>
          <cell r="D6949" t="str">
            <v>SOJA</v>
          </cell>
          <cell r="E6949">
            <v>9091.9599999999991</v>
          </cell>
        </row>
        <row r="6950">
          <cell r="A6950" t="str">
            <v>GO</v>
          </cell>
          <cell r="B6950">
            <v>2008</v>
          </cell>
          <cell r="D6950" t="str">
            <v>SOJA</v>
          </cell>
          <cell r="E6950">
            <v>41681.182000000001</v>
          </cell>
        </row>
        <row r="6951">
          <cell r="A6951" t="str">
            <v>MT</v>
          </cell>
          <cell r="B6951">
            <v>2008</v>
          </cell>
          <cell r="D6951" t="str">
            <v>SOJA</v>
          </cell>
          <cell r="E6951">
            <v>-2420.835</v>
          </cell>
        </row>
        <row r="6952">
          <cell r="A6952" t="str">
            <v>MT</v>
          </cell>
          <cell r="B6952">
            <v>2008</v>
          </cell>
          <cell r="D6952" t="str">
            <v>SOJA</v>
          </cell>
          <cell r="E6952">
            <v>28038.534</v>
          </cell>
        </row>
        <row r="6953">
          <cell r="A6953" t="str">
            <v>MT</v>
          </cell>
          <cell r="B6953">
            <v>2008</v>
          </cell>
          <cell r="D6953" t="str">
            <v>SOJA</v>
          </cell>
          <cell r="E6953">
            <v>26783.123</v>
          </cell>
        </row>
        <row r="6954">
          <cell r="A6954" t="str">
            <v>MT</v>
          </cell>
          <cell r="B6954">
            <v>2008</v>
          </cell>
          <cell r="D6954" t="str">
            <v>SOJA</v>
          </cell>
          <cell r="E6954">
            <v>18976.326000000001</v>
          </cell>
        </row>
        <row r="6955">
          <cell r="A6955" t="str">
            <v>MT</v>
          </cell>
          <cell r="B6955">
            <v>2008</v>
          </cell>
          <cell r="D6955" t="str">
            <v>SOJA</v>
          </cell>
          <cell r="E6955">
            <v>15412.403</v>
          </cell>
        </row>
        <row r="6956">
          <cell r="A6956" t="str">
            <v>MT</v>
          </cell>
          <cell r="B6956">
            <v>2008</v>
          </cell>
          <cell r="D6956" t="str">
            <v>SOJA</v>
          </cell>
          <cell r="E6956">
            <v>-187.87799999999999</v>
          </cell>
        </row>
        <row r="6957">
          <cell r="A6957" t="str">
            <v>MT</v>
          </cell>
          <cell r="B6957">
            <v>2008</v>
          </cell>
          <cell r="D6957" t="str">
            <v>SOJA</v>
          </cell>
          <cell r="E6957">
            <v>31327.117999999999</v>
          </cell>
        </row>
        <row r="6958">
          <cell r="A6958" t="str">
            <v>MT</v>
          </cell>
          <cell r="B6958">
            <v>2008</v>
          </cell>
          <cell r="D6958" t="str">
            <v>SOJA</v>
          </cell>
          <cell r="E6958">
            <v>12797.629000000001</v>
          </cell>
        </row>
        <row r="6959">
          <cell r="A6959" t="str">
            <v>MT</v>
          </cell>
          <cell r="B6959">
            <v>2008</v>
          </cell>
          <cell r="D6959" t="str">
            <v>SOJA</v>
          </cell>
          <cell r="E6959">
            <v>0</v>
          </cell>
        </row>
        <row r="6960">
          <cell r="A6960" t="str">
            <v>MT</v>
          </cell>
          <cell r="B6960">
            <v>2008</v>
          </cell>
          <cell r="D6960" t="str">
            <v>SOJA</v>
          </cell>
          <cell r="E6960">
            <v>14118.148999999999</v>
          </cell>
        </row>
        <row r="6961">
          <cell r="A6961" t="str">
            <v>MT</v>
          </cell>
          <cell r="B6961">
            <v>2008</v>
          </cell>
          <cell r="D6961" t="str">
            <v>SOJA</v>
          </cell>
          <cell r="E6961">
            <v>14669.19</v>
          </cell>
        </row>
        <row r="6962">
          <cell r="A6962" t="str">
            <v>MT</v>
          </cell>
          <cell r="B6962">
            <v>2008</v>
          </cell>
          <cell r="D6962" t="str">
            <v>SOJA</v>
          </cell>
          <cell r="E6962">
            <v>8205.7029999999995</v>
          </cell>
        </row>
        <row r="6963">
          <cell r="A6963" t="str">
            <v>MS</v>
          </cell>
          <cell r="B6963">
            <v>2008</v>
          </cell>
          <cell r="D6963" t="str">
            <v>SOJA</v>
          </cell>
          <cell r="E6963">
            <v>13542.445</v>
          </cell>
        </row>
        <row r="6964">
          <cell r="A6964" t="str">
            <v>MS</v>
          </cell>
          <cell r="B6964">
            <v>2008</v>
          </cell>
          <cell r="D6964" t="str">
            <v>SOJA</v>
          </cell>
          <cell r="E6964">
            <v>90880.728000000003</v>
          </cell>
        </row>
        <row r="6965">
          <cell r="A6965" t="str">
            <v>MS</v>
          </cell>
          <cell r="B6965">
            <v>2008</v>
          </cell>
          <cell r="D6965" t="str">
            <v>SOJA</v>
          </cell>
          <cell r="E6965">
            <v>12737.246999999999</v>
          </cell>
        </row>
        <row r="6966">
          <cell r="A6966" t="str">
            <v>MS</v>
          </cell>
          <cell r="B6966">
            <v>2008</v>
          </cell>
          <cell r="D6966" t="str">
            <v>SOJA</v>
          </cell>
          <cell r="E6966">
            <v>74957.429000000004</v>
          </cell>
        </row>
        <row r="6967">
          <cell r="A6967" t="str">
            <v>MS</v>
          </cell>
          <cell r="B6967">
            <v>2008</v>
          </cell>
          <cell r="D6967" t="str">
            <v>SOJA</v>
          </cell>
          <cell r="E6967">
            <v>37752.004000000001</v>
          </cell>
        </row>
        <row r="6968">
          <cell r="A6968" t="str">
            <v>MS</v>
          </cell>
          <cell r="B6968">
            <v>2008</v>
          </cell>
          <cell r="D6968" t="str">
            <v>SOJA</v>
          </cell>
          <cell r="E6968">
            <v>15805.241</v>
          </cell>
        </row>
        <row r="6969">
          <cell r="A6969" t="str">
            <v>MS</v>
          </cell>
          <cell r="B6969">
            <v>2008</v>
          </cell>
          <cell r="D6969" t="str">
            <v>SOJA</v>
          </cell>
          <cell r="E6969">
            <v>6140.0770000000002</v>
          </cell>
        </row>
        <row r="6970">
          <cell r="A6970" t="str">
            <v>MT</v>
          </cell>
          <cell r="B6970">
            <v>2008</v>
          </cell>
          <cell r="D6970" t="str">
            <v>SOJA</v>
          </cell>
          <cell r="E6970">
            <v>77378.091</v>
          </cell>
        </row>
        <row r="6971">
          <cell r="A6971" t="str">
            <v>MT</v>
          </cell>
          <cell r="B6971">
            <v>2008</v>
          </cell>
          <cell r="D6971" t="str">
            <v>SOJA</v>
          </cell>
          <cell r="E6971">
            <v>31084.550999999999</v>
          </cell>
        </row>
        <row r="6972">
          <cell r="A6972" t="str">
            <v>MT</v>
          </cell>
          <cell r="B6972">
            <v>2008</v>
          </cell>
          <cell r="D6972" t="str">
            <v>SOJA</v>
          </cell>
          <cell r="E6972">
            <v>20918.063999999998</v>
          </cell>
        </row>
        <row r="6973">
          <cell r="A6973" t="str">
            <v>MT</v>
          </cell>
          <cell r="B6973">
            <v>2008</v>
          </cell>
          <cell r="D6973" t="str">
            <v>SOJA</v>
          </cell>
          <cell r="E6973">
            <v>42899.718999999997</v>
          </cell>
        </row>
        <row r="6974">
          <cell r="A6974" t="str">
            <v>MT</v>
          </cell>
          <cell r="B6974">
            <v>2008</v>
          </cell>
          <cell r="D6974" t="str">
            <v>SOJA</v>
          </cell>
          <cell r="E6974">
            <v>9868.1010000000006</v>
          </cell>
        </row>
        <row r="6975">
          <cell r="A6975" t="str">
            <v>MT</v>
          </cell>
          <cell r="B6975">
            <v>2008</v>
          </cell>
          <cell r="D6975" t="str">
            <v>SOJA</v>
          </cell>
          <cell r="E6975">
            <v>906.351</v>
          </cell>
        </row>
        <row r="6976">
          <cell r="A6976" t="str">
            <v>MT</v>
          </cell>
          <cell r="B6976">
            <v>2008</v>
          </cell>
          <cell r="D6976" t="str">
            <v>SOJA</v>
          </cell>
          <cell r="E6976">
            <v>25569.563999999998</v>
          </cell>
        </row>
        <row r="6977">
          <cell r="A6977" t="str">
            <v>MT</v>
          </cell>
          <cell r="B6977">
            <v>2008</v>
          </cell>
          <cell r="D6977" t="str">
            <v>SOJA</v>
          </cell>
          <cell r="E6977">
            <v>9274.3850000000002</v>
          </cell>
        </row>
        <row r="6978">
          <cell r="A6978" t="str">
            <v>MT</v>
          </cell>
          <cell r="B6978">
            <v>2008</v>
          </cell>
          <cell r="D6978" t="str">
            <v>SOJA</v>
          </cell>
          <cell r="E6978">
            <v>2260.433</v>
          </cell>
        </row>
        <row r="6979">
          <cell r="A6979" t="str">
            <v>MT</v>
          </cell>
          <cell r="B6979">
            <v>2008</v>
          </cell>
          <cell r="D6979" t="str">
            <v>SOJA</v>
          </cell>
          <cell r="E6979">
            <v>10223.075000000001</v>
          </cell>
        </row>
        <row r="6980">
          <cell r="A6980" t="str">
            <v>MT</v>
          </cell>
          <cell r="B6980">
            <v>2008</v>
          </cell>
          <cell r="D6980" t="str">
            <v>SOJA</v>
          </cell>
          <cell r="E6980">
            <v>16203.974</v>
          </cell>
        </row>
        <row r="6981">
          <cell r="A6981" t="str">
            <v>MT</v>
          </cell>
          <cell r="B6981">
            <v>2008</v>
          </cell>
          <cell r="D6981" t="str">
            <v>SOJA</v>
          </cell>
          <cell r="E6981">
            <v>2167.5479999999998</v>
          </cell>
        </row>
        <row r="6982">
          <cell r="A6982" t="str">
            <v>PA</v>
          </cell>
          <cell r="B6982">
            <v>2008</v>
          </cell>
          <cell r="D6982" t="str">
            <v>SOJA</v>
          </cell>
          <cell r="E6982">
            <v>3897.9960000000001</v>
          </cell>
        </row>
        <row r="6983">
          <cell r="A6983" t="str">
            <v>MT</v>
          </cell>
          <cell r="B6983">
            <v>2008</v>
          </cell>
          <cell r="D6983" t="str">
            <v>SOJA</v>
          </cell>
          <cell r="E6983">
            <v>-5326.5339999999997</v>
          </cell>
        </row>
        <row r="6984">
          <cell r="A6984" t="str">
            <v>MT</v>
          </cell>
          <cell r="B6984">
            <v>2008</v>
          </cell>
          <cell r="D6984" t="str">
            <v>SOJA</v>
          </cell>
          <cell r="E6984">
            <v>19020.527999999998</v>
          </cell>
        </row>
        <row r="6985">
          <cell r="A6985" t="str">
            <v>MT</v>
          </cell>
          <cell r="B6985">
            <v>2008</v>
          </cell>
          <cell r="D6985" t="str">
            <v>SOJA</v>
          </cell>
          <cell r="E6985">
            <v>21274.536</v>
          </cell>
        </row>
        <row r="6986">
          <cell r="A6986" t="str">
            <v>MT</v>
          </cell>
          <cell r="B6986">
            <v>2008</v>
          </cell>
          <cell r="D6986" t="str">
            <v>SOJA</v>
          </cell>
          <cell r="E6986">
            <v>5450.02</v>
          </cell>
        </row>
        <row r="6987">
          <cell r="A6987" t="str">
            <v>MT</v>
          </cell>
          <cell r="B6987">
            <v>2008</v>
          </cell>
          <cell r="D6987" t="str">
            <v>SOJA</v>
          </cell>
          <cell r="E6987">
            <v>39321.31</v>
          </cell>
        </row>
        <row r="6988">
          <cell r="A6988" t="str">
            <v>MT</v>
          </cell>
          <cell r="B6988">
            <v>2008</v>
          </cell>
          <cell r="D6988" t="str">
            <v>SOJA</v>
          </cell>
          <cell r="E6988">
            <v>-1973.019</v>
          </cell>
        </row>
        <row r="6989">
          <cell r="A6989" t="str">
            <v>MT</v>
          </cell>
          <cell r="B6989">
            <v>2008</v>
          </cell>
          <cell r="D6989" t="str">
            <v>SOJA</v>
          </cell>
          <cell r="E6989">
            <v>22142.244999999999</v>
          </cell>
        </row>
        <row r="6990">
          <cell r="A6990" t="str">
            <v>MT</v>
          </cell>
          <cell r="B6990">
            <v>2008</v>
          </cell>
          <cell r="D6990" t="str">
            <v>SOJA</v>
          </cell>
          <cell r="E6990">
            <v>70851.357999999993</v>
          </cell>
        </row>
        <row r="6991">
          <cell r="A6991" t="str">
            <v>MT</v>
          </cell>
          <cell r="B6991">
            <v>2008</v>
          </cell>
          <cell r="D6991" t="str">
            <v>SOJA</v>
          </cell>
          <cell r="E6991">
            <v>33455.607000000004</v>
          </cell>
        </row>
        <row r="6992">
          <cell r="A6992" t="str">
            <v>MT</v>
          </cell>
          <cell r="B6992">
            <v>2008</v>
          </cell>
          <cell r="D6992" t="str">
            <v>SOJA</v>
          </cell>
          <cell r="E6992">
            <v>47990.824999999997</v>
          </cell>
        </row>
        <row r="6993">
          <cell r="A6993" t="str">
            <v>MT</v>
          </cell>
          <cell r="B6993">
            <v>2008</v>
          </cell>
          <cell r="D6993" t="str">
            <v>SOJA</v>
          </cell>
          <cell r="E6993">
            <v>24149.972000000002</v>
          </cell>
        </row>
        <row r="6994">
          <cell r="A6994" t="str">
            <v>MT</v>
          </cell>
          <cell r="B6994">
            <v>2008</v>
          </cell>
          <cell r="D6994" t="str">
            <v>SOJA</v>
          </cell>
          <cell r="E6994">
            <v>20117.041000000001</v>
          </cell>
        </row>
        <row r="6995">
          <cell r="A6995" t="str">
            <v>MT</v>
          </cell>
          <cell r="B6995">
            <v>2008</v>
          </cell>
          <cell r="D6995" t="str">
            <v>SOJA</v>
          </cell>
          <cell r="E6995">
            <v>0</v>
          </cell>
        </row>
        <row r="6996">
          <cell r="A6996" t="str">
            <v>MT</v>
          </cell>
          <cell r="B6996">
            <v>2008</v>
          </cell>
          <cell r="D6996" t="str">
            <v>SOJA</v>
          </cell>
          <cell r="E6996">
            <v>45806.048999999999</v>
          </cell>
        </row>
        <row r="6997">
          <cell r="A6997" t="str">
            <v>MT</v>
          </cell>
          <cell r="B6997">
            <v>2008</v>
          </cell>
          <cell r="D6997" t="str">
            <v>SOJA</v>
          </cell>
          <cell r="E6997">
            <v>21231.005000000001</v>
          </cell>
        </row>
        <row r="6998">
          <cell r="A6998" t="str">
            <v>MT</v>
          </cell>
          <cell r="B6998">
            <v>2008</v>
          </cell>
          <cell r="D6998" t="str">
            <v>SOJA</v>
          </cell>
          <cell r="E6998">
            <v>21258.914000000001</v>
          </cell>
        </row>
        <row r="6999">
          <cell r="A6999" t="str">
            <v>MT</v>
          </cell>
          <cell r="B6999">
            <v>2008</v>
          </cell>
          <cell r="D6999" t="str">
            <v>SOJA</v>
          </cell>
          <cell r="E6999">
            <v>8297.6149999999998</v>
          </cell>
        </row>
        <row r="7000">
          <cell r="A7000" t="str">
            <v>RS</v>
          </cell>
          <cell r="B7000">
            <v>2008</v>
          </cell>
          <cell r="D7000" t="str">
            <v>SOJA</v>
          </cell>
          <cell r="E7000">
            <v>3388.7440000000001</v>
          </cell>
        </row>
        <row r="7001">
          <cell r="A7001" t="str">
            <v>RS</v>
          </cell>
          <cell r="B7001">
            <v>2008</v>
          </cell>
          <cell r="D7001" t="str">
            <v>SOJA</v>
          </cell>
          <cell r="E7001">
            <v>833.73299999999995</v>
          </cell>
        </row>
        <row r="7002">
          <cell r="A7002" t="str">
            <v>RS</v>
          </cell>
          <cell r="B7002">
            <v>2008</v>
          </cell>
          <cell r="D7002" t="str">
            <v>SOJA</v>
          </cell>
          <cell r="E7002">
            <v>875.50099999999998</v>
          </cell>
        </row>
        <row r="7003">
          <cell r="A7003" t="str">
            <v>RS</v>
          </cell>
          <cell r="B7003">
            <v>2008</v>
          </cell>
          <cell r="D7003" t="str">
            <v>SOJA</v>
          </cell>
          <cell r="E7003">
            <v>4658.5910000000003</v>
          </cell>
        </row>
        <row r="7004">
          <cell r="A7004" t="str">
            <v>RS</v>
          </cell>
          <cell r="B7004">
            <v>2008</v>
          </cell>
          <cell r="D7004" t="str">
            <v>SOJA</v>
          </cell>
          <cell r="E7004">
            <v>1965.9860000000001</v>
          </cell>
        </row>
        <row r="7005">
          <cell r="A7005" t="str">
            <v>RS</v>
          </cell>
          <cell r="B7005">
            <v>2008</v>
          </cell>
          <cell r="D7005" t="str">
            <v>SOJA</v>
          </cell>
          <cell r="E7005">
            <v>1838.1289999999999</v>
          </cell>
        </row>
        <row r="7006">
          <cell r="A7006" t="str">
            <v>RS</v>
          </cell>
          <cell r="B7006">
            <v>2008</v>
          </cell>
          <cell r="D7006" t="str">
            <v>SOJA</v>
          </cell>
          <cell r="E7006">
            <v>1296.3979999999999</v>
          </cell>
        </row>
        <row r="7007">
          <cell r="A7007" t="str">
            <v>RS</v>
          </cell>
          <cell r="B7007">
            <v>2008</v>
          </cell>
          <cell r="D7007" t="str">
            <v>SOJA</v>
          </cell>
          <cell r="E7007">
            <v>3323.6179999999999</v>
          </cell>
        </row>
        <row r="7008">
          <cell r="A7008" t="str">
            <v>RS</v>
          </cell>
          <cell r="B7008">
            <v>2008</v>
          </cell>
          <cell r="D7008" t="str">
            <v>SOJA</v>
          </cell>
          <cell r="E7008">
            <v>6027.3580000000002</v>
          </cell>
        </row>
        <row r="7009">
          <cell r="A7009" t="str">
            <v>RS</v>
          </cell>
          <cell r="B7009">
            <v>2008</v>
          </cell>
          <cell r="D7009" t="str">
            <v>SOJA</v>
          </cell>
          <cell r="E7009">
            <v>313.82</v>
          </cell>
        </row>
        <row r="7010">
          <cell r="A7010" t="str">
            <v>RS</v>
          </cell>
          <cell r="B7010">
            <v>2008</v>
          </cell>
          <cell r="D7010" t="str">
            <v>SOJA</v>
          </cell>
          <cell r="E7010">
            <v>691.11</v>
          </cell>
        </row>
        <row r="7011">
          <cell r="A7011" t="str">
            <v>RS</v>
          </cell>
          <cell r="B7011">
            <v>2008</v>
          </cell>
          <cell r="D7011" t="str">
            <v>SOJA</v>
          </cell>
          <cell r="E7011">
            <v>3337.5709999999999</v>
          </cell>
        </row>
        <row r="7012">
          <cell r="A7012" t="str">
            <v>RS</v>
          </cell>
          <cell r="B7012">
            <v>2008</v>
          </cell>
          <cell r="D7012" t="str">
            <v>SOJA</v>
          </cell>
          <cell r="E7012">
            <v>7387.8890000000001</v>
          </cell>
        </row>
        <row r="7013">
          <cell r="A7013" t="str">
            <v>SC</v>
          </cell>
          <cell r="B7013">
            <v>2008</v>
          </cell>
          <cell r="D7013" t="str">
            <v>SOJA</v>
          </cell>
          <cell r="E7013">
            <v>18.297999999999998</v>
          </cell>
        </row>
        <row r="7014">
          <cell r="A7014" t="str">
            <v>SC</v>
          </cell>
          <cell r="B7014">
            <v>2008</v>
          </cell>
          <cell r="D7014" t="str">
            <v>SOJA</v>
          </cell>
          <cell r="E7014">
            <v>1566.653</v>
          </cell>
        </row>
        <row r="7015">
          <cell r="A7015" t="str">
            <v>PR</v>
          </cell>
          <cell r="B7015">
            <v>2008</v>
          </cell>
          <cell r="D7015" t="str">
            <v>SOJA</v>
          </cell>
          <cell r="E7015">
            <v>11891.056</v>
          </cell>
        </row>
        <row r="7016">
          <cell r="A7016" t="str">
            <v>SP</v>
          </cell>
          <cell r="B7016">
            <v>2008</v>
          </cell>
          <cell r="D7016" t="str">
            <v>SOJA</v>
          </cell>
          <cell r="E7016">
            <v>3748.43</v>
          </cell>
        </row>
        <row r="7017">
          <cell r="A7017" t="str">
            <v>PR</v>
          </cell>
          <cell r="B7017">
            <v>2008</v>
          </cell>
          <cell r="D7017" t="str">
            <v>SOJA</v>
          </cell>
          <cell r="E7017">
            <v>18493.644</v>
          </cell>
        </row>
        <row r="7018">
          <cell r="A7018" t="str">
            <v>PR</v>
          </cell>
          <cell r="B7018">
            <v>2008</v>
          </cell>
          <cell r="D7018" t="str">
            <v>SOJA</v>
          </cell>
          <cell r="E7018">
            <v>48036.59</v>
          </cell>
        </row>
        <row r="7019">
          <cell r="A7019" t="str">
            <v>PR</v>
          </cell>
          <cell r="B7019">
            <v>2008</v>
          </cell>
          <cell r="D7019" t="str">
            <v>SOJA</v>
          </cell>
          <cell r="E7019">
            <v>40841.677000000003</v>
          </cell>
        </row>
        <row r="7020">
          <cell r="A7020" t="str">
            <v>PR</v>
          </cell>
          <cell r="B7020">
            <v>2008</v>
          </cell>
          <cell r="D7020" t="str">
            <v>SOJA</v>
          </cell>
          <cell r="E7020">
            <v>32417.833999999999</v>
          </cell>
        </row>
        <row r="7021">
          <cell r="A7021" t="str">
            <v>PR</v>
          </cell>
          <cell r="B7021">
            <v>2008</v>
          </cell>
          <cell r="D7021" t="str">
            <v>SOJA</v>
          </cell>
          <cell r="E7021">
            <v>14573.312</v>
          </cell>
        </row>
        <row r="7022">
          <cell r="A7022" t="str">
            <v>PR</v>
          </cell>
          <cell r="B7022">
            <v>2008</v>
          </cell>
          <cell r="D7022" t="str">
            <v>SOJA</v>
          </cell>
          <cell r="E7022">
            <v>22911.635999999999</v>
          </cell>
        </row>
        <row r="7023">
          <cell r="A7023" t="str">
            <v>PR</v>
          </cell>
          <cell r="B7023">
            <v>2008</v>
          </cell>
          <cell r="D7023" t="str">
            <v>SOJA</v>
          </cell>
          <cell r="E7023">
            <v>16201.748</v>
          </cell>
        </row>
        <row r="7024">
          <cell r="A7024" t="str">
            <v>PR</v>
          </cell>
          <cell r="B7024">
            <v>2008</v>
          </cell>
          <cell r="D7024" t="str">
            <v>SOJA</v>
          </cell>
          <cell r="E7024">
            <v>8056.9719999999998</v>
          </cell>
        </row>
        <row r="7025">
          <cell r="A7025" t="str">
            <v>PR</v>
          </cell>
          <cell r="B7025">
            <v>2008</v>
          </cell>
          <cell r="D7025" t="str">
            <v>SOJA</v>
          </cell>
          <cell r="E7025">
            <v>3184.9560000000001</v>
          </cell>
        </row>
        <row r="7026">
          <cell r="A7026" t="str">
            <v>PR</v>
          </cell>
          <cell r="B7026">
            <v>2008</v>
          </cell>
          <cell r="D7026" t="str">
            <v>SOJA</v>
          </cell>
          <cell r="E7026">
            <v>5368.9880000000003</v>
          </cell>
        </row>
        <row r="7027">
          <cell r="A7027" t="str">
            <v>PR</v>
          </cell>
          <cell r="B7027">
            <v>2008</v>
          </cell>
          <cell r="D7027" t="str">
            <v>SOJA</v>
          </cell>
          <cell r="E7027">
            <v>14077.477999999999</v>
          </cell>
        </row>
        <row r="7028">
          <cell r="A7028" t="str">
            <v>PR</v>
          </cell>
          <cell r="B7028">
            <v>2008</v>
          </cell>
          <cell r="D7028" t="str">
            <v>SOJA</v>
          </cell>
          <cell r="E7028">
            <v>10128.771000000001</v>
          </cell>
        </row>
        <row r="7029">
          <cell r="A7029" t="str">
            <v>PR</v>
          </cell>
          <cell r="B7029">
            <v>2008</v>
          </cell>
          <cell r="D7029" t="str">
            <v>SOJA</v>
          </cell>
          <cell r="E7029">
            <v>57252.38</v>
          </cell>
        </row>
        <row r="7030">
          <cell r="A7030" t="str">
            <v>PR</v>
          </cell>
          <cell r="B7030">
            <v>2008</v>
          </cell>
          <cell r="D7030" t="str">
            <v>SOJA</v>
          </cell>
          <cell r="E7030">
            <v>2685.9659999999999</v>
          </cell>
        </row>
        <row r="7031">
          <cell r="A7031" t="str">
            <v>PR</v>
          </cell>
          <cell r="B7031">
            <v>2008</v>
          </cell>
          <cell r="D7031" t="str">
            <v>SOJA</v>
          </cell>
          <cell r="E7031">
            <v>4377.1450000000004</v>
          </cell>
        </row>
        <row r="7032">
          <cell r="A7032" t="str">
            <v>PR</v>
          </cell>
          <cell r="B7032">
            <v>2008</v>
          </cell>
          <cell r="D7032" t="str">
            <v>SOJA</v>
          </cell>
          <cell r="E7032">
            <v>7060.3959999999997</v>
          </cell>
        </row>
        <row r="7033">
          <cell r="A7033" t="str">
            <v>PR</v>
          </cell>
          <cell r="B7033">
            <v>2008</v>
          </cell>
          <cell r="D7033" t="str">
            <v>SOJA</v>
          </cell>
          <cell r="E7033">
            <v>8489.125</v>
          </cell>
        </row>
        <row r="7034">
          <cell r="A7034" t="str">
            <v>RS</v>
          </cell>
          <cell r="B7034">
            <v>2008</v>
          </cell>
          <cell r="D7034" t="str">
            <v>MILHO</v>
          </cell>
          <cell r="E7034">
            <v>-30.68</v>
          </cell>
        </row>
        <row r="7035">
          <cell r="A7035" t="str">
            <v>RS</v>
          </cell>
          <cell r="B7035">
            <v>2008</v>
          </cell>
          <cell r="D7035" t="str">
            <v>MILHO</v>
          </cell>
          <cell r="E7035">
            <v>-37.86</v>
          </cell>
        </row>
        <row r="7036">
          <cell r="A7036" t="str">
            <v>BA</v>
          </cell>
          <cell r="B7036">
            <v>2008</v>
          </cell>
          <cell r="D7036" t="str">
            <v>MILHO</v>
          </cell>
          <cell r="E7036">
            <v>438.04700000000003</v>
          </cell>
        </row>
        <row r="7037">
          <cell r="A7037" t="str">
            <v>BA</v>
          </cell>
          <cell r="B7037">
            <v>2008</v>
          </cell>
          <cell r="D7037" t="str">
            <v>MILHO</v>
          </cell>
          <cell r="E7037">
            <v>0</v>
          </cell>
        </row>
        <row r="7038">
          <cell r="A7038" t="str">
            <v>BA</v>
          </cell>
          <cell r="B7038">
            <v>2008</v>
          </cell>
          <cell r="D7038" t="str">
            <v>MILHO</v>
          </cell>
          <cell r="E7038">
            <v>281.995</v>
          </cell>
        </row>
        <row r="7039">
          <cell r="A7039" t="str">
            <v>BA</v>
          </cell>
          <cell r="B7039">
            <v>2008</v>
          </cell>
          <cell r="D7039" t="str">
            <v>MILHO</v>
          </cell>
          <cell r="E7039">
            <v>165.73099999999999</v>
          </cell>
        </row>
        <row r="7040">
          <cell r="A7040" t="str">
            <v>GO</v>
          </cell>
          <cell r="B7040">
            <v>2008</v>
          </cell>
          <cell r="D7040" t="str">
            <v>MILHO</v>
          </cell>
          <cell r="E7040">
            <v>0</v>
          </cell>
        </row>
        <row r="7041">
          <cell r="A7041" t="str">
            <v>MG</v>
          </cell>
          <cell r="B7041">
            <v>2008</v>
          </cell>
          <cell r="D7041" t="str">
            <v>MILHO</v>
          </cell>
          <cell r="E7041">
            <v>36253.360999999997</v>
          </cell>
        </row>
        <row r="7042">
          <cell r="A7042" t="str">
            <v>GO</v>
          </cell>
          <cell r="B7042">
            <v>2008</v>
          </cell>
          <cell r="D7042" t="str">
            <v>MILHO</v>
          </cell>
          <cell r="E7042">
            <v>0</v>
          </cell>
        </row>
        <row r="7043">
          <cell r="A7043" t="str">
            <v>MT</v>
          </cell>
          <cell r="B7043">
            <v>2008</v>
          </cell>
          <cell r="D7043" t="str">
            <v>MILHO</v>
          </cell>
          <cell r="E7043">
            <v>1391.981</v>
          </cell>
        </row>
        <row r="7044">
          <cell r="A7044" t="str">
            <v>GO</v>
          </cell>
          <cell r="B7044">
            <v>2008</v>
          </cell>
          <cell r="D7044" t="str">
            <v>MILHO</v>
          </cell>
          <cell r="E7044">
            <v>4972.5529999999999</v>
          </cell>
        </row>
        <row r="7045">
          <cell r="A7045" t="str">
            <v>MS</v>
          </cell>
          <cell r="B7045">
            <v>2008</v>
          </cell>
          <cell r="D7045" t="str">
            <v>MILHO</v>
          </cell>
          <cell r="E7045">
            <v>0</v>
          </cell>
        </row>
        <row r="7046">
          <cell r="A7046" t="str">
            <v>GO</v>
          </cell>
          <cell r="B7046">
            <v>2008</v>
          </cell>
          <cell r="D7046" t="str">
            <v>MILHO</v>
          </cell>
          <cell r="E7046">
            <v>1090.31</v>
          </cell>
        </row>
        <row r="7047">
          <cell r="A7047" t="str">
            <v>MS</v>
          </cell>
          <cell r="B7047">
            <v>2008</v>
          </cell>
          <cell r="D7047" t="str">
            <v>MILHO</v>
          </cell>
          <cell r="E7047">
            <v>0</v>
          </cell>
        </row>
        <row r="7048">
          <cell r="A7048" t="str">
            <v>MS</v>
          </cell>
          <cell r="B7048">
            <v>2008</v>
          </cell>
          <cell r="D7048" t="str">
            <v>MILHO</v>
          </cell>
          <cell r="E7048">
            <v>0</v>
          </cell>
        </row>
        <row r="7049">
          <cell r="A7049" t="str">
            <v>MT</v>
          </cell>
          <cell r="B7049">
            <v>2008</v>
          </cell>
          <cell r="D7049" t="str">
            <v>MILHO</v>
          </cell>
          <cell r="E7049">
            <v>0</v>
          </cell>
        </row>
        <row r="7050">
          <cell r="A7050" t="str">
            <v>MT</v>
          </cell>
          <cell r="B7050">
            <v>2008</v>
          </cell>
          <cell r="D7050" t="str">
            <v>MILHO</v>
          </cell>
          <cell r="E7050">
            <v>-0.03</v>
          </cell>
        </row>
        <row r="7051">
          <cell r="A7051" t="str">
            <v>RS</v>
          </cell>
          <cell r="B7051">
            <v>2008</v>
          </cell>
          <cell r="D7051" t="str">
            <v>MILHO</v>
          </cell>
          <cell r="E7051">
            <v>120</v>
          </cell>
        </row>
        <row r="7052">
          <cell r="A7052" t="str">
            <v>RS</v>
          </cell>
          <cell r="B7052">
            <v>2008</v>
          </cell>
          <cell r="D7052" t="str">
            <v>MILHO</v>
          </cell>
          <cell r="E7052">
            <v>0</v>
          </cell>
        </row>
        <row r="7053">
          <cell r="A7053" t="str">
            <v>RS</v>
          </cell>
          <cell r="B7053">
            <v>2008</v>
          </cell>
          <cell r="D7053" t="str">
            <v>MILHO</v>
          </cell>
          <cell r="E7053">
            <v>68.540000000000006</v>
          </cell>
        </row>
        <row r="7054">
          <cell r="A7054" t="str">
            <v>RS</v>
          </cell>
          <cell r="B7054">
            <v>2008</v>
          </cell>
          <cell r="D7054" t="str">
            <v>MILHO</v>
          </cell>
          <cell r="E7054">
            <v>89.122</v>
          </cell>
        </row>
        <row r="7055">
          <cell r="A7055" t="str">
            <v>RS</v>
          </cell>
          <cell r="B7055">
            <v>2008</v>
          </cell>
          <cell r="D7055" t="str">
            <v>MILHO</v>
          </cell>
          <cell r="E7055">
            <v>13.45</v>
          </cell>
        </row>
        <row r="7056">
          <cell r="A7056" t="str">
            <v>RS</v>
          </cell>
          <cell r="B7056">
            <v>2008</v>
          </cell>
          <cell r="D7056" t="str">
            <v>MILHO</v>
          </cell>
          <cell r="E7056">
            <v>-9.98</v>
          </cell>
        </row>
        <row r="7057">
          <cell r="A7057" t="str">
            <v>RS</v>
          </cell>
          <cell r="B7057">
            <v>2008</v>
          </cell>
          <cell r="D7057" t="str">
            <v>MILHO</v>
          </cell>
          <cell r="E7057">
            <v>-13.45</v>
          </cell>
        </row>
        <row r="7058">
          <cell r="A7058" t="str">
            <v>RS</v>
          </cell>
          <cell r="B7058">
            <v>2008</v>
          </cell>
          <cell r="D7058" t="str">
            <v>MILHO</v>
          </cell>
          <cell r="E7058">
            <v>1.198</v>
          </cell>
        </row>
        <row r="7059">
          <cell r="A7059" t="str">
            <v>RS</v>
          </cell>
          <cell r="B7059">
            <v>2008</v>
          </cell>
          <cell r="D7059" t="str">
            <v>MILHO</v>
          </cell>
          <cell r="E7059">
            <v>0</v>
          </cell>
        </row>
        <row r="7060">
          <cell r="A7060" t="str">
            <v>SC</v>
          </cell>
          <cell r="B7060">
            <v>2008</v>
          </cell>
          <cell r="D7060" t="str">
            <v>MILHO</v>
          </cell>
          <cell r="E7060">
            <v>27678.66</v>
          </cell>
        </row>
        <row r="7061">
          <cell r="A7061" t="str">
            <v>PR</v>
          </cell>
          <cell r="B7061">
            <v>2008</v>
          </cell>
          <cell r="D7061" t="str">
            <v>MILHO</v>
          </cell>
          <cell r="E7061">
            <v>7377.3469999999998</v>
          </cell>
        </row>
        <row r="7062">
          <cell r="A7062" t="str">
            <v>SP</v>
          </cell>
          <cell r="B7062">
            <v>2008</v>
          </cell>
          <cell r="D7062" t="str">
            <v>MILHO</v>
          </cell>
          <cell r="E7062">
            <v>4526.7510000000002</v>
          </cell>
        </row>
        <row r="7063">
          <cell r="A7063" t="str">
            <v>PR</v>
          </cell>
          <cell r="B7063">
            <v>2008</v>
          </cell>
          <cell r="D7063" t="str">
            <v>MILHO</v>
          </cell>
          <cell r="E7063">
            <v>91.935000000000002</v>
          </cell>
        </row>
        <row r="7064">
          <cell r="A7064" t="str">
            <v>PR</v>
          </cell>
          <cell r="B7064">
            <v>2008</v>
          </cell>
          <cell r="D7064" t="str">
            <v>MILHO</v>
          </cell>
          <cell r="E7064">
            <v>-5477.7269999999999</v>
          </cell>
        </row>
        <row r="7065">
          <cell r="A7065" t="str">
            <v>PR</v>
          </cell>
          <cell r="B7065">
            <v>2008</v>
          </cell>
          <cell r="D7065" t="str">
            <v>MILHO</v>
          </cell>
          <cell r="E7065">
            <v>-338.46</v>
          </cell>
        </row>
        <row r="7066">
          <cell r="A7066" t="str">
            <v>PR</v>
          </cell>
          <cell r="B7066">
            <v>2008</v>
          </cell>
          <cell r="D7066" t="str">
            <v>MILHO</v>
          </cell>
          <cell r="E7066">
            <v>10277.141</v>
          </cell>
        </row>
        <row r="7067">
          <cell r="A7067" t="str">
            <v>PR</v>
          </cell>
          <cell r="B7067">
            <v>2008</v>
          </cell>
          <cell r="D7067" t="str">
            <v>MILHO</v>
          </cell>
          <cell r="E7067">
            <v>6509.6120000000001</v>
          </cell>
        </row>
        <row r="7068">
          <cell r="A7068" t="str">
            <v>PR</v>
          </cell>
          <cell r="B7068">
            <v>2008</v>
          </cell>
          <cell r="D7068" t="str">
            <v>MILHO</v>
          </cell>
          <cell r="E7068">
            <v>4736.8909999999996</v>
          </cell>
        </row>
        <row r="7069">
          <cell r="A7069" t="str">
            <v>PR</v>
          </cell>
          <cell r="B7069">
            <v>2008</v>
          </cell>
          <cell r="D7069" t="str">
            <v>MILHO</v>
          </cell>
          <cell r="E7069">
            <v>4548.2489999999998</v>
          </cell>
        </row>
        <row r="7070">
          <cell r="A7070" t="str">
            <v>PR</v>
          </cell>
          <cell r="B7070">
            <v>2008</v>
          </cell>
          <cell r="D7070" t="str">
            <v>MILHO</v>
          </cell>
          <cell r="E7070">
            <v>817.26300000000003</v>
          </cell>
        </row>
        <row r="7071">
          <cell r="A7071" t="str">
            <v>PR</v>
          </cell>
          <cell r="B7071">
            <v>2008</v>
          </cell>
          <cell r="D7071" t="str">
            <v>MILHO</v>
          </cell>
          <cell r="E7071">
            <v>4184.3900000000003</v>
          </cell>
        </row>
        <row r="7072">
          <cell r="A7072" t="str">
            <v>PR</v>
          </cell>
          <cell r="B7072">
            <v>2008</v>
          </cell>
          <cell r="D7072" t="str">
            <v>MILHO</v>
          </cell>
          <cell r="E7072">
            <v>2393.3119999999999</v>
          </cell>
        </row>
        <row r="7073">
          <cell r="A7073" t="str">
            <v>PR</v>
          </cell>
          <cell r="B7073">
            <v>2008</v>
          </cell>
          <cell r="D7073" t="str">
            <v>MILHO</v>
          </cell>
          <cell r="E7073">
            <v>11702.341</v>
          </cell>
        </row>
        <row r="7074">
          <cell r="A7074" t="str">
            <v>PR</v>
          </cell>
          <cell r="B7074">
            <v>2008</v>
          </cell>
          <cell r="D7074" t="str">
            <v>MILHO</v>
          </cell>
          <cell r="E7074">
            <v>6321.866</v>
          </cell>
        </row>
        <row r="7075">
          <cell r="A7075" t="str">
            <v>PR</v>
          </cell>
          <cell r="B7075">
            <v>2008</v>
          </cell>
          <cell r="D7075" t="str">
            <v>MILHO</v>
          </cell>
          <cell r="E7075">
            <v>5508.491</v>
          </cell>
        </row>
        <row r="7076">
          <cell r="A7076" t="str">
            <v>PR</v>
          </cell>
          <cell r="B7076">
            <v>2008</v>
          </cell>
          <cell r="D7076" t="str">
            <v>MILHO</v>
          </cell>
          <cell r="E7076">
            <v>14921.403</v>
          </cell>
        </row>
        <row r="7077">
          <cell r="A7077" t="str">
            <v>PR</v>
          </cell>
          <cell r="B7077">
            <v>2008</v>
          </cell>
          <cell r="D7077" t="str">
            <v>MILHO</v>
          </cell>
          <cell r="E7077">
            <v>789.41300000000001</v>
          </cell>
        </row>
        <row r="7078">
          <cell r="A7078" t="str">
            <v>PR</v>
          </cell>
          <cell r="B7078">
            <v>2008</v>
          </cell>
          <cell r="D7078" t="str">
            <v>MILHO</v>
          </cell>
          <cell r="E7078">
            <v>1757.9829999999999</v>
          </cell>
        </row>
        <row r="7079">
          <cell r="A7079" t="str">
            <v>PR</v>
          </cell>
          <cell r="B7079">
            <v>2008</v>
          </cell>
          <cell r="D7079" t="str">
            <v>MILHO</v>
          </cell>
          <cell r="E7079">
            <v>12764.004999999999</v>
          </cell>
        </row>
        <row r="7080">
          <cell r="A7080" t="str">
            <v>MG</v>
          </cell>
          <cell r="B7080">
            <v>2008</v>
          </cell>
          <cell r="D7080" t="str">
            <v>SOJA</v>
          </cell>
          <cell r="E7080">
            <v>11.111000000000001</v>
          </cell>
        </row>
        <row r="7081">
          <cell r="A7081" t="str">
            <v>MT</v>
          </cell>
          <cell r="B7081">
            <v>2008</v>
          </cell>
          <cell r="D7081" t="str">
            <v>SOJA</v>
          </cell>
          <cell r="E7081">
            <v>-38.884</v>
          </cell>
        </row>
        <row r="7082">
          <cell r="A7082" t="str">
            <v>RS</v>
          </cell>
          <cell r="B7082">
            <v>2008</v>
          </cell>
          <cell r="D7082" t="str">
            <v>SOJA</v>
          </cell>
          <cell r="E7082">
            <v>11.256</v>
          </cell>
        </row>
        <row r="7083">
          <cell r="A7083" t="str">
            <v>RS</v>
          </cell>
          <cell r="B7083">
            <v>2008</v>
          </cell>
          <cell r="D7083" t="str">
            <v>SOJA</v>
          </cell>
          <cell r="E7083">
            <v>0</v>
          </cell>
        </row>
        <row r="7084">
          <cell r="A7084" t="str">
            <v>RS</v>
          </cell>
          <cell r="B7084">
            <v>2008</v>
          </cell>
          <cell r="D7084" t="str">
            <v>SOJA</v>
          </cell>
          <cell r="E7084">
            <v>8.6999999999999993</v>
          </cell>
        </row>
        <row r="7085">
          <cell r="A7085" t="str">
            <v>RS</v>
          </cell>
          <cell r="B7085">
            <v>2008</v>
          </cell>
          <cell r="D7085" t="str">
            <v>SOJA</v>
          </cell>
          <cell r="E7085">
            <v>48.7</v>
          </cell>
        </row>
        <row r="7086">
          <cell r="A7086" t="str">
            <v>RS</v>
          </cell>
          <cell r="B7086">
            <v>2008</v>
          </cell>
          <cell r="D7086" t="str">
            <v>SOJA</v>
          </cell>
          <cell r="E7086">
            <v>-19.079999999999998</v>
          </cell>
        </row>
        <row r="7087">
          <cell r="A7087" t="str">
            <v>RS</v>
          </cell>
          <cell r="B7087">
            <v>2008</v>
          </cell>
          <cell r="D7087" t="str">
            <v>SOJA</v>
          </cell>
          <cell r="E7087">
            <v>-67.09</v>
          </cell>
        </row>
        <row r="7088">
          <cell r="A7088" t="str">
            <v>BA</v>
          </cell>
          <cell r="B7088">
            <v>2008</v>
          </cell>
          <cell r="D7088" t="str">
            <v>SOJA</v>
          </cell>
          <cell r="E7088">
            <v>24445.543000000001</v>
          </cell>
        </row>
        <row r="7089">
          <cell r="A7089" t="str">
            <v>BA</v>
          </cell>
          <cell r="B7089">
            <v>2008</v>
          </cell>
          <cell r="D7089" t="str">
            <v>SOJA</v>
          </cell>
          <cell r="E7089">
            <v>33625.466999999997</v>
          </cell>
        </row>
        <row r="7090">
          <cell r="A7090" t="str">
            <v>BA</v>
          </cell>
          <cell r="B7090">
            <v>2008</v>
          </cell>
          <cell r="D7090" t="str">
            <v>SOJA</v>
          </cell>
          <cell r="E7090">
            <v>77146.634999999995</v>
          </cell>
        </row>
        <row r="7091">
          <cell r="A7091" t="str">
            <v>BA</v>
          </cell>
          <cell r="B7091">
            <v>2008</v>
          </cell>
          <cell r="D7091" t="str">
            <v>SOJA</v>
          </cell>
          <cell r="E7091">
            <v>52617.394999999997</v>
          </cell>
        </row>
        <row r="7092">
          <cell r="A7092" t="str">
            <v>BA</v>
          </cell>
          <cell r="B7092">
            <v>2008</v>
          </cell>
          <cell r="D7092" t="str">
            <v>SOJA</v>
          </cell>
          <cell r="E7092">
            <v>19723.931</v>
          </cell>
        </row>
        <row r="7093">
          <cell r="A7093" t="str">
            <v>BA</v>
          </cell>
          <cell r="B7093">
            <v>2008</v>
          </cell>
          <cell r="D7093" t="str">
            <v>SOJA</v>
          </cell>
          <cell r="E7093">
            <v>4892.12</v>
          </cell>
        </row>
        <row r="7094">
          <cell r="A7094" t="str">
            <v>BA</v>
          </cell>
          <cell r="B7094">
            <v>2008</v>
          </cell>
          <cell r="D7094" t="str">
            <v>SOJA</v>
          </cell>
          <cell r="E7094">
            <v>27333.064999999999</v>
          </cell>
        </row>
        <row r="7095">
          <cell r="A7095" t="str">
            <v>BA</v>
          </cell>
          <cell r="B7095">
            <v>2008</v>
          </cell>
          <cell r="D7095" t="str">
            <v>SOJA</v>
          </cell>
          <cell r="E7095">
            <v>25566.613000000001</v>
          </cell>
        </row>
        <row r="7096">
          <cell r="A7096" t="str">
            <v>BA</v>
          </cell>
          <cell r="B7096">
            <v>2008</v>
          </cell>
          <cell r="D7096" t="str">
            <v>SOJA</v>
          </cell>
          <cell r="E7096">
            <v>129671.36900000001</v>
          </cell>
        </row>
        <row r="7097">
          <cell r="A7097" t="str">
            <v>BA</v>
          </cell>
          <cell r="B7097">
            <v>2008</v>
          </cell>
          <cell r="D7097" t="str">
            <v>SOJA</v>
          </cell>
          <cell r="E7097">
            <v>46608.864000000001</v>
          </cell>
        </row>
        <row r="7098">
          <cell r="A7098" t="str">
            <v>BA</v>
          </cell>
          <cell r="B7098">
            <v>2008</v>
          </cell>
          <cell r="D7098" t="str">
            <v>SOJA</v>
          </cell>
          <cell r="E7098">
            <v>7831.6260000000002</v>
          </cell>
        </row>
        <row r="7099">
          <cell r="A7099" t="str">
            <v>BA</v>
          </cell>
          <cell r="B7099">
            <v>2008</v>
          </cell>
          <cell r="D7099" t="str">
            <v>SOJA</v>
          </cell>
          <cell r="E7099">
            <v>67808.081000000006</v>
          </cell>
        </row>
        <row r="7100">
          <cell r="A7100" t="str">
            <v>BA</v>
          </cell>
          <cell r="B7100">
            <v>2008</v>
          </cell>
          <cell r="D7100" t="str">
            <v>SOJA</v>
          </cell>
          <cell r="E7100">
            <v>20385.811000000002</v>
          </cell>
        </row>
        <row r="7101">
          <cell r="A7101" t="str">
            <v>BA</v>
          </cell>
          <cell r="B7101">
            <v>2008</v>
          </cell>
          <cell r="D7101" t="str">
            <v>SOJA</v>
          </cell>
          <cell r="E7101">
            <v>105789.329</v>
          </cell>
        </row>
        <row r="7102">
          <cell r="A7102" t="str">
            <v>TO</v>
          </cell>
          <cell r="B7102">
            <v>2008</v>
          </cell>
          <cell r="D7102" t="str">
            <v>SOJA</v>
          </cell>
          <cell r="E7102">
            <v>25028.598999999998</v>
          </cell>
        </row>
        <row r="7103">
          <cell r="A7103" t="str">
            <v>MA</v>
          </cell>
          <cell r="B7103">
            <v>2008</v>
          </cell>
          <cell r="D7103" t="str">
            <v>SOJA</v>
          </cell>
          <cell r="E7103">
            <v>42666.436000000002</v>
          </cell>
        </row>
        <row r="7104">
          <cell r="A7104" t="str">
            <v>TO</v>
          </cell>
          <cell r="B7104">
            <v>2008</v>
          </cell>
          <cell r="D7104" t="str">
            <v>SOJA</v>
          </cell>
          <cell r="E7104">
            <v>12571.516</v>
          </cell>
        </row>
        <row r="7105">
          <cell r="A7105" t="str">
            <v>PA</v>
          </cell>
          <cell r="B7105">
            <v>2008</v>
          </cell>
          <cell r="D7105" t="str">
            <v>SOJA</v>
          </cell>
          <cell r="E7105">
            <v>1407.643</v>
          </cell>
        </row>
        <row r="7106">
          <cell r="A7106" t="str">
            <v>MA</v>
          </cell>
          <cell r="B7106">
            <v>2008</v>
          </cell>
          <cell r="D7106" t="str">
            <v>SOJA</v>
          </cell>
          <cell r="E7106">
            <v>9296.5640000000003</v>
          </cell>
        </row>
        <row r="7107">
          <cell r="A7107" t="str">
            <v>MA</v>
          </cell>
          <cell r="B7107">
            <v>2008</v>
          </cell>
          <cell r="D7107" t="str">
            <v>SOJA</v>
          </cell>
          <cell r="E7107">
            <v>25162.034</v>
          </cell>
        </row>
        <row r="7108">
          <cell r="A7108" t="str">
            <v>TO</v>
          </cell>
          <cell r="B7108">
            <v>2008</v>
          </cell>
          <cell r="D7108" t="str">
            <v>SOJA</v>
          </cell>
          <cell r="E7108">
            <v>28152.852999999999</v>
          </cell>
        </row>
        <row r="7109">
          <cell r="A7109" t="str">
            <v>MA</v>
          </cell>
          <cell r="B7109">
            <v>2008</v>
          </cell>
          <cell r="D7109" t="str">
            <v>SOJA</v>
          </cell>
          <cell r="E7109">
            <v>30709.995999999999</v>
          </cell>
        </row>
        <row r="7110">
          <cell r="A7110" t="str">
            <v>MA</v>
          </cell>
          <cell r="B7110">
            <v>2008</v>
          </cell>
          <cell r="D7110" t="str">
            <v>SOJA</v>
          </cell>
          <cell r="E7110">
            <v>31039.915000000001</v>
          </cell>
        </row>
        <row r="7111">
          <cell r="A7111" t="str">
            <v>TO</v>
          </cell>
          <cell r="B7111">
            <v>2008</v>
          </cell>
          <cell r="D7111" t="str">
            <v>SOJA</v>
          </cell>
          <cell r="E7111">
            <v>33285.690999999999</v>
          </cell>
        </row>
        <row r="7112">
          <cell r="A7112" t="str">
            <v>MA</v>
          </cell>
          <cell r="B7112">
            <v>2008</v>
          </cell>
          <cell r="D7112" t="str">
            <v>SOJA</v>
          </cell>
          <cell r="E7112">
            <v>42847.336000000003</v>
          </cell>
        </row>
        <row r="7113">
          <cell r="A7113" t="str">
            <v>TO</v>
          </cell>
          <cell r="B7113">
            <v>2008</v>
          </cell>
          <cell r="D7113" t="str">
            <v>SOJA</v>
          </cell>
          <cell r="E7113">
            <v>28421.919999999998</v>
          </cell>
        </row>
        <row r="7114">
          <cell r="A7114" t="str">
            <v>PI</v>
          </cell>
          <cell r="B7114">
            <v>2008</v>
          </cell>
          <cell r="D7114" t="str">
            <v>SOJA</v>
          </cell>
          <cell r="E7114">
            <v>38482.402000000002</v>
          </cell>
        </row>
        <row r="7115">
          <cell r="A7115" t="str">
            <v>PI</v>
          </cell>
          <cell r="B7115">
            <v>2008</v>
          </cell>
          <cell r="D7115" t="str">
            <v>SOJA</v>
          </cell>
          <cell r="E7115">
            <v>33030.512000000002</v>
          </cell>
        </row>
        <row r="7116">
          <cell r="A7116" t="str">
            <v>PI</v>
          </cell>
          <cell r="B7116">
            <v>2008</v>
          </cell>
          <cell r="D7116" t="str">
            <v>SOJA</v>
          </cell>
          <cell r="E7116">
            <v>39700.834999999999</v>
          </cell>
        </row>
        <row r="7117">
          <cell r="A7117" t="str">
            <v>PI</v>
          </cell>
          <cell r="B7117">
            <v>2008</v>
          </cell>
          <cell r="D7117" t="str">
            <v>SOJA</v>
          </cell>
          <cell r="E7117">
            <v>41539.288999999997</v>
          </cell>
        </row>
        <row r="7118">
          <cell r="A7118" t="str">
            <v>PI</v>
          </cell>
          <cell r="B7118">
            <v>2008</v>
          </cell>
          <cell r="D7118" t="str">
            <v>SOJA</v>
          </cell>
          <cell r="E7118">
            <v>1440.454</v>
          </cell>
        </row>
        <row r="7119">
          <cell r="A7119" t="str">
            <v>GO</v>
          </cell>
          <cell r="B7119">
            <v>2008</v>
          </cell>
          <cell r="D7119" t="str">
            <v>SOJA</v>
          </cell>
          <cell r="E7119">
            <v>28063.181</v>
          </cell>
        </row>
        <row r="7120">
          <cell r="A7120" t="str">
            <v>GO</v>
          </cell>
          <cell r="B7120">
            <v>2008</v>
          </cell>
          <cell r="D7120" t="str">
            <v>SOJA</v>
          </cell>
          <cell r="E7120">
            <v>23214.738000000001</v>
          </cell>
        </row>
        <row r="7121">
          <cell r="A7121" t="str">
            <v>MG</v>
          </cell>
          <cell r="B7121">
            <v>2008</v>
          </cell>
          <cell r="D7121" t="str">
            <v>SOJA</v>
          </cell>
          <cell r="E7121">
            <v>12881.224</v>
          </cell>
        </row>
        <row r="7122">
          <cell r="A7122" t="str">
            <v>GO</v>
          </cell>
          <cell r="B7122">
            <v>2008</v>
          </cell>
          <cell r="D7122" t="str">
            <v>SOJA</v>
          </cell>
          <cell r="E7122">
            <v>18809.574000000001</v>
          </cell>
        </row>
        <row r="7123">
          <cell r="A7123" t="str">
            <v>GO</v>
          </cell>
          <cell r="B7123">
            <v>2008</v>
          </cell>
          <cell r="D7123" t="str">
            <v>SOJA</v>
          </cell>
          <cell r="E7123">
            <v>21903.187000000002</v>
          </cell>
        </row>
        <row r="7124">
          <cell r="A7124" t="str">
            <v>GO</v>
          </cell>
          <cell r="B7124">
            <v>2008</v>
          </cell>
          <cell r="D7124" t="str">
            <v>SOJA</v>
          </cell>
          <cell r="E7124">
            <v>5162.8159999999998</v>
          </cell>
        </row>
        <row r="7125">
          <cell r="A7125" t="str">
            <v>GO</v>
          </cell>
          <cell r="B7125">
            <v>2008</v>
          </cell>
          <cell r="D7125" t="str">
            <v>SOJA</v>
          </cell>
          <cell r="E7125">
            <v>41869.642</v>
          </cell>
        </row>
        <row r="7126">
          <cell r="A7126" t="str">
            <v>MG</v>
          </cell>
          <cell r="B7126">
            <v>2008</v>
          </cell>
          <cell r="D7126" t="str">
            <v>SOJA</v>
          </cell>
          <cell r="E7126">
            <v>-50.847999999999999</v>
          </cell>
        </row>
        <row r="7127">
          <cell r="A7127" t="str">
            <v>MG</v>
          </cell>
          <cell r="B7127">
            <v>2008</v>
          </cell>
          <cell r="D7127" t="str">
            <v>SOJA</v>
          </cell>
          <cell r="E7127">
            <v>7291.8180000000002</v>
          </cell>
        </row>
        <row r="7128">
          <cell r="A7128" t="str">
            <v>GO</v>
          </cell>
          <cell r="B7128">
            <v>2008</v>
          </cell>
          <cell r="D7128" t="str">
            <v>SOJA</v>
          </cell>
          <cell r="E7128">
            <v>15700.053</v>
          </cell>
        </row>
        <row r="7129">
          <cell r="A7129" t="str">
            <v>MS</v>
          </cell>
          <cell r="B7129">
            <v>2008</v>
          </cell>
          <cell r="D7129" t="str">
            <v>SOJA</v>
          </cell>
          <cell r="E7129">
            <v>0</v>
          </cell>
        </row>
        <row r="7130">
          <cell r="A7130" t="str">
            <v>GO</v>
          </cell>
          <cell r="B7130">
            <v>2008</v>
          </cell>
          <cell r="D7130" t="str">
            <v>SOJA</v>
          </cell>
          <cell r="E7130">
            <v>2287.4679999999998</v>
          </cell>
        </row>
        <row r="7131">
          <cell r="A7131" t="str">
            <v>MT</v>
          </cell>
          <cell r="B7131">
            <v>2008</v>
          </cell>
          <cell r="D7131" t="str">
            <v>SOJA</v>
          </cell>
          <cell r="E7131">
            <v>4011.11</v>
          </cell>
        </row>
        <row r="7132">
          <cell r="A7132" t="str">
            <v>GO</v>
          </cell>
          <cell r="B7132">
            <v>2008</v>
          </cell>
          <cell r="D7132" t="str">
            <v>SOJA</v>
          </cell>
          <cell r="E7132">
            <v>16024.785</v>
          </cell>
        </row>
        <row r="7133">
          <cell r="A7133" t="str">
            <v>GO</v>
          </cell>
          <cell r="B7133">
            <v>2008</v>
          </cell>
          <cell r="D7133" t="str">
            <v>SOJA</v>
          </cell>
          <cell r="E7133">
            <v>5448.3410000000003</v>
          </cell>
        </row>
        <row r="7134">
          <cell r="A7134" t="str">
            <v>MS</v>
          </cell>
          <cell r="B7134">
            <v>2008</v>
          </cell>
          <cell r="D7134" t="str">
            <v>SOJA</v>
          </cell>
          <cell r="E7134">
            <v>10495.608</v>
          </cell>
        </row>
        <row r="7135">
          <cell r="A7135" t="str">
            <v>GO</v>
          </cell>
          <cell r="B7135">
            <v>2008</v>
          </cell>
          <cell r="D7135" t="str">
            <v>SOJA</v>
          </cell>
          <cell r="E7135">
            <v>52218.95</v>
          </cell>
        </row>
        <row r="7136">
          <cell r="A7136" t="str">
            <v>GO</v>
          </cell>
          <cell r="B7136">
            <v>2008</v>
          </cell>
          <cell r="D7136" t="str">
            <v>SOJA</v>
          </cell>
          <cell r="E7136">
            <v>21084.427</v>
          </cell>
        </row>
        <row r="7137">
          <cell r="A7137" t="str">
            <v>MT</v>
          </cell>
          <cell r="B7137">
            <v>2008</v>
          </cell>
          <cell r="D7137" t="str">
            <v>SOJA</v>
          </cell>
          <cell r="E7137">
            <v>4109.8429999999998</v>
          </cell>
        </row>
        <row r="7138">
          <cell r="A7138" t="str">
            <v>MT</v>
          </cell>
          <cell r="B7138">
            <v>2008</v>
          </cell>
          <cell r="D7138" t="str">
            <v>SOJA</v>
          </cell>
          <cell r="E7138">
            <v>2424.0239999999999</v>
          </cell>
        </row>
        <row r="7139">
          <cell r="A7139" t="str">
            <v>MT</v>
          </cell>
          <cell r="B7139">
            <v>2008</v>
          </cell>
          <cell r="D7139" t="str">
            <v>SOJA</v>
          </cell>
          <cell r="E7139">
            <v>9835.0450000000001</v>
          </cell>
        </row>
        <row r="7140">
          <cell r="A7140" t="str">
            <v>MT</v>
          </cell>
          <cell r="B7140">
            <v>2008</v>
          </cell>
          <cell r="D7140" t="str">
            <v>SOJA</v>
          </cell>
          <cell r="E7140">
            <v>-1818.5039999999999</v>
          </cell>
        </row>
        <row r="7141">
          <cell r="A7141" t="str">
            <v>MT</v>
          </cell>
          <cell r="B7141">
            <v>2008</v>
          </cell>
          <cell r="D7141" t="str">
            <v>SOJA</v>
          </cell>
          <cell r="E7141">
            <v>6443.7060000000001</v>
          </cell>
        </row>
        <row r="7142">
          <cell r="A7142" t="str">
            <v>MT</v>
          </cell>
          <cell r="B7142">
            <v>2008</v>
          </cell>
          <cell r="D7142" t="str">
            <v>SOJA</v>
          </cell>
          <cell r="E7142">
            <v>1435.37</v>
          </cell>
        </row>
        <row r="7143">
          <cell r="A7143" t="str">
            <v>MT</v>
          </cell>
          <cell r="B7143">
            <v>2008</v>
          </cell>
          <cell r="D7143" t="str">
            <v>SOJA</v>
          </cell>
          <cell r="E7143">
            <v>-2003.63</v>
          </cell>
        </row>
        <row r="7144">
          <cell r="A7144" t="str">
            <v>MT</v>
          </cell>
          <cell r="B7144">
            <v>2008</v>
          </cell>
          <cell r="D7144" t="str">
            <v>SOJA</v>
          </cell>
          <cell r="E7144">
            <v>-1863.443</v>
          </cell>
        </row>
        <row r="7145">
          <cell r="A7145" t="str">
            <v>MT</v>
          </cell>
          <cell r="B7145">
            <v>2008</v>
          </cell>
          <cell r="D7145" t="str">
            <v>SOJA</v>
          </cell>
          <cell r="E7145">
            <v>300</v>
          </cell>
        </row>
        <row r="7146">
          <cell r="A7146" t="str">
            <v>MT</v>
          </cell>
          <cell r="B7146">
            <v>2008</v>
          </cell>
          <cell r="D7146" t="str">
            <v>SOJA</v>
          </cell>
          <cell r="E7146">
            <v>-1883.625</v>
          </cell>
        </row>
        <row r="7147">
          <cell r="A7147" t="str">
            <v>MS</v>
          </cell>
          <cell r="B7147">
            <v>2008</v>
          </cell>
          <cell r="D7147" t="str">
            <v>SOJA</v>
          </cell>
          <cell r="E7147">
            <v>512.08900000000006</v>
          </cell>
        </row>
        <row r="7148">
          <cell r="A7148" t="str">
            <v>MS</v>
          </cell>
          <cell r="B7148">
            <v>2008</v>
          </cell>
          <cell r="D7148" t="str">
            <v>SOJA</v>
          </cell>
          <cell r="E7148">
            <v>15495.352999999999</v>
          </cell>
        </row>
        <row r="7149">
          <cell r="A7149" t="str">
            <v>MS</v>
          </cell>
          <cell r="B7149">
            <v>2008</v>
          </cell>
          <cell r="D7149" t="str">
            <v>SOJA</v>
          </cell>
          <cell r="E7149">
            <v>1424.5409999999999</v>
          </cell>
        </row>
        <row r="7150">
          <cell r="A7150" t="str">
            <v>MS</v>
          </cell>
          <cell r="B7150">
            <v>2008</v>
          </cell>
          <cell r="D7150" t="str">
            <v>SOJA</v>
          </cell>
          <cell r="E7150">
            <v>20483.671999999999</v>
          </cell>
        </row>
        <row r="7151">
          <cell r="A7151" t="str">
            <v>MS</v>
          </cell>
          <cell r="B7151">
            <v>2008</v>
          </cell>
          <cell r="D7151" t="str">
            <v>SOJA</v>
          </cell>
          <cell r="E7151">
            <v>-1193.1790000000001</v>
          </cell>
        </row>
        <row r="7152">
          <cell r="A7152" t="str">
            <v>MS</v>
          </cell>
          <cell r="B7152">
            <v>2008</v>
          </cell>
          <cell r="D7152" t="str">
            <v>SOJA</v>
          </cell>
          <cell r="E7152">
            <v>5344.98</v>
          </cell>
        </row>
        <row r="7153">
          <cell r="A7153" t="str">
            <v>MS</v>
          </cell>
          <cell r="B7153">
            <v>2008</v>
          </cell>
          <cell r="D7153" t="str">
            <v>SOJA</v>
          </cell>
          <cell r="E7153">
            <v>336.39499999999998</v>
          </cell>
        </row>
        <row r="7154">
          <cell r="A7154" t="str">
            <v>MT</v>
          </cell>
          <cell r="B7154">
            <v>2008</v>
          </cell>
          <cell r="D7154" t="str">
            <v>SOJA</v>
          </cell>
          <cell r="E7154">
            <v>40830.875</v>
          </cell>
        </row>
        <row r="7155">
          <cell r="A7155" t="str">
            <v>MT</v>
          </cell>
          <cell r="B7155">
            <v>2008</v>
          </cell>
          <cell r="D7155" t="str">
            <v>SOJA</v>
          </cell>
          <cell r="E7155">
            <v>15605.688</v>
          </cell>
        </row>
        <row r="7156">
          <cell r="A7156" t="str">
            <v>MT</v>
          </cell>
          <cell r="B7156">
            <v>2008</v>
          </cell>
          <cell r="D7156" t="str">
            <v>SOJA</v>
          </cell>
          <cell r="E7156">
            <v>-2473.047</v>
          </cell>
        </row>
        <row r="7157">
          <cell r="A7157" t="str">
            <v>MT</v>
          </cell>
          <cell r="B7157">
            <v>2008</v>
          </cell>
          <cell r="D7157" t="str">
            <v>SOJA</v>
          </cell>
          <cell r="E7157">
            <v>64868.832000000002</v>
          </cell>
        </row>
        <row r="7158">
          <cell r="A7158" t="str">
            <v>MT</v>
          </cell>
          <cell r="B7158">
            <v>2008</v>
          </cell>
          <cell r="D7158" t="str">
            <v>SOJA</v>
          </cell>
          <cell r="E7158">
            <v>15895.615</v>
          </cell>
        </row>
        <row r="7159">
          <cell r="A7159" t="str">
            <v>MT</v>
          </cell>
          <cell r="B7159">
            <v>2008</v>
          </cell>
          <cell r="D7159" t="str">
            <v>SOJA</v>
          </cell>
          <cell r="E7159">
            <v>-73.350999999999999</v>
          </cell>
        </row>
        <row r="7160">
          <cell r="A7160" t="str">
            <v>MT</v>
          </cell>
          <cell r="B7160">
            <v>2008</v>
          </cell>
          <cell r="D7160" t="str">
            <v>SOJA</v>
          </cell>
          <cell r="E7160">
            <v>20682.649000000001</v>
          </cell>
        </row>
        <row r="7161">
          <cell r="A7161" t="str">
            <v>MT</v>
          </cell>
          <cell r="B7161">
            <v>2008</v>
          </cell>
          <cell r="D7161" t="str">
            <v>SOJA</v>
          </cell>
          <cell r="E7161">
            <v>10143.087</v>
          </cell>
        </row>
        <row r="7162">
          <cell r="A7162" t="str">
            <v>MT</v>
          </cell>
          <cell r="B7162">
            <v>2008</v>
          </cell>
          <cell r="D7162" t="str">
            <v>SOJA</v>
          </cell>
          <cell r="E7162">
            <v>5465.3630000000003</v>
          </cell>
        </row>
        <row r="7163">
          <cell r="A7163" t="str">
            <v>MT</v>
          </cell>
          <cell r="B7163">
            <v>2008</v>
          </cell>
          <cell r="D7163" t="str">
            <v>SOJA</v>
          </cell>
          <cell r="E7163">
            <v>8320.3700000000008</v>
          </cell>
        </row>
        <row r="7164">
          <cell r="A7164" t="str">
            <v>MT</v>
          </cell>
          <cell r="B7164">
            <v>2008</v>
          </cell>
          <cell r="D7164" t="str">
            <v>SOJA</v>
          </cell>
          <cell r="E7164">
            <v>23738.018</v>
          </cell>
        </row>
        <row r="7165">
          <cell r="A7165" t="str">
            <v>MT</v>
          </cell>
          <cell r="B7165">
            <v>2008</v>
          </cell>
          <cell r="D7165" t="str">
            <v>SOJA</v>
          </cell>
          <cell r="E7165">
            <v>4173.1670000000004</v>
          </cell>
        </row>
        <row r="7166">
          <cell r="A7166" t="str">
            <v>PA</v>
          </cell>
          <cell r="B7166">
            <v>2008</v>
          </cell>
          <cell r="D7166" t="str">
            <v>SOJA</v>
          </cell>
          <cell r="E7166">
            <v>4016.0059999999999</v>
          </cell>
        </row>
        <row r="7167">
          <cell r="A7167" t="str">
            <v>MT</v>
          </cell>
          <cell r="B7167">
            <v>2008</v>
          </cell>
          <cell r="D7167" t="str">
            <v>SOJA</v>
          </cell>
          <cell r="E7167">
            <v>-761.49900000000002</v>
          </cell>
        </row>
        <row r="7168">
          <cell r="A7168" t="str">
            <v>MT</v>
          </cell>
          <cell r="B7168">
            <v>2008</v>
          </cell>
          <cell r="D7168" t="str">
            <v>SOJA</v>
          </cell>
          <cell r="E7168">
            <v>6176.4040000000005</v>
          </cell>
        </row>
        <row r="7169">
          <cell r="A7169" t="str">
            <v>MT</v>
          </cell>
          <cell r="B7169">
            <v>2008</v>
          </cell>
          <cell r="D7169" t="str">
            <v>SOJA</v>
          </cell>
          <cell r="E7169">
            <v>-2382.6750000000002</v>
          </cell>
        </row>
        <row r="7170">
          <cell r="A7170" t="str">
            <v>MT</v>
          </cell>
          <cell r="B7170">
            <v>2008</v>
          </cell>
          <cell r="D7170" t="str">
            <v>SOJA</v>
          </cell>
          <cell r="E7170">
            <v>15263.126</v>
          </cell>
        </row>
        <row r="7171">
          <cell r="A7171" t="str">
            <v>MT</v>
          </cell>
          <cell r="B7171">
            <v>2008</v>
          </cell>
          <cell r="D7171" t="str">
            <v>SOJA</v>
          </cell>
          <cell r="E7171">
            <v>6280.5919999999996</v>
          </cell>
        </row>
        <row r="7172">
          <cell r="A7172" t="str">
            <v>MT</v>
          </cell>
          <cell r="B7172">
            <v>2008</v>
          </cell>
          <cell r="D7172" t="str">
            <v>SOJA</v>
          </cell>
          <cell r="E7172">
            <v>1365.413</v>
          </cell>
        </row>
        <row r="7173">
          <cell r="A7173" t="str">
            <v>MT</v>
          </cell>
          <cell r="B7173">
            <v>2008</v>
          </cell>
          <cell r="D7173" t="str">
            <v>SOJA</v>
          </cell>
          <cell r="E7173">
            <v>2559.5439999999999</v>
          </cell>
        </row>
        <row r="7174">
          <cell r="A7174" t="str">
            <v>MT</v>
          </cell>
          <cell r="B7174">
            <v>2008</v>
          </cell>
          <cell r="D7174" t="str">
            <v>SOJA</v>
          </cell>
          <cell r="E7174">
            <v>10128.611000000001</v>
          </cell>
        </row>
        <row r="7175">
          <cell r="A7175" t="str">
            <v>MT</v>
          </cell>
          <cell r="B7175">
            <v>2008</v>
          </cell>
          <cell r="D7175" t="str">
            <v>SOJA</v>
          </cell>
          <cell r="E7175">
            <v>-501.10599999999999</v>
          </cell>
        </row>
        <row r="7176">
          <cell r="A7176" t="str">
            <v>MT</v>
          </cell>
          <cell r="B7176">
            <v>2008</v>
          </cell>
          <cell r="D7176" t="str">
            <v>SOJA</v>
          </cell>
          <cell r="E7176">
            <v>877.78300000000002</v>
          </cell>
        </row>
        <row r="7177">
          <cell r="A7177" t="str">
            <v>MT</v>
          </cell>
          <cell r="B7177">
            <v>2008</v>
          </cell>
          <cell r="D7177" t="str">
            <v>SOJA</v>
          </cell>
          <cell r="E7177">
            <v>0</v>
          </cell>
        </row>
        <row r="7178">
          <cell r="A7178" t="str">
            <v>MT</v>
          </cell>
          <cell r="B7178">
            <v>2008</v>
          </cell>
          <cell r="D7178" t="str">
            <v>SOJA</v>
          </cell>
          <cell r="E7178">
            <v>3326.9769999999999</v>
          </cell>
        </row>
        <row r="7179">
          <cell r="A7179" t="str">
            <v>MT</v>
          </cell>
          <cell r="B7179">
            <v>2008</v>
          </cell>
          <cell r="D7179" t="str">
            <v>SOJA</v>
          </cell>
          <cell r="E7179">
            <v>202.41300000000001</v>
          </cell>
        </row>
        <row r="7180">
          <cell r="A7180" t="str">
            <v>MT</v>
          </cell>
          <cell r="B7180">
            <v>2008</v>
          </cell>
          <cell r="D7180" t="str">
            <v>SOJA</v>
          </cell>
          <cell r="E7180">
            <v>-2793.41</v>
          </cell>
        </row>
        <row r="7181">
          <cell r="A7181" t="str">
            <v>MT</v>
          </cell>
          <cell r="B7181">
            <v>2008</v>
          </cell>
          <cell r="D7181" t="str">
            <v>SOJA</v>
          </cell>
          <cell r="E7181">
            <v>17261.2</v>
          </cell>
        </row>
        <row r="7182">
          <cell r="A7182" t="str">
            <v>RS</v>
          </cell>
          <cell r="B7182">
            <v>2008</v>
          </cell>
          <cell r="D7182" t="str">
            <v>SOJA</v>
          </cell>
          <cell r="E7182">
            <v>15118.492</v>
          </cell>
        </row>
        <row r="7183">
          <cell r="A7183" t="str">
            <v>RS</v>
          </cell>
          <cell r="B7183">
            <v>2008</v>
          </cell>
          <cell r="D7183" t="str">
            <v>SOJA</v>
          </cell>
          <cell r="E7183">
            <v>21436.323</v>
          </cell>
        </row>
        <row r="7184">
          <cell r="A7184" t="str">
            <v>RS</v>
          </cell>
          <cell r="B7184">
            <v>2008</v>
          </cell>
          <cell r="D7184" t="str">
            <v>SOJA</v>
          </cell>
          <cell r="E7184">
            <v>28281.012999999999</v>
          </cell>
        </row>
        <row r="7185">
          <cell r="A7185" t="str">
            <v>RS</v>
          </cell>
          <cell r="B7185">
            <v>2008</v>
          </cell>
          <cell r="D7185" t="str">
            <v>SOJA</v>
          </cell>
          <cell r="E7185">
            <v>17974.66</v>
          </cell>
        </row>
        <row r="7186">
          <cell r="A7186" t="str">
            <v>RS</v>
          </cell>
          <cell r="B7186">
            <v>2008</v>
          </cell>
          <cell r="D7186" t="str">
            <v>SOJA</v>
          </cell>
          <cell r="E7186">
            <v>15148.967000000001</v>
          </cell>
        </row>
        <row r="7187">
          <cell r="A7187" t="str">
            <v>RS</v>
          </cell>
          <cell r="B7187">
            <v>2008</v>
          </cell>
          <cell r="D7187" t="str">
            <v>SOJA</v>
          </cell>
          <cell r="E7187">
            <v>28359.734</v>
          </cell>
        </row>
        <row r="7188">
          <cell r="A7188" t="str">
            <v>RS</v>
          </cell>
          <cell r="B7188">
            <v>2008</v>
          </cell>
          <cell r="D7188" t="str">
            <v>SOJA</v>
          </cell>
          <cell r="E7188">
            <v>7847.82</v>
          </cell>
        </row>
        <row r="7189">
          <cell r="A7189" t="str">
            <v>RS</v>
          </cell>
          <cell r="B7189">
            <v>2008</v>
          </cell>
          <cell r="D7189" t="str">
            <v>SOJA</v>
          </cell>
          <cell r="E7189">
            <v>5.0810000000000004</v>
          </cell>
        </row>
        <row r="7190">
          <cell r="A7190" t="str">
            <v>RS</v>
          </cell>
          <cell r="B7190">
            <v>2008</v>
          </cell>
          <cell r="D7190" t="str">
            <v>SOJA</v>
          </cell>
          <cell r="E7190">
            <v>64207.510999999999</v>
          </cell>
        </row>
        <row r="7191">
          <cell r="A7191" t="str">
            <v>RS</v>
          </cell>
          <cell r="B7191">
            <v>2008</v>
          </cell>
          <cell r="D7191" t="str">
            <v>SOJA</v>
          </cell>
          <cell r="E7191">
            <v>25217.078000000001</v>
          </cell>
        </row>
        <row r="7192">
          <cell r="A7192" t="str">
            <v>RS</v>
          </cell>
          <cell r="B7192">
            <v>2008</v>
          </cell>
          <cell r="D7192" t="str">
            <v>SOJA</v>
          </cell>
          <cell r="E7192">
            <v>1589.9369999999999</v>
          </cell>
        </row>
        <row r="7193">
          <cell r="A7193" t="str">
            <v>RS</v>
          </cell>
          <cell r="B7193">
            <v>2008</v>
          </cell>
          <cell r="D7193" t="str">
            <v>SOJA</v>
          </cell>
          <cell r="E7193">
            <v>26901.598000000002</v>
          </cell>
        </row>
        <row r="7194">
          <cell r="A7194" t="str">
            <v>RS</v>
          </cell>
          <cell r="B7194">
            <v>2008</v>
          </cell>
          <cell r="D7194" t="str">
            <v>SOJA</v>
          </cell>
          <cell r="E7194">
            <v>10899.074000000001</v>
          </cell>
        </row>
        <row r="7195">
          <cell r="A7195" t="str">
            <v>RS</v>
          </cell>
          <cell r="B7195">
            <v>2008</v>
          </cell>
          <cell r="D7195" t="str">
            <v>SOJA</v>
          </cell>
          <cell r="E7195">
            <v>51905.404000000002</v>
          </cell>
        </row>
        <row r="7196">
          <cell r="A7196" t="str">
            <v>SC</v>
          </cell>
          <cell r="B7196">
            <v>2008</v>
          </cell>
          <cell r="D7196" t="str">
            <v>SOJA</v>
          </cell>
          <cell r="E7196">
            <v>41.204000000000001</v>
          </cell>
        </row>
        <row r="7197">
          <cell r="A7197" t="str">
            <v>SC</v>
          </cell>
          <cell r="B7197">
            <v>2008</v>
          </cell>
          <cell r="D7197" t="str">
            <v>SOJA</v>
          </cell>
          <cell r="E7197">
            <v>86143.27</v>
          </cell>
        </row>
        <row r="7198">
          <cell r="A7198" t="str">
            <v>PR</v>
          </cell>
          <cell r="B7198">
            <v>2008</v>
          </cell>
          <cell r="D7198" t="str">
            <v>SOJA</v>
          </cell>
          <cell r="E7198">
            <v>210.12700000000001</v>
          </cell>
        </row>
        <row r="7199">
          <cell r="A7199" t="str">
            <v>SP</v>
          </cell>
          <cell r="B7199">
            <v>2008</v>
          </cell>
          <cell r="D7199" t="str">
            <v>SOJA</v>
          </cell>
          <cell r="E7199">
            <v>11872.321</v>
          </cell>
        </row>
        <row r="7200">
          <cell r="A7200" t="str">
            <v>PR</v>
          </cell>
          <cell r="B7200">
            <v>2008</v>
          </cell>
          <cell r="D7200" t="str">
            <v>SOJA</v>
          </cell>
          <cell r="E7200">
            <v>-726.03899999999999</v>
          </cell>
        </row>
        <row r="7201">
          <cell r="A7201" t="str">
            <v>PR</v>
          </cell>
          <cell r="B7201">
            <v>2008</v>
          </cell>
          <cell r="D7201" t="str">
            <v>SOJA</v>
          </cell>
          <cell r="E7201">
            <v>71183.517000000007</v>
          </cell>
        </row>
        <row r="7202">
          <cell r="A7202" t="str">
            <v>PR</v>
          </cell>
          <cell r="B7202">
            <v>2008</v>
          </cell>
          <cell r="D7202" t="str">
            <v>SOJA</v>
          </cell>
          <cell r="E7202">
            <v>5015.1049999999996</v>
          </cell>
        </row>
        <row r="7203">
          <cell r="A7203" t="str">
            <v>PR</v>
          </cell>
          <cell r="B7203">
            <v>2008</v>
          </cell>
          <cell r="D7203" t="str">
            <v>SOJA</v>
          </cell>
          <cell r="E7203">
            <v>4604.027</v>
          </cell>
        </row>
        <row r="7204">
          <cell r="A7204" t="str">
            <v>PR</v>
          </cell>
          <cell r="B7204">
            <v>2008</v>
          </cell>
          <cell r="D7204" t="str">
            <v>SOJA</v>
          </cell>
          <cell r="E7204">
            <v>5444.3890000000001</v>
          </cell>
        </row>
        <row r="7205">
          <cell r="A7205" t="str">
            <v>PR</v>
          </cell>
          <cell r="B7205">
            <v>2008</v>
          </cell>
          <cell r="D7205" t="str">
            <v>SOJA</v>
          </cell>
          <cell r="E7205">
            <v>1781.674</v>
          </cell>
        </row>
        <row r="7206">
          <cell r="A7206" t="str">
            <v>PR</v>
          </cell>
          <cell r="B7206">
            <v>2008</v>
          </cell>
          <cell r="D7206" t="str">
            <v>SOJA</v>
          </cell>
          <cell r="E7206">
            <v>5813.99</v>
          </cell>
        </row>
        <row r="7207">
          <cell r="A7207" t="str">
            <v>PR</v>
          </cell>
          <cell r="B7207">
            <v>2008</v>
          </cell>
          <cell r="D7207" t="str">
            <v>SOJA</v>
          </cell>
          <cell r="E7207">
            <v>14669.825999999999</v>
          </cell>
        </row>
        <row r="7208">
          <cell r="A7208" t="str">
            <v>PR</v>
          </cell>
          <cell r="B7208">
            <v>2008</v>
          </cell>
          <cell r="D7208" t="str">
            <v>SOJA</v>
          </cell>
          <cell r="E7208">
            <v>11472.509</v>
          </cell>
        </row>
        <row r="7209">
          <cell r="A7209" t="str">
            <v>PR</v>
          </cell>
          <cell r="B7209">
            <v>2008</v>
          </cell>
          <cell r="D7209" t="str">
            <v>SOJA</v>
          </cell>
          <cell r="E7209">
            <v>28545.91</v>
          </cell>
        </row>
        <row r="7210">
          <cell r="A7210" t="str">
            <v>PR</v>
          </cell>
          <cell r="B7210">
            <v>2008</v>
          </cell>
          <cell r="D7210" t="str">
            <v>SOJA</v>
          </cell>
          <cell r="E7210">
            <v>18996.967000000001</v>
          </cell>
        </row>
        <row r="7211">
          <cell r="A7211" t="str">
            <v>PR</v>
          </cell>
          <cell r="B7211">
            <v>2008</v>
          </cell>
          <cell r="D7211" t="str">
            <v>SOJA</v>
          </cell>
          <cell r="E7211">
            <v>40950.555</v>
          </cell>
        </row>
        <row r="7212">
          <cell r="A7212" t="str">
            <v>PR</v>
          </cell>
          <cell r="B7212">
            <v>2008</v>
          </cell>
          <cell r="D7212" t="str">
            <v>SOJA</v>
          </cell>
          <cell r="E7212">
            <v>13987.897999999999</v>
          </cell>
        </row>
        <row r="7213">
          <cell r="A7213" t="str">
            <v>PR</v>
          </cell>
          <cell r="B7213">
            <v>2008</v>
          </cell>
          <cell r="D7213" t="str">
            <v>SOJA</v>
          </cell>
          <cell r="E7213">
            <v>6005.0259999999998</v>
          </cell>
        </row>
        <row r="7214">
          <cell r="A7214" t="str">
            <v>PR</v>
          </cell>
          <cell r="B7214">
            <v>2008</v>
          </cell>
          <cell r="D7214" t="str">
            <v>SOJA</v>
          </cell>
          <cell r="E7214">
            <v>11937.117</v>
          </cell>
        </row>
        <row r="7215">
          <cell r="A7215" t="str">
            <v>PR</v>
          </cell>
          <cell r="B7215">
            <v>2008</v>
          </cell>
          <cell r="D7215" t="str">
            <v>SOJA</v>
          </cell>
          <cell r="E7215">
            <v>25732.321</v>
          </cell>
        </row>
        <row r="7216">
          <cell r="A7216" t="str">
            <v>BA</v>
          </cell>
          <cell r="B7216">
            <v>2008</v>
          </cell>
          <cell r="D7216" t="str">
            <v>MILHO</v>
          </cell>
          <cell r="E7216">
            <v>161.953</v>
          </cell>
        </row>
        <row r="7217">
          <cell r="A7217" t="str">
            <v>BA</v>
          </cell>
          <cell r="B7217">
            <v>2008</v>
          </cell>
          <cell r="D7217" t="str">
            <v>MILHO</v>
          </cell>
          <cell r="E7217">
            <v>5002.0910000000003</v>
          </cell>
        </row>
        <row r="7218">
          <cell r="A7218" t="str">
            <v>BA</v>
          </cell>
          <cell r="B7218">
            <v>2008</v>
          </cell>
          <cell r="D7218" t="str">
            <v>MILHO</v>
          </cell>
          <cell r="E7218">
            <v>8351.5529999999999</v>
          </cell>
        </row>
        <row r="7219">
          <cell r="A7219" t="str">
            <v>BA</v>
          </cell>
          <cell r="B7219">
            <v>2008</v>
          </cell>
          <cell r="D7219" t="str">
            <v>MILHO</v>
          </cell>
          <cell r="E7219">
            <v>40.258000000000003</v>
          </cell>
        </row>
        <row r="7220">
          <cell r="A7220" t="str">
            <v>BA</v>
          </cell>
          <cell r="B7220">
            <v>2008</v>
          </cell>
          <cell r="D7220" t="str">
            <v>MILHO</v>
          </cell>
          <cell r="E7220">
            <v>600</v>
          </cell>
        </row>
        <row r="7221">
          <cell r="A7221" t="str">
            <v>BA</v>
          </cell>
          <cell r="B7221">
            <v>2008</v>
          </cell>
          <cell r="D7221" t="str">
            <v>MILHO</v>
          </cell>
          <cell r="E7221">
            <v>0</v>
          </cell>
        </row>
        <row r="7222">
          <cell r="A7222" t="str">
            <v>BA</v>
          </cell>
          <cell r="B7222">
            <v>2008</v>
          </cell>
          <cell r="D7222" t="str">
            <v>MILHO</v>
          </cell>
          <cell r="E7222">
            <v>856.23299999999995</v>
          </cell>
        </row>
        <row r="7223">
          <cell r="A7223" t="str">
            <v>TO</v>
          </cell>
          <cell r="B7223">
            <v>2008</v>
          </cell>
          <cell r="D7223" t="str">
            <v>MILHO</v>
          </cell>
          <cell r="E7223">
            <v>0</v>
          </cell>
        </row>
        <row r="7224">
          <cell r="A7224" t="str">
            <v>PI</v>
          </cell>
          <cell r="B7224">
            <v>2008</v>
          </cell>
          <cell r="D7224" t="str">
            <v>MILHO</v>
          </cell>
          <cell r="E7224">
            <v>0</v>
          </cell>
        </row>
        <row r="7225">
          <cell r="A7225" t="str">
            <v>MG</v>
          </cell>
          <cell r="B7225">
            <v>2008</v>
          </cell>
          <cell r="D7225" t="str">
            <v>MILHO</v>
          </cell>
          <cell r="E7225">
            <v>318.25</v>
          </cell>
        </row>
        <row r="7226">
          <cell r="A7226" t="str">
            <v>GO</v>
          </cell>
          <cell r="B7226">
            <v>2008</v>
          </cell>
          <cell r="D7226" t="str">
            <v>MILHO</v>
          </cell>
          <cell r="E7226">
            <v>0</v>
          </cell>
        </row>
        <row r="7227">
          <cell r="A7227" t="str">
            <v>MG</v>
          </cell>
          <cell r="B7227">
            <v>2008</v>
          </cell>
          <cell r="D7227" t="str">
            <v>MILHO</v>
          </cell>
          <cell r="E7227">
            <v>300</v>
          </cell>
        </row>
        <row r="7228">
          <cell r="A7228" t="str">
            <v>MG</v>
          </cell>
          <cell r="B7228">
            <v>2008</v>
          </cell>
          <cell r="D7228" t="str">
            <v>MILHO</v>
          </cell>
          <cell r="E7228">
            <v>50387.055</v>
          </cell>
        </row>
        <row r="7229">
          <cell r="A7229" t="str">
            <v>MT</v>
          </cell>
          <cell r="B7229">
            <v>2008</v>
          </cell>
          <cell r="D7229" t="str">
            <v>MILHO</v>
          </cell>
          <cell r="E7229">
            <v>1516.011</v>
          </cell>
        </row>
        <row r="7230">
          <cell r="A7230" t="str">
            <v>GO</v>
          </cell>
          <cell r="B7230">
            <v>2008</v>
          </cell>
          <cell r="D7230" t="str">
            <v>MILHO</v>
          </cell>
          <cell r="E7230">
            <v>2244.2570000000001</v>
          </cell>
        </row>
        <row r="7231">
          <cell r="A7231" t="str">
            <v>GO</v>
          </cell>
          <cell r="B7231">
            <v>2008</v>
          </cell>
          <cell r="D7231" t="str">
            <v>MILHO</v>
          </cell>
          <cell r="E7231">
            <v>116.34</v>
          </cell>
        </row>
        <row r="7232">
          <cell r="A7232" t="str">
            <v>MS</v>
          </cell>
          <cell r="B7232">
            <v>2008</v>
          </cell>
          <cell r="D7232" t="str">
            <v>MILHO</v>
          </cell>
          <cell r="E7232">
            <v>0</v>
          </cell>
        </row>
        <row r="7233">
          <cell r="A7233" t="str">
            <v>GO</v>
          </cell>
          <cell r="B7233">
            <v>2008</v>
          </cell>
          <cell r="D7233" t="str">
            <v>MILHO</v>
          </cell>
          <cell r="E7233">
            <v>1518.049</v>
          </cell>
        </row>
        <row r="7234">
          <cell r="A7234" t="str">
            <v>MT</v>
          </cell>
          <cell r="B7234">
            <v>2008</v>
          </cell>
          <cell r="D7234" t="str">
            <v>MILHO</v>
          </cell>
          <cell r="E7234">
            <v>0</v>
          </cell>
        </row>
        <row r="7235">
          <cell r="A7235" t="str">
            <v>MS</v>
          </cell>
          <cell r="B7235">
            <v>2008</v>
          </cell>
          <cell r="D7235" t="str">
            <v>MILHO</v>
          </cell>
          <cell r="E7235">
            <v>0</v>
          </cell>
        </row>
        <row r="7236">
          <cell r="A7236" t="str">
            <v>MT</v>
          </cell>
          <cell r="B7236">
            <v>2008</v>
          </cell>
          <cell r="D7236" t="str">
            <v>MILHO</v>
          </cell>
          <cell r="E7236">
            <v>0</v>
          </cell>
        </row>
        <row r="7237">
          <cell r="A7237" t="str">
            <v>MT</v>
          </cell>
          <cell r="B7237">
            <v>2008</v>
          </cell>
          <cell r="D7237" t="str">
            <v>MILHO</v>
          </cell>
          <cell r="E7237">
            <v>563.52099999999996</v>
          </cell>
        </row>
        <row r="7238">
          <cell r="A7238" t="str">
            <v>RS</v>
          </cell>
          <cell r="B7238">
            <v>2008</v>
          </cell>
          <cell r="D7238" t="str">
            <v>MILHO</v>
          </cell>
          <cell r="E7238">
            <v>0</v>
          </cell>
        </row>
        <row r="7239">
          <cell r="A7239" t="str">
            <v>RS</v>
          </cell>
          <cell r="B7239">
            <v>2008</v>
          </cell>
          <cell r="D7239" t="str">
            <v>MILHO</v>
          </cell>
          <cell r="E7239">
            <v>0</v>
          </cell>
        </row>
        <row r="7240">
          <cell r="A7240" t="str">
            <v>SC</v>
          </cell>
          <cell r="B7240">
            <v>2008</v>
          </cell>
          <cell r="D7240" t="str">
            <v>MILHO</v>
          </cell>
          <cell r="E7240">
            <v>10532.984</v>
          </cell>
        </row>
        <row r="7241">
          <cell r="A7241" t="str">
            <v>PR</v>
          </cell>
          <cell r="B7241">
            <v>2008</v>
          </cell>
          <cell r="D7241" t="str">
            <v>MILHO</v>
          </cell>
          <cell r="E7241">
            <v>994.41700000000003</v>
          </cell>
        </row>
        <row r="7242">
          <cell r="A7242" t="str">
            <v>SP</v>
          </cell>
          <cell r="B7242">
            <v>2008</v>
          </cell>
          <cell r="D7242" t="str">
            <v>MILHO</v>
          </cell>
          <cell r="E7242">
            <v>15278.92</v>
          </cell>
        </row>
        <row r="7243">
          <cell r="A7243" t="str">
            <v>PR</v>
          </cell>
          <cell r="B7243">
            <v>2008</v>
          </cell>
          <cell r="D7243" t="str">
            <v>MILHO</v>
          </cell>
          <cell r="E7243">
            <v>847.697</v>
          </cell>
        </row>
        <row r="7244">
          <cell r="A7244" t="str">
            <v>PR</v>
          </cell>
          <cell r="B7244">
            <v>2008</v>
          </cell>
          <cell r="D7244" t="str">
            <v>MILHO</v>
          </cell>
          <cell r="E7244">
            <v>3031.75</v>
          </cell>
        </row>
        <row r="7245">
          <cell r="A7245" t="str">
            <v>PR</v>
          </cell>
          <cell r="B7245">
            <v>2008</v>
          </cell>
          <cell r="D7245" t="str">
            <v>MILHO</v>
          </cell>
          <cell r="E7245">
            <v>3836.3440000000001</v>
          </cell>
        </row>
        <row r="7246">
          <cell r="A7246" t="str">
            <v>PR</v>
          </cell>
          <cell r="B7246">
            <v>2008</v>
          </cell>
          <cell r="D7246" t="str">
            <v>MILHO</v>
          </cell>
          <cell r="E7246">
            <v>2176.1680000000001</v>
          </cell>
        </row>
        <row r="7247">
          <cell r="A7247" t="str">
            <v>PR</v>
          </cell>
          <cell r="B7247">
            <v>2008</v>
          </cell>
          <cell r="D7247" t="str">
            <v>MILHO</v>
          </cell>
          <cell r="E7247">
            <v>0</v>
          </cell>
        </row>
        <row r="7248">
          <cell r="A7248" t="str">
            <v>PR</v>
          </cell>
          <cell r="B7248">
            <v>2008</v>
          </cell>
          <cell r="D7248" t="str">
            <v>MILHO</v>
          </cell>
          <cell r="E7248">
            <v>1633.558</v>
          </cell>
        </row>
        <row r="7249">
          <cell r="A7249" t="str">
            <v>PR</v>
          </cell>
          <cell r="B7249">
            <v>2008</v>
          </cell>
          <cell r="D7249" t="str">
            <v>MILHO</v>
          </cell>
          <cell r="E7249">
            <v>1982.4369999999999</v>
          </cell>
        </row>
        <row r="7250">
          <cell r="A7250" t="str">
            <v>PR</v>
          </cell>
          <cell r="B7250">
            <v>2008</v>
          </cell>
          <cell r="D7250" t="str">
            <v>MILHO</v>
          </cell>
          <cell r="E7250">
            <v>3010.8449999999998</v>
          </cell>
        </row>
        <row r="7251">
          <cell r="A7251" t="str">
            <v>PR</v>
          </cell>
          <cell r="B7251">
            <v>2008</v>
          </cell>
          <cell r="D7251" t="str">
            <v>MILHO</v>
          </cell>
          <cell r="E7251">
            <v>3198.569</v>
          </cell>
        </row>
        <row r="7252">
          <cell r="A7252" t="str">
            <v>PR</v>
          </cell>
          <cell r="B7252">
            <v>2008</v>
          </cell>
          <cell r="D7252" t="str">
            <v>MILHO</v>
          </cell>
          <cell r="E7252">
            <v>1258.5060000000001</v>
          </cell>
        </row>
        <row r="7253">
          <cell r="A7253" t="str">
            <v>PR</v>
          </cell>
          <cell r="B7253">
            <v>2008</v>
          </cell>
          <cell r="D7253" t="str">
            <v>MILHO</v>
          </cell>
          <cell r="E7253">
            <v>614.87400000000002</v>
          </cell>
        </row>
        <row r="7254">
          <cell r="A7254" t="str">
            <v>PR</v>
          </cell>
          <cell r="B7254">
            <v>2008</v>
          </cell>
          <cell r="D7254" t="str">
            <v>MILHO</v>
          </cell>
          <cell r="E7254">
            <v>2095.5320000000002</v>
          </cell>
        </row>
        <row r="7255">
          <cell r="A7255" t="str">
            <v>PR</v>
          </cell>
          <cell r="B7255">
            <v>2008</v>
          </cell>
          <cell r="D7255" t="str">
            <v>MILHO</v>
          </cell>
          <cell r="E7255">
            <v>2952.5390000000002</v>
          </cell>
        </row>
        <row r="7256">
          <cell r="A7256" t="str">
            <v>PR</v>
          </cell>
          <cell r="B7256">
            <v>2008</v>
          </cell>
          <cell r="D7256" t="str">
            <v>MILHO</v>
          </cell>
          <cell r="E7256">
            <v>159.36699999999999</v>
          </cell>
        </row>
        <row r="7257">
          <cell r="A7257" t="str">
            <v>MG</v>
          </cell>
          <cell r="B7257">
            <v>2008</v>
          </cell>
          <cell r="D7257" t="str">
            <v>SOJA</v>
          </cell>
          <cell r="E7257">
            <v>-11.111000000000001</v>
          </cell>
        </row>
        <row r="7258">
          <cell r="A7258" t="str">
            <v>RS</v>
          </cell>
          <cell r="B7258">
            <v>2008</v>
          </cell>
          <cell r="D7258" t="str">
            <v>SOJA</v>
          </cell>
          <cell r="E7258">
            <v>14.938000000000001</v>
          </cell>
        </row>
        <row r="7259">
          <cell r="A7259" t="str">
            <v>RS</v>
          </cell>
          <cell r="B7259">
            <v>2008</v>
          </cell>
          <cell r="D7259" t="str">
            <v>SOJA</v>
          </cell>
          <cell r="E7259">
            <v>0</v>
          </cell>
        </row>
        <row r="7260">
          <cell r="A7260" t="str">
            <v>RS</v>
          </cell>
          <cell r="B7260">
            <v>2008</v>
          </cell>
          <cell r="D7260" t="str">
            <v>SOJA</v>
          </cell>
          <cell r="E7260">
            <v>-14.938000000000001</v>
          </cell>
        </row>
        <row r="7261">
          <cell r="A7261" t="str">
            <v>RS</v>
          </cell>
          <cell r="B7261">
            <v>2008</v>
          </cell>
          <cell r="D7261" t="str">
            <v>SOJA</v>
          </cell>
          <cell r="E7261">
            <v>0</v>
          </cell>
        </row>
        <row r="7262">
          <cell r="A7262" t="str">
            <v>BA</v>
          </cell>
          <cell r="B7262">
            <v>2008</v>
          </cell>
          <cell r="D7262" t="str">
            <v>SOJA</v>
          </cell>
          <cell r="E7262">
            <v>4594.0680000000002</v>
          </cell>
        </row>
        <row r="7263">
          <cell r="A7263" t="str">
            <v>BA</v>
          </cell>
          <cell r="B7263">
            <v>2008</v>
          </cell>
          <cell r="D7263" t="str">
            <v>SOJA</v>
          </cell>
          <cell r="E7263">
            <v>27291.004000000001</v>
          </cell>
        </row>
        <row r="7264">
          <cell r="A7264" t="str">
            <v>BA</v>
          </cell>
          <cell r="B7264">
            <v>2008</v>
          </cell>
          <cell r="D7264" t="str">
            <v>SOJA</v>
          </cell>
          <cell r="E7264">
            <v>37939.616999999998</v>
          </cell>
        </row>
        <row r="7265">
          <cell r="A7265" t="str">
            <v>BA</v>
          </cell>
          <cell r="B7265">
            <v>2008</v>
          </cell>
          <cell r="D7265" t="str">
            <v>SOJA</v>
          </cell>
          <cell r="E7265">
            <v>11238.557000000001</v>
          </cell>
        </row>
        <row r="7266">
          <cell r="A7266" t="str">
            <v>BA</v>
          </cell>
          <cell r="B7266">
            <v>2008</v>
          </cell>
          <cell r="D7266" t="str">
            <v>SOJA</v>
          </cell>
          <cell r="E7266">
            <v>5428.95</v>
          </cell>
        </row>
        <row r="7267">
          <cell r="A7267" t="str">
            <v>BA</v>
          </cell>
          <cell r="B7267">
            <v>2008</v>
          </cell>
          <cell r="D7267" t="str">
            <v>SOJA</v>
          </cell>
          <cell r="E7267">
            <v>3746.15</v>
          </cell>
        </row>
        <row r="7268">
          <cell r="A7268" t="str">
            <v>BA</v>
          </cell>
          <cell r="B7268">
            <v>2008</v>
          </cell>
          <cell r="D7268" t="str">
            <v>SOJA</v>
          </cell>
          <cell r="E7268">
            <v>14978.120999999999</v>
          </cell>
        </row>
        <row r="7269">
          <cell r="A7269" t="str">
            <v>BA</v>
          </cell>
          <cell r="B7269">
            <v>2008</v>
          </cell>
          <cell r="D7269" t="str">
            <v>SOJA</v>
          </cell>
          <cell r="E7269">
            <v>51979.866000000002</v>
          </cell>
        </row>
        <row r="7270">
          <cell r="A7270" t="str">
            <v>BA</v>
          </cell>
          <cell r="B7270">
            <v>2008</v>
          </cell>
          <cell r="D7270" t="str">
            <v>SOJA</v>
          </cell>
          <cell r="E7270">
            <v>75148.615000000005</v>
          </cell>
        </row>
        <row r="7271">
          <cell r="A7271" t="str">
            <v>BA</v>
          </cell>
          <cell r="B7271">
            <v>2008</v>
          </cell>
          <cell r="D7271" t="str">
            <v>SOJA</v>
          </cell>
          <cell r="E7271">
            <v>12979.723</v>
          </cell>
        </row>
        <row r="7272">
          <cell r="A7272" t="str">
            <v>BA</v>
          </cell>
          <cell r="B7272">
            <v>2008</v>
          </cell>
          <cell r="D7272" t="str">
            <v>SOJA</v>
          </cell>
          <cell r="E7272">
            <v>20626.61</v>
          </cell>
        </row>
        <row r="7273">
          <cell r="A7273" t="str">
            <v>BA</v>
          </cell>
          <cell r="B7273">
            <v>2008</v>
          </cell>
          <cell r="D7273" t="str">
            <v>SOJA</v>
          </cell>
          <cell r="E7273">
            <v>31564.370999999999</v>
          </cell>
        </row>
        <row r="7274">
          <cell r="A7274" t="str">
            <v>BA</v>
          </cell>
          <cell r="B7274">
            <v>2008</v>
          </cell>
          <cell r="D7274" t="str">
            <v>SOJA</v>
          </cell>
          <cell r="E7274">
            <v>14097.308000000001</v>
          </cell>
        </row>
        <row r="7275">
          <cell r="A7275" t="str">
            <v>BA</v>
          </cell>
          <cell r="B7275">
            <v>2008</v>
          </cell>
          <cell r="D7275" t="str">
            <v>SOJA</v>
          </cell>
          <cell r="E7275">
            <v>16813.679</v>
          </cell>
        </row>
        <row r="7276">
          <cell r="A7276" t="str">
            <v>TO</v>
          </cell>
          <cell r="B7276">
            <v>2008</v>
          </cell>
          <cell r="D7276" t="str">
            <v>SOJA</v>
          </cell>
          <cell r="E7276">
            <v>22110.887999999999</v>
          </cell>
        </row>
        <row r="7277">
          <cell r="A7277" t="str">
            <v>MA</v>
          </cell>
          <cell r="B7277">
            <v>2008</v>
          </cell>
          <cell r="D7277" t="str">
            <v>SOJA</v>
          </cell>
          <cell r="E7277">
            <v>16673.958999999999</v>
          </cell>
        </row>
        <row r="7278">
          <cell r="A7278" t="str">
            <v>TO</v>
          </cell>
          <cell r="B7278">
            <v>2008</v>
          </cell>
          <cell r="D7278" t="str">
            <v>SOJA</v>
          </cell>
          <cell r="E7278">
            <v>3677.81</v>
          </cell>
        </row>
        <row r="7279">
          <cell r="A7279" t="str">
            <v>PA</v>
          </cell>
          <cell r="B7279">
            <v>2008</v>
          </cell>
          <cell r="D7279" t="str">
            <v>SOJA</v>
          </cell>
          <cell r="E7279">
            <v>97.734999999999999</v>
          </cell>
        </row>
        <row r="7280">
          <cell r="A7280" t="str">
            <v>MA</v>
          </cell>
          <cell r="B7280">
            <v>2008</v>
          </cell>
          <cell r="D7280" t="str">
            <v>SOJA</v>
          </cell>
          <cell r="E7280">
            <v>4906.5590000000002</v>
          </cell>
        </row>
        <row r="7281">
          <cell r="A7281" t="str">
            <v>MA</v>
          </cell>
          <cell r="B7281">
            <v>2008</v>
          </cell>
          <cell r="D7281" t="str">
            <v>SOJA</v>
          </cell>
          <cell r="E7281">
            <v>2544.1790000000001</v>
          </cell>
        </row>
        <row r="7282">
          <cell r="A7282" t="str">
            <v>TO</v>
          </cell>
          <cell r="B7282">
            <v>2008</v>
          </cell>
          <cell r="D7282" t="str">
            <v>SOJA</v>
          </cell>
          <cell r="E7282">
            <v>-1438.498</v>
          </cell>
        </row>
        <row r="7283">
          <cell r="A7283" t="str">
            <v>MA</v>
          </cell>
          <cell r="B7283">
            <v>2008</v>
          </cell>
          <cell r="D7283" t="str">
            <v>SOJA</v>
          </cell>
          <cell r="E7283">
            <v>13629.924000000001</v>
          </cell>
        </row>
        <row r="7284">
          <cell r="A7284" t="str">
            <v>MA</v>
          </cell>
          <cell r="B7284">
            <v>2008</v>
          </cell>
          <cell r="D7284" t="str">
            <v>SOJA</v>
          </cell>
          <cell r="E7284">
            <v>13960.886</v>
          </cell>
        </row>
        <row r="7285">
          <cell r="A7285" t="str">
            <v>TO</v>
          </cell>
          <cell r="B7285">
            <v>2008</v>
          </cell>
          <cell r="D7285" t="str">
            <v>SOJA</v>
          </cell>
          <cell r="E7285">
            <v>10601.852999999999</v>
          </cell>
        </row>
        <row r="7286">
          <cell r="A7286" t="str">
            <v>MA</v>
          </cell>
          <cell r="B7286">
            <v>2008</v>
          </cell>
          <cell r="D7286" t="str">
            <v>SOJA</v>
          </cell>
          <cell r="E7286">
            <v>8258.3860000000004</v>
          </cell>
        </row>
        <row r="7287">
          <cell r="A7287" t="str">
            <v>TO</v>
          </cell>
          <cell r="B7287">
            <v>2008</v>
          </cell>
          <cell r="D7287" t="str">
            <v>SOJA</v>
          </cell>
          <cell r="E7287">
            <v>14698.634</v>
          </cell>
        </row>
        <row r="7288">
          <cell r="A7288" t="str">
            <v>PI</v>
          </cell>
          <cell r="B7288">
            <v>2008</v>
          </cell>
          <cell r="D7288" t="str">
            <v>SOJA</v>
          </cell>
          <cell r="E7288">
            <v>19634.346000000001</v>
          </cell>
        </row>
        <row r="7289">
          <cell r="A7289" t="str">
            <v>PI</v>
          </cell>
          <cell r="B7289">
            <v>2008</v>
          </cell>
          <cell r="D7289" t="str">
            <v>SOJA</v>
          </cell>
          <cell r="E7289">
            <v>25376.114000000001</v>
          </cell>
        </row>
        <row r="7290">
          <cell r="A7290" t="str">
            <v>PI</v>
          </cell>
          <cell r="B7290">
            <v>2008</v>
          </cell>
          <cell r="D7290" t="str">
            <v>SOJA</v>
          </cell>
          <cell r="E7290">
            <v>17905.407999999999</v>
          </cell>
        </row>
        <row r="7291">
          <cell r="A7291" t="str">
            <v>PI</v>
          </cell>
          <cell r="B7291">
            <v>2008</v>
          </cell>
          <cell r="D7291" t="str">
            <v>SOJA</v>
          </cell>
          <cell r="E7291">
            <v>22239.723999999998</v>
          </cell>
        </row>
        <row r="7292">
          <cell r="A7292" t="str">
            <v>PI</v>
          </cell>
          <cell r="B7292">
            <v>2008</v>
          </cell>
          <cell r="D7292" t="str">
            <v>SOJA</v>
          </cell>
          <cell r="E7292">
            <v>-1350.454</v>
          </cell>
        </row>
        <row r="7293">
          <cell r="A7293" t="str">
            <v>GO</v>
          </cell>
          <cell r="B7293">
            <v>2008</v>
          </cell>
          <cell r="D7293" t="str">
            <v>SOJA</v>
          </cell>
          <cell r="E7293">
            <v>16550.499</v>
          </cell>
        </row>
        <row r="7294">
          <cell r="A7294" t="str">
            <v>GO</v>
          </cell>
          <cell r="B7294">
            <v>2008</v>
          </cell>
          <cell r="D7294" t="str">
            <v>SOJA</v>
          </cell>
          <cell r="E7294">
            <v>2108.38</v>
          </cell>
        </row>
        <row r="7295">
          <cell r="A7295" t="str">
            <v>MG</v>
          </cell>
          <cell r="B7295">
            <v>2008</v>
          </cell>
          <cell r="D7295" t="str">
            <v>SOJA</v>
          </cell>
          <cell r="E7295">
            <v>9685.41</v>
          </cell>
        </row>
        <row r="7296">
          <cell r="A7296" t="str">
            <v>GO</v>
          </cell>
          <cell r="B7296">
            <v>2008</v>
          </cell>
          <cell r="D7296" t="str">
            <v>SOJA</v>
          </cell>
          <cell r="E7296">
            <v>743.37300000000005</v>
          </cell>
        </row>
        <row r="7297">
          <cell r="A7297" t="str">
            <v>GO</v>
          </cell>
          <cell r="B7297">
            <v>2008</v>
          </cell>
          <cell r="D7297" t="str">
            <v>SOJA</v>
          </cell>
          <cell r="E7297">
            <v>15498.647999999999</v>
          </cell>
        </row>
        <row r="7298">
          <cell r="A7298" t="str">
            <v>GO</v>
          </cell>
          <cell r="B7298">
            <v>2008</v>
          </cell>
          <cell r="D7298" t="str">
            <v>SOJA</v>
          </cell>
          <cell r="E7298">
            <v>6317.71</v>
          </cell>
        </row>
        <row r="7299">
          <cell r="A7299" t="str">
            <v>GO</v>
          </cell>
          <cell r="B7299">
            <v>2008</v>
          </cell>
          <cell r="D7299" t="str">
            <v>SOJA</v>
          </cell>
          <cell r="E7299">
            <v>2563.27</v>
          </cell>
        </row>
        <row r="7300">
          <cell r="A7300" t="str">
            <v>MG</v>
          </cell>
          <cell r="B7300">
            <v>2008</v>
          </cell>
          <cell r="D7300" t="str">
            <v>SOJA</v>
          </cell>
          <cell r="E7300">
            <v>-90.733999999999995</v>
          </cell>
        </row>
        <row r="7301">
          <cell r="A7301" t="str">
            <v>MG</v>
          </cell>
          <cell r="B7301">
            <v>2008</v>
          </cell>
          <cell r="D7301" t="str">
            <v>SOJA</v>
          </cell>
          <cell r="E7301">
            <v>4048.9050000000002</v>
          </cell>
        </row>
        <row r="7302">
          <cell r="A7302" t="str">
            <v>GO</v>
          </cell>
          <cell r="B7302">
            <v>2008</v>
          </cell>
          <cell r="D7302" t="str">
            <v>SOJA</v>
          </cell>
          <cell r="E7302">
            <v>3678.3629999999998</v>
          </cell>
        </row>
        <row r="7303">
          <cell r="A7303" t="str">
            <v>MS</v>
          </cell>
          <cell r="B7303">
            <v>2008</v>
          </cell>
          <cell r="D7303" t="str">
            <v>SOJA</v>
          </cell>
          <cell r="E7303">
            <v>289.5</v>
          </cell>
        </row>
        <row r="7304">
          <cell r="A7304" t="str">
            <v>GO</v>
          </cell>
          <cell r="B7304">
            <v>2008</v>
          </cell>
          <cell r="D7304" t="str">
            <v>SOJA</v>
          </cell>
          <cell r="E7304">
            <v>0</v>
          </cell>
        </row>
        <row r="7305">
          <cell r="A7305" t="str">
            <v>GO</v>
          </cell>
          <cell r="B7305">
            <v>2008</v>
          </cell>
          <cell r="D7305" t="str">
            <v>SOJA</v>
          </cell>
          <cell r="E7305">
            <v>0</v>
          </cell>
        </row>
        <row r="7306">
          <cell r="A7306" t="str">
            <v>MT</v>
          </cell>
          <cell r="B7306">
            <v>2008</v>
          </cell>
          <cell r="D7306" t="str">
            <v>SOJA</v>
          </cell>
          <cell r="E7306">
            <v>0</v>
          </cell>
        </row>
        <row r="7307">
          <cell r="A7307" t="str">
            <v>GO</v>
          </cell>
          <cell r="B7307">
            <v>2008</v>
          </cell>
          <cell r="D7307" t="str">
            <v>SOJA</v>
          </cell>
          <cell r="E7307">
            <v>945.74400000000003</v>
          </cell>
        </row>
        <row r="7308">
          <cell r="A7308" t="str">
            <v>GO</v>
          </cell>
          <cell r="B7308">
            <v>2008</v>
          </cell>
          <cell r="D7308" t="str">
            <v>SOJA</v>
          </cell>
          <cell r="E7308">
            <v>1604.15</v>
          </cell>
        </row>
        <row r="7309">
          <cell r="A7309" t="str">
            <v>MS</v>
          </cell>
          <cell r="B7309">
            <v>2008</v>
          </cell>
          <cell r="D7309" t="str">
            <v>SOJA</v>
          </cell>
          <cell r="E7309">
            <v>95.36</v>
          </cell>
        </row>
        <row r="7310">
          <cell r="A7310" t="str">
            <v>GO</v>
          </cell>
          <cell r="B7310">
            <v>2008</v>
          </cell>
          <cell r="D7310" t="str">
            <v>SOJA</v>
          </cell>
          <cell r="E7310">
            <v>-41.835000000000001</v>
          </cell>
        </row>
        <row r="7311">
          <cell r="A7311" t="str">
            <v>GO</v>
          </cell>
          <cell r="B7311">
            <v>2008</v>
          </cell>
          <cell r="D7311" t="str">
            <v>SOJA</v>
          </cell>
          <cell r="E7311">
            <v>-537.79600000000005</v>
          </cell>
        </row>
        <row r="7312">
          <cell r="A7312" t="str">
            <v>MT</v>
          </cell>
          <cell r="B7312">
            <v>2008</v>
          </cell>
          <cell r="D7312" t="str">
            <v>SOJA</v>
          </cell>
          <cell r="E7312">
            <v>812.36699999999996</v>
          </cell>
        </row>
        <row r="7313">
          <cell r="A7313" t="str">
            <v>MT</v>
          </cell>
          <cell r="B7313">
            <v>2008</v>
          </cell>
          <cell r="D7313" t="str">
            <v>SOJA</v>
          </cell>
          <cell r="E7313">
            <v>2324.04</v>
          </cell>
        </row>
        <row r="7314">
          <cell r="A7314" t="str">
            <v>MT</v>
          </cell>
          <cell r="B7314">
            <v>2008</v>
          </cell>
          <cell r="D7314" t="str">
            <v>SOJA</v>
          </cell>
          <cell r="E7314">
            <v>107.8</v>
          </cell>
        </row>
        <row r="7315">
          <cell r="A7315" t="str">
            <v>MT</v>
          </cell>
          <cell r="B7315">
            <v>2008</v>
          </cell>
          <cell r="D7315" t="str">
            <v>SOJA</v>
          </cell>
          <cell r="E7315">
            <v>107.80800000000001</v>
          </cell>
        </row>
        <row r="7316">
          <cell r="A7316" t="str">
            <v>MT</v>
          </cell>
          <cell r="B7316">
            <v>2008</v>
          </cell>
          <cell r="D7316" t="str">
            <v>SOJA</v>
          </cell>
          <cell r="E7316">
            <v>10.18</v>
          </cell>
        </row>
        <row r="7317">
          <cell r="A7317" t="str">
            <v>MT</v>
          </cell>
          <cell r="B7317">
            <v>2008</v>
          </cell>
          <cell r="D7317" t="str">
            <v>SOJA</v>
          </cell>
          <cell r="E7317">
            <v>393.61900000000003</v>
          </cell>
        </row>
        <row r="7318">
          <cell r="A7318" t="str">
            <v>MT</v>
          </cell>
          <cell r="B7318">
            <v>2008</v>
          </cell>
          <cell r="D7318" t="str">
            <v>SOJA</v>
          </cell>
          <cell r="E7318">
            <v>-181.15299999999999</v>
          </cell>
        </row>
        <row r="7319">
          <cell r="A7319" t="str">
            <v>MT</v>
          </cell>
          <cell r="B7319">
            <v>2008</v>
          </cell>
          <cell r="D7319" t="str">
            <v>SOJA</v>
          </cell>
          <cell r="E7319">
            <v>695.58399999999995</v>
          </cell>
        </row>
        <row r="7320">
          <cell r="A7320" t="str">
            <v>MT</v>
          </cell>
          <cell r="B7320">
            <v>2008</v>
          </cell>
          <cell r="D7320" t="str">
            <v>SOJA</v>
          </cell>
          <cell r="E7320">
            <v>-764.13599999999997</v>
          </cell>
        </row>
        <row r="7321">
          <cell r="A7321" t="str">
            <v>MS</v>
          </cell>
          <cell r="B7321">
            <v>2008</v>
          </cell>
          <cell r="D7321" t="str">
            <v>SOJA</v>
          </cell>
          <cell r="E7321">
            <v>0</v>
          </cell>
        </row>
        <row r="7322">
          <cell r="A7322" t="str">
            <v>MS</v>
          </cell>
          <cell r="B7322">
            <v>2008</v>
          </cell>
          <cell r="D7322" t="str">
            <v>SOJA</v>
          </cell>
          <cell r="E7322">
            <v>3289.6660000000002</v>
          </cell>
        </row>
        <row r="7323">
          <cell r="A7323" t="str">
            <v>MS</v>
          </cell>
          <cell r="B7323">
            <v>2008</v>
          </cell>
          <cell r="D7323" t="str">
            <v>SOJA</v>
          </cell>
          <cell r="E7323">
            <v>43.139000000000003</v>
          </cell>
        </row>
        <row r="7324">
          <cell r="A7324" t="str">
            <v>MS</v>
          </cell>
          <cell r="B7324">
            <v>2008</v>
          </cell>
          <cell r="D7324" t="str">
            <v>SOJA</v>
          </cell>
          <cell r="E7324">
            <v>721.35599999999999</v>
          </cell>
        </row>
        <row r="7325">
          <cell r="A7325" t="str">
            <v>MS</v>
          </cell>
          <cell r="B7325">
            <v>2008</v>
          </cell>
          <cell r="D7325" t="str">
            <v>SOJA</v>
          </cell>
          <cell r="E7325">
            <v>0</v>
          </cell>
        </row>
        <row r="7326">
          <cell r="A7326" t="str">
            <v>MS</v>
          </cell>
          <cell r="B7326">
            <v>2008</v>
          </cell>
          <cell r="D7326" t="str">
            <v>SOJA</v>
          </cell>
          <cell r="E7326">
            <v>0</v>
          </cell>
        </row>
        <row r="7327">
          <cell r="A7327" t="str">
            <v>MT</v>
          </cell>
          <cell r="B7327">
            <v>2008</v>
          </cell>
          <cell r="D7327" t="str">
            <v>SOJA</v>
          </cell>
          <cell r="E7327">
            <v>14549.137000000001</v>
          </cell>
        </row>
        <row r="7328">
          <cell r="A7328" t="str">
            <v>MT</v>
          </cell>
          <cell r="B7328">
            <v>2008</v>
          </cell>
          <cell r="D7328" t="str">
            <v>SOJA</v>
          </cell>
          <cell r="E7328">
            <v>8211.9920000000002</v>
          </cell>
        </row>
        <row r="7329">
          <cell r="A7329" t="str">
            <v>MT</v>
          </cell>
          <cell r="B7329">
            <v>2008</v>
          </cell>
          <cell r="D7329" t="str">
            <v>SOJA</v>
          </cell>
          <cell r="E7329">
            <v>421.92200000000003</v>
          </cell>
        </row>
        <row r="7330">
          <cell r="A7330" t="str">
            <v>MT</v>
          </cell>
          <cell r="B7330">
            <v>2008</v>
          </cell>
          <cell r="D7330" t="str">
            <v>SOJA</v>
          </cell>
          <cell r="E7330">
            <v>2336.0830000000001</v>
          </cell>
        </row>
        <row r="7331">
          <cell r="A7331" t="str">
            <v>MT</v>
          </cell>
          <cell r="B7331">
            <v>2008</v>
          </cell>
          <cell r="D7331" t="str">
            <v>SOJA</v>
          </cell>
          <cell r="E7331">
            <v>499.56299999999999</v>
          </cell>
        </row>
        <row r="7332">
          <cell r="A7332" t="str">
            <v>MT</v>
          </cell>
          <cell r="B7332">
            <v>2008</v>
          </cell>
          <cell r="D7332" t="str">
            <v>SOJA</v>
          </cell>
          <cell r="E7332">
            <v>-600</v>
          </cell>
        </row>
        <row r="7333">
          <cell r="A7333" t="str">
            <v>MT</v>
          </cell>
          <cell r="B7333">
            <v>2008</v>
          </cell>
          <cell r="D7333" t="str">
            <v>SOJA</v>
          </cell>
          <cell r="E7333">
            <v>177.63399999999999</v>
          </cell>
        </row>
        <row r="7334">
          <cell r="A7334" t="str">
            <v>MT</v>
          </cell>
          <cell r="B7334">
            <v>2008</v>
          </cell>
          <cell r="D7334" t="str">
            <v>SOJA</v>
          </cell>
          <cell r="E7334">
            <v>316.68200000000002</v>
          </cell>
        </row>
        <row r="7335">
          <cell r="A7335" t="str">
            <v>MT</v>
          </cell>
          <cell r="B7335">
            <v>2008</v>
          </cell>
          <cell r="D7335" t="str">
            <v>SOJA</v>
          </cell>
          <cell r="E7335">
            <v>78.834999999999994</v>
          </cell>
        </row>
        <row r="7336">
          <cell r="A7336" t="str">
            <v>MT</v>
          </cell>
          <cell r="B7336">
            <v>2008</v>
          </cell>
          <cell r="D7336" t="str">
            <v>SOJA</v>
          </cell>
          <cell r="E7336">
            <v>15.68</v>
          </cell>
        </row>
        <row r="7337">
          <cell r="A7337" t="str">
            <v>MT</v>
          </cell>
          <cell r="B7337">
            <v>2008</v>
          </cell>
          <cell r="D7337" t="str">
            <v>SOJA</v>
          </cell>
          <cell r="E7337">
            <v>116.949</v>
          </cell>
        </row>
        <row r="7338">
          <cell r="A7338" t="str">
            <v>MT</v>
          </cell>
          <cell r="B7338">
            <v>2008</v>
          </cell>
          <cell r="D7338" t="str">
            <v>SOJA</v>
          </cell>
          <cell r="E7338">
            <v>817.221</v>
          </cell>
        </row>
        <row r="7339">
          <cell r="A7339" t="str">
            <v>PA</v>
          </cell>
          <cell r="B7339">
            <v>2008</v>
          </cell>
          <cell r="D7339" t="str">
            <v>SOJA</v>
          </cell>
          <cell r="E7339">
            <v>711.25400000000002</v>
          </cell>
        </row>
        <row r="7340">
          <cell r="A7340" t="str">
            <v>MT</v>
          </cell>
          <cell r="B7340">
            <v>2008</v>
          </cell>
          <cell r="D7340" t="str">
            <v>SOJA</v>
          </cell>
          <cell r="E7340">
            <v>46.875</v>
          </cell>
        </row>
        <row r="7341">
          <cell r="A7341" t="str">
            <v>MT</v>
          </cell>
          <cell r="B7341">
            <v>2008</v>
          </cell>
          <cell r="D7341" t="str">
            <v>SOJA</v>
          </cell>
          <cell r="E7341">
            <v>2255.047</v>
          </cell>
        </row>
        <row r="7342">
          <cell r="A7342" t="str">
            <v>MT</v>
          </cell>
          <cell r="B7342">
            <v>2008</v>
          </cell>
          <cell r="D7342" t="str">
            <v>SOJA</v>
          </cell>
          <cell r="E7342">
            <v>2429.172</v>
          </cell>
        </row>
        <row r="7343">
          <cell r="A7343" t="str">
            <v>MT</v>
          </cell>
          <cell r="B7343">
            <v>2008</v>
          </cell>
          <cell r="D7343" t="str">
            <v>SOJA</v>
          </cell>
          <cell r="E7343">
            <v>5768.76</v>
          </cell>
        </row>
        <row r="7344">
          <cell r="A7344" t="str">
            <v>MT</v>
          </cell>
          <cell r="B7344">
            <v>2008</v>
          </cell>
          <cell r="D7344" t="str">
            <v>SOJA</v>
          </cell>
          <cell r="E7344">
            <v>2610.3890000000001</v>
          </cell>
        </row>
        <row r="7345">
          <cell r="A7345" t="str">
            <v>MT</v>
          </cell>
          <cell r="B7345">
            <v>2008</v>
          </cell>
          <cell r="D7345" t="str">
            <v>SOJA</v>
          </cell>
          <cell r="E7345">
            <v>422.15899999999999</v>
          </cell>
        </row>
        <row r="7346">
          <cell r="A7346" t="str">
            <v>MT</v>
          </cell>
          <cell r="B7346">
            <v>2008</v>
          </cell>
          <cell r="D7346" t="str">
            <v>SOJA</v>
          </cell>
          <cell r="E7346">
            <v>-103.30200000000001</v>
          </cell>
        </row>
        <row r="7347">
          <cell r="A7347" t="str">
            <v>MT</v>
          </cell>
          <cell r="B7347">
            <v>2008</v>
          </cell>
          <cell r="D7347" t="str">
            <v>SOJA</v>
          </cell>
          <cell r="E7347">
            <v>1395.329</v>
          </cell>
        </row>
        <row r="7348">
          <cell r="A7348" t="str">
            <v>MT</v>
          </cell>
          <cell r="B7348">
            <v>2008</v>
          </cell>
          <cell r="D7348" t="str">
            <v>SOJA</v>
          </cell>
          <cell r="E7348">
            <v>58.029000000000003</v>
          </cell>
        </row>
        <row r="7349">
          <cell r="A7349" t="str">
            <v>MT</v>
          </cell>
          <cell r="B7349">
            <v>2008</v>
          </cell>
          <cell r="D7349" t="str">
            <v>SOJA</v>
          </cell>
          <cell r="E7349">
            <v>0</v>
          </cell>
        </row>
        <row r="7350">
          <cell r="A7350" t="str">
            <v>MT</v>
          </cell>
          <cell r="B7350">
            <v>2008</v>
          </cell>
          <cell r="D7350" t="str">
            <v>SOJA</v>
          </cell>
          <cell r="E7350">
            <v>284.41000000000003</v>
          </cell>
        </row>
        <row r="7351">
          <cell r="A7351" t="str">
            <v>MT</v>
          </cell>
          <cell r="B7351">
            <v>2008</v>
          </cell>
          <cell r="D7351" t="str">
            <v>SOJA</v>
          </cell>
          <cell r="E7351">
            <v>0</v>
          </cell>
        </row>
        <row r="7352">
          <cell r="A7352" t="str">
            <v>MT</v>
          </cell>
          <cell r="B7352">
            <v>2008</v>
          </cell>
          <cell r="D7352" t="str">
            <v>SOJA</v>
          </cell>
          <cell r="E7352">
            <v>1635.2809999999999</v>
          </cell>
        </row>
        <row r="7353">
          <cell r="A7353" t="str">
            <v>MT</v>
          </cell>
          <cell r="B7353">
            <v>2008</v>
          </cell>
          <cell r="D7353" t="str">
            <v>SOJA</v>
          </cell>
          <cell r="E7353">
            <v>270.04899999999998</v>
          </cell>
        </row>
        <row r="7354">
          <cell r="A7354" t="str">
            <v>RS</v>
          </cell>
          <cell r="B7354">
            <v>2008</v>
          </cell>
          <cell r="D7354" t="str">
            <v>SOJA</v>
          </cell>
          <cell r="E7354">
            <v>6148.81</v>
          </cell>
        </row>
        <row r="7355">
          <cell r="A7355" t="str">
            <v>RS</v>
          </cell>
          <cell r="B7355">
            <v>2008</v>
          </cell>
          <cell r="D7355" t="str">
            <v>SOJA</v>
          </cell>
          <cell r="E7355">
            <v>35884.595000000001</v>
          </cell>
        </row>
        <row r="7356">
          <cell r="A7356" t="str">
            <v>RS</v>
          </cell>
          <cell r="B7356">
            <v>2008</v>
          </cell>
          <cell r="D7356" t="str">
            <v>SOJA</v>
          </cell>
          <cell r="E7356">
            <v>22754.904999999999</v>
          </cell>
        </row>
        <row r="7357">
          <cell r="A7357" t="str">
            <v>RS</v>
          </cell>
          <cell r="B7357">
            <v>2008</v>
          </cell>
          <cell r="D7357" t="str">
            <v>SOJA</v>
          </cell>
          <cell r="E7357">
            <v>4030.2060000000001</v>
          </cell>
        </row>
        <row r="7358">
          <cell r="A7358" t="str">
            <v>RS</v>
          </cell>
          <cell r="B7358">
            <v>2008</v>
          </cell>
          <cell r="D7358" t="str">
            <v>SOJA</v>
          </cell>
          <cell r="E7358">
            <v>2477.1669999999999</v>
          </cell>
        </row>
        <row r="7359">
          <cell r="A7359" t="str">
            <v>RS</v>
          </cell>
          <cell r="B7359">
            <v>2008</v>
          </cell>
          <cell r="D7359" t="str">
            <v>SOJA</v>
          </cell>
          <cell r="E7359">
            <v>32668.416000000001</v>
          </cell>
        </row>
        <row r="7360">
          <cell r="A7360" t="str">
            <v>RS</v>
          </cell>
          <cell r="B7360">
            <v>2008</v>
          </cell>
          <cell r="D7360" t="str">
            <v>SOJA</v>
          </cell>
          <cell r="E7360">
            <v>1202.2619999999999</v>
          </cell>
        </row>
        <row r="7361">
          <cell r="A7361" t="str">
            <v>RS</v>
          </cell>
          <cell r="B7361">
            <v>2008</v>
          </cell>
          <cell r="D7361" t="str">
            <v>SOJA</v>
          </cell>
          <cell r="E7361">
            <v>11.461</v>
          </cell>
        </row>
        <row r="7362">
          <cell r="A7362" t="str">
            <v>RS</v>
          </cell>
          <cell r="B7362">
            <v>2008</v>
          </cell>
          <cell r="D7362" t="str">
            <v>SOJA</v>
          </cell>
          <cell r="E7362">
            <v>22765.77</v>
          </cell>
        </row>
        <row r="7363">
          <cell r="A7363" t="str">
            <v>RS</v>
          </cell>
          <cell r="B7363">
            <v>2008</v>
          </cell>
          <cell r="D7363" t="str">
            <v>SOJA</v>
          </cell>
          <cell r="E7363">
            <v>7026.77</v>
          </cell>
        </row>
        <row r="7364">
          <cell r="A7364" t="str">
            <v>RS</v>
          </cell>
          <cell r="B7364">
            <v>2008</v>
          </cell>
          <cell r="D7364" t="str">
            <v>SOJA</v>
          </cell>
          <cell r="E7364">
            <v>-591.01099999999997</v>
          </cell>
        </row>
        <row r="7365">
          <cell r="A7365" t="str">
            <v>RS</v>
          </cell>
          <cell r="B7365">
            <v>2008</v>
          </cell>
          <cell r="D7365" t="str">
            <v>SOJA</v>
          </cell>
          <cell r="E7365">
            <v>34524.767999999996</v>
          </cell>
        </row>
        <row r="7366">
          <cell r="A7366" t="str">
            <v>RS</v>
          </cell>
          <cell r="B7366">
            <v>2008</v>
          </cell>
          <cell r="D7366" t="str">
            <v>SOJA</v>
          </cell>
          <cell r="E7366">
            <v>1281.53</v>
          </cell>
        </row>
        <row r="7367">
          <cell r="A7367" t="str">
            <v>RS</v>
          </cell>
          <cell r="B7367">
            <v>2008</v>
          </cell>
          <cell r="D7367" t="str">
            <v>SOJA</v>
          </cell>
          <cell r="E7367">
            <v>35125.383999999998</v>
          </cell>
        </row>
        <row r="7368">
          <cell r="A7368" t="str">
            <v>SC</v>
          </cell>
          <cell r="B7368">
            <v>2008</v>
          </cell>
          <cell r="D7368" t="str">
            <v>SOJA</v>
          </cell>
          <cell r="E7368">
            <v>-41.204000000000001</v>
          </cell>
        </row>
        <row r="7369">
          <cell r="A7369" t="str">
            <v>SC</v>
          </cell>
          <cell r="B7369">
            <v>2008</v>
          </cell>
          <cell r="D7369" t="str">
            <v>SOJA</v>
          </cell>
          <cell r="E7369">
            <v>60020.938999999998</v>
          </cell>
        </row>
        <row r="7370">
          <cell r="A7370" t="str">
            <v>PR</v>
          </cell>
          <cell r="B7370">
            <v>2008</v>
          </cell>
          <cell r="D7370" t="str">
            <v>SOJA</v>
          </cell>
          <cell r="E7370">
            <v>-35.551000000000002</v>
          </cell>
        </row>
        <row r="7371">
          <cell r="A7371" t="str">
            <v>SP</v>
          </cell>
          <cell r="B7371">
            <v>2008</v>
          </cell>
          <cell r="D7371" t="str">
            <v>SOJA</v>
          </cell>
          <cell r="E7371">
            <v>6032.6570000000002</v>
          </cell>
        </row>
        <row r="7372">
          <cell r="A7372" t="str">
            <v>PR</v>
          </cell>
          <cell r="B7372">
            <v>2008</v>
          </cell>
          <cell r="D7372" t="str">
            <v>SOJA</v>
          </cell>
          <cell r="E7372">
            <v>486.50299999999999</v>
          </cell>
        </row>
        <row r="7373">
          <cell r="A7373" t="str">
            <v>PR</v>
          </cell>
          <cell r="B7373">
            <v>2008</v>
          </cell>
          <cell r="D7373" t="str">
            <v>SOJA</v>
          </cell>
          <cell r="E7373">
            <v>26.08</v>
          </cell>
        </row>
        <row r="7374">
          <cell r="A7374" t="str">
            <v>PR</v>
          </cell>
          <cell r="B7374">
            <v>2008</v>
          </cell>
          <cell r="D7374" t="str">
            <v>SOJA</v>
          </cell>
          <cell r="E7374">
            <v>27055.204000000002</v>
          </cell>
        </row>
        <row r="7375">
          <cell r="A7375" t="str">
            <v>PR</v>
          </cell>
          <cell r="B7375">
            <v>2008</v>
          </cell>
          <cell r="D7375" t="str">
            <v>SOJA</v>
          </cell>
          <cell r="E7375">
            <v>878.51900000000001</v>
          </cell>
        </row>
        <row r="7376">
          <cell r="A7376" t="str">
            <v>PR</v>
          </cell>
          <cell r="B7376">
            <v>2008</v>
          </cell>
          <cell r="D7376" t="str">
            <v>SOJA</v>
          </cell>
          <cell r="E7376">
            <v>62.857999999999997</v>
          </cell>
        </row>
        <row r="7377">
          <cell r="A7377" t="str">
            <v>PR</v>
          </cell>
          <cell r="B7377">
            <v>2008</v>
          </cell>
          <cell r="D7377" t="str">
            <v>SOJA</v>
          </cell>
          <cell r="E7377">
            <v>0</v>
          </cell>
        </row>
        <row r="7378">
          <cell r="A7378" t="str">
            <v>PR</v>
          </cell>
          <cell r="B7378">
            <v>2008</v>
          </cell>
          <cell r="D7378" t="str">
            <v>SOJA</v>
          </cell>
          <cell r="E7378">
            <v>331.69400000000002</v>
          </cell>
        </row>
        <row r="7379">
          <cell r="A7379" t="str">
            <v>PR</v>
          </cell>
          <cell r="B7379">
            <v>2008</v>
          </cell>
          <cell r="D7379" t="str">
            <v>SOJA</v>
          </cell>
          <cell r="E7379">
            <v>14787.776</v>
          </cell>
        </row>
        <row r="7380">
          <cell r="A7380" t="str">
            <v>PR</v>
          </cell>
          <cell r="B7380">
            <v>2008</v>
          </cell>
          <cell r="D7380" t="str">
            <v>SOJA</v>
          </cell>
          <cell r="E7380">
            <v>5065.299</v>
          </cell>
        </row>
        <row r="7381">
          <cell r="A7381" t="str">
            <v>PR</v>
          </cell>
          <cell r="B7381">
            <v>2008</v>
          </cell>
          <cell r="D7381" t="str">
            <v>SOJA</v>
          </cell>
          <cell r="E7381">
            <v>13563.34</v>
          </cell>
        </row>
        <row r="7382">
          <cell r="A7382" t="str">
            <v>PR</v>
          </cell>
          <cell r="B7382">
            <v>2008</v>
          </cell>
          <cell r="D7382" t="str">
            <v>SOJA</v>
          </cell>
          <cell r="E7382">
            <v>3069.4490000000001</v>
          </cell>
        </row>
        <row r="7383">
          <cell r="A7383" t="str">
            <v>PR</v>
          </cell>
          <cell r="B7383">
            <v>2008</v>
          </cell>
          <cell r="D7383" t="str">
            <v>SOJA</v>
          </cell>
          <cell r="E7383">
            <v>11046.89</v>
          </cell>
        </row>
        <row r="7384">
          <cell r="A7384" t="str">
            <v>PR</v>
          </cell>
          <cell r="B7384">
            <v>2008</v>
          </cell>
          <cell r="D7384" t="str">
            <v>SOJA</v>
          </cell>
          <cell r="E7384">
            <v>10654.188</v>
          </cell>
        </row>
        <row r="7385">
          <cell r="A7385" t="str">
            <v>PR</v>
          </cell>
          <cell r="B7385">
            <v>2008</v>
          </cell>
          <cell r="D7385" t="str">
            <v>SOJA</v>
          </cell>
          <cell r="E7385">
            <v>3464.1660000000002</v>
          </cell>
        </row>
        <row r="7386">
          <cell r="A7386" t="str">
            <v>PR</v>
          </cell>
          <cell r="B7386">
            <v>2008</v>
          </cell>
          <cell r="D7386" t="str">
            <v>SOJA</v>
          </cell>
          <cell r="E7386">
            <v>1759.5070000000001</v>
          </cell>
        </row>
        <row r="7387">
          <cell r="A7387" t="str">
            <v>PR</v>
          </cell>
          <cell r="B7387">
            <v>2008</v>
          </cell>
          <cell r="D7387" t="str">
            <v>SOJA</v>
          </cell>
          <cell r="E7387">
            <v>10539.83</v>
          </cell>
        </row>
        <row r="7388">
          <cell r="A7388" t="str">
            <v>GO</v>
          </cell>
          <cell r="B7388">
            <v>2008</v>
          </cell>
          <cell r="D7388" t="str">
            <v>MILHO</v>
          </cell>
          <cell r="E7388">
            <v>-0.02</v>
          </cell>
        </row>
        <row r="7389">
          <cell r="A7389" t="str">
            <v>BA</v>
          </cell>
          <cell r="B7389">
            <v>2008</v>
          </cell>
          <cell r="D7389" t="str">
            <v>MILHO</v>
          </cell>
          <cell r="E7389">
            <v>384.226</v>
          </cell>
        </row>
        <row r="7390">
          <cell r="A7390" t="str">
            <v>BA</v>
          </cell>
          <cell r="B7390">
            <v>2008</v>
          </cell>
          <cell r="D7390" t="str">
            <v>MILHO</v>
          </cell>
          <cell r="E7390">
            <v>256.97800000000001</v>
          </cell>
        </row>
        <row r="7391">
          <cell r="A7391" t="str">
            <v>BA</v>
          </cell>
          <cell r="B7391">
            <v>2008</v>
          </cell>
          <cell r="D7391" t="str">
            <v>MILHO</v>
          </cell>
          <cell r="E7391">
            <v>8665.0740000000005</v>
          </cell>
        </row>
        <row r="7392">
          <cell r="A7392" t="str">
            <v>BA</v>
          </cell>
          <cell r="B7392">
            <v>2008</v>
          </cell>
          <cell r="D7392" t="str">
            <v>MILHO</v>
          </cell>
          <cell r="E7392">
            <v>124.52</v>
          </cell>
        </row>
        <row r="7393">
          <cell r="A7393" t="str">
            <v>BA</v>
          </cell>
          <cell r="B7393">
            <v>2008</v>
          </cell>
          <cell r="D7393" t="str">
            <v>MILHO</v>
          </cell>
          <cell r="E7393">
            <v>49.072000000000003</v>
          </cell>
        </row>
        <row r="7394">
          <cell r="A7394" t="str">
            <v>BA</v>
          </cell>
          <cell r="B7394">
            <v>2008</v>
          </cell>
          <cell r="D7394" t="str">
            <v>MILHO</v>
          </cell>
          <cell r="E7394">
            <v>0</v>
          </cell>
        </row>
        <row r="7395">
          <cell r="A7395" t="str">
            <v>BA</v>
          </cell>
          <cell r="B7395">
            <v>2008</v>
          </cell>
          <cell r="D7395" t="str">
            <v>MILHO</v>
          </cell>
          <cell r="E7395">
            <v>826.71699999999998</v>
          </cell>
        </row>
        <row r="7396">
          <cell r="A7396" t="str">
            <v>TO</v>
          </cell>
          <cell r="B7396">
            <v>2008</v>
          </cell>
          <cell r="D7396" t="str">
            <v>MILHO</v>
          </cell>
          <cell r="E7396">
            <v>0</v>
          </cell>
        </row>
        <row r="7397">
          <cell r="A7397" t="str">
            <v>PI</v>
          </cell>
          <cell r="B7397">
            <v>2008</v>
          </cell>
          <cell r="D7397" t="str">
            <v>MILHO</v>
          </cell>
          <cell r="E7397">
            <v>0</v>
          </cell>
        </row>
        <row r="7398">
          <cell r="A7398" t="str">
            <v>MG</v>
          </cell>
          <cell r="B7398">
            <v>2008</v>
          </cell>
          <cell r="D7398" t="str">
            <v>MILHO</v>
          </cell>
          <cell r="E7398">
            <v>1115.1969999999999</v>
          </cell>
        </row>
        <row r="7399">
          <cell r="A7399" t="str">
            <v>GO</v>
          </cell>
          <cell r="B7399">
            <v>2008</v>
          </cell>
          <cell r="D7399" t="str">
            <v>MILHO</v>
          </cell>
          <cell r="E7399">
            <v>0</v>
          </cell>
        </row>
        <row r="7400">
          <cell r="A7400" t="str">
            <v>MG</v>
          </cell>
          <cell r="B7400">
            <v>2008</v>
          </cell>
          <cell r="D7400" t="str">
            <v>MILHO</v>
          </cell>
          <cell r="E7400">
            <v>735.59</v>
          </cell>
        </row>
        <row r="7401">
          <cell r="A7401" t="str">
            <v>MG</v>
          </cell>
          <cell r="B7401">
            <v>2008</v>
          </cell>
          <cell r="D7401" t="str">
            <v>MILHO</v>
          </cell>
          <cell r="E7401">
            <v>14324.566999999999</v>
          </cell>
        </row>
        <row r="7402">
          <cell r="A7402" t="str">
            <v>MT</v>
          </cell>
          <cell r="B7402">
            <v>2008</v>
          </cell>
          <cell r="D7402" t="str">
            <v>MILHO</v>
          </cell>
          <cell r="E7402">
            <v>1023.236</v>
          </cell>
        </row>
        <row r="7403">
          <cell r="A7403" t="str">
            <v>GO</v>
          </cell>
          <cell r="B7403">
            <v>2008</v>
          </cell>
          <cell r="D7403" t="str">
            <v>MILHO</v>
          </cell>
          <cell r="E7403">
            <v>1500</v>
          </cell>
        </row>
        <row r="7404">
          <cell r="A7404" t="str">
            <v>MS</v>
          </cell>
          <cell r="B7404">
            <v>2008</v>
          </cell>
          <cell r="D7404" t="str">
            <v>MILHO</v>
          </cell>
          <cell r="E7404">
            <v>0</v>
          </cell>
        </row>
        <row r="7405">
          <cell r="A7405" t="str">
            <v>GO</v>
          </cell>
          <cell r="B7405">
            <v>2008</v>
          </cell>
          <cell r="D7405" t="str">
            <v>MILHO</v>
          </cell>
          <cell r="E7405">
            <v>959.94</v>
          </cell>
        </row>
        <row r="7406">
          <cell r="A7406" t="str">
            <v>MT</v>
          </cell>
          <cell r="B7406">
            <v>2008</v>
          </cell>
          <cell r="D7406" t="str">
            <v>MILHO</v>
          </cell>
          <cell r="E7406">
            <v>4604.4470000000001</v>
          </cell>
        </row>
        <row r="7407">
          <cell r="A7407" t="str">
            <v>MT</v>
          </cell>
          <cell r="B7407">
            <v>2008</v>
          </cell>
          <cell r="D7407" t="str">
            <v>MILHO</v>
          </cell>
          <cell r="E7407">
            <v>8443.5589999999993</v>
          </cell>
        </row>
        <row r="7408">
          <cell r="A7408" t="str">
            <v>MT</v>
          </cell>
          <cell r="B7408">
            <v>2008</v>
          </cell>
          <cell r="D7408" t="str">
            <v>MILHO</v>
          </cell>
          <cell r="E7408">
            <v>7806.2169999999996</v>
          </cell>
        </row>
        <row r="7409">
          <cell r="A7409" t="str">
            <v>MT</v>
          </cell>
          <cell r="B7409">
            <v>2008</v>
          </cell>
          <cell r="D7409" t="str">
            <v>MILHO</v>
          </cell>
          <cell r="E7409">
            <v>84.728999999999999</v>
          </cell>
        </row>
        <row r="7410">
          <cell r="A7410" t="str">
            <v>MT</v>
          </cell>
          <cell r="B7410">
            <v>2008</v>
          </cell>
          <cell r="D7410" t="str">
            <v>MILHO</v>
          </cell>
          <cell r="E7410">
            <v>2284.5700000000002</v>
          </cell>
        </row>
        <row r="7411">
          <cell r="A7411" t="str">
            <v>MT</v>
          </cell>
          <cell r="B7411">
            <v>2008</v>
          </cell>
          <cell r="D7411" t="str">
            <v>MILHO</v>
          </cell>
          <cell r="E7411">
            <v>3424.16</v>
          </cell>
        </row>
        <row r="7412">
          <cell r="A7412" t="str">
            <v>MS</v>
          </cell>
          <cell r="B7412">
            <v>2008</v>
          </cell>
          <cell r="D7412" t="str">
            <v>MILHO</v>
          </cell>
          <cell r="E7412">
            <v>117.125</v>
          </cell>
        </row>
        <row r="7413">
          <cell r="A7413" t="str">
            <v>MT</v>
          </cell>
          <cell r="B7413">
            <v>2008</v>
          </cell>
          <cell r="D7413" t="str">
            <v>MILHO</v>
          </cell>
          <cell r="E7413">
            <v>0</v>
          </cell>
        </row>
        <row r="7414">
          <cell r="A7414" t="str">
            <v>MT</v>
          </cell>
          <cell r="B7414">
            <v>2008</v>
          </cell>
          <cell r="D7414" t="str">
            <v>MILHO</v>
          </cell>
          <cell r="E7414">
            <v>9583.5300000000007</v>
          </cell>
        </row>
        <row r="7415">
          <cell r="A7415" t="str">
            <v>MT</v>
          </cell>
          <cell r="B7415">
            <v>2008</v>
          </cell>
          <cell r="D7415" t="str">
            <v>MILHO</v>
          </cell>
          <cell r="E7415">
            <v>834.61199999999997</v>
          </cell>
        </row>
        <row r="7416">
          <cell r="A7416" t="str">
            <v>MT</v>
          </cell>
          <cell r="B7416">
            <v>2008</v>
          </cell>
          <cell r="D7416" t="str">
            <v>MILHO</v>
          </cell>
          <cell r="E7416">
            <v>9303.1200000000008</v>
          </cell>
        </row>
        <row r="7417">
          <cell r="A7417" t="str">
            <v>MT</v>
          </cell>
          <cell r="B7417">
            <v>2008</v>
          </cell>
          <cell r="D7417" t="str">
            <v>MILHO</v>
          </cell>
          <cell r="E7417">
            <v>7657.9210000000003</v>
          </cell>
        </row>
        <row r="7418">
          <cell r="A7418" t="str">
            <v>MT</v>
          </cell>
          <cell r="B7418">
            <v>2008</v>
          </cell>
          <cell r="D7418" t="str">
            <v>MILHO</v>
          </cell>
          <cell r="E7418">
            <v>7714.1270000000004</v>
          </cell>
        </row>
        <row r="7419">
          <cell r="A7419" t="str">
            <v>MT</v>
          </cell>
          <cell r="B7419">
            <v>2008</v>
          </cell>
          <cell r="D7419" t="str">
            <v>MILHO</v>
          </cell>
          <cell r="E7419">
            <v>35942.639000000003</v>
          </cell>
        </row>
        <row r="7420">
          <cell r="A7420" t="str">
            <v>MT</v>
          </cell>
          <cell r="B7420">
            <v>2008</v>
          </cell>
          <cell r="D7420" t="str">
            <v>MILHO</v>
          </cell>
          <cell r="E7420">
            <v>6042.35</v>
          </cell>
        </row>
        <row r="7421">
          <cell r="A7421" t="str">
            <v>MT</v>
          </cell>
          <cell r="B7421">
            <v>2008</v>
          </cell>
          <cell r="D7421" t="str">
            <v>MILHO</v>
          </cell>
          <cell r="E7421">
            <v>2205.877</v>
          </cell>
        </row>
        <row r="7422">
          <cell r="A7422" t="str">
            <v>MT</v>
          </cell>
          <cell r="B7422">
            <v>2008</v>
          </cell>
          <cell r="D7422" t="str">
            <v>MILHO</v>
          </cell>
          <cell r="E7422">
            <v>3258.5219999999999</v>
          </cell>
        </row>
        <row r="7423">
          <cell r="A7423" t="str">
            <v>MT</v>
          </cell>
          <cell r="B7423">
            <v>2008</v>
          </cell>
          <cell r="D7423" t="str">
            <v>MILHO</v>
          </cell>
          <cell r="E7423">
            <v>4156.3209999999999</v>
          </cell>
        </row>
        <row r="7424">
          <cell r="A7424" t="str">
            <v>MT</v>
          </cell>
          <cell r="B7424">
            <v>2008</v>
          </cell>
          <cell r="D7424" t="str">
            <v>MILHO</v>
          </cell>
          <cell r="E7424">
            <v>2244.5500000000002</v>
          </cell>
        </row>
        <row r="7425">
          <cell r="A7425" t="str">
            <v>RS</v>
          </cell>
          <cell r="B7425">
            <v>2008</v>
          </cell>
          <cell r="D7425" t="str">
            <v>MILHO</v>
          </cell>
          <cell r="E7425">
            <v>0</v>
          </cell>
        </row>
        <row r="7426">
          <cell r="A7426" t="str">
            <v>SC</v>
          </cell>
          <cell r="B7426">
            <v>2008</v>
          </cell>
          <cell r="D7426" t="str">
            <v>MILHO</v>
          </cell>
          <cell r="E7426">
            <v>5525.4840000000004</v>
          </cell>
        </row>
        <row r="7427">
          <cell r="A7427" t="str">
            <v>PR</v>
          </cell>
          <cell r="B7427">
            <v>2008</v>
          </cell>
          <cell r="D7427" t="str">
            <v>MILHO</v>
          </cell>
          <cell r="E7427">
            <v>0</v>
          </cell>
        </row>
        <row r="7428">
          <cell r="A7428" t="str">
            <v>SP</v>
          </cell>
          <cell r="B7428">
            <v>2008</v>
          </cell>
          <cell r="D7428" t="str">
            <v>MILHO</v>
          </cell>
          <cell r="E7428">
            <v>5044.66</v>
          </cell>
        </row>
        <row r="7429">
          <cell r="A7429" t="str">
            <v>PR</v>
          </cell>
          <cell r="B7429">
            <v>2008</v>
          </cell>
          <cell r="D7429" t="str">
            <v>MILHO</v>
          </cell>
          <cell r="E7429">
            <v>-3285.6570000000002</v>
          </cell>
        </row>
        <row r="7430">
          <cell r="A7430" t="str">
            <v>PR</v>
          </cell>
          <cell r="B7430">
            <v>2008</v>
          </cell>
          <cell r="D7430" t="str">
            <v>MILHO</v>
          </cell>
          <cell r="E7430">
            <v>6615.2950000000001</v>
          </cell>
        </row>
        <row r="7431">
          <cell r="A7431" t="str">
            <v>PR</v>
          </cell>
          <cell r="B7431">
            <v>2008</v>
          </cell>
          <cell r="D7431" t="str">
            <v>MILHO</v>
          </cell>
          <cell r="E7431">
            <v>5828.7510000000002</v>
          </cell>
        </row>
        <row r="7432">
          <cell r="A7432" t="str">
            <v>PR</v>
          </cell>
          <cell r="B7432">
            <v>2008</v>
          </cell>
          <cell r="D7432" t="str">
            <v>MILHO</v>
          </cell>
          <cell r="E7432">
            <v>0</v>
          </cell>
        </row>
        <row r="7433">
          <cell r="A7433" t="str">
            <v>PR</v>
          </cell>
          <cell r="B7433">
            <v>2008</v>
          </cell>
          <cell r="D7433" t="str">
            <v>MILHO</v>
          </cell>
          <cell r="E7433">
            <v>0</v>
          </cell>
        </row>
        <row r="7434">
          <cell r="A7434" t="str">
            <v>PR</v>
          </cell>
          <cell r="B7434">
            <v>2008</v>
          </cell>
          <cell r="D7434" t="str">
            <v>MILHO</v>
          </cell>
          <cell r="E7434">
            <v>1592.087</v>
          </cell>
        </row>
        <row r="7435">
          <cell r="A7435" t="str">
            <v>PR</v>
          </cell>
          <cell r="B7435">
            <v>2008</v>
          </cell>
          <cell r="D7435" t="str">
            <v>MILHO</v>
          </cell>
          <cell r="E7435">
            <v>88.436999999999998</v>
          </cell>
        </row>
        <row r="7436">
          <cell r="A7436" t="str">
            <v>PR</v>
          </cell>
          <cell r="B7436">
            <v>2008</v>
          </cell>
          <cell r="D7436" t="str">
            <v>MILHO</v>
          </cell>
          <cell r="E7436">
            <v>296.67200000000003</v>
          </cell>
        </row>
        <row r="7437">
          <cell r="A7437" t="str">
            <v>PR</v>
          </cell>
          <cell r="B7437">
            <v>2008</v>
          </cell>
          <cell r="D7437" t="str">
            <v>MILHO</v>
          </cell>
          <cell r="E7437">
            <v>646.60500000000002</v>
          </cell>
        </row>
        <row r="7438">
          <cell r="A7438" t="str">
            <v>PR</v>
          </cell>
          <cell r="B7438">
            <v>2008</v>
          </cell>
          <cell r="D7438" t="str">
            <v>MILHO</v>
          </cell>
          <cell r="E7438">
            <v>1203.0930000000001</v>
          </cell>
        </row>
        <row r="7439">
          <cell r="A7439" t="str">
            <v>PR</v>
          </cell>
          <cell r="B7439">
            <v>2008</v>
          </cell>
          <cell r="D7439" t="str">
            <v>MILHO</v>
          </cell>
          <cell r="E7439">
            <v>2594.665</v>
          </cell>
        </row>
        <row r="7440">
          <cell r="A7440" t="str">
            <v>PR</v>
          </cell>
          <cell r="B7440">
            <v>2008</v>
          </cell>
          <cell r="D7440" t="str">
            <v>MILHO</v>
          </cell>
          <cell r="E7440">
            <v>127.46</v>
          </cell>
        </row>
        <row r="7441">
          <cell r="A7441" t="str">
            <v>PR</v>
          </cell>
          <cell r="B7441">
            <v>2008</v>
          </cell>
          <cell r="D7441" t="str">
            <v>MILHO</v>
          </cell>
          <cell r="E7441">
            <v>497.40300000000002</v>
          </cell>
        </row>
        <row r="7442">
          <cell r="A7442" t="str">
            <v>PR</v>
          </cell>
          <cell r="B7442">
            <v>2008</v>
          </cell>
          <cell r="D7442" t="str">
            <v>MILHO</v>
          </cell>
          <cell r="E7442">
            <v>0</v>
          </cell>
        </row>
        <row r="7443">
          <cell r="A7443" t="str">
            <v>MT</v>
          </cell>
          <cell r="B7443">
            <v>2008</v>
          </cell>
          <cell r="D7443" t="str">
            <v>SOJA</v>
          </cell>
          <cell r="E7443">
            <v>98.26</v>
          </cell>
        </row>
        <row r="7444">
          <cell r="A7444" t="str">
            <v>MT</v>
          </cell>
          <cell r="B7444">
            <v>2008</v>
          </cell>
          <cell r="D7444" t="str">
            <v>SOJA</v>
          </cell>
          <cell r="E7444">
            <v>-98.26</v>
          </cell>
        </row>
        <row r="7445">
          <cell r="A7445" t="str">
            <v>MT</v>
          </cell>
          <cell r="B7445">
            <v>2008</v>
          </cell>
          <cell r="D7445" t="str">
            <v>SOJA</v>
          </cell>
          <cell r="E7445">
            <v>-391.339</v>
          </cell>
        </row>
        <row r="7446">
          <cell r="A7446" t="str">
            <v>MT</v>
          </cell>
          <cell r="B7446">
            <v>2008</v>
          </cell>
          <cell r="D7446" t="str">
            <v>SOJA</v>
          </cell>
          <cell r="E7446">
            <v>391.339</v>
          </cell>
        </row>
        <row r="7447">
          <cell r="A7447" t="str">
            <v>MT</v>
          </cell>
          <cell r="B7447">
            <v>2008</v>
          </cell>
          <cell r="D7447" t="str">
            <v>SOJA</v>
          </cell>
          <cell r="E7447">
            <v>-0.04</v>
          </cell>
        </row>
        <row r="7448">
          <cell r="A7448" t="str">
            <v>BA</v>
          </cell>
          <cell r="B7448">
            <v>2008</v>
          </cell>
          <cell r="D7448" t="str">
            <v>SOJA</v>
          </cell>
          <cell r="E7448">
            <v>841.76300000000003</v>
          </cell>
        </row>
        <row r="7449">
          <cell r="A7449" t="str">
            <v>BA</v>
          </cell>
          <cell r="B7449">
            <v>2008</v>
          </cell>
          <cell r="D7449" t="str">
            <v>SOJA</v>
          </cell>
          <cell r="E7449">
            <v>1610.769</v>
          </cell>
        </row>
        <row r="7450">
          <cell r="A7450" t="str">
            <v>BA</v>
          </cell>
          <cell r="B7450">
            <v>2008</v>
          </cell>
          <cell r="D7450" t="str">
            <v>SOJA</v>
          </cell>
          <cell r="E7450">
            <v>4967.93</v>
          </cell>
        </row>
        <row r="7451">
          <cell r="A7451" t="str">
            <v>BA</v>
          </cell>
          <cell r="B7451">
            <v>2008</v>
          </cell>
          <cell r="D7451" t="str">
            <v>SOJA</v>
          </cell>
          <cell r="E7451">
            <v>3758.761</v>
          </cell>
        </row>
        <row r="7452">
          <cell r="A7452" t="str">
            <v>BA</v>
          </cell>
          <cell r="B7452">
            <v>2008</v>
          </cell>
          <cell r="D7452" t="str">
            <v>SOJA</v>
          </cell>
          <cell r="E7452">
            <v>560.976</v>
          </cell>
        </row>
        <row r="7453">
          <cell r="A7453" t="str">
            <v>BA</v>
          </cell>
          <cell r="B7453">
            <v>2008</v>
          </cell>
          <cell r="D7453" t="str">
            <v>SOJA</v>
          </cell>
          <cell r="E7453">
            <v>-135.084</v>
          </cell>
        </row>
        <row r="7454">
          <cell r="A7454" t="str">
            <v>BA</v>
          </cell>
          <cell r="B7454">
            <v>2008</v>
          </cell>
          <cell r="D7454" t="str">
            <v>SOJA</v>
          </cell>
          <cell r="E7454">
            <v>3143.3580000000002</v>
          </cell>
        </row>
        <row r="7455">
          <cell r="A7455" t="str">
            <v>BA</v>
          </cell>
          <cell r="B7455">
            <v>2008</v>
          </cell>
          <cell r="D7455" t="str">
            <v>SOJA</v>
          </cell>
          <cell r="E7455">
            <v>1150.97</v>
          </cell>
        </row>
        <row r="7456">
          <cell r="A7456" t="str">
            <v>BA</v>
          </cell>
          <cell r="B7456">
            <v>2008</v>
          </cell>
          <cell r="D7456" t="str">
            <v>SOJA</v>
          </cell>
          <cell r="E7456">
            <v>11061.319</v>
          </cell>
        </row>
        <row r="7457">
          <cell r="A7457" t="str">
            <v>BA</v>
          </cell>
          <cell r="B7457">
            <v>2008</v>
          </cell>
          <cell r="D7457" t="str">
            <v>SOJA</v>
          </cell>
          <cell r="E7457">
            <v>337.565</v>
          </cell>
        </row>
        <row r="7458">
          <cell r="A7458" t="str">
            <v>BA</v>
          </cell>
          <cell r="B7458">
            <v>2008</v>
          </cell>
          <cell r="D7458" t="str">
            <v>SOJA</v>
          </cell>
          <cell r="E7458">
            <v>109.017</v>
          </cell>
        </row>
        <row r="7459">
          <cell r="A7459" t="str">
            <v>BA</v>
          </cell>
          <cell r="B7459">
            <v>2008</v>
          </cell>
          <cell r="D7459" t="str">
            <v>SOJA</v>
          </cell>
          <cell r="E7459">
            <v>-33.046999999999997</v>
          </cell>
        </row>
        <row r="7460">
          <cell r="A7460" t="str">
            <v>BA</v>
          </cell>
          <cell r="B7460">
            <v>2008</v>
          </cell>
          <cell r="D7460" t="str">
            <v>SOJA</v>
          </cell>
          <cell r="E7460">
            <v>-481.22300000000001</v>
          </cell>
        </row>
        <row r="7461">
          <cell r="A7461" t="str">
            <v>BA</v>
          </cell>
          <cell r="B7461">
            <v>2008</v>
          </cell>
          <cell r="D7461" t="str">
            <v>SOJA</v>
          </cell>
          <cell r="E7461">
            <v>985.62900000000002</v>
          </cell>
        </row>
        <row r="7462">
          <cell r="A7462" t="str">
            <v>TO</v>
          </cell>
          <cell r="B7462">
            <v>2008</v>
          </cell>
          <cell r="D7462" t="str">
            <v>SOJA</v>
          </cell>
          <cell r="E7462">
            <v>-22392.620999999999</v>
          </cell>
        </row>
        <row r="7463">
          <cell r="A7463" t="str">
            <v>MA</v>
          </cell>
          <cell r="B7463">
            <v>2008</v>
          </cell>
          <cell r="D7463" t="str">
            <v>SOJA</v>
          </cell>
          <cell r="E7463">
            <v>15877.864</v>
          </cell>
        </row>
        <row r="7464">
          <cell r="A7464" t="str">
            <v>TO</v>
          </cell>
          <cell r="B7464">
            <v>2008</v>
          </cell>
          <cell r="D7464" t="str">
            <v>SOJA</v>
          </cell>
          <cell r="E7464">
            <v>117.57899999999999</v>
          </cell>
        </row>
        <row r="7465">
          <cell r="A7465" t="str">
            <v>MA</v>
          </cell>
          <cell r="B7465">
            <v>2008</v>
          </cell>
          <cell r="D7465" t="str">
            <v>SOJA</v>
          </cell>
          <cell r="E7465">
            <v>3968.29</v>
          </cell>
        </row>
        <row r="7466">
          <cell r="A7466" t="str">
            <v>PA</v>
          </cell>
          <cell r="B7466">
            <v>2008</v>
          </cell>
          <cell r="D7466" t="str">
            <v>SOJA</v>
          </cell>
          <cell r="E7466">
            <v>-1062.905</v>
          </cell>
        </row>
        <row r="7467">
          <cell r="A7467" t="str">
            <v>MA</v>
          </cell>
          <cell r="B7467">
            <v>2008</v>
          </cell>
          <cell r="D7467" t="str">
            <v>SOJA</v>
          </cell>
          <cell r="E7467">
            <v>-478.584</v>
          </cell>
        </row>
        <row r="7468">
          <cell r="A7468" t="str">
            <v>MA</v>
          </cell>
          <cell r="B7468">
            <v>2008</v>
          </cell>
          <cell r="D7468" t="str">
            <v>SOJA</v>
          </cell>
          <cell r="E7468">
            <v>468.84100000000001</v>
          </cell>
        </row>
        <row r="7469">
          <cell r="A7469" t="str">
            <v>TO</v>
          </cell>
          <cell r="B7469">
            <v>2008</v>
          </cell>
          <cell r="D7469" t="str">
            <v>SOJA</v>
          </cell>
          <cell r="E7469">
            <v>-266.74099999999999</v>
          </cell>
        </row>
        <row r="7470">
          <cell r="A7470" t="str">
            <v>MA</v>
          </cell>
          <cell r="B7470">
            <v>2008</v>
          </cell>
          <cell r="D7470" t="str">
            <v>SOJA</v>
          </cell>
          <cell r="E7470">
            <v>19660.577000000001</v>
          </cell>
        </row>
        <row r="7471">
          <cell r="A7471" t="str">
            <v>MA</v>
          </cell>
          <cell r="B7471">
            <v>2008</v>
          </cell>
          <cell r="D7471" t="str">
            <v>SOJA</v>
          </cell>
          <cell r="E7471">
            <v>11.929</v>
          </cell>
        </row>
        <row r="7472">
          <cell r="A7472" t="str">
            <v>TO</v>
          </cell>
          <cell r="B7472">
            <v>2008</v>
          </cell>
          <cell r="D7472" t="str">
            <v>SOJA</v>
          </cell>
          <cell r="E7472">
            <v>484.71600000000001</v>
          </cell>
        </row>
        <row r="7473">
          <cell r="A7473" t="str">
            <v>MA</v>
          </cell>
          <cell r="B7473">
            <v>2008</v>
          </cell>
          <cell r="D7473" t="str">
            <v>SOJA</v>
          </cell>
          <cell r="E7473">
            <v>565.44100000000003</v>
          </cell>
        </row>
        <row r="7474">
          <cell r="A7474" t="str">
            <v>TO</v>
          </cell>
          <cell r="B7474">
            <v>2008</v>
          </cell>
          <cell r="D7474" t="str">
            <v>SOJA</v>
          </cell>
          <cell r="E7474">
            <v>508.21600000000001</v>
          </cell>
        </row>
        <row r="7475">
          <cell r="A7475" t="str">
            <v>PI</v>
          </cell>
          <cell r="B7475">
            <v>2008</v>
          </cell>
          <cell r="D7475" t="str">
            <v>SOJA</v>
          </cell>
          <cell r="E7475">
            <v>1962.5809999999999</v>
          </cell>
        </row>
        <row r="7476">
          <cell r="A7476" t="str">
            <v>PI</v>
          </cell>
          <cell r="B7476">
            <v>2008</v>
          </cell>
          <cell r="D7476" t="str">
            <v>SOJA</v>
          </cell>
          <cell r="E7476">
            <v>3155.598</v>
          </cell>
        </row>
        <row r="7477">
          <cell r="A7477" t="str">
            <v>PI</v>
          </cell>
          <cell r="B7477">
            <v>2008</v>
          </cell>
          <cell r="D7477" t="str">
            <v>SOJA</v>
          </cell>
          <cell r="E7477">
            <v>1045.8710000000001</v>
          </cell>
        </row>
        <row r="7478">
          <cell r="A7478" t="str">
            <v>PI</v>
          </cell>
          <cell r="B7478">
            <v>2008</v>
          </cell>
          <cell r="D7478" t="str">
            <v>SOJA</v>
          </cell>
          <cell r="E7478">
            <v>692.428</v>
          </cell>
        </row>
        <row r="7479">
          <cell r="A7479" t="str">
            <v>GO</v>
          </cell>
          <cell r="B7479">
            <v>2008</v>
          </cell>
          <cell r="D7479" t="str">
            <v>SOJA</v>
          </cell>
          <cell r="E7479">
            <v>9386.1810000000005</v>
          </cell>
        </row>
        <row r="7480">
          <cell r="A7480" t="str">
            <v>GO</v>
          </cell>
          <cell r="B7480">
            <v>2008</v>
          </cell>
          <cell r="D7480" t="str">
            <v>SOJA</v>
          </cell>
          <cell r="E7480">
            <v>0</v>
          </cell>
        </row>
        <row r="7481">
          <cell r="A7481" t="str">
            <v>MG</v>
          </cell>
          <cell r="B7481">
            <v>2008</v>
          </cell>
          <cell r="D7481" t="str">
            <v>SOJA</v>
          </cell>
          <cell r="E7481">
            <v>1522.104</v>
          </cell>
        </row>
        <row r="7482">
          <cell r="A7482" t="str">
            <v>GO</v>
          </cell>
          <cell r="B7482">
            <v>2008</v>
          </cell>
          <cell r="D7482" t="str">
            <v>SOJA</v>
          </cell>
          <cell r="E7482">
            <v>464.43200000000002</v>
          </cell>
        </row>
        <row r="7483">
          <cell r="A7483" t="str">
            <v>GO</v>
          </cell>
          <cell r="B7483">
            <v>2008</v>
          </cell>
          <cell r="D7483" t="str">
            <v>SOJA</v>
          </cell>
          <cell r="E7483">
            <v>-1387.46</v>
          </cell>
        </row>
        <row r="7484">
          <cell r="A7484" t="str">
            <v>GO</v>
          </cell>
          <cell r="B7484">
            <v>2008</v>
          </cell>
          <cell r="D7484" t="str">
            <v>SOJA</v>
          </cell>
          <cell r="E7484">
            <v>4307.7510000000002</v>
          </cell>
        </row>
        <row r="7485">
          <cell r="A7485" t="str">
            <v>GO</v>
          </cell>
          <cell r="B7485">
            <v>2008</v>
          </cell>
          <cell r="D7485" t="str">
            <v>SOJA</v>
          </cell>
          <cell r="E7485">
            <v>-9405.8209999999999</v>
          </cell>
        </row>
        <row r="7486">
          <cell r="A7486" t="str">
            <v>MG</v>
          </cell>
          <cell r="B7486">
            <v>2008</v>
          </cell>
          <cell r="D7486" t="str">
            <v>SOJA</v>
          </cell>
          <cell r="E7486">
            <v>-19.684000000000001</v>
          </cell>
        </row>
        <row r="7487">
          <cell r="A7487" t="str">
            <v>MG</v>
          </cell>
          <cell r="B7487">
            <v>2008</v>
          </cell>
          <cell r="D7487" t="str">
            <v>SOJA</v>
          </cell>
          <cell r="E7487">
            <v>2169.0439999999999</v>
          </cell>
        </row>
        <row r="7488">
          <cell r="A7488" t="str">
            <v>GO</v>
          </cell>
          <cell r="B7488">
            <v>2008</v>
          </cell>
          <cell r="D7488" t="str">
            <v>SOJA</v>
          </cell>
          <cell r="E7488">
            <v>1158.67</v>
          </cell>
        </row>
        <row r="7489">
          <cell r="A7489" t="str">
            <v>GO</v>
          </cell>
          <cell r="B7489">
            <v>2008</v>
          </cell>
          <cell r="D7489" t="str">
            <v>SOJA</v>
          </cell>
          <cell r="E7489">
            <v>0</v>
          </cell>
        </row>
        <row r="7490">
          <cell r="A7490" t="str">
            <v>GO</v>
          </cell>
          <cell r="B7490">
            <v>2008</v>
          </cell>
          <cell r="D7490" t="str">
            <v>SOJA</v>
          </cell>
          <cell r="E7490">
            <v>0</v>
          </cell>
        </row>
        <row r="7491">
          <cell r="A7491" t="str">
            <v>MT</v>
          </cell>
          <cell r="B7491">
            <v>2008</v>
          </cell>
          <cell r="D7491" t="str">
            <v>SOJA</v>
          </cell>
          <cell r="E7491">
            <v>0</v>
          </cell>
        </row>
        <row r="7492">
          <cell r="A7492" t="str">
            <v>GO</v>
          </cell>
          <cell r="B7492">
            <v>2008</v>
          </cell>
          <cell r="D7492" t="str">
            <v>SOJA</v>
          </cell>
          <cell r="E7492">
            <v>2108.1979999999999</v>
          </cell>
        </row>
        <row r="7493">
          <cell r="A7493" t="str">
            <v>GO</v>
          </cell>
          <cell r="B7493">
            <v>2008</v>
          </cell>
          <cell r="D7493" t="str">
            <v>SOJA</v>
          </cell>
          <cell r="E7493">
            <v>-0.41</v>
          </cell>
        </row>
        <row r="7494">
          <cell r="A7494" t="str">
            <v>MS</v>
          </cell>
          <cell r="B7494">
            <v>2008</v>
          </cell>
          <cell r="D7494" t="str">
            <v>SOJA</v>
          </cell>
          <cell r="E7494">
            <v>709.42100000000005</v>
          </cell>
        </row>
        <row r="7495">
          <cell r="A7495" t="str">
            <v>GO</v>
          </cell>
          <cell r="B7495">
            <v>2008</v>
          </cell>
          <cell r="D7495" t="str">
            <v>SOJA</v>
          </cell>
          <cell r="E7495">
            <v>6502.0640000000003</v>
          </cell>
        </row>
        <row r="7496">
          <cell r="A7496" t="str">
            <v>GO</v>
          </cell>
          <cell r="B7496">
            <v>2008</v>
          </cell>
          <cell r="D7496" t="str">
            <v>SOJA</v>
          </cell>
          <cell r="E7496">
            <v>-8118.6869999999999</v>
          </cell>
        </row>
        <row r="7497">
          <cell r="A7497" t="str">
            <v>MT</v>
          </cell>
          <cell r="B7497">
            <v>2008</v>
          </cell>
          <cell r="D7497" t="str">
            <v>SOJA</v>
          </cell>
          <cell r="E7497">
            <v>94.807000000000002</v>
          </cell>
        </row>
        <row r="7498">
          <cell r="A7498" t="str">
            <v>MT</v>
          </cell>
          <cell r="B7498">
            <v>2008</v>
          </cell>
          <cell r="D7498" t="str">
            <v>SOJA</v>
          </cell>
          <cell r="E7498">
            <v>310.64800000000002</v>
          </cell>
        </row>
        <row r="7499">
          <cell r="A7499" t="str">
            <v>MT</v>
          </cell>
          <cell r="B7499">
            <v>2008</v>
          </cell>
          <cell r="D7499" t="str">
            <v>SOJA</v>
          </cell>
          <cell r="E7499">
            <v>1034.356</v>
          </cell>
        </row>
        <row r="7500">
          <cell r="A7500" t="str">
            <v>MT</v>
          </cell>
          <cell r="B7500">
            <v>2008</v>
          </cell>
          <cell r="D7500" t="str">
            <v>SOJA</v>
          </cell>
          <cell r="E7500">
            <v>804.45699999999999</v>
          </cell>
        </row>
        <row r="7501">
          <cell r="A7501" t="str">
            <v>MT</v>
          </cell>
          <cell r="B7501">
            <v>2008</v>
          </cell>
          <cell r="D7501" t="str">
            <v>SOJA</v>
          </cell>
          <cell r="E7501">
            <v>-3372.57</v>
          </cell>
        </row>
        <row r="7502">
          <cell r="A7502" t="str">
            <v>MT</v>
          </cell>
          <cell r="B7502">
            <v>2008</v>
          </cell>
          <cell r="D7502" t="str">
            <v>SOJA</v>
          </cell>
          <cell r="E7502">
            <v>3359.0619999999999</v>
          </cell>
        </row>
        <row r="7503">
          <cell r="A7503" t="str">
            <v>MT</v>
          </cell>
          <cell r="B7503">
            <v>2008</v>
          </cell>
          <cell r="D7503" t="str">
            <v>SOJA</v>
          </cell>
          <cell r="E7503">
            <v>-1857.7239999999999</v>
          </cell>
        </row>
        <row r="7504">
          <cell r="A7504" t="str">
            <v>MT</v>
          </cell>
          <cell r="B7504">
            <v>2008</v>
          </cell>
          <cell r="D7504" t="str">
            <v>SOJA</v>
          </cell>
          <cell r="E7504">
            <v>1784.6980000000001</v>
          </cell>
        </row>
        <row r="7505">
          <cell r="A7505" t="str">
            <v>MT</v>
          </cell>
          <cell r="B7505">
            <v>2008</v>
          </cell>
          <cell r="D7505" t="str">
            <v>SOJA</v>
          </cell>
          <cell r="E7505">
            <v>25.574999999999999</v>
          </cell>
        </row>
        <row r="7506">
          <cell r="A7506" t="str">
            <v>MS</v>
          </cell>
          <cell r="B7506">
            <v>2008</v>
          </cell>
          <cell r="D7506" t="str">
            <v>SOJA</v>
          </cell>
          <cell r="E7506">
            <v>0</v>
          </cell>
        </row>
        <row r="7507">
          <cell r="A7507" t="str">
            <v>MS</v>
          </cell>
          <cell r="B7507">
            <v>2008</v>
          </cell>
          <cell r="D7507" t="str">
            <v>SOJA</v>
          </cell>
          <cell r="E7507">
            <v>2478.2719999999999</v>
          </cell>
        </row>
        <row r="7508">
          <cell r="A7508" t="str">
            <v>MS</v>
          </cell>
          <cell r="B7508">
            <v>2008</v>
          </cell>
          <cell r="D7508" t="str">
            <v>SOJA</v>
          </cell>
          <cell r="E7508">
            <v>0</v>
          </cell>
        </row>
        <row r="7509">
          <cell r="A7509" t="str">
            <v>MS</v>
          </cell>
          <cell r="B7509">
            <v>2008</v>
          </cell>
          <cell r="D7509" t="str">
            <v>SOJA</v>
          </cell>
          <cell r="E7509">
            <v>44.97</v>
          </cell>
        </row>
        <row r="7510">
          <cell r="A7510" t="str">
            <v>MS</v>
          </cell>
          <cell r="B7510">
            <v>2008</v>
          </cell>
          <cell r="D7510" t="str">
            <v>SOJA</v>
          </cell>
          <cell r="E7510">
            <v>0</v>
          </cell>
        </row>
        <row r="7511">
          <cell r="A7511" t="str">
            <v>MS</v>
          </cell>
          <cell r="B7511">
            <v>2008</v>
          </cell>
          <cell r="D7511" t="str">
            <v>SOJA</v>
          </cell>
          <cell r="E7511">
            <v>0</v>
          </cell>
        </row>
        <row r="7512">
          <cell r="A7512" t="str">
            <v>MT</v>
          </cell>
          <cell r="B7512">
            <v>2008</v>
          </cell>
          <cell r="D7512" t="str">
            <v>SOJA</v>
          </cell>
          <cell r="E7512">
            <v>18473.977999999999</v>
          </cell>
        </row>
        <row r="7513">
          <cell r="A7513" t="str">
            <v>MT</v>
          </cell>
          <cell r="B7513">
            <v>2008</v>
          </cell>
          <cell r="D7513" t="str">
            <v>SOJA</v>
          </cell>
          <cell r="E7513">
            <v>971.13900000000001</v>
          </cell>
        </row>
        <row r="7514">
          <cell r="A7514" t="str">
            <v>MT</v>
          </cell>
          <cell r="B7514">
            <v>2008</v>
          </cell>
          <cell r="D7514" t="str">
            <v>SOJA</v>
          </cell>
          <cell r="E7514">
            <v>-49.503</v>
          </cell>
        </row>
        <row r="7515">
          <cell r="A7515" t="str">
            <v>MT</v>
          </cell>
          <cell r="B7515">
            <v>2008</v>
          </cell>
          <cell r="D7515" t="str">
            <v>SOJA</v>
          </cell>
          <cell r="E7515">
            <v>-6088.6719999999996</v>
          </cell>
        </row>
        <row r="7516">
          <cell r="A7516" t="str">
            <v>MT</v>
          </cell>
          <cell r="B7516">
            <v>2008</v>
          </cell>
          <cell r="D7516" t="str">
            <v>SOJA</v>
          </cell>
          <cell r="E7516">
            <v>74.209999999999994</v>
          </cell>
        </row>
        <row r="7517">
          <cell r="A7517" t="str">
            <v>MT</v>
          </cell>
          <cell r="B7517">
            <v>2008</v>
          </cell>
          <cell r="D7517" t="str">
            <v>SOJA</v>
          </cell>
          <cell r="E7517">
            <v>0</v>
          </cell>
        </row>
        <row r="7518">
          <cell r="A7518" t="str">
            <v>MT</v>
          </cell>
          <cell r="B7518">
            <v>2008</v>
          </cell>
          <cell r="D7518" t="str">
            <v>SOJA</v>
          </cell>
          <cell r="E7518">
            <v>0</v>
          </cell>
        </row>
        <row r="7519">
          <cell r="A7519" t="str">
            <v>MT</v>
          </cell>
          <cell r="B7519">
            <v>2008</v>
          </cell>
          <cell r="D7519" t="str">
            <v>SOJA</v>
          </cell>
          <cell r="E7519">
            <v>0</v>
          </cell>
        </row>
        <row r="7520">
          <cell r="A7520" t="str">
            <v>MT</v>
          </cell>
          <cell r="B7520">
            <v>2008</v>
          </cell>
          <cell r="D7520" t="str">
            <v>SOJA</v>
          </cell>
          <cell r="E7520">
            <v>0</v>
          </cell>
        </row>
        <row r="7521">
          <cell r="A7521" t="str">
            <v>MT</v>
          </cell>
          <cell r="B7521">
            <v>2008</v>
          </cell>
          <cell r="D7521" t="str">
            <v>SOJA</v>
          </cell>
          <cell r="E7521">
            <v>0</v>
          </cell>
        </row>
        <row r="7522">
          <cell r="A7522" t="str">
            <v>MT</v>
          </cell>
          <cell r="B7522">
            <v>2008</v>
          </cell>
          <cell r="D7522" t="str">
            <v>SOJA</v>
          </cell>
          <cell r="E7522">
            <v>-86.305000000000007</v>
          </cell>
        </row>
        <row r="7523">
          <cell r="A7523" t="str">
            <v>MT</v>
          </cell>
          <cell r="B7523">
            <v>2008</v>
          </cell>
          <cell r="D7523" t="str">
            <v>SOJA</v>
          </cell>
          <cell r="E7523">
            <v>252.17</v>
          </cell>
        </row>
        <row r="7524">
          <cell r="A7524" t="str">
            <v>MT</v>
          </cell>
          <cell r="B7524">
            <v>2008</v>
          </cell>
          <cell r="D7524" t="str">
            <v>SOJA</v>
          </cell>
          <cell r="E7524">
            <v>287.26799999999997</v>
          </cell>
        </row>
        <row r="7525">
          <cell r="A7525" t="str">
            <v>MT</v>
          </cell>
          <cell r="B7525">
            <v>2008</v>
          </cell>
          <cell r="D7525" t="str">
            <v>SOJA</v>
          </cell>
          <cell r="E7525">
            <v>3667.306</v>
          </cell>
        </row>
        <row r="7526">
          <cell r="A7526" t="str">
            <v>MT</v>
          </cell>
          <cell r="B7526">
            <v>2008</v>
          </cell>
          <cell r="D7526" t="str">
            <v>SOJA</v>
          </cell>
          <cell r="E7526">
            <v>307.38400000000001</v>
          </cell>
        </row>
        <row r="7527">
          <cell r="A7527" t="str">
            <v>MT</v>
          </cell>
          <cell r="B7527">
            <v>2008</v>
          </cell>
          <cell r="D7527" t="str">
            <v>SOJA</v>
          </cell>
          <cell r="E7527">
            <v>543.11500000000001</v>
          </cell>
        </row>
        <row r="7528">
          <cell r="A7528" t="str">
            <v>MT</v>
          </cell>
          <cell r="B7528">
            <v>2008</v>
          </cell>
          <cell r="D7528" t="str">
            <v>SOJA</v>
          </cell>
          <cell r="E7528">
            <v>554.97400000000005</v>
          </cell>
        </row>
        <row r="7529">
          <cell r="A7529" t="str">
            <v>MT</v>
          </cell>
          <cell r="B7529">
            <v>2008</v>
          </cell>
          <cell r="D7529" t="str">
            <v>SOJA</v>
          </cell>
          <cell r="E7529">
            <v>-15.391</v>
          </cell>
        </row>
        <row r="7530">
          <cell r="A7530" t="str">
            <v>MT</v>
          </cell>
          <cell r="B7530">
            <v>2008</v>
          </cell>
          <cell r="D7530" t="str">
            <v>SOJA</v>
          </cell>
          <cell r="E7530">
            <v>817.625</v>
          </cell>
        </row>
        <row r="7531">
          <cell r="A7531" t="str">
            <v>MT</v>
          </cell>
          <cell r="B7531">
            <v>2008</v>
          </cell>
          <cell r="D7531" t="str">
            <v>SOJA</v>
          </cell>
          <cell r="E7531">
            <v>-360</v>
          </cell>
        </row>
        <row r="7532">
          <cell r="A7532" t="str">
            <v>MT</v>
          </cell>
          <cell r="B7532">
            <v>2008</v>
          </cell>
          <cell r="D7532" t="str">
            <v>SOJA</v>
          </cell>
          <cell r="E7532">
            <v>985.47799999999995</v>
          </cell>
        </row>
        <row r="7533">
          <cell r="A7533" t="str">
            <v>MT</v>
          </cell>
          <cell r="B7533">
            <v>2008</v>
          </cell>
          <cell r="D7533" t="str">
            <v>SOJA</v>
          </cell>
          <cell r="E7533">
            <v>0</v>
          </cell>
        </row>
        <row r="7534">
          <cell r="A7534" t="str">
            <v>MT</v>
          </cell>
          <cell r="B7534">
            <v>2008</v>
          </cell>
          <cell r="D7534" t="str">
            <v>SOJA</v>
          </cell>
          <cell r="E7534">
            <v>14.41</v>
          </cell>
        </row>
        <row r="7535">
          <cell r="A7535" t="str">
            <v>MT</v>
          </cell>
          <cell r="B7535">
            <v>2008</v>
          </cell>
          <cell r="D7535" t="str">
            <v>SOJA</v>
          </cell>
          <cell r="E7535">
            <v>262.65300000000002</v>
          </cell>
        </row>
        <row r="7536">
          <cell r="A7536" t="str">
            <v>MT</v>
          </cell>
          <cell r="B7536">
            <v>2008</v>
          </cell>
          <cell r="D7536" t="str">
            <v>SOJA</v>
          </cell>
          <cell r="E7536">
            <v>68.680000000000007</v>
          </cell>
        </row>
        <row r="7537">
          <cell r="A7537" t="str">
            <v>RS</v>
          </cell>
          <cell r="B7537">
            <v>2008</v>
          </cell>
          <cell r="D7537" t="str">
            <v>SOJA</v>
          </cell>
          <cell r="E7537">
            <v>1748.7829999999999</v>
          </cell>
        </row>
        <row r="7538">
          <cell r="A7538" t="str">
            <v>RS</v>
          </cell>
          <cell r="B7538">
            <v>2008</v>
          </cell>
          <cell r="D7538" t="str">
            <v>SOJA</v>
          </cell>
          <cell r="E7538">
            <v>11110.591</v>
          </cell>
        </row>
        <row r="7539">
          <cell r="A7539" t="str">
            <v>RS</v>
          </cell>
          <cell r="B7539">
            <v>2008</v>
          </cell>
          <cell r="D7539" t="str">
            <v>SOJA</v>
          </cell>
          <cell r="E7539">
            <v>10207.504000000001</v>
          </cell>
        </row>
        <row r="7540">
          <cell r="A7540" t="str">
            <v>RS</v>
          </cell>
          <cell r="B7540">
            <v>2008</v>
          </cell>
          <cell r="D7540" t="str">
            <v>SOJA</v>
          </cell>
          <cell r="E7540">
            <v>785.32500000000005</v>
          </cell>
        </row>
        <row r="7541">
          <cell r="A7541" t="str">
            <v>RS</v>
          </cell>
          <cell r="B7541">
            <v>2008</v>
          </cell>
          <cell r="D7541" t="str">
            <v>SOJA</v>
          </cell>
          <cell r="E7541">
            <v>1597.384</v>
          </cell>
        </row>
        <row r="7542">
          <cell r="A7542" t="str">
            <v>RS</v>
          </cell>
          <cell r="B7542">
            <v>2008</v>
          </cell>
          <cell r="D7542" t="str">
            <v>SOJA</v>
          </cell>
          <cell r="E7542">
            <v>15097.514999999999</v>
          </cell>
        </row>
        <row r="7543">
          <cell r="A7543" t="str">
            <v>RS</v>
          </cell>
          <cell r="B7543">
            <v>2008</v>
          </cell>
          <cell r="D7543" t="str">
            <v>SOJA</v>
          </cell>
          <cell r="E7543">
            <v>76.05</v>
          </cell>
        </row>
        <row r="7544">
          <cell r="A7544" t="str">
            <v>RS</v>
          </cell>
          <cell r="B7544">
            <v>2008</v>
          </cell>
          <cell r="D7544" t="str">
            <v>SOJA</v>
          </cell>
          <cell r="E7544">
            <v>14604.439</v>
          </cell>
        </row>
        <row r="7545">
          <cell r="A7545" t="str">
            <v>RS</v>
          </cell>
          <cell r="B7545">
            <v>2008</v>
          </cell>
          <cell r="D7545" t="str">
            <v>SOJA</v>
          </cell>
          <cell r="E7545">
            <v>9097.473</v>
          </cell>
        </row>
        <row r="7546">
          <cell r="A7546" t="str">
            <v>RS</v>
          </cell>
          <cell r="B7546">
            <v>2008</v>
          </cell>
          <cell r="D7546" t="str">
            <v>SOJA</v>
          </cell>
          <cell r="E7546">
            <v>-493.40600000000001</v>
          </cell>
        </row>
        <row r="7547">
          <cell r="A7547" t="str">
            <v>RS</v>
          </cell>
          <cell r="B7547">
            <v>2008</v>
          </cell>
          <cell r="D7547" t="str">
            <v>SOJA</v>
          </cell>
          <cell r="E7547">
            <v>3537.3009999999999</v>
          </cell>
        </row>
        <row r="7548">
          <cell r="A7548" t="str">
            <v>RS</v>
          </cell>
          <cell r="B7548">
            <v>2008</v>
          </cell>
          <cell r="D7548" t="str">
            <v>SOJA</v>
          </cell>
          <cell r="E7548">
            <v>128.941</v>
          </cell>
        </row>
        <row r="7549">
          <cell r="A7549" t="str">
            <v>RS</v>
          </cell>
          <cell r="B7549">
            <v>2008</v>
          </cell>
          <cell r="D7549" t="str">
            <v>SOJA</v>
          </cell>
          <cell r="E7549">
            <v>14502.138000000001</v>
          </cell>
        </row>
        <row r="7550">
          <cell r="A7550" t="str">
            <v>SC</v>
          </cell>
          <cell r="B7550">
            <v>2008</v>
          </cell>
          <cell r="D7550" t="str">
            <v>SOJA</v>
          </cell>
          <cell r="E7550">
            <v>28715.491999999998</v>
          </cell>
        </row>
        <row r="7551">
          <cell r="A7551" t="str">
            <v>PR</v>
          </cell>
          <cell r="B7551">
            <v>2008</v>
          </cell>
          <cell r="D7551" t="str">
            <v>SOJA</v>
          </cell>
          <cell r="E7551">
            <v>877.11099999999999</v>
          </cell>
        </row>
        <row r="7552">
          <cell r="A7552" t="str">
            <v>SP</v>
          </cell>
          <cell r="B7552">
            <v>2008</v>
          </cell>
          <cell r="D7552" t="str">
            <v>SOJA</v>
          </cell>
          <cell r="E7552">
            <v>4927.9629999999997</v>
          </cell>
        </row>
        <row r="7553">
          <cell r="A7553" t="str">
            <v>PR</v>
          </cell>
          <cell r="B7553">
            <v>2008</v>
          </cell>
          <cell r="D7553" t="str">
            <v>SOJA</v>
          </cell>
          <cell r="E7553">
            <v>0</v>
          </cell>
        </row>
        <row r="7554">
          <cell r="A7554" t="str">
            <v>PR</v>
          </cell>
          <cell r="B7554">
            <v>2008</v>
          </cell>
          <cell r="D7554" t="str">
            <v>SOJA</v>
          </cell>
          <cell r="E7554">
            <v>16400.330000000002</v>
          </cell>
        </row>
        <row r="7555">
          <cell r="A7555" t="str">
            <v>PR</v>
          </cell>
          <cell r="B7555">
            <v>2008</v>
          </cell>
          <cell r="D7555" t="str">
            <v>SOJA</v>
          </cell>
          <cell r="E7555">
            <v>3082.31</v>
          </cell>
        </row>
        <row r="7556">
          <cell r="A7556" t="str">
            <v>PR</v>
          </cell>
          <cell r="B7556">
            <v>2008</v>
          </cell>
          <cell r="D7556" t="str">
            <v>SOJA</v>
          </cell>
          <cell r="E7556">
            <v>83.792000000000002</v>
          </cell>
        </row>
        <row r="7557">
          <cell r="A7557" t="str">
            <v>PR</v>
          </cell>
          <cell r="B7557">
            <v>2008</v>
          </cell>
          <cell r="D7557" t="str">
            <v>SOJA</v>
          </cell>
          <cell r="E7557">
            <v>109.741</v>
          </cell>
        </row>
        <row r="7558">
          <cell r="A7558" t="str">
            <v>PR</v>
          </cell>
          <cell r="B7558">
            <v>2008</v>
          </cell>
          <cell r="D7558" t="str">
            <v>SOJA</v>
          </cell>
          <cell r="E7558">
            <v>2198.4499999999998</v>
          </cell>
        </row>
        <row r="7559">
          <cell r="A7559" t="str">
            <v>PR</v>
          </cell>
          <cell r="B7559">
            <v>2008</v>
          </cell>
          <cell r="D7559" t="str">
            <v>SOJA</v>
          </cell>
          <cell r="E7559">
            <v>173.40299999999999</v>
          </cell>
        </row>
        <row r="7560">
          <cell r="A7560" t="str">
            <v>PR</v>
          </cell>
          <cell r="B7560">
            <v>2008</v>
          </cell>
          <cell r="D7560" t="str">
            <v>SOJA</v>
          </cell>
          <cell r="E7560">
            <v>12166.453</v>
          </cell>
        </row>
        <row r="7561">
          <cell r="A7561" t="str">
            <v>PR</v>
          </cell>
          <cell r="B7561">
            <v>2008</v>
          </cell>
          <cell r="D7561" t="str">
            <v>SOJA</v>
          </cell>
          <cell r="E7561">
            <v>109.453</v>
          </cell>
        </row>
        <row r="7562">
          <cell r="A7562" t="str">
            <v>PR</v>
          </cell>
          <cell r="B7562">
            <v>2008</v>
          </cell>
          <cell r="D7562" t="str">
            <v>SOJA</v>
          </cell>
          <cell r="E7562">
            <v>195.273</v>
          </cell>
        </row>
        <row r="7563">
          <cell r="A7563" t="str">
            <v>PR</v>
          </cell>
          <cell r="B7563">
            <v>2008</v>
          </cell>
          <cell r="D7563" t="str">
            <v>SOJA</v>
          </cell>
          <cell r="E7563">
            <v>94.73</v>
          </cell>
        </row>
        <row r="7564">
          <cell r="A7564" t="str">
            <v>PR</v>
          </cell>
          <cell r="B7564">
            <v>2008</v>
          </cell>
          <cell r="D7564" t="str">
            <v>SOJA</v>
          </cell>
          <cell r="E7564">
            <v>18236.523000000001</v>
          </cell>
        </row>
        <row r="7565">
          <cell r="A7565" t="str">
            <v>PR</v>
          </cell>
          <cell r="B7565">
            <v>2008</v>
          </cell>
          <cell r="D7565" t="str">
            <v>SOJA</v>
          </cell>
          <cell r="E7565">
            <v>7031.9520000000002</v>
          </cell>
        </row>
        <row r="7566">
          <cell r="A7566" t="str">
            <v>PR</v>
          </cell>
          <cell r="B7566">
            <v>2008</v>
          </cell>
          <cell r="D7566" t="str">
            <v>SOJA</v>
          </cell>
          <cell r="E7566">
            <v>64.405000000000001</v>
          </cell>
        </row>
        <row r="7567">
          <cell r="A7567" t="str">
            <v>PR</v>
          </cell>
          <cell r="B7567">
            <v>2008</v>
          </cell>
          <cell r="D7567" t="str">
            <v>SOJA</v>
          </cell>
          <cell r="E7567">
            <v>1045.1220000000001</v>
          </cell>
        </row>
        <row r="7568">
          <cell r="A7568" t="str">
            <v>PR</v>
          </cell>
          <cell r="B7568">
            <v>2008</v>
          </cell>
          <cell r="D7568" t="str">
            <v>SOJA</v>
          </cell>
          <cell r="E7568">
            <v>10147.508</v>
          </cell>
        </row>
        <row r="7569">
          <cell r="A7569" t="str">
            <v>MT</v>
          </cell>
          <cell r="B7569">
            <v>2008</v>
          </cell>
          <cell r="D7569" t="str">
            <v>MILHO</v>
          </cell>
          <cell r="E7569">
            <v>-261.666</v>
          </cell>
        </row>
        <row r="7570">
          <cell r="A7570" t="str">
            <v>SC</v>
          </cell>
          <cell r="B7570">
            <v>2008</v>
          </cell>
          <cell r="D7570" t="str">
            <v>MILHO</v>
          </cell>
          <cell r="E7570">
            <v>188.934</v>
          </cell>
        </row>
        <row r="7571">
          <cell r="A7571" t="str">
            <v>PR</v>
          </cell>
          <cell r="B7571">
            <v>2008</v>
          </cell>
          <cell r="D7571" t="str">
            <v>MILHO</v>
          </cell>
          <cell r="E7571">
            <v>-188.934</v>
          </cell>
        </row>
        <row r="7572">
          <cell r="A7572" t="str">
            <v>BA</v>
          </cell>
          <cell r="B7572">
            <v>2008</v>
          </cell>
          <cell r="D7572" t="str">
            <v>MILHO</v>
          </cell>
          <cell r="E7572">
            <v>74.634</v>
          </cell>
        </row>
        <row r="7573">
          <cell r="A7573" t="str">
            <v>BA</v>
          </cell>
          <cell r="B7573">
            <v>2008</v>
          </cell>
          <cell r="D7573" t="str">
            <v>MILHO</v>
          </cell>
          <cell r="E7573">
            <v>-69.287000000000006</v>
          </cell>
        </row>
        <row r="7574">
          <cell r="A7574" t="str">
            <v>BA</v>
          </cell>
          <cell r="B7574">
            <v>2008</v>
          </cell>
          <cell r="D7574" t="str">
            <v>MILHO</v>
          </cell>
          <cell r="E7574">
            <v>564.78</v>
          </cell>
        </row>
        <row r="7575">
          <cell r="A7575" t="str">
            <v>BA</v>
          </cell>
          <cell r="B7575">
            <v>2008</v>
          </cell>
          <cell r="D7575" t="str">
            <v>MILHO</v>
          </cell>
          <cell r="E7575">
            <v>534.37900000000002</v>
          </cell>
        </row>
        <row r="7576">
          <cell r="A7576" t="str">
            <v>BA</v>
          </cell>
          <cell r="B7576">
            <v>2008</v>
          </cell>
          <cell r="D7576" t="str">
            <v>MILHO</v>
          </cell>
          <cell r="E7576">
            <v>0</v>
          </cell>
        </row>
        <row r="7577">
          <cell r="A7577" t="str">
            <v>BA</v>
          </cell>
          <cell r="B7577">
            <v>2008</v>
          </cell>
          <cell r="D7577" t="str">
            <v>MILHO</v>
          </cell>
          <cell r="E7577">
            <v>97.123000000000005</v>
          </cell>
        </row>
        <row r="7578">
          <cell r="A7578" t="str">
            <v>BA</v>
          </cell>
          <cell r="B7578">
            <v>2008</v>
          </cell>
          <cell r="D7578" t="str">
            <v>MILHO</v>
          </cell>
          <cell r="E7578">
            <v>0</v>
          </cell>
        </row>
        <row r="7579">
          <cell r="A7579" t="str">
            <v>BA</v>
          </cell>
          <cell r="B7579">
            <v>2008</v>
          </cell>
          <cell r="D7579" t="str">
            <v>MILHO</v>
          </cell>
          <cell r="E7579">
            <v>35.927999999999997</v>
          </cell>
        </row>
        <row r="7580">
          <cell r="A7580" t="str">
            <v>PI</v>
          </cell>
          <cell r="B7580">
            <v>2008</v>
          </cell>
          <cell r="D7580" t="str">
            <v>MILHO</v>
          </cell>
          <cell r="E7580">
            <v>0</v>
          </cell>
        </row>
        <row r="7581">
          <cell r="A7581" t="str">
            <v>MG</v>
          </cell>
          <cell r="B7581">
            <v>2008</v>
          </cell>
          <cell r="D7581" t="str">
            <v>MILHO</v>
          </cell>
          <cell r="E7581">
            <v>-90</v>
          </cell>
        </row>
        <row r="7582">
          <cell r="A7582" t="str">
            <v>MG</v>
          </cell>
          <cell r="B7582">
            <v>2008</v>
          </cell>
          <cell r="D7582" t="str">
            <v>MILHO</v>
          </cell>
          <cell r="E7582">
            <v>6722.2950000000001</v>
          </cell>
        </row>
        <row r="7583">
          <cell r="A7583" t="str">
            <v>GO</v>
          </cell>
          <cell r="B7583">
            <v>2008</v>
          </cell>
          <cell r="D7583" t="str">
            <v>MILHO</v>
          </cell>
          <cell r="E7583">
            <v>11492.697</v>
          </cell>
        </row>
        <row r="7584">
          <cell r="A7584" t="str">
            <v>MT</v>
          </cell>
          <cell r="B7584">
            <v>2008</v>
          </cell>
          <cell r="D7584" t="str">
            <v>MILHO</v>
          </cell>
          <cell r="E7584">
            <v>2009.558</v>
          </cell>
        </row>
        <row r="7585">
          <cell r="A7585" t="str">
            <v>GO</v>
          </cell>
          <cell r="B7585">
            <v>2008</v>
          </cell>
          <cell r="D7585" t="str">
            <v>MILHO</v>
          </cell>
          <cell r="E7585">
            <v>29803.208999999999</v>
          </cell>
        </row>
        <row r="7586">
          <cell r="A7586" t="str">
            <v>GO</v>
          </cell>
          <cell r="B7586">
            <v>2008</v>
          </cell>
          <cell r="D7586" t="str">
            <v>MILHO</v>
          </cell>
          <cell r="E7586">
            <v>1061.8119999999999</v>
          </cell>
        </row>
        <row r="7587">
          <cell r="A7587" t="str">
            <v>MS</v>
          </cell>
          <cell r="B7587">
            <v>2008</v>
          </cell>
          <cell r="D7587" t="str">
            <v>MILHO</v>
          </cell>
          <cell r="E7587">
            <v>0</v>
          </cell>
        </row>
        <row r="7588">
          <cell r="A7588" t="str">
            <v>GO</v>
          </cell>
          <cell r="B7588">
            <v>2008</v>
          </cell>
          <cell r="D7588" t="str">
            <v>MILHO</v>
          </cell>
          <cell r="E7588">
            <v>26084.226999999999</v>
          </cell>
        </row>
        <row r="7589">
          <cell r="A7589" t="str">
            <v>MT</v>
          </cell>
          <cell r="B7589">
            <v>2008</v>
          </cell>
          <cell r="D7589" t="str">
            <v>MILHO</v>
          </cell>
          <cell r="E7589">
            <v>17811.435000000001</v>
          </cell>
        </row>
        <row r="7590">
          <cell r="A7590" t="str">
            <v>MT</v>
          </cell>
          <cell r="B7590">
            <v>2008</v>
          </cell>
          <cell r="D7590" t="str">
            <v>MILHO</v>
          </cell>
          <cell r="E7590">
            <v>16697.245999999999</v>
          </cell>
        </row>
        <row r="7591">
          <cell r="A7591" t="str">
            <v>MT</v>
          </cell>
          <cell r="B7591">
            <v>2008</v>
          </cell>
          <cell r="D7591" t="str">
            <v>MILHO</v>
          </cell>
          <cell r="E7591">
            <v>780.46</v>
          </cell>
        </row>
        <row r="7592">
          <cell r="A7592" t="str">
            <v>MT</v>
          </cell>
          <cell r="B7592">
            <v>2008</v>
          </cell>
          <cell r="D7592" t="str">
            <v>MILHO</v>
          </cell>
          <cell r="E7592">
            <v>9792.116</v>
          </cell>
        </row>
        <row r="7593">
          <cell r="A7593" t="str">
            <v>MT</v>
          </cell>
          <cell r="B7593">
            <v>2008</v>
          </cell>
          <cell r="D7593" t="str">
            <v>MILHO</v>
          </cell>
          <cell r="E7593">
            <v>2331.058</v>
          </cell>
        </row>
        <row r="7594">
          <cell r="A7594" t="str">
            <v>MT</v>
          </cell>
          <cell r="B7594">
            <v>2008</v>
          </cell>
          <cell r="D7594" t="str">
            <v>MILHO</v>
          </cell>
          <cell r="E7594">
            <v>4014.9850000000001</v>
          </cell>
        </row>
        <row r="7595">
          <cell r="A7595" t="str">
            <v>MT</v>
          </cell>
          <cell r="B7595">
            <v>2008</v>
          </cell>
          <cell r="D7595" t="str">
            <v>MILHO</v>
          </cell>
          <cell r="E7595">
            <v>18669.171999999999</v>
          </cell>
        </row>
        <row r="7596">
          <cell r="A7596" t="str">
            <v>MS</v>
          </cell>
          <cell r="B7596">
            <v>2008</v>
          </cell>
          <cell r="D7596" t="str">
            <v>MILHO</v>
          </cell>
          <cell r="E7596">
            <v>252.52699999999999</v>
          </cell>
        </row>
        <row r="7597">
          <cell r="A7597" t="str">
            <v>MS</v>
          </cell>
          <cell r="B7597">
            <v>2008</v>
          </cell>
          <cell r="D7597" t="str">
            <v>MILHO</v>
          </cell>
          <cell r="E7597">
            <v>20056.006000000001</v>
          </cell>
        </row>
        <row r="7598">
          <cell r="A7598" t="str">
            <v>MS</v>
          </cell>
          <cell r="B7598">
            <v>2008</v>
          </cell>
          <cell r="D7598" t="str">
            <v>MILHO</v>
          </cell>
          <cell r="E7598">
            <v>3223.0160000000001</v>
          </cell>
        </row>
        <row r="7599">
          <cell r="A7599" t="str">
            <v>MS</v>
          </cell>
          <cell r="B7599">
            <v>2008</v>
          </cell>
          <cell r="D7599" t="str">
            <v>MILHO</v>
          </cell>
          <cell r="E7599">
            <v>2016.471</v>
          </cell>
        </row>
        <row r="7600">
          <cell r="A7600" t="str">
            <v>MS</v>
          </cell>
          <cell r="B7600">
            <v>2008</v>
          </cell>
          <cell r="D7600" t="str">
            <v>MILHO</v>
          </cell>
          <cell r="E7600">
            <v>1775.7570000000001</v>
          </cell>
        </row>
        <row r="7601">
          <cell r="A7601" t="str">
            <v>MT</v>
          </cell>
          <cell r="B7601">
            <v>2008</v>
          </cell>
          <cell r="D7601" t="str">
            <v>MILHO</v>
          </cell>
          <cell r="E7601">
            <v>0</v>
          </cell>
        </row>
        <row r="7602">
          <cell r="A7602" t="str">
            <v>MT</v>
          </cell>
          <cell r="B7602">
            <v>2008</v>
          </cell>
          <cell r="D7602" t="str">
            <v>MILHO</v>
          </cell>
          <cell r="E7602">
            <v>0</v>
          </cell>
        </row>
        <row r="7603">
          <cell r="A7603" t="str">
            <v>MT</v>
          </cell>
          <cell r="B7603">
            <v>2008</v>
          </cell>
          <cell r="D7603" t="str">
            <v>MILHO</v>
          </cell>
          <cell r="E7603">
            <v>13661.710999999999</v>
          </cell>
        </row>
        <row r="7604">
          <cell r="A7604" t="str">
            <v>MT</v>
          </cell>
          <cell r="B7604">
            <v>2008</v>
          </cell>
          <cell r="D7604" t="str">
            <v>MILHO</v>
          </cell>
          <cell r="E7604">
            <v>8162.6239999999998</v>
          </cell>
        </row>
        <row r="7605">
          <cell r="A7605" t="str">
            <v>MT</v>
          </cell>
          <cell r="B7605">
            <v>2008</v>
          </cell>
          <cell r="D7605" t="str">
            <v>MILHO</v>
          </cell>
          <cell r="E7605">
            <v>6064.4470000000001</v>
          </cell>
        </row>
        <row r="7606">
          <cell r="A7606" t="str">
            <v>MT</v>
          </cell>
          <cell r="B7606">
            <v>2008</v>
          </cell>
          <cell r="D7606" t="str">
            <v>MILHO</v>
          </cell>
          <cell r="E7606">
            <v>33449.057000000001</v>
          </cell>
        </row>
        <row r="7607">
          <cell r="A7607" t="str">
            <v>MT</v>
          </cell>
          <cell r="B7607">
            <v>2008</v>
          </cell>
          <cell r="D7607" t="str">
            <v>MILHO</v>
          </cell>
          <cell r="E7607">
            <v>6736.1469999999999</v>
          </cell>
        </row>
        <row r="7608">
          <cell r="A7608" t="str">
            <v>MT</v>
          </cell>
          <cell r="B7608">
            <v>2008</v>
          </cell>
          <cell r="D7608" t="str">
            <v>MILHO</v>
          </cell>
          <cell r="E7608">
            <v>22018.351999999999</v>
          </cell>
        </row>
        <row r="7609">
          <cell r="A7609" t="str">
            <v>MT</v>
          </cell>
          <cell r="B7609">
            <v>2008</v>
          </cell>
          <cell r="D7609" t="str">
            <v>MILHO</v>
          </cell>
          <cell r="E7609">
            <v>142189.60800000001</v>
          </cell>
        </row>
        <row r="7610">
          <cell r="A7610" t="str">
            <v>MT</v>
          </cell>
          <cell r="B7610">
            <v>2008</v>
          </cell>
          <cell r="D7610" t="str">
            <v>MILHO</v>
          </cell>
          <cell r="E7610">
            <v>26230.083999999999</v>
          </cell>
        </row>
        <row r="7611">
          <cell r="A7611" t="str">
            <v>MT</v>
          </cell>
          <cell r="B7611">
            <v>2008</v>
          </cell>
          <cell r="D7611" t="str">
            <v>MILHO</v>
          </cell>
          <cell r="E7611">
            <v>5196.3419999999996</v>
          </cell>
        </row>
        <row r="7612">
          <cell r="A7612" t="str">
            <v>MT</v>
          </cell>
          <cell r="B7612">
            <v>2008</v>
          </cell>
          <cell r="D7612" t="str">
            <v>MILHO</v>
          </cell>
          <cell r="E7612">
            <v>4752.7820000000002</v>
          </cell>
        </row>
        <row r="7613">
          <cell r="A7613" t="str">
            <v>MT</v>
          </cell>
          <cell r="B7613">
            <v>2008</v>
          </cell>
          <cell r="D7613" t="str">
            <v>MILHO</v>
          </cell>
          <cell r="E7613">
            <v>18035.442999999999</v>
          </cell>
        </row>
        <row r="7614">
          <cell r="A7614" t="str">
            <v>MT</v>
          </cell>
          <cell r="B7614">
            <v>2008</v>
          </cell>
          <cell r="D7614" t="str">
            <v>MILHO</v>
          </cell>
          <cell r="E7614">
            <v>9224.8430000000008</v>
          </cell>
        </row>
        <row r="7615">
          <cell r="A7615" t="str">
            <v>MT</v>
          </cell>
          <cell r="B7615">
            <v>2008</v>
          </cell>
          <cell r="D7615" t="str">
            <v>MILHO</v>
          </cell>
          <cell r="E7615">
            <v>981.34299999999996</v>
          </cell>
        </row>
        <row r="7616">
          <cell r="A7616" t="str">
            <v>MT</v>
          </cell>
          <cell r="B7616">
            <v>2008</v>
          </cell>
          <cell r="D7616" t="str">
            <v>MILHO</v>
          </cell>
          <cell r="E7616">
            <v>35780.822</v>
          </cell>
        </row>
        <row r="7617">
          <cell r="A7617" t="str">
            <v>SC</v>
          </cell>
          <cell r="B7617">
            <v>2008</v>
          </cell>
          <cell r="D7617" t="str">
            <v>MILHO</v>
          </cell>
          <cell r="E7617">
            <v>80.308000000000007</v>
          </cell>
        </row>
        <row r="7618">
          <cell r="A7618" t="str">
            <v>PR</v>
          </cell>
          <cell r="B7618">
            <v>2008</v>
          </cell>
          <cell r="D7618" t="str">
            <v>MILHO</v>
          </cell>
          <cell r="E7618">
            <v>701.92899999999997</v>
          </cell>
        </row>
        <row r="7619">
          <cell r="A7619" t="str">
            <v>SP</v>
          </cell>
          <cell r="B7619">
            <v>2008</v>
          </cell>
          <cell r="D7619" t="str">
            <v>MILHO</v>
          </cell>
          <cell r="E7619">
            <v>1644.06</v>
          </cell>
        </row>
        <row r="7620">
          <cell r="A7620" t="str">
            <v>PR</v>
          </cell>
          <cell r="B7620">
            <v>2008</v>
          </cell>
          <cell r="D7620" t="str">
            <v>MILHO</v>
          </cell>
          <cell r="E7620">
            <v>2324.7910000000002</v>
          </cell>
        </row>
        <row r="7621">
          <cell r="A7621" t="str">
            <v>PR</v>
          </cell>
          <cell r="B7621">
            <v>2008</v>
          </cell>
          <cell r="D7621" t="str">
            <v>MILHO</v>
          </cell>
          <cell r="E7621">
            <v>-149.36099999999999</v>
          </cell>
        </row>
        <row r="7622">
          <cell r="A7622" t="str">
            <v>PR</v>
          </cell>
          <cell r="B7622">
            <v>2008</v>
          </cell>
          <cell r="D7622" t="str">
            <v>MILHO</v>
          </cell>
          <cell r="E7622">
            <v>676.60299999999995</v>
          </cell>
        </row>
        <row r="7623">
          <cell r="A7623" t="str">
            <v>PR</v>
          </cell>
          <cell r="B7623">
            <v>2008</v>
          </cell>
          <cell r="D7623" t="str">
            <v>MILHO</v>
          </cell>
          <cell r="E7623">
            <v>7337.335</v>
          </cell>
        </row>
        <row r="7624">
          <cell r="A7624" t="str">
            <v>PR</v>
          </cell>
          <cell r="B7624">
            <v>2008</v>
          </cell>
          <cell r="D7624" t="str">
            <v>MILHO</v>
          </cell>
          <cell r="E7624">
            <v>0</v>
          </cell>
        </row>
        <row r="7625">
          <cell r="A7625" t="str">
            <v>PR</v>
          </cell>
          <cell r="B7625">
            <v>2008</v>
          </cell>
          <cell r="D7625" t="str">
            <v>MILHO</v>
          </cell>
          <cell r="E7625">
            <v>211.01599999999999</v>
          </cell>
        </row>
        <row r="7626">
          <cell r="A7626" t="str">
            <v>PR</v>
          </cell>
          <cell r="B7626">
            <v>2008</v>
          </cell>
          <cell r="D7626" t="str">
            <v>MILHO</v>
          </cell>
          <cell r="E7626">
            <v>426.351</v>
          </cell>
        </row>
        <row r="7627">
          <cell r="A7627" t="str">
            <v>PR</v>
          </cell>
          <cell r="B7627">
            <v>2008</v>
          </cell>
          <cell r="D7627" t="str">
            <v>MILHO</v>
          </cell>
          <cell r="E7627">
            <v>109.664</v>
          </cell>
        </row>
        <row r="7628">
          <cell r="A7628" t="str">
            <v>PR</v>
          </cell>
          <cell r="B7628">
            <v>2008</v>
          </cell>
          <cell r="D7628" t="str">
            <v>MILHO</v>
          </cell>
          <cell r="E7628">
            <v>321.27699999999999</v>
          </cell>
        </row>
        <row r="7629">
          <cell r="A7629" t="str">
            <v>PR</v>
          </cell>
          <cell r="B7629">
            <v>2008</v>
          </cell>
          <cell r="D7629" t="str">
            <v>MILHO</v>
          </cell>
          <cell r="E7629">
            <v>-4.6829999999999998</v>
          </cell>
        </row>
        <row r="7630">
          <cell r="A7630" t="str">
            <v>PR</v>
          </cell>
          <cell r="B7630">
            <v>2008</v>
          </cell>
          <cell r="D7630" t="str">
            <v>MILHO</v>
          </cell>
          <cell r="E7630">
            <v>92.64</v>
          </cell>
        </row>
        <row r="7631">
          <cell r="A7631" t="str">
            <v>PR</v>
          </cell>
          <cell r="B7631">
            <v>2008</v>
          </cell>
          <cell r="D7631" t="str">
            <v>MILHO</v>
          </cell>
          <cell r="E7631">
            <v>36.728000000000002</v>
          </cell>
        </row>
        <row r="7632">
          <cell r="A7632" t="str">
            <v>PR</v>
          </cell>
          <cell r="B7632">
            <v>2008</v>
          </cell>
          <cell r="D7632" t="str">
            <v>MILHO</v>
          </cell>
          <cell r="E7632">
            <v>7349.9719999999998</v>
          </cell>
        </row>
        <row r="7633">
          <cell r="A7633" t="str">
            <v>PR</v>
          </cell>
          <cell r="B7633">
            <v>2008</v>
          </cell>
          <cell r="D7633" t="str">
            <v>MILHO</v>
          </cell>
          <cell r="E7633">
            <v>411.30200000000002</v>
          </cell>
        </row>
        <row r="7634">
          <cell r="A7634" t="str">
            <v>PR</v>
          </cell>
          <cell r="B7634">
            <v>2008</v>
          </cell>
          <cell r="D7634" t="str">
            <v>MILHO</v>
          </cell>
          <cell r="E7634">
            <v>183.91900000000001</v>
          </cell>
        </row>
        <row r="7635">
          <cell r="A7635" t="str">
            <v>PR</v>
          </cell>
          <cell r="B7635">
            <v>2008</v>
          </cell>
          <cell r="D7635" t="str">
            <v>MILHO</v>
          </cell>
          <cell r="E7635">
            <v>18.606999999999999</v>
          </cell>
        </row>
        <row r="7636">
          <cell r="A7636" t="str">
            <v>PR</v>
          </cell>
          <cell r="B7636">
            <v>2008</v>
          </cell>
          <cell r="D7636" t="str">
            <v>MILHO</v>
          </cell>
          <cell r="E7636">
            <v>-13.997</v>
          </cell>
        </row>
        <row r="7637">
          <cell r="A7637" t="str">
            <v>MT</v>
          </cell>
          <cell r="B7637">
            <v>2008</v>
          </cell>
          <cell r="D7637" t="str">
            <v>SOJA</v>
          </cell>
          <cell r="E7637">
            <v>-250.14</v>
          </cell>
        </row>
        <row r="7638">
          <cell r="A7638" t="str">
            <v>RS</v>
          </cell>
          <cell r="B7638">
            <v>2008</v>
          </cell>
          <cell r="D7638" t="str">
            <v>SOJA</v>
          </cell>
          <cell r="E7638">
            <v>-11.256</v>
          </cell>
        </row>
        <row r="7639">
          <cell r="A7639" t="str">
            <v>RS</v>
          </cell>
          <cell r="B7639">
            <v>2008</v>
          </cell>
          <cell r="D7639" t="str">
            <v>SOJA</v>
          </cell>
          <cell r="E7639">
            <v>3.496</v>
          </cell>
        </row>
        <row r="7640">
          <cell r="A7640" t="str">
            <v>RS</v>
          </cell>
          <cell r="B7640">
            <v>2008</v>
          </cell>
          <cell r="D7640" t="str">
            <v>SOJA</v>
          </cell>
          <cell r="E7640">
            <v>0</v>
          </cell>
        </row>
        <row r="7641">
          <cell r="A7641" t="str">
            <v>RS</v>
          </cell>
          <cell r="B7641">
            <v>2008</v>
          </cell>
          <cell r="D7641" t="str">
            <v>SOJA</v>
          </cell>
          <cell r="E7641">
            <v>0</v>
          </cell>
        </row>
        <row r="7642">
          <cell r="A7642" t="str">
            <v>RS</v>
          </cell>
          <cell r="B7642">
            <v>2008</v>
          </cell>
          <cell r="D7642" t="str">
            <v>SOJA</v>
          </cell>
          <cell r="E7642">
            <v>62.8</v>
          </cell>
        </row>
        <row r="7643">
          <cell r="A7643" t="str">
            <v>BA</v>
          </cell>
          <cell r="B7643">
            <v>2008</v>
          </cell>
          <cell r="D7643" t="str">
            <v>SOJA</v>
          </cell>
          <cell r="E7643">
            <v>704.16700000000003</v>
          </cell>
        </row>
        <row r="7644">
          <cell r="A7644" t="str">
            <v>BA</v>
          </cell>
          <cell r="B7644">
            <v>2008</v>
          </cell>
          <cell r="D7644" t="str">
            <v>SOJA</v>
          </cell>
          <cell r="E7644">
            <v>750.89700000000005</v>
          </cell>
        </row>
        <row r="7645">
          <cell r="A7645" t="str">
            <v>BA</v>
          </cell>
          <cell r="B7645">
            <v>2008</v>
          </cell>
          <cell r="D7645" t="str">
            <v>SOJA</v>
          </cell>
          <cell r="E7645">
            <v>258.70100000000002</v>
          </cell>
        </row>
        <row r="7646">
          <cell r="A7646" t="str">
            <v>BA</v>
          </cell>
          <cell r="B7646">
            <v>2008</v>
          </cell>
          <cell r="D7646" t="str">
            <v>SOJA</v>
          </cell>
          <cell r="E7646">
            <v>28.231999999999999</v>
          </cell>
        </row>
        <row r="7647">
          <cell r="A7647" t="str">
            <v>BA</v>
          </cell>
          <cell r="B7647">
            <v>2008</v>
          </cell>
          <cell r="D7647" t="str">
            <v>SOJA</v>
          </cell>
          <cell r="E7647">
            <v>-243.14400000000001</v>
          </cell>
        </row>
        <row r="7648">
          <cell r="A7648" t="str">
            <v>BA</v>
          </cell>
          <cell r="B7648">
            <v>2008</v>
          </cell>
          <cell r="D7648" t="str">
            <v>SOJA</v>
          </cell>
          <cell r="E7648">
            <v>-95.037000000000006</v>
          </cell>
        </row>
        <row r="7649">
          <cell r="A7649" t="str">
            <v>BA</v>
          </cell>
          <cell r="B7649">
            <v>2008</v>
          </cell>
          <cell r="D7649" t="str">
            <v>SOJA</v>
          </cell>
          <cell r="E7649">
            <v>1247.1559999999999</v>
          </cell>
        </row>
        <row r="7650">
          <cell r="A7650" t="str">
            <v>BA</v>
          </cell>
          <cell r="B7650">
            <v>2008</v>
          </cell>
          <cell r="D7650" t="str">
            <v>SOJA</v>
          </cell>
          <cell r="E7650">
            <v>412.18900000000002</v>
          </cell>
        </row>
        <row r="7651">
          <cell r="A7651" t="str">
            <v>BA</v>
          </cell>
          <cell r="B7651">
            <v>2008</v>
          </cell>
          <cell r="D7651" t="str">
            <v>SOJA</v>
          </cell>
          <cell r="E7651">
            <v>2546.3130000000001</v>
          </cell>
        </row>
        <row r="7652">
          <cell r="A7652" t="str">
            <v>BA</v>
          </cell>
          <cell r="B7652">
            <v>2008</v>
          </cell>
          <cell r="D7652" t="str">
            <v>SOJA</v>
          </cell>
          <cell r="E7652">
            <v>861.51099999999997</v>
          </cell>
        </row>
        <row r="7653">
          <cell r="A7653" t="str">
            <v>BA</v>
          </cell>
          <cell r="B7653">
            <v>2008</v>
          </cell>
          <cell r="D7653" t="str">
            <v>SOJA</v>
          </cell>
          <cell r="E7653">
            <v>-90.86</v>
          </cell>
        </row>
        <row r="7654">
          <cell r="A7654" t="str">
            <v>BA</v>
          </cell>
          <cell r="B7654">
            <v>2008</v>
          </cell>
          <cell r="D7654" t="str">
            <v>SOJA</v>
          </cell>
          <cell r="E7654">
            <v>47.968000000000004</v>
          </cell>
        </row>
        <row r="7655">
          <cell r="A7655" t="str">
            <v>BA</v>
          </cell>
          <cell r="B7655">
            <v>2008</v>
          </cell>
          <cell r="D7655" t="str">
            <v>SOJA</v>
          </cell>
          <cell r="E7655">
            <v>-206.637</v>
          </cell>
        </row>
        <row r="7656">
          <cell r="A7656" t="str">
            <v>BA</v>
          </cell>
          <cell r="B7656">
            <v>2008</v>
          </cell>
          <cell r="D7656" t="str">
            <v>SOJA</v>
          </cell>
          <cell r="E7656">
            <v>-38.485999999999997</v>
          </cell>
        </row>
        <row r="7657">
          <cell r="A7657" t="str">
            <v>TO</v>
          </cell>
          <cell r="B7657">
            <v>2008</v>
          </cell>
          <cell r="D7657" t="str">
            <v>SOJA</v>
          </cell>
          <cell r="E7657">
            <v>34.356000000000002</v>
          </cell>
        </row>
        <row r="7658">
          <cell r="A7658" t="str">
            <v>MA</v>
          </cell>
          <cell r="B7658">
            <v>2008</v>
          </cell>
          <cell r="D7658" t="str">
            <v>SOJA</v>
          </cell>
          <cell r="E7658">
            <v>8206.4719999999998</v>
          </cell>
        </row>
        <row r="7659">
          <cell r="A7659" t="str">
            <v>TO</v>
          </cell>
          <cell r="B7659">
            <v>2008</v>
          </cell>
          <cell r="D7659" t="str">
            <v>SOJA</v>
          </cell>
          <cell r="E7659">
            <v>42.999000000000002</v>
          </cell>
        </row>
        <row r="7660">
          <cell r="A7660" t="str">
            <v>MA</v>
          </cell>
          <cell r="B7660">
            <v>2008</v>
          </cell>
          <cell r="D7660" t="str">
            <v>SOJA</v>
          </cell>
          <cell r="E7660">
            <v>-2759.105</v>
          </cell>
        </row>
        <row r="7661">
          <cell r="A7661" t="str">
            <v>PA</v>
          </cell>
          <cell r="B7661">
            <v>2008</v>
          </cell>
          <cell r="D7661" t="str">
            <v>SOJA</v>
          </cell>
          <cell r="E7661">
            <v>15.23</v>
          </cell>
        </row>
        <row r="7662">
          <cell r="A7662" t="str">
            <v>MA</v>
          </cell>
          <cell r="B7662">
            <v>2008</v>
          </cell>
          <cell r="D7662" t="str">
            <v>SOJA</v>
          </cell>
          <cell r="E7662">
            <v>-732.31100000000004</v>
          </cell>
        </row>
        <row r="7663">
          <cell r="A7663" t="str">
            <v>MA</v>
          </cell>
          <cell r="B7663">
            <v>2008</v>
          </cell>
          <cell r="D7663" t="str">
            <v>SOJA</v>
          </cell>
          <cell r="E7663">
            <v>1213.069</v>
          </cell>
        </row>
        <row r="7664">
          <cell r="A7664" t="str">
            <v>TO</v>
          </cell>
          <cell r="B7664">
            <v>2008</v>
          </cell>
          <cell r="D7664" t="str">
            <v>SOJA</v>
          </cell>
          <cell r="E7664">
            <v>-1203.1489999999999</v>
          </cell>
        </row>
        <row r="7665">
          <cell r="A7665" t="str">
            <v>MA</v>
          </cell>
          <cell r="B7665">
            <v>2008</v>
          </cell>
          <cell r="D7665" t="str">
            <v>SOJA</v>
          </cell>
          <cell r="E7665">
            <v>12926.019</v>
          </cell>
        </row>
        <row r="7666">
          <cell r="A7666" t="str">
            <v>MA</v>
          </cell>
          <cell r="B7666">
            <v>2008</v>
          </cell>
          <cell r="D7666" t="str">
            <v>SOJA</v>
          </cell>
          <cell r="E7666">
            <v>393.57600000000002</v>
          </cell>
        </row>
        <row r="7667">
          <cell r="A7667" t="str">
            <v>TO</v>
          </cell>
          <cell r="B7667">
            <v>2008</v>
          </cell>
          <cell r="D7667" t="str">
            <v>SOJA</v>
          </cell>
          <cell r="E7667">
            <v>-255.60900000000001</v>
          </cell>
        </row>
        <row r="7668">
          <cell r="A7668" t="str">
            <v>MA</v>
          </cell>
          <cell r="B7668">
            <v>2008</v>
          </cell>
          <cell r="D7668" t="str">
            <v>SOJA</v>
          </cell>
          <cell r="E7668">
            <v>418.28100000000001</v>
          </cell>
        </row>
        <row r="7669">
          <cell r="A7669" t="str">
            <v>TO</v>
          </cell>
          <cell r="B7669">
            <v>2008</v>
          </cell>
          <cell r="D7669" t="str">
            <v>SOJA</v>
          </cell>
          <cell r="E7669">
            <v>-598.84900000000005</v>
          </cell>
        </row>
        <row r="7670">
          <cell r="A7670" t="str">
            <v>PI</v>
          </cell>
          <cell r="B7670">
            <v>2008</v>
          </cell>
          <cell r="D7670" t="str">
            <v>SOJA</v>
          </cell>
          <cell r="E7670">
            <v>290.40100000000001</v>
          </cell>
        </row>
        <row r="7671">
          <cell r="A7671" t="str">
            <v>PI</v>
          </cell>
          <cell r="B7671">
            <v>2008</v>
          </cell>
          <cell r="D7671" t="str">
            <v>SOJA</v>
          </cell>
          <cell r="E7671">
            <v>3709.6790000000001</v>
          </cell>
        </row>
        <row r="7672">
          <cell r="A7672" t="str">
            <v>PI</v>
          </cell>
          <cell r="B7672">
            <v>2008</v>
          </cell>
          <cell r="D7672" t="str">
            <v>SOJA</v>
          </cell>
          <cell r="E7672">
            <v>316.93400000000003</v>
          </cell>
        </row>
        <row r="7673">
          <cell r="A7673" t="str">
            <v>PI</v>
          </cell>
          <cell r="B7673">
            <v>2008</v>
          </cell>
          <cell r="D7673" t="str">
            <v>SOJA</v>
          </cell>
          <cell r="E7673">
            <v>1774.1690000000001</v>
          </cell>
        </row>
        <row r="7674">
          <cell r="A7674" t="str">
            <v>GO</v>
          </cell>
          <cell r="B7674">
            <v>2008</v>
          </cell>
          <cell r="D7674" t="str">
            <v>SOJA</v>
          </cell>
          <cell r="E7674">
            <v>5831.8680000000004</v>
          </cell>
        </row>
        <row r="7675">
          <cell r="A7675" t="str">
            <v>MG</v>
          </cell>
          <cell r="B7675">
            <v>2008</v>
          </cell>
          <cell r="D7675" t="str">
            <v>SOJA</v>
          </cell>
          <cell r="E7675">
            <v>1032.704</v>
          </cell>
        </row>
        <row r="7676">
          <cell r="A7676" t="str">
            <v>GO</v>
          </cell>
          <cell r="B7676">
            <v>2008</v>
          </cell>
          <cell r="D7676" t="str">
            <v>SOJA</v>
          </cell>
          <cell r="E7676">
            <v>2.9009999999999998</v>
          </cell>
        </row>
        <row r="7677">
          <cell r="A7677" t="str">
            <v>GO</v>
          </cell>
          <cell r="B7677">
            <v>2008</v>
          </cell>
          <cell r="D7677" t="str">
            <v>SOJA</v>
          </cell>
          <cell r="E7677">
            <v>163.654</v>
          </cell>
        </row>
        <row r="7678">
          <cell r="A7678" t="str">
            <v>GO</v>
          </cell>
          <cell r="B7678">
            <v>2008</v>
          </cell>
          <cell r="D7678" t="str">
            <v>SOJA</v>
          </cell>
          <cell r="E7678">
            <v>10.4</v>
          </cell>
        </row>
        <row r="7679">
          <cell r="A7679" t="str">
            <v>GO</v>
          </cell>
          <cell r="B7679">
            <v>2008</v>
          </cell>
          <cell r="D7679" t="str">
            <v>SOJA</v>
          </cell>
          <cell r="E7679">
            <v>8.2530000000000001</v>
          </cell>
        </row>
        <row r="7680">
          <cell r="A7680" t="str">
            <v>MG</v>
          </cell>
          <cell r="B7680">
            <v>2008</v>
          </cell>
          <cell r="D7680" t="str">
            <v>SOJA</v>
          </cell>
          <cell r="E7680">
            <v>365.94</v>
          </cell>
        </row>
        <row r="7681">
          <cell r="A7681" t="str">
            <v>GO</v>
          </cell>
          <cell r="B7681">
            <v>2008</v>
          </cell>
          <cell r="D7681" t="str">
            <v>SOJA</v>
          </cell>
          <cell r="E7681">
            <v>55.970999999999997</v>
          </cell>
        </row>
        <row r="7682">
          <cell r="A7682" t="str">
            <v>GO</v>
          </cell>
          <cell r="B7682">
            <v>2008</v>
          </cell>
          <cell r="D7682" t="str">
            <v>SOJA</v>
          </cell>
          <cell r="E7682">
            <v>0</v>
          </cell>
        </row>
        <row r="7683">
          <cell r="A7683" t="str">
            <v>MT</v>
          </cell>
          <cell r="B7683">
            <v>2008</v>
          </cell>
          <cell r="D7683" t="str">
            <v>SOJA</v>
          </cell>
          <cell r="E7683">
            <v>0</v>
          </cell>
        </row>
        <row r="7684">
          <cell r="A7684" t="str">
            <v>GO</v>
          </cell>
          <cell r="B7684">
            <v>2008</v>
          </cell>
          <cell r="D7684" t="str">
            <v>SOJA</v>
          </cell>
          <cell r="E7684">
            <v>0</v>
          </cell>
        </row>
        <row r="7685">
          <cell r="A7685" t="str">
            <v>MS</v>
          </cell>
          <cell r="B7685">
            <v>2008</v>
          </cell>
          <cell r="D7685" t="str">
            <v>SOJA</v>
          </cell>
          <cell r="E7685">
            <v>0</v>
          </cell>
        </row>
        <row r="7686">
          <cell r="A7686" t="str">
            <v>GO</v>
          </cell>
          <cell r="B7686">
            <v>2008</v>
          </cell>
          <cell r="D7686" t="str">
            <v>SOJA</v>
          </cell>
          <cell r="E7686">
            <v>-2226.2379999999998</v>
          </cell>
        </row>
        <row r="7687">
          <cell r="A7687" t="str">
            <v>GO</v>
          </cell>
          <cell r="B7687">
            <v>2008</v>
          </cell>
          <cell r="D7687" t="str">
            <v>SOJA</v>
          </cell>
          <cell r="E7687">
            <v>-107.086</v>
          </cell>
        </row>
        <row r="7688">
          <cell r="A7688" t="str">
            <v>MT</v>
          </cell>
          <cell r="B7688">
            <v>2008</v>
          </cell>
          <cell r="D7688" t="str">
            <v>SOJA</v>
          </cell>
          <cell r="E7688">
            <v>711.18</v>
          </cell>
        </row>
        <row r="7689">
          <cell r="A7689" t="str">
            <v>MT</v>
          </cell>
          <cell r="B7689">
            <v>2008</v>
          </cell>
          <cell r="D7689" t="str">
            <v>SOJA</v>
          </cell>
          <cell r="E7689">
            <v>92.159000000000006</v>
          </cell>
        </row>
        <row r="7690">
          <cell r="A7690" t="str">
            <v>MT</v>
          </cell>
          <cell r="B7690">
            <v>2008</v>
          </cell>
          <cell r="D7690" t="str">
            <v>SOJA</v>
          </cell>
          <cell r="E7690">
            <v>84.92</v>
          </cell>
        </row>
        <row r="7691">
          <cell r="A7691" t="str">
            <v>MT</v>
          </cell>
          <cell r="B7691">
            <v>2008</v>
          </cell>
          <cell r="D7691" t="str">
            <v>SOJA</v>
          </cell>
          <cell r="E7691">
            <v>0</v>
          </cell>
        </row>
        <row r="7692">
          <cell r="A7692" t="str">
            <v>MT</v>
          </cell>
          <cell r="B7692">
            <v>2008</v>
          </cell>
          <cell r="D7692" t="str">
            <v>SOJA</v>
          </cell>
          <cell r="E7692">
            <v>0</v>
          </cell>
        </row>
        <row r="7693">
          <cell r="A7693" t="str">
            <v>MT</v>
          </cell>
          <cell r="B7693">
            <v>2008</v>
          </cell>
          <cell r="D7693" t="str">
            <v>SOJA</v>
          </cell>
          <cell r="E7693">
            <v>0</v>
          </cell>
        </row>
        <row r="7694">
          <cell r="A7694" t="str">
            <v>MT</v>
          </cell>
          <cell r="B7694">
            <v>2008</v>
          </cell>
          <cell r="D7694" t="str">
            <v>SOJA</v>
          </cell>
          <cell r="E7694">
            <v>43.908000000000001</v>
          </cell>
        </row>
        <row r="7695">
          <cell r="A7695" t="str">
            <v>MT</v>
          </cell>
          <cell r="B7695">
            <v>2008</v>
          </cell>
          <cell r="D7695" t="str">
            <v>SOJA</v>
          </cell>
          <cell r="E7695">
            <v>0</v>
          </cell>
        </row>
        <row r="7696">
          <cell r="A7696" t="str">
            <v>MS</v>
          </cell>
          <cell r="B7696">
            <v>2008</v>
          </cell>
          <cell r="D7696" t="str">
            <v>SOJA</v>
          </cell>
          <cell r="E7696">
            <v>0</v>
          </cell>
        </row>
        <row r="7697">
          <cell r="A7697" t="str">
            <v>MS</v>
          </cell>
          <cell r="B7697">
            <v>2008</v>
          </cell>
          <cell r="D7697" t="str">
            <v>SOJA</v>
          </cell>
          <cell r="E7697">
            <v>1024.3530000000001</v>
          </cell>
        </row>
        <row r="7698">
          <cell r="A7698" t="str">
            <v>MS</v>
          </cell>
          <cell r="B7698">
            <v>2008</v>
          </cell>
          <cell r="D7698" t="str">
            <v>SOJA</v>
          </cell>
          <cell r="E7698">
            <v>0</v>
          </cell>
        </row>
        <row r="7699">
          <cell r="A7699" t="str">
            <v>MS</v>
          </cell>
          <cell r="B7699">
            <v>2008</v>
          </cell>
          <cell r="D7699" t="str">
            <v>SOJA</v>
          </cell>
          <cell r="E7699">
            <v>0</v>
          </cell>
        </row>
        <row r="7700">
          <cell r="A7700" t="str">
            <v>MS</v>
          </cell>
          <cell r="B7700">
            <v>2008</v>
          </cell>
          <cell r="D7700" t="str">
            <v>SOJA</v>
          </cell>
          <cell r="E7700">
            <v>-11.407</v>
          </cell>
        </row>
        <row r="7701">
          <cell r="A7701" t="str">
            <v>MS</v>
          </cell>
          <cell r="B7701">
            <v>2008</v>
          </cell>
          <cell r="D7701" t="str">
            <v>SOJA</v>
          </cell>
          <cell r="E7701">
            <v>0</v>
          </cell>
        </row>
        <row r="7702">
          <cell r="A7702" t="str">
            <v>MT</v>
          </cell>
          <cell r="B7702">
            <v>2008</v>
          </cell>
          <cell r="D7702" t="str">
            <v>SOJA</v>
          </cell>
          <cell r="E7702">
            <v>7354.3389999999999</v>
          </cell>
        </row>
        <row r="7703">
          <cell r="A7703" t="str">
            <v>MT</v>
          </cell>
          <cell r="B7703">
            <v>2008</v>
          </cell>
          <cell r="D7703" t="str">
            <v>SOJA</v>
          </cell>
          <cell r="E7703">
            <v>663.76900000000001</v>
          </cell>
        </row>
        <row r="7704">
          <cell r="A7704" t="str">
            <v>MT</v>
          </cell>
          <cell r="B7704">
            <v>2008</v>
          </cell>
          <cell r="D7704" t="str">
            <v>SOJA</v>
          </cell>
          <cell r="E7704">
            <v>-581.41</v>
          </cell>
        </row>
        <row r="7705">
          <cell r="A7705" t="str">
            <v>MT</v>
          </cell>
          <cell r="B7705">
            <v>2008</v>
          </cell>
          <cell r="D7705" t="str">
            <v>SOJA</v>
          </cell>
          <cell r="E7705">
            <v>1.327</v>
          </cell>
        </row>
        <row r="7706">
          <cell r="A7706" t="str">
            <v>MT</v>
          </cell>
          <cell r="B7706">
            <v>2008</v>
          </cell>
          <cell r="D7706" t="str">
            <v>SOJA</v>
          </cell>
          <cell r="E7706">
            <v>47.4</v>
          </cell>
        </row>
        <row r="7707">
          <cell r="A7707" t="str">
            <v>MT</v>
          </cell>
          <cell r="B7707">
            <v>2008</v>
          </cell>
          <cell r="D7707" t="str">
            <v>SOJA</v>
          </cell>
          <cell r="E7707">
            <v>0</v>
          </cell>
        </row>
        <row r="7708">
          <cell r="A7708" t="str">
            <v>MT</v>
          </cell>
          <cell r="B7708">
            <v>2008</v>
          </cell>
          <cell r="D7708" t="str">
            <v>SOJA</v>
          </cell>
          <cell r="E7708">
            <v>0</v>
          </cell>
        </row>
        <row r="7709">
          <cell r="A7709" t="str">
            <v>MT</v>
          </cell>
          <cell r="B7709">
            <v>2008</v>
          </cell>
          <cell r="D7709" t="str">
            <v>SOJA</v>
          </cell>
          <cell r="E7709">
            <v>0</v>
          </cell>
        </row>
        <row r="7710">
          <cell r="A7710" t="str">
            <v>MT</v>
          </cell>
          <cell r="B7710">
            <v>2008</v>
          </cell>
          <cell r="D7710" t="str">
            <v>SOJA</v>
          </cell>
          <cell r="E7710">
            <v>649.22199999999998</v>
          </cell>
        </row>
        <row r="7711">
          <cell r="A7711" t="str">
            <v>MT</v>
          </cell>
          <cell r="B7711">
            <v>2008</v>
          </cell>
          <cell r="D7711" t="str">
            <v>SOJA</v>
          </cell>
          <cell r="E7711">
            <v>0</v>
          </cell>
        </row>
        <row r="7712">
          <cell r="A7712" t="str">
            <v>MT</v>
          </cell>
          <cell r="B7712">
            <v>2008</v>
          </cell>
          <cell r="D7712" t="str">
            <v>SOJA</v>
          </cell>
          <cell r="E7712">
            <v>-1440</v>
          </cell>
        </row>
        <row r="7713">
          <cell r="A7713" t="str">
            <v>MT</v>
          </cell>
          <cell r="B7713">
            <v>2008</v>
          </cell>
          <cell r="D7713" t="str">
            <v>SOJA</v>
          </cell>
          <cell r="E7713">
            <v>-1504.4110000000001</v>
          </cell>
        </row>
        <row r="7714">
          <cell r="A7714" t="str">
            <v>MT</v>
          </cell>
          <cell r="B7714">
            <v>2008</v>
          </cell>
          <cell r="D7714" t="str">
            <v>SOJA</v>
          </cell>
          <cell r="E7714">
            <v>-502.45400000000001</v>
          </cell>
        </row>
        <row r="7715">
          <cell r="A7715" t="str">
            <v>MT</v>
          </cell>
          <cell r="B7715">
            <v>2008</v>
          </cell>
          <cell r="D7715" t="str">
            <v>SOJA</v>
          </cell>
          <cell r="E7715">
            <v>2530.5810000000001</v>
          </cell>
        </row>
        <row r="7716">
          <cell r="A7716" t="str">
            <v>MT</v>
          </cell>
          <cell r="B7716">
            <v>2008</v>
          </cell>
          <cell r="D7716" t="str">
            <v>SOJA</v>
          </cell>
          <cell r="E7716">
            <v>-37.06</v>
          </cell>
        </row>
        <row r="7717">
          <cell r="A7717" t="str">
            <v>MT</v>
          </cell>
          <cell r="B7717">
            <v>2008</v>
          </cell>
          <cell r="D7717" t="str">
            <v>SOJA</v>
          </cell>
          <cell r="E7717">
            <v>1517.9159999999999</v>
          </cell>
        </row>
        <row r="7718">
          <cell r="A7718" t="str">
            <v>MT</v>
          </cell>
          <cell r="B7718">
            <v>2008</v>
          </cell>
          <cell r="D7718" t="str">
            <v>SOJA</v>
          </cell>
          <cell r="E7718">
            <v>-0.99</v>
          </cell>
        </row>
        <row r="7719">
          <cell r="A7719" t="str">
            <v>MT</v>
          </cell>
          <cell r="B7719">
            <v>2008</v>
          </cell>
          <cell r="D7719" t="str">
            <v>SOJA</v>
          </cell>
          <cell r="E7719">
            <v>0</v>
          </cell>
        </row>
        <row r="7720">
          <cell r="A7720" t="str">
            <v>MT</v>
          </cell>
          <cell r="B7720">
            <v>2008</v>
          </cell>
          <cell r="D7720" t="str">
            <v>SOJA</v>
          </cell>
          <cell r="E7720">
            <v>0</v>
          </cell>
        </row>
        <row r="7721">
          <cell r="A7721" t="str">
            <v>MT</v>
          </cell>
          <cell r="B7721">
            <v>2008</v>
          </cell>
          <cell r="D7721" t="str">
            <v>SOJA</v>
          </cell>
          <cell r="E7721">
            <v>0</v>
          </cell>
        </row>
        <row r="7722">
          <cell r="A7722" t="str">
            <v>MT</v>
          </cell>
          <cell r="B7722">
            <v>2008</v>
          </cell>
          <cell r="D7722" t="str">
            <v>SOJA</v>
          </cell>
          <cell r="E7722">
            <v>0</v>
          </cell>
        </row>
        <row r="7723">
          <cell r="A7723" t="str">
            <v>MT</v>
          </cell>
          <cell r="B7723">
            <v>2008</v>
          </cell>
          <cell r="D7723" t="str">
            <v>SOJA</v>
          </cell>
          <cell r="E7723">
            <v>282.28199999999998</v>
          </cell>
        </row>
        <row r="7724">
          <cell r="A7724" t="str">
            <v>RS</v>
          </cell>
          <cell r="B7724">
            <v>2008</v>
          </cell>
          <cell r="D7724" t="str">
            <v>SOJA</v>
          </cell>
          <cell r="E7724">
            <v>3632.9</v>
          </cell>
        </row>
        <row r="7725">
          <cell r="A7725" t="str">
            <v>RS</v>
          </cell>
          <cell r="B7725">
            <v>2008</v>
          </cell>
          <cell r="D7725" t="str">
            <v>SOJA</v>
          </cell>
          <cell r="E7725">
            <v>6202.48</v>
          </cell>
        </row>
        <row r="7726">
          <cell r="A7726" t="str">
            <v>RS</v>
          </cell>
          <cell r="B7726">
            <v>2008</v>
          </cell>
          <cell r="D7726" t="str">
            <v>SOJA</v>
          </cell>
          <cell r="E7726">
            <v>12122.933999999999</v>
          </cell>
        </row>
        <row r="7727">
          <cell r="A7727" t="str">
            <v>RS</v>
          </cell>
          <cell r="B7727">
            <v>2008</v>
          </cell>
          <cell r="D7727" t="str">
            <v>SOJA</v>
          </cell>
          <cell r="E7727">
            <v>689.99900000000002</v>
          </cell>
        </row>
        <row r="7728">
          <cell r="A7728" t="str">
            <v>RS</v>
          </cell>
          <cell r="B7728">
            <v>2008</v>
          </cell>
          <cell r="D7728" t="str">
            <v>SOJA</v>
          </cell>
          <cell r="E7728">
            <v>482.63400000000001</v>
          </cell>
        </row>
        <row r="7729">
          <cell r="A7729" t="str">
            <v>RS</v>
          </cell>
          <cell r="B7729">
            <v>2008</v>
          </cell>
          <cell r="D7729" t="str">
            <v>SOJA</v>
          </cell>
          <cell r="E7729">
            <v>4815.8670000000002</v>
          </cell>
        </row>
        <row r="7730">
          <cell r="A7730" t="str">
            <v>RS</v>
          </cell>
          <cell r="B7730">
            <v>2008</v>
          </cell>
          <cell r="D7730" t="str">
            <v>SOJA</v>
          </cell>
          <cell r="E7730">
            <v>2007.6869999999999</v>
          </cell>
        </row>
        <row r="7731">
          <cell r="A7731" t="str">
            <v>RS</v>
          </cell>
          <cell r="B7731">
            <v>2008</v>
          </cell>
          <cell r="D7731" t="str">
            <v>SOJA</v>
          </cell>
          <cell r="E7731">
            <v>3348.62</v>
          </cell>
        </row>
        <row r="7732">
          <cell r="A7732" t="str">
            <v>RS</v>
          </cell>
          <cell r="B7732">
            <v>2008</v>
          </cell>
          <cell r="D7732" t="str">
            <v>SOJA</v>
          </cell>
          <cell r="E7732">
            <v>2879.5079999999998</v>
          </cell>
        </row>
        <row r="7733">
          <cell r="A7733" t="str">
            <v>RS</v>
          </cell>
          <cell r="B7733">
            <v>2008</v>
          </cell>
          <cell r="D7733" t="str">
            <v>SOJA</v>
          </cell>
          <cell r="E7733">
            <v>386.4</v>
          </cell>
        </row>
        <row r="7734">
          <cell r="A7734" t="str">
            <v>RS</v>
          </cell>
          <cell r="B7734">
            <v>2008</v>
          </cell>
          <cell r="D7734" t="str">
            <v>SOJA</v>
          </cell>
          <cell r="E7734">
            <v>2875.6750000000002</v>
          </cell>
        </row>
        <row r="7735">
          <cell r="A7735" t="str">
            <v>RS</v>
          </cell>
          <cell r="B7735">
            <v>2008</v>
          </cell>
          <cell r="D7735" t="str">
            <v>SOJA</v>
          </cell>
          <cell r="E7735">
            <v>247.01499999999999</v>
          </cell>
        </row>
        <row r="7736">
          <cell r="A7736" t="str">
            <v>RS</v>
          </cell>
          <cell r="B7736">
            <v>2008</v>
          </cell>
          <cell r="D7736" t="str">
            <v>SOJA</v>
          </cell>
          <cell r="E7736">
            <v>8503.0859999999993</v>
          </cell>
        </row>
        <row r="7737">
          <cell r="A7737" t="str">
            <v>SC</v>
          </cell>
          <cell r="B7737">
            <v>2008</v>
          </cell>
          <cell r="D7737" t="str">
            <v>SOJA</v>
          </cell>
          <cell r="E7737">
            <v>3165.913</v>
          </cell>
        </row>
        <row r="7738">
          <cell r="A7738" t="str">
            <v>PR</v>
          </cell>
          <cell r="B7738">
            <v>2008</v>
          </cell>
          <cell r="D7738" t="str">
            <v>SOJA</v>
          </cell>
          <cell r="E7738">
            <v>1122.8889999999999</v>
          </cell>
        </row>
        <row r="7739">
          <cell r="A7739" t="str">
            <v>SP</v>
          </cell>
          <cell r="B7739">
            <v>2008</v>
          </cell>
          <cell r="D7739" t="str">
            <v>SOJA</v>
          </cell>
          <cell r="E7739">
            <v>116.62</v>
          </cell>
        </row>
        <row r="7740">
          <cell r="A7740" t="str">
            <v>PR</v>
          </cell>
          <cell r="B7740">
            <v>2008</v>
          </cell>
          <cell r="D7740" t="str">
            <v>SOJA</v>
          </cell>
          <cell r="E7740">
            <v>61.194000000000003</v>
          </cell>
        </row>
        <row r="7741">
          <cell r="A7741" t="str">
            <v>PR</v>
          </cell>
          <cell r="B7741">
            <v>2008</v>
          </cell>
          <cell r="D7741" t="str">
            <v>SOJA</v>
          </cell>
          <cell r="E7741">
            <v>4889.009</v>
          </cell>
        </row>
        <row r="7742">
          <cell r="A7742" t="str">
            <v>PR</v>
          </cell>
          <cell r="B7742">
            <v>2008</v>
          </cell>
          <cell r="D7742" t="str">
            <v>SOJA</v>
          </cell>
          <cell r="E7742">
            <v>297.45999999999998</v>
          </cell>
        </row>
        <row r="7743">
          <cell r="A7743" t="str">
            <v>PR</v>
          </cell>
          <cell r="B7743">
            <v>2008</v>
          </cell>
          <cell r="D7743" t="str">
            <v>SOJA</v>
          </cell>
          <cell r="E7743">
            <v>0</v>
          </cell>
        </row>
        <row r="7744">
          <cell r="A7744" t="str">
            <v>PR</v>
          </cell>
          <cell r="B7744">
            <v>2008</v>
          </cell>
          <cell r="D7744" t="str">
            <v>SOJA</v>
          </cell>
          <cell r="E7744">
            <v>796.3</v>
          </cell>
        </row>
        <row r="7745">
          <cell r="A7745" t="str">
            <v>PR</v>
          </cell>
          <cell r="B7745">
            <v>2008</v>
          </cell>
          <cell r="D7745" t="str">
            <v>SOJA</v>
          </cell>
          <cell r="E7745">
            <v>621.70000000000005</v>
          </cell>
        </row>
        <row r="7746">
          <cell r="A7746" t="str">
            <v>PR</v>
          </cell>
          <cell r="B7746">
            <v>2008</v>
          </cell>
          <cell r="D7746" t="str">
            <v>SOJA</v>
          </cell>
          <cell r="E7746">
            <v>3735.55</v>
          </cell>
        </row>
        <row r="7747">
          <cell r="A7747" t="str">
            <v>PR</v>
          </cell>
          <cell r="B7747">
            <v>2008</v>
          </cell>
          <cell r="D7747" t="str">
            <v>SOJA</v>
          </cell>
          <cell r="E7747">
            <v>141.178</v>
          </cell>
        </row>
        <row r="7748">
          <cell r="A7748" t="str">
            <v>PR</v>
          </cell>
          <cell r="B7748">
            <v>2008</v>
          </cell>
          <cell r="D7748" t="str">
            <v>SOJA</v>
          </cell>
          <cell r="E7748">
            <v>-92.454999999999998</v>
          </cell>
        </row>
        <row r="7749">
          <cell r="A7749" t="str">
            <v>PR</v>
          </cell>
          <cell r="B7749">
            <v>2008</v>
          </cell>
          <cell r="D7749" t="str">
            <v>SOJA</v>
          </cell>
          <cell r="E7749">
            <v>10.427</v>
          </cell>
        </row>
        <row r="7750">
          <cell r="A7750" t="str">
            <v>PR</v>
          </cell>
          <cell r="B7750">
            <v>2008</v>
          </cell>
          <cell r="D7750" t="str">
            <v>SOJA</v>
          </cell>
          <cell r="E7750">
            <v>14482.635</v>
          </cell>
        </row>
        <row r="7751">
          <cell r="A7751" t="str">
            <v>PR</v>
          </cell>
          <cell r="B7751">
            <v>2008</v>
          </cell>
          <cell r="D7751" t="str">
            <v>SOJA</v>
          </cell>
          <cell r="E7751">
            <v>552.11900000000003</v>
          </cell>
        </row>
        <row r="7752">
          <cell r="A7752" t="str">
            <v>PR</v>
          </cell>
          <cell r="B7752">
            <v>2008</v>
          </cell>
          <cell r="D7752" t="str">
            <v>SOJA</v>
          </cell>
          <cell r="E7752">
            <v>-35.378</v>
          </cell>
        </row>
        <row r="7753">
          <cell r="A7753" t="str">
            <v>PR</v>
          </cell>
          <cell r="B7753">
            <v>2008</v>
          </cell>
          <cell r="D7753" t="str">
            <v>SOJA</v>
          </cell>
          <cell r="E7753">
            <v>31.46</v>
          </cell>
        </row>
        <row r="7754">
          <cell r="A7754" t="str">
            <v>PR</v>
          </cell>
          <cell r="B7754">
            <v>2008</v>
          </cell>
          <cell r="D7754" t="str">
            <v>SOJA</v>
          </cell>
          <cell r="E7754">
            <v>3559.605</v>
          </cell>
        </row>
        <row r="7755">
          <cell r="A7755" t="str">
            <v>BA</v>
          </cell>
          <cell r="B7755">
            <v>2008</v>
          </cell>
          <cell r="D7755" t="str">
            <v>MILHO</v>
          </cell>
          <cell r="E7755">
            <v>961.34500000000003</v>
          </cell>
        </row>
        <row r="7756">
          <cell r="A7756" t="str">
            <v>BA</v>
          </cell>
          <cell r="B7756">
            <v>2008</v>
          </cell>
          <cell r="D7756" t="str">
            <v>MILHO</v>
          </cell>
          <cell r="E7756">
            <v>20.376999999999999</v>
          </cell>
        </row>
        <row r="7757">
          <cell r="A7757" t="str">
            <v>BA</v>
          </cell>
          <cell r="B7757">
            <v>2008</v>
          </cell>
          <cell r="D7757" t="str">
            <v>MILHO</v>
          </cell>
          <cell r="E7757">
            <v>0.104</v>
          </cell>
        </row>
        <row r="7758">
          <cell r="A7758" t="str">
            <v>BA</v>
          </cell>
          <cell r="B7758">
            <v>2008</v>
          </cell>
          <cell r="D7758" t="str">
            <v>MILHO</v>
          </cell>
          <cell r="E7758">
            <v>58.48</v>
          </cell>
        </row>
        <row r="7759">
          <cell r="A7759" t="str">
            <v>BA</v>
          </cell>
          <cell r="B7759">
            <v>2008</v>
          </cell>
          <cell r="D7759" t="str">
            <v>MILHO</v>
          </cell>
          <cell r="E7759">
            <v>-66.453000000000003</v>
          </cell>
        </row>
        <row r="7760">
          <cell r="A7760" t="str">
            <v>BA</v>
          </cell>
          <cell r="B7760">
            <v>2008</v>
          </cell>
          <cell r="D7760" t="str">
            <v>MILHO</v>
          </cell>
          <cell r="E7760">
            <v>0</v>
          </cell>
        </row>
        <row r="7761">
          <cell r="A7761" t="str">
            <v>BA</v>
          </cell>
          <cell r="B7761">
            <v>2008</v>
          </cell>
          <cell r="D7761" t="str">
            <v>MILHO</v>
          </cell>
          <cell r="E7761">
            <v>-30.67</v>
          </cell>
        </row>
        <row r="7762">
          <cell r="A7762" t="str">
            <v>MG</v>
          </cell>
          <cell r="B7762">
            <v>2008</v>
          </cell>
          <cell r="D7762" t="str">
            <v>MILHO</v>
          </cell>
          <cell r="E7762">
            <v>2964.7710000000002</v>
          </cell>
        </row>
        <row r="7763">
          <cell r="A7763" t="str">
            <v>GO</v>
          </cell>
          <cell r="B7763">
            <v>2008</v>
          </cell>
          <cell r="D7763" t="str">
            <v>MILHO</v>
          </cell>
          <cell r="E7763">
            <v>-621.60799999999995</v>
          </cell>
        </row>
        <row r="7764">
          <cell r="A7764" t="str">
            <v>MT</v>
          </cell>
          <cell r="B7764">
            <v>2008</v>
          </cell>
          <cell r="D7764" t="str">
            <v>MILHO</v>
          </cell>
          <cell r="E7764">
            <v>4334.2740000000003</v>
          </cell>
        </row>
        <row r="7765">
          <cell r="A7765" t="str">
            <v>GO</v>
          </cell>
          <cell r="B7765">
            <v>2008</v>
          </cell>
          <cell r="D7765" t="str">
            <v>MILHO</v>
          </cell>
          <cell r="E7765">
            <v>34748.012000000002</v>
          </cell>
        </row>
        <row r="7766">
          <cell r="A7766" t="str">
            <v>GO</v>
          </cell>
          <cell r="B7766">
            <v>2008</v>
          </cell>
          <cell r="D7766" t="str">
            <v>MILHO</v>
          </cell>
          <cell r="E7766">
            <v>262.63</v>
          </cell>
        </row>
        <row r="7767">
          <cell r="A7767" t="str">
            <v>GO</v>
          </cell>
          <cell r="B7767">
            <v>2008</v>
          </cell>
          <cell r="D7767" t="str">
            <v>MILHO</v>
          </cell>
          <cell r="E7767">
            <v>146.77000000000001</v>
          </cell>
        </row>
        <row r="7768">
          <cell r="A7768" t="str">
            <v>GO</v>
          </cell>
          <cell r="B7768">
            <v>2008</v>
          </cell>
          <cell r="D7768" t="str">
            <v>MILHO</v>
          </cell>
          <cell r="E7768">
            <v>3637.9540000000002</v>
          </cell>
        </row>
        <row r="7769">
          <cell r="A7769" t="str">
            <v>MT</v>
          </cell>
          <cell r="B7769">
            <v>2008</v>
          </cell>
          <cell r="D7769" t="str">
            <v>MILHO</v>
          </cell>
          <cell r="E7769">
            <v>1416.279</v>
          </cell>
        </row>
        <row r="7770">
          <cell r="A7770" t="str">
            <v>MT</v>
          </cell>
          <cell r="B7770">
            <v>2008</v>
          </cell>
          <cell r="D7770" t="str">
            <v>MILHO</v>
          </cell>
          <cell r="E7770">
            <v>370.87400000000002</v>
          </cell>
        </row>
        <row r="7771">
          <cell r="A7771" t="str">
            <v>MT</v>
          </cell>
          <cell r="B7771">
            <v>2008</v>
          </cell>
          <cell r="D7771" t="str">
            <v>MILHO</v>
          </cell>
          <cell r="E7771">
            <v>275.39999999999998</v>
          </cell>
        </row>
        <row r="7772">
          <cell r="A7772" t="str">
            <v>MT</v>
          </cell>
          <cell r="B7772">
            <v>2008</v>
          </cell>
          <cell r="D7772" t="str">
            <v>MILHO</v>
          </cell>
          <cell r="E7772">
            <v>825</v>
          </cell>
        </row>
        <row r="7773">
          <cell r="A7773" t="str">
            <v>MT</v>
          </cell>
          <cell r="B7773">
            <v>2008</v>
          </cell>
          <cell r="D7773" t="str">
            <v>MILHO</v>
          </cell>
          <cell r="E7773">
            <v>79.62</v>
          </cell>
        </row>
        <row r="7774">
          <cell r="A7774" t="str">
            <v>MT</v>
          </cell>
          <cell r="B7774">
            <v>2008</v>
          </cell>
          <cell r="D7774" t="str">
            <v>MILHO</v>
          </cell>
          <cell r="E7774">
            <v>36.884999999999998</v>
          </cell>
        </row>
        <row r="7775">
          <cell r="A7775" t="str">
            <v>MT</v>
          </cell>
          <cell r="B7775">
            <v>2008</v>
          </cell>
          <cell r="D7775" t="str">
            <v>MILHO</v>
          </cell>
          <cell r="E7775">
            <v>-1286.6759999999999</v>
          </cell>
        </row>
        <row r="7776">
          <cell r="A7776" t="str">
            <v>MS</v>
          </cell>
          <cell r="B7776">
            <v>2008</v>
          </cell>
          <cell r="D7776" t="str">
            <v>MILHO</v>
          </cell>
          <cell r="E7776">
            <v>5533.3850000000002</v>
          </cell>
        </row>
        <row r="7777">
          <cell r="A7777" t="str">
            <v>MS</v>
          </cell>
          <cell r="B7777">
            <v>2008</v>
          </cell>
          <cell r="D7777" t="str">
            <v>MILHO</v>
          </cell>
          <cell r="E7777">
            <v>13288.376</v>
          </cell>
        </row>
        <row r="7778">
          <cell r="A7778" t="str">
            <v>MS</v>
          </cell>
          <cell r="B7778">
            <v>2008</v>
          </cell>
          <cell r="D7778" t="str">
            <v>MILHO</v>
          </cell>
          <cell r="E7778">
            <v>8021.598</v>
          </cell>
        </row>
        <row r="7779">
          <cell r="A7779" t="str">
            <v>MS</v>
          </cell>
          <cell r="B7779">
            <v>2008</v>
          </cell>
          <cell r="D7779" t="str">
            <v>MILHO</v>
          </cell>
          <cell r="E7779">
            <v>5638.2960000000003</v>
          </cell>
        </row>
        <row r="7780">
          <cell r="A7780" t="str">
            <v>MS</v>
          </cell>
          <cell r="B7780">
            <v>2008</v>
          </cell>
          <cell r="D7780" t="str">
            <v>MILHO</v>
          </cell>
          <cell r="E7780">
            <v>4324.3819999999996</v>
          </cell>
        </row>
        <row r="7781">
          <cell r="A7781" t="str">
            <v>MS</v>
          </cell>
          <cell r="B7781">
            <v>2008</v>
          </cell>
          <cell r="D7781" t="str">
            <v>MILHO</v>
          </cell>
          <cell r="E7781">
            <v>4501.3379999999997</v>
          </cell>
        </row>
        <row r="7782">
          <cell r="A7782" t="str">
            <v>MT</v>
          </cell>
          <cell r="B7782">
            <v>2008</v>
          </cell>
          <cell r="D7782" t="str">
            <v>MILHO</v>
          </cell>
          <cell r="E7782">
            <v>0</v>
          </cell>
        </row>
        <row r="7783">
          <cell r="A7783" t="str">
            <v>MT</v>
          </cell>
          <cell r="B7783">
            <v>2008</v>
          </cell>
          <cell r="D7783" t="str">
            <v>MILHO</v>
          </cell>
          <cell r="E7783">
            <v>0</v>
          </cell>
        </row>
        <row r="7784">
          <cell r="A7784" t="str">
            <v>MT</v>
          </cell>
          <cell r="B7784">
            <v>2008</v>
          </cell>
          <cell r="D7784" t="str">
            <v>MILHO</v>
          </cell>
          <cell r="E7784">
            <v>9913.5550000000003</v>
          </cell>
        </row>
        <row r="7785">
          <cell r="A7785" t="str">
            <v>MT</v>
          </cell>
          <cell r="B7785">
            <v>2008</v>
          </cell>
          <cell r="D7785" t="str">
            <v>MILHO</v>
          </cell>
          <cell r="E7785">
            <v>37.192999999999998</v>
          </cell>
        </row>
        <row r="7786">
          <cell r="A7786" t="str">
            <v>MT</v>
          </cell>
          <cell r="B7786">
            <v>2008</v>
          </cell>
          <cell r="D7786" t="str">
            <v>MILHO</v>
          </cell>
          <cell r="E7786">
            <v>4059.0369999999998</v>
          </cell>
        </row>
        <row r="7787">
          <cell r="A7787" t="str">
            <v>MT</v>
          </cell>
          <cell r="B7787">
            <v>2008</v>
          </cell>
          <cell r="D7787" t="str">
            <v>MILHO</v>
          </cell>
          <cell r="E7787">
            <v>718.80899999999997</v>
          </cell>
        </row>
        <row r="7788">
          <cell r="A7788" t="str">
            <v>MT</v>
          </cell>
          <cell r="B7788">
            <v>2008</v>
          </cell>
          <cell r="D7788" t="str">
            <v>MILHO</v>
          </cell>
          <cell r="E7788">
            <v>-1202.229</v>
          </cell>
        </row>
        <row r="7789">
          <cell r="A7789" t="str">
            <v>MT</v>
          </cell>
          <cell r="B7789">
            <v>2008</v>
          </cell>
          <cell r="D7789" t="str">
            <v>MILHO</v>
          </cell>
          <cell r="E7789">
            <v>3132.9670000000001</v>
          </cell>
        </row>
        <row r="7790">
          <cell r="A7790" t="str">
            <v>MT</v>
          </cell>
          <cell r="B7790">
            <v>2008</v>
          </cell>
          <cell r="D7790" t="str">
            <v>MILHO</v>
          </cell>
          <cell r="E7790">
            <v>25511.903999999999</v>
          </cell>
        </row>
        <row r="7791">
          <cell r="A7791" t="str">
            <v>MT</v>
          </cell>
          <cell r="B7791">
            <v>2008</v>
          </cell>
          <cell r="D7791" t="str">
            <v>MILHO</v>
          </cell>
          <cell r="E7791">
            <v>1469.1579999999999</v>
          </cell>
        </row>
        <row r="7792">
          <cell r="A7792" t="str">
            <v>MT</v>
          </cell>
          <cell r="B7792">
            <v>2008</v>
          </cell>
          <cell r="D7792" t="str">
            <v>MILHO</v>
          </cell>
          <cell r="E7792">
            <v>-2314.7370000000001</v>
          </cell>
        </row>
        <row r="7793">
          <cell r="A7793" t="str">
            <v>MT</v>
          </cell>
          <cell r="B7793">
            <v>2008</v>
          </cell>
          <cell r="D7793" t="str">
            <v>MILHO</v>
          </cell>
          <cell r="E7793">
            <v>-66.850999999999999</v>
          </cell>
        </row>
        <row r="7794">
          <cell r="A7794" t="str">
            <v>MT</v>
          </cell>
          <cell r="B7794">
            <v>2008</v>
          </cell>
          <cell r="D7794" t="str">
            <v>MILHO</v>
          </cell>
          <cell r="E7794">
            <v>-1026.9090000000001</v>
          </cell>
        </row>
        <row r="7795">
          <cell r="A7795" t="str">
            <v>MT</v>
          </cell>
          <cell r="B7795">
            <v>2008</v>
          </cell>
          <cell r="D7795" t="str">
            <v>MILHO</v>
          </cell>
          <cell r="E7795">
            <v>203.374</v>
          </cell>
        </row>
        <row r="7796">
          <cell r="A7796" t="str">
            <v>MT</v>
          </cell>
          <cell r="B7796">
            <v>2008</v>
          </cell>
          <cell r="D7796" t="str">
            <v>MILHO</v>
          </cell>
          <cell r="E7796">
            <v>1115.4169999999999</v>
          </cell>
        </row>
        <row r="7797">
          <cell r="A7797" t="str">
            <v>MT</v>
          </cell>
          <cell r="B7797">
            <v>2008</v>
          </cell>
          <cell r="D7797" t="str">
            <v>MILHO</v>
          </cell>
          <cell r="E7797">
            <v>3012.645</v>
          </cell>
        </row>
        <row r="7798">
          <cell r="A7798" t="str">
            <v>PR</v>
          </cell>
          <cell r="B7798">
            <v>2008</v>
          </cell>
          <cell r="D7798" t="str">
            <v>MILHO</v>
          </cell>
          <cell r="E7798">
            <v>559.18299999999999</v>
          </cell>
        </row>
        <row r="7799">
          <cell r="A7799" t="str">
            <v>SP</v>
          </cell>
          <cell r="B7799">
            <v>2008</v>
          </cell>
          <cell r="D7799" t="str">
            <v>MILHO</v>
          </cell>
          <cell r="E7799">
            <v>479.48</v>
          </cell>
        </row>
        <row r="7800">
          <cell r="A7800" t="str">
            <v>PR</v>
          </cell>
          <cell r="B7800">
            <v>2008</v>
          </cell>
          <cell r="D7800" t="str">
            <v>MILHO</v>
          </cell>
          <cell r="E7800">
            <v>1445.7349999999999</v>
          </cell>
        </row>
        <row r="7801">
          <cell r="A7801" t="str">
            <v>PR</v>
          </cell>
          <cell r="B7801">
            <v>2008</v>
          </cell>
          <cell r="D7801" t="str">
            <v>MILHO</v>
          </cell>
          <cell r="E7801">
            <v>13.56</v>
          </cell>
        </row>
        <row r="7802">
          <cell r="A7802" t="str">
            <v>PR</v>
          </cell>
          <cell r="B7802">
            <v>2008</v>
          </cell>
          <cell r="D7802" t="str">
            <v>MILHO</v>
          </cell>
          <cell r="E7802">
            <v>146.06</v>
          </cell>
        </row>
        <row r="7803">
          <cell r="A7803" t="str">
            <v>PR</v>
          </cell>
          <cell r="B7803">
            <v>2008</v>
          </cell>
          <cell r="D7803" t="str">
            <v>MILHO</v>
          </cell>
          <cell r="E7803">
            <v>20724.736000000001</v>
          </cell>
        </row>
        <row r="7804">
          <cell r="A7804" t="str">
            <v>PR</v>
          </cell>
          <cell r="B7804">
            <v>2008</v>
          </cell>
          <cell r="D7804" t="str">
            <v>MILHO</v>
          </cell>
          <cell r="E7804">
            <v>946.74199999999996</v>
          </cell>
        </row>
        <row r="7805">
          <cell r="A7805" t="str">
            <v>PR</v>
          </cell>
          <cell r="B7805">
            <v>2008</v>
          </cell>
          <cell r="D7805" t="str">
            <v>MILHO</v>
          </cell>
          <cell r="E7805">
            <v>3591.6210000000001</v>
          </cell>
        </row>
        <row r="7806">
          <cell r="A7806" t="str">
            <v>PR</v>
          </cell>
          <cell r="B7806">
            <v>2008</v>
          </cell>
          <cell r="D7806" t="str">
            <v>MILHO</v>
          </cell>
          <cell r="E7806">
            <v>2718.011</v>
          </cell>
        </row>
        <row r="7807">
          <cell r="A7807" t="str">
            <v>PR</v>
          </cell>
          <cell r="B7807">
            <v>2008</v>
          </cell>
          <cell r="D7807" t="str">
            <v>MILHO</v>
          </cell>
          <cell r="E7807">
            <v>448.714</v>
          </cell>
        </row>
        <row r="7808">
          <cell r="A7808" t="str">
            <v>PR</v>
          </cell>
          <cell r="B7808">
            <v>2008</v>
          </cell>
          <cell r="D7808" t="str">
            <v>MILHO</v>
          </cell>
          <cell r="E7808">
            <v>19981.723999999998</v>
          </cell>
        </row>
        <row r="7809">
          <cell r="A7809" t="str">
            <v>PR</v>
          </cell>
          <cell r="B7809">
            <v>2008</v>
          </cell>
          <cell r="D7809" t="str">
            <v>MILHO</v>
          </cell>
          <cell r="E7809">
            <v>0</v>
          </cell>
        </row>
        <row r="7810">
          <cell r="A7810" t="str">
            <v>RS</v>
          </cell>
          <cell r="B7810">
            <v>2008</v>
          </cell>
          <cell r="D7810" t="str">
            <v>SOJA</v>
          </cell>
          <cell r="E7810">
            <v>0</v>
          </cell>
        </row>
        <row r="7811">
          <cell r="A7811" t="str">
            <v>RS</v>
          </cell>
          <cell r="B7811">
            <v>2008</v>
          </cell>
          <cell r="D7811" t="str">
            <v>SOJA</v>
          </cell>
          <cell r="E7811">
            <v>0</v>
          </cell>
        </row>
        <row r="7812">
          <cell r="A7812" t="str">
            <v>BA</v>
          </cell>
          <cell r="B7812">
            <v>2008</v>
          </cell>
          <cell r="D7812" t="str">
            <v>SOJA</v>
          </cell>
          <cell r="E7812">
            <v>1066.0509999999999</v>
          </cell>
        </row>
        <row r="7813">
          <cell r="A7813" t="str">
            <v>BA</v>
          </cell>
          <cell r="B7813">
            <v>2008</v>
          </cell>
          <cell r="D7813" t="str">
            <v>SOJA</v>
          </cell>
          <cell r="E7813">
            <v>451.64</v>
          </cell>
        </row>
        <row r="7814">
          <cell r="A7814" t="str">
            <v>BA</v>
          </cell>
          <cell r="B7814">
            <v>2008</v>
          </cell>
          <cell r="D7814" t="str">
            <v>SOJA</v>
          </cell>
          <cell r="E7814">
            <v>1091.779</v>
          </cell>
        </row>
        <row r="7815">
          <cell r="A7815" t="str">
            <v>BA</v>
          </cell>
          <cell r="B7815">
            <v>2008</v>
          </cell>
          <cell r="D7815" t="str">
            <v>SOJA</v>
          </cell>
          <cell r="E7815">
            <v>78.650000000000006</v>
          </cell>
        </row>
        <row r="7816">
          <cell r="A7816" t="str">
            <v>BA</v>
          </cell>
          <cell r="B7816">
            <v>2008</v>
          </cell>
          <cell r="D7816" t="str">
            <v>SOJA</v>
          </cell>
          <cell r="E7816">
            <v>30.19</v>
          </cell>
        </row>
        <row r="7817">
          <cell r="A7817" t="str">
            <v>BA</v>
          </cell>
          <cell r="B7817">
            <v>2008</v>
          </cell>
          <cell r="D7817" t="str">
            <v>SOJA</v>
          </cell>
          <cell r="E7817">
            <v>2631.5810000000001</v>
          </cell>
        </row>
        <row r="7818">
          <cell r="A7818" t="str">
            <v>BA</v>
          </cell>
          <cell r="B7818">
            <v>2008</v>
          </cell>
          <cell r="D7818" t="str">
            <v>SOJA</v>
          </cell>
          <cell r="E7818">
            <v>198.24799999999999</v>
          </cell>
        </row>
        <row r="7819">
          <cell r="A7819" t="str">
            <v>BA</v>
          </cell>
          <cell r="B7819">
            <v>2008</v>
          </cell>
          <cell r="D7819" t="str">
            <v>SOJA</v>
          </cell>
          <cell r="E7819">
            <v>3214.2260000000001</v>
          </cell>
        </row>
        <row r="7820">
          <cell r="A7820" t="str">
            <v>BA</v>
          </cell>
          <cell r="B7820">
            <v>2008</v>
          </cell>
          <cell r="D7820" t="str">
            <v>SOJA</v>
          </cell>
          <cell r="E7820">
            <v>703.755</v>
          </cell>
        </row>
        <row r="7821">
          <cell r="A7821" t="str">
            <v>BA</v>
          </cell>
          <cell r="B7821">
            <v>2008</v>
          </cell>
          <cell r="D7821" t="str">
            <v>SOJA</v>
          </cell>
          <cell r="E7821">
            <v>29.094000000000001</v>
          </cell>
        </row>
        <row r="7822">
          <cell r="A7822" t="str">
            <v>BA</v>
          </cell>
          <cell r="B7822">
            <v>2008</v>
          </cell>
          <cell r="D7822" t="str">
            <v>SOJA</v>
          </cell>
          <cell r="E7822">
            <v>240.96</v>
          </cell>
        </row>
        <row r="7823">
          <cell r="A7823" t="str">
            <v>BA</v>
          </cell>
          <cell r="B7823">
            <v>2008</v>
          </cell>
          <cell r="D7823" t="str">
            <v>SOJA</v>
          </cell>
          <cell r="E7823">
            <v>39.472999999999999</v>
          </cell>
        </row>
        <row r="7824">
          <cell r="A7824" t="str">
            <v>BA</v>
          </cell>
          <cell r="B7824">
            <v>2008</v>
          </cell>
          <cell r="D7824" t="str">
            <v>SOJA</v>
          </cell>
          <cell r="E7824">
            <v>151.57499999999999</v>
          </cell>
        </row>
        <row r="7825">
          <cell r="A7825" t="str">
            <v>TO</v>
          </cell>
          <cell r="B7825">
            <v>2008</v>
          </cell>
          <cell r="D7825" t="str">
            <v>SOJA</v>
          </cell>
          <cell r="E7825">
            <v>0</v>
          </cell>
        </row>
        <row r="7826">
          <cell r="A7826" t="str">
            <v>MA</v>
          </cell>
          <cell r="B7826">
            <v>2008</v>
          </cell>
          <cell r="D7826" t="str">
            <v>SOJA</v>
          </cell>
          <cell r="E7826">
            <v>443.77</v>
          </cell>
        </row>
        <row r="7827">
          <cell r="A7827" t="str">
            <v>TO</v>
          </cell>
          <cell r="B7827">
            <v>2008</v>
          </cell>
          <cell r="D7827" t="str">
            <v>SOJA</v>
          </cell>
          <cell r="E7827">
            <v>0</v>
          </cell>
        </row>
        <row r="7828">
          <cell r="A7828" t="str">
            <v>MA</v>
          </cell>
          <cell r="B7828">
            <v>2008</v>
          </cell>
          <cell r="D7828" t="str">
            <v>SOJA</v>
          </cell>
          <cell r="E7828">
            <v>763.54899999999998</v>
          </cell>
        </row>
        <row r="7829">
          <cell r="A7829" t="str">
            <v>MA</v>
          </cell>
          <cell r="B7829">
            <v>2008</v>
          </cell>
          <cell r="D7829" t="str">
            <v>SOJA</v>
          </cell>
          <cell r="E7829">
            <v>76.808999999999997</v>
          </cell>
        </row>
        <row r="7830">
          <cell r="A7830" t="str">
            <v>MA</v>
          </cell>
          <cell r="B7830">
            <v>2008</v>
          </cell>
          <cell r="D7830" t="str">
            <v>SOJA</v>
          </cell>
          <cell r="E7830">
            <v>1448.981</v>
          </cell>
        </row>
        <row r="7831">
          <cell r="A7831" t="str">
            <v>MA</v>
          </cell>
          <cell r="B7831">
            <v>2008</v>
          </cell>
          <cell r="D7831" t="str">
            <v>SOJA</v>
          </cell>
          <cell r="E7831">
            <v>1221.681</v>
          </cell>
        </row>
        <row r="7832">
          <cell r="A7832" t="str">
            <v>MA</v>
          </cell>
          <cell r="B7832">
            <v>2008</v>
          </cell>
          <cell r="D7832" t="str">
            <v>SOJA</v>
          </cell>
          <cell r="E7832">
            <v>8.2620000000000005</v>
          </cell>
        </row>
        <row r="7833">
          <cell r="A7833" t="str">
            <v>TO</v>
          </cell>
          <cell r="B7833">
            <v>2008</v>
          </cell>
          <cell r="D7833" t="str">
            <v>SOJA</v>
          </cell>
          <cell r="E7833">
            <v>37.209000000000003</v>
          </cell>
        </row>
        <row r="7834">
          <cell r="A7834" t="str">
            <v>MA</v>
          </cell>
          <cell r="B7834">
            <v>2008</v>
          </cell>
          <cell r="D7834" t="str">
            <v>SOJA</v>
          </cell>
          <cell r="E7834">
            <v>1025.8920000000001</v>
          </cell>
        </row>
        <row r="7835">
          <cell r="A7835" t="str">
            <v>TO</v>
          </cell>
          <cell r="B7835">
            <v>2008</v>
          </cell>
          <cell r="D7835" t="str">
            <v>SOJA</v>
          </cell>
          <cell r="E7835">
            <v>16.181999999999999</v>
          </cell>
        </row>
        <row r="7836">
          <cell r="A7836" t="str">
            <v>PI</v>
          </cell>
          <cell r="B7836">
            <v>2008</v>
          </cell>
          <cell r="D7836" t="str">
            <v>SOJA</v>
          </cell>
          <cell r="E7836">
            <v>652.78099999999995</v>
          </cell>
        </row>
        <row r="7837">
          <cell r="A7837" t="str">
            <v>PI</v>
          </cell>
          <cell r="B7837">
            <v>2008</v>
          </cell>
          <cell r="D7837" t="str">
            <v>SOJA</v>
          </cell>
          <cell r="E7837">
            <v>0</v>
          </cell>
        </row>
        <row r="7838">
          <cell r="A7838" t="str">
            <v>PI</v>
          </cell>
          <cell r="B7838">
            <v>2008</v>
          </cell>
          <cell r="D7838" t="str">
            <v>SOJA</v>
          </cell>
          <cell r="E7838">
            <v>27.405999999999999</v>
          </cell>
        </row>
        <row r="7839">
          <cell r="A7839" t="str">
            <v>PI</v>
          </cell>
          <cell r="B7839">
            <v>2008</v>
          </cell>
          <cell r="D7839" t="str">
            <v>SOJA</v>
          </cell>
          <cell r="E7839">
            <v>213.96</v>
          </cell>
        </row>
        <row r="7840">
          <cell r="A7840" t="str">
            <v>GO</v>
          </cell>
          <cell r="B7840">
            <v>2008</v>
          </cell>
          <cell r="D7840" t="str">
            <v>SOJA</v>
          </cell>
          <cell r="E7840">
            <v>267.44900000000001</v>
          </cell>
        </row>
        <row r="7841">
          <cell r="A7841" t="str">
            <v>MG</v>
          </cell>
          <cell r="B7841">
            <v>2008</v>
          </cell>
          <cell r="D7841" t="str">
            <v>SOJA</v>
          </cell>
          <cell r="E7841">
            <v>141.261</v>
          </cell>
        </row>
        <row r="7842">
          <cell r="A7842" t="str">
            <v>GO</v>
          </cell>
          <cell r="B7842">
            <v>2008</v>
          </cell>
          <cell r="D7842" t="str">
            <v>SOJA</v>
          </cell>
          <cell r="E7842">
            <v>0</v>
          </cell>
        </row>
        <row r="7843">
          <cell r="A7843" t="str">
            <v>GO</v>
          </cell>
          <cell r="B7843">
            <v>2008</v>
          </cell>
          <cell r="D7843" t="str">
            <v>SOJA</v>
          </cell>
          <cell r="E7843">
            <v>21.148</v>
          </cell>
        </row>
        <row r="7844">
          <cell r="A7844" t="str">
            <v>GO</v>
          </cell>
          <cell r="B7844">
            <v>2008</v>
          </cell>
          <cell r="D7844" t="str">
            <v>SOJA</v>
          </cell>
          <cell r="E7844">
            <v>16.138000000000002</v>
          </cell>
        </row>
        <row r="7845">
          <cell r="A7845" t="str">
            <v>GO</v>
          </cell>
          <cell r="B7845">
            <v>2008</v>
          </cell>
          <cell r="D7845" t="str">
            <v>SOJA</v>
          </cell>
          <cell r="E7845">
            <v>3.39</v>
          </cell>
        </row>
        <row r="7846">
          <cell r="A7846" t="str">
            <v>MG</v>
          </cell>
          <cell r="B7846">
            <v>2008</v>
          </cell>
          <cell r="D7846" t="str">
            <v>SOJA</v>
          </cell>
          <cell r="E7846">
            <v>0</v>
          </cell>
        </row>
        <row r="7847">
          <cell r="A7847" t="str">
            <v>GO</v>
          </cell>
          <cell r="B7847">
            <v>2008</v>
          </cell>
          <cell r="D7847" t="str">
            <v>SOJA</v>
          </cell>
          <cell r="E7847">
            <v>0</v>
          </cell>
        </row>
        <row r="7848">
          <cell r="A7848" t="str">
            <v>GO</v>
          </cell>
          <cell r="B7848">
            <v>2008</v>
          </cell>
          <cell r="D7848" t="str">
            <v>SOJA</v>
          </cell>
          <cell r="E7848">
            <v>0</v>
          </cell>
        </row>
        <row r="7849">
          <cell r="A7849" t="str">
            <v>MT</v>
          </cell>
          <cell r="B7849">
            <v>2008</v>
          </cell>
          <cell r="D7849" t="str">
            <v>SOJA</v>
          </cell>
          <cell r="E7849">
            <v>0</v>
          </cell>
        </row>
        <row r="7850">
          <cell r="A7850" t="str">
            <v>GO</v>
          </cell>
          <cell r="B7850">
            <v>2008</v>
          </cell>
          <cell r="D7850" t="str">
            <v>SOJA</v>
          </cell>
          <cell r="E7850">
            <v>0</v>
          </cell>
        </row>
        <row r="7851">
          <cell r="A7851" t="str">
            <v>MS</v>
          </cell>
          <cell r="B7851">
            <v>2008</v>
          </cell>
          <cell r="D7851" t="str">
            <v>SOJA</v>
          </cell>
          <cell r="E7851">
            <v>3.28</v>
          </cell>
        </row>
        <row r="7852">
          <cell r="A7852" t="str">
            <v>GO</v>
          </cell>
          <cell r="B7852">
            <v>2008</v>
          </cell>
          <cell r="D7852" t="str">
            <v>SOJA</v>
          </cell>
          <cell r="E7852">
            <v>540.73900000000003</v>
          </cell>
        </row>
        <row r="7853">
          <cell r="A7853" t="str">
            <v>GO</v>
          </cell>
          <cell r="B7853">
            <v>2008</v>
          </cell>
          <cell r="D7853" t="str">
            <v>SOJA</v>
          </cell>
          <cell r="E7853">
            <v>-47.408999999999999</v>
          </cell>
        </row>
        <row r="7854">
          <cell r="A7854" t="str">
            <v>MT</v>
          </cell>
          <cell r="B7854">
            <v>2008</v>
          </cell>
          <cell r="D7854" t="str">
            <v>SOJA</v>
          </cell>
          <cell r="E7854">
            <v>1408.759</v>
          </cell>
        </row>
        <row r="7855">
          <cell r="A7855" t="str">
            <v>MT</v>
          </cell>
          <cell r="B7855">
            <v>2008</v>
          </cell>
          <cell r="D7855" t="str">
            <v>SOJA</v>
          </cell>
          <cell r="E7855">
            <v>0</v>
          </cell>
        </row>
        <row r="7856">
          <cell r="A7856" t="str">
            <v>MT</v>
          </cell>
          <cell r="B7856">
            <v>2008</v>
          </cell>
          <cell r="D7856" t="str">
            <v>SOJA</v>
          </cell>
          <cell r="E7856">
            <v>225.982</v>
          </cell>
        </row>
        <row r="7857">
          <cell r="A7857" t="str">
            <v>MT</v>
          </cell>
          <cell r="B7857">
            <v>2008</v>
          </cell>
          <cell r="D7857" t="str">
            <v>SOJA</v>
          </cell>
          <cell r="E7857">
            <v>0</v>
          </cell>
        </row>
        <row r="7858">
          <cell r="A7858" t="str">
            <v>MT</v>
          </cell>
          <cell r="B7858">
            <v>2008</v>
          </cell>
          <cell r="D7858" t="str">
            <v>SOJA</v>
          </cell>
          <cell r="E7858">
            <v>-27.946999999999999</v>
          </cell>
        </row>
        <row r="7859">
          <cell r="A7859" t="str">
            <v>MT</v>
          </cell>
          <cell r="B7859">
            <v>2008</v>
          </cell>
          <cell r="D7859" t="str">
            <v>SOJA</v>
          </cell>
          <cell r="E7859">
            <v>18</v>
          </cell>
        </row>
        <row r="7860">
          <cell r="A7860" t="str">
            <v>MT</v>
          </cell>
          <cell r="B7860">
            <v>2008</v>
          </cell>
          <cell r="D7860" t="str">
            <v>SOJA</v>
          </cell>
          <cell r="E7860">
            <v>-13.782999999999999</v>
          </cell>
        </row>
        <row r="7861">
          <cell r="A7861" t="str">
            <v>MT</v>
          </cell>
          <cell r="B7861">
            <v>2008</v>
          </cell>
          <cell r="D7861" t="str">
            <v>SOJA</v>
          </cell>
          <cell r="E7861">
            <v>13.782999999999999</v>
          </cell>
        </row>
        <row r="7862">
          <cell r="A7862" t="str">
            <v>MT</v>
          </cell>
          <cell r="B7862">
            <v>2008</v>
          </cell>
          <cell r="D7862" t="str">
            <v>SOJA</v>
          </cell>
          <cell r="E7862">
            <v>402.01</v>
          </cell>
        </row>
        <row r="7863">
          <cell r="A7863" t="str">
            <v>MS</v>
          </cell>
          <cell r="B7863">
            <v>2008</v>
          </cell>
          <cell r="D7863" t="str">
            <v>SOJA</v>
          </cell>
          <cell r="E7863">
            <v>116.49</v>
          </cell>
        </row>
        <row r="7864">
          <cell r="A7864" t="str">
            <v>MS</v>
          </cell>
          <cell r="B7864">
            <v>2008</v>
          </cell>
          <cell r="D7864" t="str">
            <v>SOJA</v>
          </cell>
          <cell r="E7864">
            <v>219.13</v>
          </cell>
        </row>
        <row r="7865">
          <cell r="A7865" t="str">
            <v>MS</v>
          </cell>
          <cell r="B7865">
            <v>2008</v>
          </cell>
          <cell r="D7865" t="str">
            <v>SOJA</v>
          </cell>
          <cell r="E7865">
            <v>4.4770000000000003</v>
          </cell>
        </row>
        <row r="7866">
          <cell r="A7866" t="str">
            <v>MT</v>
          </cell>
          <cell r="B7866">
            <v>2008</v>
          </cell>
          <cell r="D7866" t="str">
            <v>SOJA</v>
          </cell>
          <cell r="E7866">
            <v>10499.084999999999</v>
          </cell>
        </row>
        <row r="7867">
          <cell r="A7867" t="str">
            <v>MT</v>
          </cell>
          <cell r="B7867">
            <v>2008</v>
          </cell>
          <cell r="D7867" t="str">
            <v>SOJA</v>
          </cell>
          <cell r="E7867">
            <v>404.83</v>
          </cell>
        </row>
        <row r="7868">
          <cell r="A7868" t="str">
            <v>MT</v>
          </cell>
          <cell r="B7868">
            <v>2008</v>
          </cell>
          <cell r="D7868" t="str">
            <v>SOJA</v>
          </cell>
          <cell r="E7868">
            <v>-379.78300000000002</v>
          </cell>
        </row>
        <row r="7869">
          <cell r="A7869" t="str">
            <v>MT</v>
          </cell>
          <cell r="B7869">
            <v>2008</v>
          </cell>
          <cell r="D7869" t="str">
            <v>SOJA</v>
          </cell>
          <cell r="E7869">
            <v>0</v>
          </cell>
        </row>
        <row r="7870">
          <cell r="A7870" t="str">
            <v>MT</v>
          </cell>
          <cell r="B7870">
            <v>2008</v>
          </cell>
          <cell r="D7870" t="str">
            <v>SOJA</v>
          </cell>
          <cell r="E7870">
            <v>3.9</v>
          </cell>
        </row>
        <row r="7871">
          <cell r="A7871" t="str">
            <v>MT</v>
          </cell>
          <cell r="B7871">
            <v>2008</v>
          </cell>
          <cell r="D7871" t="str">
            <v>SOJA</v>
          </cell>
          <cell r="E7871">
            <v>0</v>
          </cell>
        </row>
        <row r="7872">
          <cell r="A7872" t="str">
            <v>MT</v>
          </cell>
          <cell r="B7872">
            <v>2008</v>
          </cell>
          <cell r="D7872" t="str">
            <v>SOJA</v>
          </cell>
          <cell r="E7872">
            <v>-7383.5619999999999</v>
          </cell>
        </row>
        <row r="7873">
          <cell r="A7873" t="str">
            <v>MT</v>
          </cell>
          <cell r="B7873">
            <v>2008</v>
          </cell>
          <cell r="D7873" t="str">
            <v>SOJA</v>
          </cell>
          <cell r="E7873">
            <v>13.93</v>
          </cell>
        </row>
        <row r="7874">
          <cell r="A7874" t="str">
            <v>MT</v>
          </cell>
          <cell r="B7874">
            <v>2008</v>
          </cell>
          <cell r="D7874" t="str">
            <v>SOJA</v>
          </cell>
          <cell r="E7874">
            <v>-49.756</v>
          </cell>
        </row>
        <row r="7875">
          <cell r="A7875" t="str">
            <v>MT</v>
          </cell>
          <cell r="B7875">
            <v>2008</v>
          </cell>
          <cell r="D7875" t="str">
            <v>SOJA</v>
          </cell>
          <cell r="E7875">
            <v>-360.14499999999998</v>
          </cell>
        </row>
        <row r="7876">
          <cell r="A7876" t="str">
            <v>MT</v>
          </cell>
          <cell r="B7876">
            <v>2008</v>
          </cell>
          <cell r="D7876" t="str">
            <v>SOJA</v>
          </cell>
          <cell r="E7876">
            <v>-128.70699999999999</v>
          </cell>
        </row>
        <row r="7877">
          <cell r="A7877" t="str">
            <v>MT</v>
          </cell>
          <cell r="B7877">
            <v>2008</v>
          </cell>
          <cell r="D7877" t="str">
            <v>SOJA</v>
          </cell>
          <cell r="E7877">
            <v>0</v>
          </cell>
        </row>
        <row r="7878">
          <cell r="A7878" t="str">
            <v>MT</v>
          </cell>
          <cell r="B7878">
            <v>2008</v>
          </cell>
          <cell r="D7878" t="str">
            <v>SOJA</v>
          </cell>
          <cell r="E7878">
            <v>-19.655000000000001</v>
          </cell>
        </row>
        <row r="7879">
          <cell r="A7879" t="str">
            <v>MT</v>
          </cell>
          <cell r="B7879">
            <v>2008</v>
          </cell>
          <cell r="D7879" t="str">
            <v>SOJA</v>
          </cell>
          <cell r="E7879">
            <v>5702.2929999999997</v>
          </cell>
        </row>
        <row r="7880">
          <cell r="A7880" t="str">
            <v>MT</v>
          </cell>
          <cell r="B7880">
            <v>2008</v>
          </cell>
          <cell r="D7880" t="str">
            <v>SOJA</v>
          </cell>
          <cell r="E7880">
            <v>147.19399999999999</v>
          </cell>
        </row>
        <row r="7881">
          <cell r="A7881" t="str">
            <v>MT</v>
          </cell>
          <cell r="B7881">
            <v>2008</v>
          </cell>
          <cell r="D7881" t="str">
            <v>SOJA</v>
          </cell>
          <cell r="E7881">
            <v>41.78</v>
          </cell>
        </row>
        <row r="7882">
          <cell r="A7882" t="str">
            <v>MT</v>
          </cell>
          <cell r="B7882">
            <v>2008</v>
          </cell>
          <cell r="D7882" t="str">
            <v>SOJA</v>
          </cell>
          <cell r="E7882">
            <v>0</v>
          </cell>
        </row>
        <row r="7883">
          <cell r="A7883" t="str">
            <v>MT</v>
          </cell>
          <cell r="B7883">
            <v>2008</v>
          </cell>
          <cell r="D7883" t="str">
            <v>SOJA</v>
          </cell>
          <cell r="E7883">
            <v>0</v>
          </cell>
        </row>
        <row r="7884">
          <cell r="A7884" t="str">
            <v>MT</v>
          </cell>
          <cell r="B7884">
            <v>2008</v>
          </cell>
          <cell r="D7884" t="str">
            <v>SOJA</v>
          </cell>
          <cell r="E7884">
            <v>6.35</v>
          </cell>
        </row>
        <row r="7885">
          <cell r="A7885" t="str">
            <v>MT</v>
          </cell>
          <cell r="B7885">
            <v>2008</v>
          </cell>
          <cell r="D7885" t="str">
            <v>SOJA</v>
          </cell>
          <cell r="E7885">
            <v>0</v>
          </cell>
        </row>
        <row r="7886">
          <cell r="A7886" t="str">
            <v>RS</v>
          </cell>
          <cell r="B7886">
            <v>2008</v>
          </cell>
          <cell r="D7886" t="str">
            <v>SOJA</v>
          </cell>
          <cell r="E7886">
            <v>114.509</v>
          </cell>
        </row>
        <row r="7887">
          <cell r="A7887" t="str">
            <v>RS</v>
          </cell>
          <cell r="B7887">
            <v>2008</v>
          </cell>
          <cell r="D7887" t="str">
            <v>SOJA</v>
          </cell>
          <cell r="E7887">
            <v>3820.3240000000001</v>
          </cell>
        </row>
        <row r="7888">
          <cell r="A7888" t="str">
            <v>RS</v>
          </cell>
          <cell r="B7888">
            <v>2008</v>
          </cell>
          <cell r="D7888" t="str">
            <v>SOJA</v>
          </cell>
          <cell r="E7888">
            <v>3682.89</v>
          </cell>
        </row>
        <row r="7889">
          <cell r="A7889" t="str">
            <v>RS</v>
          </cell>
          <cell r="B7889">
            <v>2008</v>
          </cell>
          <cell r="D7889" t="str">
            <v>SOJA</v>
          </cell>
          <cell r="E7889">
            <v>31.98</v>
          </cell>
        </row>
        <row r="7890">
          <cell r="A7890" t="str">
            <v>RS</v>
          </cell>
          <cell r="B7890">
            <v>2008</v>
          </cell>
          <cell r="D7890" t="str">
            <v>SOJA</v>
          </cell>
          <cell r="E7890">
            <v>303.46600000000001</v>
          </cell>
        </row>
        <row r="7891">
          <cell r="A7891" t="str">
            <v>RS</v>
          </cell>
          <cell r="B7891">
            <v>2008</v>
          </cell>
          <cell r="D7891" t="str">
            <v>SOJA</v>
          </cell>
          <cell r="E7891">
            <v>3167.982</v>
          </cell>
        </row>
        <row r="7892">
          <cell r="A7892" t="str">
            <v>RS</v>
          </cell>
          <cell r="B7892">
            <v>2008</v>
          </cell>
          <cell r="D7892" t="str">
            <v>SOJA</v>
          </cell>
          <cell r="E7892">
            <v>686.58299999999997</v>
          </cell>
        </row>
        <row r="7893">
          <cell r="A7893" t="str">
            <v>RS</v>
          </cell>
          <cell r="B7893">
            <v>2008</v>
          </cell>
          <cell r="D7893" t="str">
            <v>SOJA</v>
          </cell>
          <cell r="E7893">
            <v>4968.8069999999998</v>
          </cell>
        </row>
        <row r="7894">
          <cell r="A7894" t="str">
            <v>RS</v>
          </cell>
          <cell r="B7894">
            <v>2008</v>
          </cell>
          <cell r="D7894" t="str">
            <v>SOJA</v>
          </cell>
          <cell r="E7894">
            <v>3618.1559999999999</v>
          </cell>
        </row>
        <row r="7895">
          <cell r="A7895" t="str">
            <v>RS</v>
          </cell>
          <cell r="B7895">
            <v>2008</v>
          </cell>
          <cell r="D7895" t="str">
            <v>SOJA</v>
          </cell>
          <cell r="E7895">
            <v>84.022999999999996</v>
          </cell>
        </row>
        <row r="7896">
          <cell r="A7896" t="str">
            <v>RS</v>
          </cell>
          <cell r="B7896">
            <v>2008</v>
          </cell>
          <cell r="D7896" t="str">
            <v>SOJA</v>
          </cell>
          <cell r="E7896">
            <v>1262.0609999999999</v>
          </cell>
        </row>
        <row r="7897">
          <cell r="A7897" t="str">
            <v>RS</v>
          </cell>
          <cell r="B7897">
            <v>2008</v>
          </cell>
          <cell r="D7897" t="str">
            <v>SOJA</v>
          </cell>
          <cell r="E7897">
            <v>748.97199999999998</v>
          </cell>
        </row>
        <row r="7898">
          <cell r="A7898" t="str">
            <v>RS</v>
          </cell>
          <cell r="B7898">
            <v>2008</v>
          </cell>
          <cell r="D7898" t="str">
            <v>SOJA</v>
          </cell>
          <cell r="E7898">
            <v>5896.3209999999999</v>
          </cell>
        </row>
        <row r="7899">
          <cell r="A7899" t="str">
            <v>SC</v>
          </cell>
          <cell r="B7899">
            <v>2008</v>
          </cell>
          <cell r="D7899" t="str">
            <v>SOJA</v>
          </cell>
          <cell r="E7899">
            <v>10167.212</v>
          </cell>
        </row>
        <row r="7900">
          <cell r="A7900" t="str">
            <v>SP</v>
          </cell>
          <cell r="B7900">
            <v>2008</v>
          </cell>
          <cell r="D7900" t="str">
            <v>SOJA</v>
          </cell>
          <cell r="E7900">
            <v>1070.76</v>
          </cell>
        </row>
        <row r="7901">
          <cell r="A7901" t="str">
            <v>PR</v>
          </cell>
          <cell r="B7901">
            <v>2008</v>
          </cell>
          <cell r="D7901" t="str">
            <v>SOJA</v>
          </cell>
          <cell r="E7901">
            <v>-87.337999999999994</v>
          </cell>
        </row>
        <row r="7902">
          <cell r="A7902" t="str">
            <v>PR</v>
          </cell>
          <cell r="B7902">
            <v>2008</v>
          </cell>
          <cell r="D7902" t="str">
            <v>SOJA</v>
          </cell>
          <cell r="E7902">
            <v>74.349999999999994</v>
          </cell>
        </row>
        <row r="7903">
          <cell r="A7903" t="str">
            <v>PR</v>
          </cell>
          <cell r="B7903">
            <v>2008</v>
          </cell>
          <cell r="D7903" t="str">
            <v>SOJA</v>
          </cell>
          <cell r="E7903">
            <v>0</v>
          </cell>
        </row>
        <row r="7904">
          <cell r="A7904" t="str">
            <v>PR</v>
          </cell>
          <cell r="B7904">
            <v>2008</v>
          </cell>
          <cell r="D7904" t="str">
            <v>SOJA</v>
          </cell>
          <cell r="E7904">
            <v>751.58600000000001</v>
          </cell>
        </row>
        <row r="7905">
          <cell r="A7905" t="str">
            <v>PR</v>
          </cell>
          <cell r="B7905">
            <v>2008</v>
          </cell>
          <cell r="D7905" t="str">
            <v>SOJA</v>
          </cell>
          <cell r="E7905">
            <v>2770.3339999999998</v>
          </cell>
        </row>
        <row r="7906">
          <cell r="A7906" t="str">
            <v>PR</v>
          </cell>
          <cell r="B7906">
            <v>2008</v>
          </cell>
          <cell r="D7906" t="str">
            <v>SOJA</v>
          </cell>
          <cell r="E7906">
            <v>6.64</v>
          </cell>
        </row>
        <row r="7907">
          <cell r="A7907" t="str">
            <v>PR</v>
          </cell>
          <cell r="B7907">
            <v>2008</v>
          </cell>
          <cell r="D7907" t="str">
            <v>SOJA</v>
          </cell>
          <cell r="E7907">
            <v>325.59800000000001</v>
          </cell>
        </row>
        <row r="7908">
          <cell r="A7908" t="str">
            <v>PR</v>
          </cell>
          <cell r="B7908">
            <v>2008</v>
          </cell>
          <cell r="D7908" t="str">
            <v>SOJA</v>
          </cell>
          <cell r="E7908">
            <v>99.606999999999999</v>
          </cell>
        </row>
        <row r="7909">
          <cell r="A7909" t="str">
            <v>PR</v>
          </cell>
          <cell r="B7909">
            <v>2008</v>
          </cell>
          <cell r="D7909" t="str">
            <v>SOJA</v>
          </cell>
          <cell r="E7909">
            <v>3560.0390000000002</v>
          </cell>
        </row>
        <row r="7910">
          <cell r="A7910" t="str">
            <v>PR</v>
          </cell>
          <cell r="B7910">
            <v>2008</v>
          </cell>
          <cell r="D7910" t="str">
            <v>SOJA</v>
          </cell>
          <cell r="E7910">
            <v>1394.1579999999999</v>
          </cell>
        </row>
        <row r="7911">
          <cell r="A7911" t="str">
            <v>PR</v>
          </cell>
          <cell r="B7911">
            <v>2008</v>
          </cell>
          <cell r="D7911" t="str">
            <v>SOJA</v>
          </cell>
          <cell r="E7911">
            <v>2128.14</v>
          </cell>
        </row>
        <row r="7912">
          <cell r="A7912" t="str">
            <v>BA</v>
          </cell>
          <cell r="B7912">
            <v>2008</v>
          </cell>
          <cell r="D7912" t="str">
            <v>MILHO</v>
          </cell>
          <cell r="E7912">
            <v>49.246000000000002</v>
          </cell>
        </row>
        <row r="7913">
          <cell r="A7913" t="str">
            <v>BA</v>
          </cell>
          <cell r="B7913">
            <v>2008</v>
          </cell>
          <cell r="D7913" t="str">
            <v>MILHO</v>
          </cell>
          <cell r="E7913">
            <v>477.62700000000001</v>
          </cell>
        </row>
        <row r="7914">
          <cell r="A7914" t="str">
            <v>BA</v>
          </cell>
          <cell r="B7914">
            <v>2008</v>
          </cell>
          <cell r="D7914" t="str">
            <v>MILHO</v>
          </cell>
          <cell r="E7914">
            <v>0</v>
          </cell>
        </row>
        <row r="7915">
          <cell r="A7915" t="str">
            <v>MG</v>
          </cell>
          <cell r="B7915">
            <v>2008</v>
          </cell>
          <cell r="D7915" t="str">
            <v>MILHO</v>
          </cell>
          <cell r="E7915">
            <v>4687.2539999999999</v>
          </cell>
        </row>
        <row r="7916">
          <cell r="A7916" t="str">
            <v>GO</v>
          </cell>
          <cell r="B7916">
            <v>2008</v>
          </cell>
          <cell r="D7916" t="str">
            <v>MILHO</v>
          </cell>
          <cell r="E7916">
            <v>0</v>
          </cell>
        </row>
        <row r="7917">
          <cell r="A7917" t="str">
            <v>GO</v>
          </cell>
          <cell r="B7917">
            <v>2008</v>
          </cell>
          <cell r="D7917" t="str">
            <v>MILHO</v>
          </cell>
          <cell r="E7917">
            <v>745.48599999999999</v>
          </cell>
        </row>
        <row r="7918">
          <cell r="A7918" t="str">
            <v>MT</v>
          </cell>
          <cell r="B7918">
            <v>2008</v>
          </cell>
          <cell r="D7918" t="str">
            <v>MILHO</v>
          </cell>
          <cell r="E7918">
            <v>-31.141999999999999</v>
          </cell>
        </row>
        <row r="7919">
          <cell r="A7919" t="str">
            <v>GO</v>
          </cell>
          <cell r="B7919">
            <v>2008</v>
          </cell>
          <cell r="D7919" t="str">
            <v>MILHO</v>
          </cell>
          <cell r="E7919">
            <v>2405.3519999999999</v>
          </cell>
        </row>
        <row r="7920">
          <cell r="A7920" t="str">
            <v>GO</v>
          </cell>
          <cell r="B7920">
            <v>2008</v>
          </cell>
          <cell r="D7920" t="str">
            <v>MILHO</v>
          </cell>
          <cell r="E7920">
            <v>-23.19</v>
          </cell>
        </row>
        <row r="7921">
          <cell r="A7921" t="str">
            <v>MS</v>
          </cell>
          <cell r="B7921">
            <v>2008</v>
          </cell>
          <cell r="D7921" t="str">
            <v>MILHO</v>
          </cell>
          <cell r="E7921">
            <v>0</v>
          </cell>
        </row>
        <row r="7922">
          <cell r="A7922" t="str">
            <v>GO</v>
          </cell>
          <cell r="B7922">
            <v>2008</v>
          </cell>
          <cell r="D7922" t="str">
            <v>MILHO</v>
          </cell>
          <cell r="E7922">
            <v>15023.715</v>
          </cell>
        </row>
        <row r="7923">
          <cell r="A7923" t="str">
            <v>MT</v>
          </cell>
          <cell r="B7923">
            <v>2008</v>
          </cell>
          <cell r="D7923" t="str">
            <v>MILHO</v>
          </cell>
          <cell r="E7923">
            <v>4914.9070000000002</v>
          </cell>
        </row>
        <row r="7924">
          <cell r="A7924" t="str">
            <v>MT</v>
          </cell>
          <cell r="B7924">
            <v>2008</v>
          </cell>
          <cell r="D7924" t="str">
            <v>MILHO</v>
          </cell>
          <cell r="E7924">
            <v>-588.101</v>
          </cell>
        </row>
        <row r="7925">
          <cell r="A7925" t="str">
            <v>MT</v>
          </cell>
          <cell r="B7925">
            <v>2008</v>
          </cell>
          <cell r="D7925" t="str">
            <v>MILHO</v>
          </cell>
          <cell r="E7925">
            <v>144.6</v>
          </cell>
        </row>
        <row r="7926">
          <cell r="A7926" t="str">
            <v>MT</v>
          </cell>
          <cell r="B7926">
            <v>2008</v>
          </cell>
          <cell r="D7926" t="str">
            <v>MILHO</v>
          </cell>
          <cell r="E7926">
            <v>0</v>
          </cell>
        </row>
        <row r="7927">
          <cell r="A7927" t="str">
            <v>MT</v>
          </cell>
          <cell r="B7927">
            <v>2008</v>
          </cell>
          <cell r="D7927" t="str">
            <v>MILHO</v>
          </cell>
          <cell r="E7927">
            <v>4600</v>
          </cell>
        </row>
        <row r="7928">
          <cell r="A7928" t="str">
            <v>MT</v>
          </cell>
          <cell r="B7928">
            <v>2008</v>
          </cell>
          <cell r="D7928" t="str">
            <v>MILHO</v>
          </cell>
          <cell r="E7928">
            <v>0</v>
          </cell>
        </row>
        <row r="7929">
          <cell r="A7929" t="str">
            <v>MT</v>
          </cell>
          <cell r="B7929">
            <v>2008</v>
          </cell>
          <cell r="D7929" t="str">
            <v>MILHO</v>
          </cell>
          <cell r="E7929">
            <v>-60.000999999999998</v>
          </cell>
        </row>
        <row r="7930">
          <cell r="A7930" t="str">
            <v>MS</v>
          </cell>
          <cell r="B7930">
            <v>2008</v>
          </cell>
          <cell r="D7930" t="str">
            <v>MILHO</v>
          </cell>
          <cell r="E7930">
            <v>7141.7830000000004</v>
          </cell>
        </row>
        <row r="7931">
          <cell r="A7931" t="str">
            <v>MS</v>
          </cell>
          <cell r="B7931">
            <v>2008</v>
          </cell>
          <cell r="D7931" t="str">
            <v>MILHO</v>
          </cell>
          <cell r="E7931">
            <v>586.03399999999999</v>
          </cell>
        </row>
        <row r="7932">
          <cell r="A7932" t="str">
            <v>MS</v>
          </cell>
          <cell r="B7932">
            <v>2008</v>
          </cell>
          <cell r="D7932" t="str">
            <v>MILHO</v>
          </cell>
          <cell r="E7932">
            <v>1347.6479999999999</v>
          </cell>
        </row>
        <row r="7933">
          <cell r="A7933" t="str">
            <v>MS</v>
          </cell>
          <cell r="B7933">
            <v>2008</v>
          </cell>
          <cell r="D7933" t="str">
            <v>MILHO</v>
          </cell>
          <cell r="E7933">
            <v>6140.9</v>
          </cell>
        </row>
        <row r="7934">
          <cell r="A7934" t="str">
            <v>MS</v>
          </cell>
          <cell r="B7934">
            <v>2008</v>
          </cell>
          <cell r="D7934" t="str">
            <v>MILHO</v>
          </cell>
          <cell r="E7934">
            <v>855.92</v>
          </cell>
        </row>
        <row r="7935">
          <cell r="A7935" t="str">
            <v>MS</v>
          </cell>
          <cell r="B7935">
            <v>2008</v>
          </cell>
          <cell r="D7935" t="str">
            <v>MILHO</v>
          </cell>
          <cell r="E7935">
            <v>4941.5469999999996</v>
          </cell>
        </row>
        <row r="7936">
          <cell r="A7936" t="str">
            <v>MT</v>
          </cell>
          <cell r="B7936">
            <v>2008</v>
          </cell>
          <cell r="D7936" t="str">
            <v>MILHO</v>
          </cell>
          <cell r="E7936">
            <v>0</v>
          </cell>
        </row>
        <row r="7937">
          <cell r="A7937" t="str">
            <v>MT</v>
          </cell>
          <cell r="B7937">
            <v>2008</v>
          </cell>
          <cell r="D7937" t="str">
            <v>MILHO</v>
          </cell>
          <cell r="E7937">
            <v>0</v>
          </cell>
        </row>
        <row r="7938">
          <cell r="A7938" t="str">
            <v>MT</v>
          </cell>
          <cell r="B7938">
            <v>2008</v>
          </cell>
          <cell r="D7938" t="str">
            <v>MILHO</v>
          </cell>
          <cell r="E7938">
            <v>-447.17700000000002</v>
          </cell>
        </row>
        <row r="7939">
          <cell r="A7939" t="str">
            <v>MT</v>
          </cell>
          <cell r="B7939">
            <v>2008</v>
          </cell>
          <cell r="D7939" t="str">
            <v>MILHO</v>
          </cell>
          <cell r="E7939">
            <v>0</v>
          </cell>
        </row>
        <row r="7940">
          <cell r="A7940" t="str">
            <v>MT</v>
          </cell>
          <cell r="B7940">
            <v>2008</v>
          </cell>
          <cell r="D7940" t="str">
            <v>MILHO</v>
          </cell>
          <cell r="E7940">
            <v>8400</v>
          </cell>
        </row>
        <row r="7941">
          <cell r="A7941" t="str">
            <v>MT</v>
          </cell>
          <cell r="B7941">
            <v>2008</v>
          </cell>
          <cell r="D7941" t="str">
            <v>MILHO</v>
          </cell>
          <cell r="E7941">
            <v>908.04700000000003</v>
          </cell>
        </row>
        <row r="7942">
          <cell r="A7942" t="str">
            <v>MT</v>
          </cell>
          <cell r="B7942">
            <v>2008</v>
          </cell>
          <cell r="D7942" t="str">
            <v>MILHO</v>
          </cell>
          <cell r="E7942">
            <v>-401.27600000000001</v>
          </cell>
        </row>
        <row r="7943">
          <cell r="A7943" t="str">
            <v>MT</v>
          </cell>
          <cell r="B7943">
            <v>2008</v>
          </cell>
          <cell r="D7943" t="str">
            <v>MILHO</v>
          </cell>
          <cell r="E7943">
            <v>7240.1850000000004</v>
          </cell>
        </row>
        <row r="7944">
          <cell r="A7944" t="str">
            <v>MT</v>
          </cell>
          <cell r="B7944">
            <v>2008</v>
          </cell>
          <cell r="D7944" t="str">
            <v>MILHO</v>
          </cell>
          <cell r="E7944">
            <v>-3456.1840000000002</v>
          </cell>
        </row>
        <row r="7945">
          <cell r="A7945" t="str">
            <v>MT</v>
          </cell>
          <cell r="B7945">
            <v>2008</v>
          </cell>
          <cell r="D7945" t="str">
            <v>MILHO</v>
          </cell>
          <cell r="E7945">
            <v>-3059.326</v>
          </cell>
        </row>
        <row r="7946">
          <cell r="A7946" t="str">
            <v>MT</v>
          </cell>
          <cell r="B7946">
            <v>2008</v>
          </cell>
          <cell r="D7946" t="str">
            <v>MILHO</v>
          </cell>
          <cell r="E7946">
            <v>-321.661</v>
          </cell>
        </row>
        <row r="7947">
          <cell r="A7947" t="str">
            <v>MT</v>
          </cell>
          <cell r="B7947">
            <v>2008</v>
          </cell>
          <cell r="D7947" t="str">
            <v>MILHO</v>
          </cell>
          <cell r="E7947">
            <v>-113.658</v>
          </cell>
        </row>
        <row r="7948">
          <cell r="A7948" t="str">
            <v>MT</v>
          </cell>
          <cell r="B7948">
            <v>2008</v>
          </cell>
          <cell r="D7948" t="str">
            <v>MILHO</v>
          </cell>
          <cell r="E7948">
            <v>-554.74800000000005</v>
          </cell>
        </row>
        <row r="7949">
          <cell r="A7949" t="str">
            <v>MT</v>
          </cell>
          <cell r="B7949">
            <v>2008</v>
          </cell>
          <cell r="D7949" t="str">
            <v>MILHO</v>
          </cell>
          <cell r="E7949">
            <v>462.34399999999999</v>
          </cell>
        </row>
        <row r="7950">
          <cell r="A7950" t="str">
            <v>MT</v>
          </cell>
          <cell r="B7950">
            <v>2008</v>
          </cell>
          <cell r="D7950" t="str">
            <v>MILHO</v>
          </cell>
          <cell r="E7950">
            <v>0</v>
          </cell>
        </row>
        <row r="7951">
          <cell r="A7951" t="str">
            <v>MT</v>
          </cell>
          <cell r="B7951">
            <v>2008</v>
          </cell>
          <cell r="D7951" t="str">
            <v>MILHO</v>
          </cell>
          <cell r="E7951">
            <v>0</v>
          </cell>
        </row>
        <row r="7952">
          <cell r="A7952" t="str">
            <v>MT</v>
          </cell>
          <cell r="B7952">
            <v>2008</v>
          </cell>
          <cell r="D7952" t="str">
            <v>MILHO</v>
          </cell>
          <cell r="E7952">
            <v>8440.9869999999992</v>
          </cell>
        </row>
        <row r="7953">
          <cell r="A7953" t="str">
            <v>RS</v>
          </cell>
          <cell r="B7953">
            <v>2008</v>
          </cell>
          <cell r="D7953" t="str">
            <v>MILHO</v>
          </cell>
          <cell r="E7953">
            <v>0</v>
          </cell>
        </row>
        <row r="7954">
          <cell r="A7954" t="str">
            <v>RS</v>
          </cell>
          <cell r="B7954">
            <v>2008</v>
          </cell>
          <cell r="D7954" t="str">
            <v>MILHO</v>
          </cell>
          <cell r="E7954">
            <v>15.964</v>
          </cell>
        </row>
        <row r="7955">
          <cell r="A7955" t="str">
            <v>RS</v>
          </cell>
          <cell r="B7955">
            <v>2008</v>
          </cell>
          <cell r="D7955" t="str">
            <v>MILHO</v>
          </cell>
          <cell r="E7955">
            <v>-33.871000000000002</v>
          </cell>
        </row>
        <row r="7956">
          <cell r="A7956" t="str">
            <v>RS</v>
          </cell>
          <cell r="B7956">
            <v>2008</v>
          </cell>
          <cell r="D7956" t="str">
            <v>MILHO</v>
          </cell>
          <cell r="E7956">
            <v>17.907</v>
          </cell>
        </row>
        <row r="7957">
          <cell r="A7957" t="str">
            <v>SC</v>
          </cell>
          <cell r="B7957">
            <v>2008</v>
          </cell>
          <cell r="D7957" t="str">
            <v>MILHO</v>
          </cell>
          <cell r="E7957">
            <v>-24.92</v>
          </cell>
        </row>
        <row r="7958">
          <cell r="A7958" t="str">
            <v>PR</v>
          </cell>
          <cell r="B7958">
            <v>2008</v>
          </cell>
          <cell r="D7958" t="str">
            <v>MILHO</v>
          </cell>
          <cell r="E7958">
            <v>3477.3240000000001</v>
          </cell>
        </row>
        <row r="7959">
          <cell r="A7959" t="str">
            <v>PR</v>
          </cell>
          <cell r="B7959">
            <v>2008</v>
          </cell>
          <cell r="D7959" t="str">
            <v>MILHO</v>
          </cell>
          <cell r="E7959">
            <v>189.87</v>
          </cell>
        </row>
        <row r="7960">
          <cell r="A7960" t="str">
            <v>PR</v>
          </cell>
          <cell r="B7960">
            <v>2008</v>
          </cell>
          <cell r="D7960" t="str">
            <v>MILHO</v>
          </cell>
          <cell r="E7960">
            <v>2.58</v>
          </cell>
        </row>
        <row r="7961">
          <cell r="A7961" t="str">
            <v>PR</v>
          </cell>
          <cell r="B7961">
            <v>2008</v>
          </cell>
          <cell r="D7961" t="str">
            <v>MILHO</v>
          </cell>
          <cell r="E7961">
            <v>5335.6980000000003</v>
          </cell>
        </row>
        <row r="7962">
          <cell r="A7962" t="str">
            <v>PR</v>
          </cell>
          <cell r="B7962">
            <v>2008</v>
          </cell>
          <cell r="D7962" t="str">
            <v>MILHO</v>
          </cell>
          <cell r="E7962">
            <v>8735.5159999999996</v>
          </cell>
        </row>
        <row r="7963">
          <cell r="A7963" t="str">
            <v>PR</v>
          </cell>
          <cell r="B7963">
            <v>2008</v>
          </cell>
          <cell r="D7963" t="str">
            <v>MILHO</v>
          </cell>
          <cell r="E7963">
            <v>28548.991000000002</v>
          </cell>
        </row>
        <row r="7964">
          <cell r="A7964" t="str">
            <v>PR</v>
          </cell>
          <cell r="B7964">
            <v>2008</v>
          </cell>
          <cell r="D7964" t="str">
            <v>MILHO</v>
          </cell>
          <cell r="E7964">
            <v>5929.0309999999999</v>
          </cell>
        </row>
        <row r="7965">
          <cell r="A7965" t="str">
            <v>PR</v>
          </cell>
          <cell r="B7965">
            <v>2008</v>
          </cell>
          <cell r="D7965" t="str">
            <v>MILHO</v>
          </cell>
          <cell r="E7965">
            <v>1612.0429999999999</v>
          </cell>
        </row>
        <row r="7966">
          <cell r="A7966" t="str">
            <v>PR</v>
          </cell>
          <cell r="B7966">
            <v>2008</v>
          </cell>
          <cell r="D7966" t="str">
            <v>MILHO</v>
          </cell>
          <cell r="E7966">
            <v>0</v>
          </cell>
        </row>
        <row r="7967">
          <cell r="A7967" t="str">
            <v>PR</v>
          </cell>
          <cell r="B7967">
            <v>2008</v>
          </cell>
          <cell r="D7967" t="str">
            <v>MILHO</v>
          </cell>
          <cell r="E7967">
            <v>22760.35</v>
          </cell>
        </row>
        <row r="7968">
          <cell r="A7968" t="str">
            <v>PR</v>
          </cell>
          <cell r="B7968">
            <v>2008</v>
          </cell>
          <cell r="D7968" t="str">
            <v>MILHO</v>
          </cell>
          <cell r="E7968">
            <v>0</v>
          </cell>
        </row>
        <row r="7969">
          <cell r="A7969" t="str">
            <v>PR</v>
          </cell>
          <cell r="B7969">
            <v>2008</v>
          </cell>
          <cell r="D7969" t="str">
            <v>MILHO</v>
          </cell>
          <cell r="E7969">
            <v>34.987000000000002</v>
          </cell>
        </row>
        <row r="7970">
          <cell r="A7970" t="str">
            <v>MT</v>
          </cell>
          <cell r="B7970">
            <v>2008</v>
          </cell>
          <cell r="D7970" t="str">
            <v>SOJA</v>
          </cell>
          <cell r="E7970">
            <v>167.941</v>
          </cell>
        </row>
        <row r="7971">
          <cell r="A7971" t="str">
            <v>RS</v>
          </cell>
          <cell r="B7971">
            <v>2008</v>
          </cell>
          <cell r="D7971" t="str">
            <v>SOJA</v>
          </cell>
          <cell r="E7971">
            <v>0</v>
          </cell>
        </row>
        <row r="7972">
          <cell r="A7972" t="str">
            <v>PR</v>
          </cell>
          <cell r="B7972">
            <v>2008</v>
          </cell>
          <cell r="D7972" t="str">
            <v>SOJA</v>
          </cell>
          <cell r="E7972">
            <v>17.954999999999998</v>
          </cell>
        </row>
        <row r="7973">
          <cell r="A7973" t="str">
            <v>BA</v>
          </cell>
          <cell r="B7973">
            <v>2008</v>
          </cell>
          <cell r="D7973" t="str">
            <v>SOJA</v>
          </cell>
          <cell r="E7973">
            <v>150</v>
          </cell>
        </row>
        <row r="7974">
          <cell r="A7974" t="str">
            <v>BA</v>
          </cell>
          <cell r="B7974">
            <v>2008</v>
          </cell>
          <cell r="D7974" t="str">
            <v>SOJA</v>
          </cell>
          <cell r="E7974">
            <v>103.227</v>
          </cell>
        </row>
        <row r="7975">
          <cell r="A7975" t="str">
            <v>BA</v>
          </cell>
          <cell r="B7975">
            <v>2008</v>
          </cell>
          <cell r="D7975" t="str">
            <v>SOJA</v>
          </cell>
          <cell r="E7975">
            <v>126.342</v>
          </cell>
        </row>
        <row r="7976">
          <cell r="A7976" t="str">
            <v>BA</v>
          </cell>
          <cell r="B7976">
            <v>2008</v>
          </cell>
          <cell r="D7976" t="str">
            <v>SOJA</v>
          </cell>
          <cell r="E7976">
            <v>0</v>
          </cell>
        </row>
        <row r="7977">
          <cell r="A7977" t="str">
            <v>BA</v>
          </cell>
          <cell r="B7977">
            <v>2008</v>
          </cell>
          <cell r="D7977" t="str">
            <v>SOJA</v>
          </cell>
          <cell r="E7977">
            <v>44.875999999999998</v>
          </cell>
        </row>
        <row r="7978">
          <cell r="A7978" t="str">
            <v>BA</v>
          </cell>
          <cell r="B7978">
            <v>2008</v>
          </cell>
          <cell r="D7978" t="str">
            <v>SOJA</v>
          </cell>
          <cell r="E7978">
            <v>265.37200000000001</v>
          </cell>
        </row>
        <row r="7979">
          <cell r="A7979" t="str">
            <v>BA</v>
          </cell>
          <cell r="B7979">
            <v>2008</v>
          </cell>
          <cell r="D7979" t="str">
            <v>SOJA</v>
          </cell>
          <cell r="E7979">
            <v>291.95299999999997</v>
          </cell>
        </row>
        <row r="7980">
          <cell r="A7980" t="str">
            <v>BA</v>
          </cell>
          <cell r="B7980">
            <v>2008</v>
          </cell>
          <cell r="D7980" t="str">
            <v>SOJA</v>
          </cell>
          <cell r="E7980">
            <v>883.67700000000002</v>
          </cell>
        </row>
        <row r="7981">
          <cell r="A7981" t="str">
            <v>BA</v>
          </cell>
          <cell r="B7981">
            <v>2008</v>
          </cell>
          <cell r="D7981" t="str">
            <v>SOJA</v>
          </cell>
          <cell r="E7981">
            <v>468.44299999999998</v>
          </cell>
        </row>
        <row r="7982">
          <cell r="A7982" t="str">
            <v>BA</v>
          </cell>
          <cell r="B7982">
            <v>2008</v>
          </cell>
          <cell r="D7982" t="str">
            <v>SOJA</v>
          </cell>
          <cell r="E7982">
            <v>-360.44499999999999</v>
          </cell>
        </row>
        <row r="7983">
          <cell r="A7983" t="str">
            <v>BA</v>
          </cell>
          <cell r="B7983">
            <v>2008</v>
          </cell>
          <cell r="D7983" t="str">
            <v>SOJA</v>
          </cell>
          <cell r="E7983">
            <v>978.01800000000003</v>
          </cell>
        </row>
        <row r="7984">
          <cell r="A7984" t="str">
            <v>BA</v>
          </cell>
          <cell r="B7984">
            <v>2008</v>
          </cell>
          <cell r="D7984" t="str">
            <v>SOJA</v>
          </cell>
          <cell r="E7984">
            <v>346.08300000000003</v>
          </cell>
        </row>
        <row r="7985">
          <cell r="A7985" t="str">
            <v>TO</v>
          </cell>
          <cell r="B7985">
            <v>2008</v>
          </cell>
          <cell r="D7985" t="str">
            <v>SOJA</v>
          </cell>
          <cell r="E7985">
            <v>161.714</v>
          </cell>
        </row>
        <row r="7986">
          <cell r="A7986" t="str">
            <v>MA</v>
          </cell>
          <cell r="B7986">
            <v>2008</v>
          </cell>
          <cell r="D7986" t="str">
            <v>SOJA</v>
          </cell>
          <cell r="E7986">
            <v>11.342000000000001</v>
          </cell>
        </row>
        <row r="7987">
          <cell r="A7987" t="str">
            <v>MA</v>
          </cell>
          <cell r="B7987">
            <v>2008</v>
          </cell>
          <cell r="D7987" t="str">
            <v>SOJA</v>
          </cell>
          <cell r="E7987">
            <v>-1059.18</v>
          </cell>
        </row>
        <row r="7988">
          <cell r="A7988" t="str">
            <v>MA</v>
          </cell>
          <cell r="B7988">
            <v>2008</v>
          </cell>
          <cell r="D7988" t="str">
            <v>SOJA</v>
          </cell>
          <cell r="E7988">
            <v>-4.4980000000000002</v>
          </cell>
        </row>
        <row r="7989">
          <cell r="A7989" t="str">
            <v>MA</v>
          </cell>
          <cell r="B7989">
            <v>2008</v>
          </cell>
          <cell r="D7989" t="str">
            <v>SOJA</v>
          </cell>
          <cell r="E7989">
            <v>0</v>
          </cell>
        </row>
        <row r="7990">
          <cell r="A7990" t="str">
            <v>MA</v>
          </cell>
          <cell r="B7990">
            <v>2008</v>
          </cell>
          <cell r="D7990" t="str">
            <v>SOJA</v>
          </cell>
          <cell r="E7990">
            <v>6.99</v>
          </cell>
        </row>
        <row r="7991">
          <cell r="A7991" t="str">
            <v>TO</v>
          </cell>
          <cell r="B7991">
            <v>2008</v>
          </cell>
          <cell r="D7991" t="str">
            <v>SOJA</v>
          </cell>
          <cell r="E7991">
            <v>289.5</v>
          </cell>
        </row>
        <row r="7992">
          <cell r="A7992" t="str">
            <v>MA</v>
          </cell>
          <cell r="B7992">
            <v>2008</v>
          </cell>
          <cell r="D7992" t="str">
            <v>SOJA</v>
          </cell>
          <cell r="E7992">
            <v>58.546999999999997</v>
          </cell>
        </row>
        <row r="7993">
          <cell r="A7993" t="str">
            <v>TO</v>
          </cell>
          <cell r="B7993">
            <v>2008</v>
          </cell>
          <cell r="D7993" t="str">
            <v>SOJA</v>
          </cell>
          <cell r="E7993">
            <v>-70</v>
          </cell>
        </row>
        <row r="7994">
          <cell r="A7994" t="str">
            <v>PI</v>
          </cell>
          <cell r="B7994">
            <v>2008</v>
          </cell>
          <cell r="D7994" t="str">
            <v>SOJA</v>
          </cell>
          <cell r="E7994">
            <v>0</v>
          </cell>
        </row>
        <row r="7995">
          <cell r="A7995" t="str">
            <v>PI</v>
          </cell>
          <cell r="B7995">
            <v>2008</v>
          </cell>
          <cell r="D7995" t="str">
            <v>SOJA</v>
          </cell>
          <cell r="E7995">
            <v>-336.35599999999999</v>
          </cell>
        </row>
        <row r="7996">
          <cell r="A7996" t="str">
            <v>PI</v>
          </cell>
          <cell r="B7996">
            <v>2008</v>
          </cell>
          <cell r="D7996" t="str">
            <v>SOJA</v>
          </cell>
          <cell r="E7996">
            <v>49.725999999999999</v>
          </cell>
        </row>
        <row r="7997">
          <cell r="A7997" t="str">
            <v>PI</v>
          </cell>
          <cell r="B7997">
            <v>2008</v>
          </cell>
          <cell r="D7997" t="str">
            <v>SOJA</v>
          </cell>
          <cell r="E7997">
            <v>65.257999999999996</v>
          </cell>
        </row>
        <row r="7998">
          <cell r="A7998" t="str">
            <v>GO</v>
          </cell>
          <cell r="B7998">
            <v>2008</v>
          </cell>
          <cell r="D7998" t="str">
            <v>SOJA</v>
          </cell>
          <cell r="E7998">
            <v>463.74</v>
          </cell>
        </row>
        <row r="7999">
          <cell r="A7999" t="str">
            <v>GO</v>
          </cell>
          <cell r="B7999">
            <v>2008</v>
          </cell>
          <cell r="D7999" t="str">
            <v>SOJA</v>
          </cell>
          <cell r="E7999">
            <v>0</v>
          </cell>
        </row>
        <row r="8000">
          <cell r="A8000" t="str">
            <v>MG</v>
          </cell>
          <cell r="B8000">
            <v>2008</v>
          </cell>
          <cell r="D8000" t="str">
            <v>SOJA</v>
          </cell>
          <cell r="E8000">
            <v>146.614</v>
          </cell>
        </row>
        <row r="8001">
          <cell r="A8001" t="str">
            <v>GO</v>
          </cell>
          <cell r="B8001">
            <v>2008</v>
          </cell>
          <cell r="D8001" t="str">
            <v>SOJA</v>
          </cell>
          <cell r="E8001">
            <v>972.98299999999995</v>
          </cell>
        </row>
        <row r="8002">
          <cell r="A8002" t="str">
            <v>GO</v>
          </cell>
          <cell r="B8002">
            <v>2008</v>
          </cell>
          <cell r="D8002" t="str">
            <v>SOJA</v>
          </cell>
          <cell r="E8002">
            <v>-300</v>
          </cell>
        </row>
        <row r="8003">
          <cell r="A8003" t="str">
            <v>GO</v>
          </cell>
          <cell r="B8003">
            <v>2008</v>
          </cell>
          <cell r="D8003" t="str">
            <v>SOJA</v>
          </cell>
          <cell r="E8003">
            <v>5.5229999999999997</v>
          </cell>
        </row>
        <row r="8004">
          <cell r="A8004" t="str">
            <v>MG</v>
          </cell>
          <cell r="B8004">
            <v>2008</v>
          </cell>
          <cell r="D8004" t="str">
            <v>SOJA</v>
          </cell>
          <cell r="E8004">
            <v>-44.116999999999997</v>
          </cell>
        </row>
        <row r="8005">
          <cell r="A8005" t="str">
            <v>GO</v>
          </cell>
          <cell r="B8005">
            <v>2008</v>
          </cell>
          <cell r="D8005" t="str">
            <v>SOJA</v>
          </cell>
          <cell r="E8005">
            <v>0</v>
          </cell>
        </row>
        <row r="8006">
          <cell r="A8006" t="str">
            <v>GO</v>
          </cell>
          <cell r="B8006">
            <v>2008</v>
          </cell>
          <cell r="D8006" t="str">
            <v>SOJA</v>
          </cell>
          <cell r="E8006">
            <v>-45.331000000000003</v>
          </cell>
        </row>
        <row r="8007">
          <cell r="A8007" t="str">
            <v>GO</v>
          </cell>
          <cell r="B8007">
            <v>2008</v>
          </cell>
          <cell r="D8007" t="str">
            <v>SOJA</v>
          </cell>
          <cell r="E8007">
            <v>0</v>
          </cell>
        </row>
        <row r="8008">
          <cell r="A8008" t="str">
            <v>MT</v>
          </cell>
          <cell r="B8008">
            <v>2008</v>
          </cell>
          <cell r="D8008" t="str">
            <v>SOJA</v>
          </cell>
          <cell r="E8008">
            <v>0</v>
          </cell>
        </row>
        <row r="8009">
          <cell r="A8009" t="str">
            <v>GO</v>
          </cell>
          <cell r="B8009">
            <v>2008</v>
          </cell>
          <cell r="D8009" t="str">
            <v>SOJA</v>
          </cell>
          <cell r="E8009">
            <v>-26.75</v>
          </cell>
        </row>
        <row r="8010">
          <cell r="A8010" t="str">
            <v>MS</v>
          </cell>
          <cell r="B8010">
            <v>2008</v>
          </cell>
          <cell r="D8010" t="str">
            <v>SOJA</v>
          </cell>
          <cell r="E8010">
            <v>0</v>
          </cell>
        </row>
        <row r="8011">
          <cell r="A8011" t="str">
            <v>GO</v>
          </cell>
          <cell r="B8011">
            <v>2008</v>
          </cell>
          <cell r="D8011" t="str">
            <v>SOJA</v>
          </cell>
          <cell r="E8011">
            <v>5174.0609999999997</v>
          </cell>
        </row>
        <row r="8012">
          <cell r="A8012" t="str">
            <v>MT</v>
          </cell>
          <cell r="B8012">
            <v>2008</v>
          </cell>
          <cell r="D8012" t="str">
            <v>SOJA</v>
          </cell>
          <cell r="E8012">
            <v>215.56</v>
          </cell>
        </row>
        <row r="8013">
          <cell r="A8013" t="str">
            <v>MT</v>
          </cell>
          <cell r="B8013">
            <v>2008</v>
          </cell>
          <cell r="D8013" t="str">
            <v>SOJA</v>
          </cell>
          <cell r="E8013">
            <v>4019.0329999999999</v>
          </cell>
        </row>
        <row r="8014">
          <cell r="A8014" t="str">
            <v>MT</v>
          </cell>
          <cell r="B8014">
            <v>2008</v>
          </cell>
          <cell r="D8014" t="str">
            <v>SOJA</v>
          </cell>
          <cell r="E8014">
            <v>69.900000000000006</v>
          </cell>
        </row>
        <row r="8015">
          <cell r="A8015" t="str">
            <v>MT</v>
          </cell>
          <cell r="B8015">
            <v>2008</v>
          </cell>
          <cell r="D8015" t="str">
            <v>SOJA</v>
          </cell>
          <cell r="E8015">
            <v>0</v>
          </cell>
        </row>
        <row r="8016">
          <cell r="A8016" t="str">
            <v>MT</v>
          </cell>
          <cell r="B8016">
            <v>2008</v>
          </cell>
          <cell r="D8016" t="str">
            <v>SOJA</v>
          </cell>
          <cell r="E8016">
            <v>2111.4209999999998</v>
          </cell>
        </row>
        <row r="8017">
          <cell r="A8017" t="str">
            <v>MT</v>
          </cell>
          <cell r="B8017">
            <v>2008</v>
          </cell>
          <cell r="D8017" t="str">
            <v>SOJA</v>
          </cell>
          <cell r="E8017">
            <v>110.851</v>
          </cell>
        </row>
        <row r="8018">
          <cell r="A8018" t="str">
            <v>MT</v>
          </cell>
          <cell r="B8018">
            <v>2008</v>
          </cell>
          <cell r="D8018" t="str">
            <v>SOJA</v>
          </cell>
          <cell r="E8018">
            <v>0</v>
          </cell>
        </row>
        <row r="8019">
          <cell r="A8019" t="str">
            <v>MT</v>
          </cell>
          <cell r="B8019">
            <v>2008</v>
          </cell>
          <cell r="D8019" t="str">
            <v>SOJA</v>
          </cell>
          <cell r="E8019">
            <v>0</v>
          </cell>
        </row>
        <row r="8020">
          <cell r="A8020" t="str">
            <v>MS</v>
          </cell>
          <cell r="B8020">
            <v>2008</v>
          </cell>
          <cell r="D8020" t="str">
            <v>SOJA</v>
          </cell>
          <cell r="E8020">
            <v>181.447</v>
          </cell>
        </row>
        <row r="8021">
          <cell r="A8021" t="str">
            <v>MS</v>
          </cell>
          <cell r="B8021">
            <v>2008</v>
          </cell>
          <cell r="D8021" t="str">
            <v>SOJA</v>
          </cell>
          <cell r="E8021">
            <v>3134.6370000000002</v>
          </cell>
        </row>
        <row r="8022">
          <cell r="A8022" t="str">
            <v>MS</v>
          </cell>
          <cell r="B8022">
            <v>2008</v>
          </cell>
          <cell r="D8022" t="str">
            <v>SOJA</v>
          </cell>
          <cell r="E8022">
            <v>0</v>
          </cell>
        </row>
        <row r="8023">
          <cell r="A8023" t="str">
            <v>MT</v>
          </cell>
          <cell r="B8023">
            <v>2008</v>
          </cell>
          <cell r="D8023" t="str">
            <v>SOJA</v>
          </cell>
          <cell r="E8023">
            <v>6670.89</v>
          </cell>
        </row>
        <row r="8024">
          <cell r="A8024" t="str">
            <v>MT</v>
          </cell>
          <cell r="B8024">
            <v>2008</v>
          </cell>
          <cell r="D8024" t="str">
            <v>SOJA</v>
          </cell>
          <cell r="E8024">
            <v>0</v>
          </cell>
        </row>
        <row r="8025">
          <cell r="A8025" t="str">
            <v>MT</v>
          </cell>
          <cell r="B8025">
            <v>2008</v>
          </cell>
          <cell r="D8025" t="str">
            <v>SOJA</v>
          </cell>
          <cell r="E8025">
            <v>-84</v>
          </cell>
        </row>
        <row r="8026">
          <cell r="A8026" t="str">
            <v>MT</v>
          </cell>
          <cell r="B8026">
            <v>2008</v>
          </cell>
          <cell r="D8026" t="str">
            <v>SOJA</v>
          </cell>
          <cell r="E8026">
            <v>262.79399999999998</v>
          </cell>
        </row>
        <row r="8027">
          <cell r="A8027" t="str">
            <v>MT</v>
          </cell>
          <cell r="B8027">
            <v>2008</v>
          </cell>
          <cell r="D8027" t="str">
            <v>SOJA</v>
          </cell>
          <cell r="E8027">
            <v>0</v>
          </cell>
        </row>
        <row r="8028">
          <cell r="A8028" t="str">
            <v>MT</v>
          </cell>
          <cell r="B8028">
            <v>2008</v>
          </cell>
          <cell r="D8028" t="str">
            <v>SOJA</v>
          </cell>
          <cell r="E8028">
            <v>2555.6010000000001</v>
          </cell>
        </row>
        <row r="8029">
          <cell r="A8029" t="str">
            <v>MT</v>
          </cell>
          <cell r="B8029">
            <v>2008</v>
          </cell>
          <cell r="D8029" t="str">
            <v>SOJA</v>
          </cell>
          <cell r="E8029">
            <v>0</v>
          </cell>
        </row>
        <row r="8030">
          <cell r="A8030" t="str">
            <v>MT</v>
          </cell>
          <cell r="B8030">
            <v>2008</v>
          </cell>
          <cell r="D8030" t="str">
            <v>SOJA</v>
          </cell>
          <cell r="E8030">
            <v>0</v>
          </cell>
        </row>
        <row r="8031">
          <cell r="A8031" t="str">
            <v>MT</v>
          </cell>
          <cell r="B8031">
            <v>2008</v>
          </cell>
          <cell r="D8031" t="str">
            <v>SOJA</v>
          </cell>
          <cell r="E8031">
            <v>0</v>
          </cell>
        </row>
        <row r="8032">
          <cell r="A8032" t="str">
            <v>MT</v>
          </cell>
          <cell r="B8032">
            <v>2008</v>
          </cell>
          <cell r="D8032" t="str">
            <v>SOJA</v>
          </cell>
          <cell r="E8032">
            <v>0</v>
          </cell>
        </row>
        <row r="8033">
          <cell r="A8033" t="str">
            <v>MT</v>
          </cell>
          <cell r="B8033">
            <v>2008</v>
          </cell>
          <cell r="D8033" t="str">
            <v>SOJA</v>
          </cell>
          <cell r="E8033">
            <v>0</v>
          </cell>
        </row>
        <row r="8034">
          <cell r="A8034" t="str">
            <v>MT</v>
          </cell>
          <cell r="B8034">
            <v>2008</v>
          </cell>
          <cell r="D8034" t="str">
            <v>SOJA</v>
          </cell>
          <cell r="E8034">
            <v>0</v>
          </cell>
        </row>
        <row r="8035">
          <cell r="A8035" t="str">
            <v>MT</v>
          </cell>
          <cell r="B8035">
            <v>2008</v>
          </cell>
          <cell r="D8035" t="str">
            <v>SOJA</v>
          </cell>
          <cell r="E8035">
            <v>798.21500000000003</v>
          </cell>
        </row>
        <row r="8036">
          <cell r="A8036" t="str">
            <v>MT</v>
          </cell>
          <cell r="B8036">
            <v>2008</v>
          </cell>
          <cell r="D8036" t="str">
            <v>SOJA</v>
          </cell>
          <cell r="E8036">
            <v>369.22500000000002</v>
          </cell>
        </row>
        <row r="8037">
          <cell r="A8037" t="str">
            <v>MT</v>
          </cell>
          <cell r="B8037">
            <v>2008</v>
          </cell>
          <cell r="D8037" t="str">
            <v>SOJA</v>
          </cell>
          <cell r="E8037">
            <v>7.7030000000000003</v>
          </cell>
        </row>
        <row r="8038">
          <cell r="A8038" t="str">
            <v>MT</v>
          </cell>
          <cell r="B8038">
            <v>2008</v>
          </cell>
          <cell r="D8038" t="str">
            <v>SOJA</v>
          </cell>
          <cell r="E8038">
            <v>0</v>
          </cell>
        </row>
        <row r="8039">
          <cell r="A8039" t="str">
            <v>MT</v>
          </cell>
          <cell r="B8039">
            <v>2008</v>
          </cell>
          <cell r="D8039" t="str">
            <v>SOJA</v>
          </cell>
          <cell r="E8039">
            <v>0</v>
          </cell>
        </row>
        <row r="8040">
          <cell r="A8040" t="str">
            <v>MT</v>
          </cell>
          <cell r="B8040">
            <v>2008</v>
          </cell>
          <cell r="D8040" t="str">
            <v>SOJA</v>
          </cell>
          <cell r="E8040">
            <v>0</v>
          </cell>
        </row>
        <row r="8041">
          <cell r="A8041" t="str">
            <v>MT</v>
          </cell>
          <cell r="B8041">
            <v>2008</v>
          </cell>
          <cell r="D8041" t="str">
            <v>SOJA</v>
          </cell>
          <cell r="E8041">
            <v>0</v>
          </cell>
        </row>
        <row r="8042">
          <cell r="A8042" t="str">
            <v>MT</v>
          </cell>
          <cell r="B8042">
            <v>2008</v>
          </cell>
          <cell r="D8042" t="str">
            <v>SOJA</v>
          </cell>
          <cell r="E8042">
            <v>0</v>
          </cell>
        </row>
        <row r="8043">
          <cell r="A8043" t="str">
            <v>MT</v>
          </cell>
          <cell r="B8043">
            <v>2008</v>
          </cell>
          <cell r="D8043" t="str">
            <v>SOJA</v>
          </cell>
          <cell r="E8043">
            <v>0</v>
          </cell>
        </row>
        <row r="8044">
          <cell r="A8044" t="str">
            <v>RS</v>
          </cell>
          <cell r="B8044">
            <v>2008</v>
          </cell>
          <cell r="D8044" t="str">
            <v>SOJA</v>
          </cell>
          <cell r="E8044">
            <v>123.07</v>
          </cell>
        </row>
        <row r="8045">
          <cell r="A8045" t="str">
            <v>RS</v>
          </cell>
          <cell r="B8045">
            <v>2008</v>
          </cell>
          <cell r="D8045" t="str">
            <v>SOJA</v>
          </cell>
          <cell r="E8045">
            <v>3411.5039999999999</v>
          </cell>
        </row>
        <row r="8046">
          <cell r="A8046" t="str">
            <v>RS</v>
          </cell>
          <cell r="B8046">
            <v>2008</v>
          </cell>
          <cell r="D8046" t="str">
            <v>SOJA</v>
          </cell>
          <cell r="E8046">
            <v>4097.9530000000004</v>
          </cell>
        </row>
        <row r="8047">
          <cell r="A8047" t="str">
            <v>RS</v>
          </cell>
          <cell r="B8047">
            <v>2008</v>
          </cell>
          <cell r="D8047" t="str">
            <v>SOJA</v>
          </cell>
          <cell r="E8047">
            <v>0</v>
          </cell>
        </row>
        <row r="8048">
          <cell r="A8048" t="str">
            <v>RS</v>
          </cell>
          <cell r="B8048">
            <v>2008</v>
          </cell>
          <cell r="D8048" t="str">
            <v>SOJA</v>
          </cell>
          <cell r="E8048">
            <v>434.58600000000001</v>
          </cell>
        </row>
        <row r="8049">
          <cell r="A8049" t="str">
            <v>RS</v>
          </cell>
          <cell r="B8049">
            <v>2008</v>
          </cell>
          <cell r="D8049" t="str">
            <v>SOJA</v>
          </cell>
          <cell r="E8049">
            <v>2832.6379999999999</v>
          </cell>
        </row>
        <row r="8050">
          <cell r="A8050" t="str">
            <v>RS</v>
          </cell>
          <cell r="B8050">
            <v>2008</v>
          </cell>
          <cell r="D8050" t="str">
            <v>SOJA</v>
          </cell>
          <cell r="E8050">
            <v>193.49600000000001</v>
          </cell>
        </row>
        <row r="8051">
          <cell r="A8051" t="str">
            <v>RS</v>
          </cell>
          <cell r="B8051">
            <v>2008</v>
          </cell>
          <cell r="D8051" t="str">
            <v>SOJA</v>
          </cell>
          <cell r="E8051">
            <v>1373.2360000000001</v>
          </cell>
        </row>
        <row r="8052">
          <cell r="A8052" t="str">
            <v>RS</v>
          </cell>
          <cell r="B8052">
            <v>2008</v>
          </cell>
          <cell r="D8052" t="str">
            <v>SOJA</v>
          </cell>
          <cell r="E8052">
            <v>3668.1390000000001</v>
          </cell>
        </row>
        <row r="8053">
          <cell r="A8053" t="str">
            <v>RS</v>
          </cell>
          <cell r="B8053">
            <v>2008</v>
          </cell>
          <cell r="D8053" t="str">
            <v>SOJA</v>
          </cell>
          <cell r="E8053">
            <v>-139.137</v>
          </cell>
        </row>
        <row r="8054">
          <cell r="A8054" t="str">
            <v>RS</v>
          </cell>
          <cell r="B8054">
            <v>2008</v>
          </cell>
          <cell r="D8054" t="str">
            <v>SOJA</v>
          </cell>
          <cell r="E8054">
            <v>1417.2719999999999</v>
          </cell>
        </row>
        <row r="8055">
          <cell r="A8055" t="str">
            <v>RS</v>
          </cell>
          <cell r="B8055">
            <v>2008</v>
          </cell>
          <cell r="D8055" t="str">
            <v>SOJA</v>
          </cell>
          <cell r="E8055">
            <v>303.76799999999997</v>
          </cell>
        </row>
        <row r="8056">
          <cell r="A8056" t="str">
            <v>RS</v>
          </cell>
          <cell r="B8056">
            <v>2008</v>
          </cell>
          <cell r="D8056" t="str">
            <v>SOJA</v>
          </cell>
          <cell r="E8056">
            <v>5562.0910000000003</v>
          </cell>
        </row>
        <row r="8057">
          <cell r="A8057" t="str">
            <v>SC</v>
          </cell>
          <cell r="B8057">
            <v>2008</v>
          </cell>
          <cell r="D8057" t="str">
            <v>SOJA</v>
          </cell>
          <cell r="E8057">
            <v>121.535</v>
          </cell>
        </row>
        <row r="8058">
          <cell r="A8058" t="str">
            <v>PR</v>
          </cell>
          <cell r="B8058">
            <v>2008</v>
          </cell>
          <cell r="D8058" t="str">
            <v>SOJA</v>
          </cell>
          <cell r="E8058">
            <v>0</v>
          </cell>
        </row>
        <row r="8059">
          <cell r="A8059" t="str">
            <v>PR</v>
          </cell>
          <cell r="B8059">
            <v>2008</v>
          </cell>
          <cell r="D8059" t="str">
            <v>SOJA</v>
          </cell>
          <cell r="E8059">
            <v>0</v>
          </cell>
        </row>
        <row r="8060">
          <cell r="A8060" t="str">
            <v>PR</v>
          </cell>
          <cell r="B8060">
            <v>2008</v>
          </cell>
          <cell r="D8060" t="str">
            <v>SOJA</v>
          </cell>
          <cell r="E8060">
            <v>592.37400000000002</v>
          </cell>
        </row>
        <row r="8061">
          <cell r="A8061" t="str">
            <v>PR</v>
          </cell>
          <cell r="B8061">
            <v>2008</v>
          </cell>
          <cell r="D8061" t="str">
            <v>SOJA</v>
          </cell>
          <cell r="E8061">
            <v>0</v>
          </cell>
        </row>
        <row r="8062">
          <cell r="A8062" t="str">
            <v>PR</v>
          </cell>
          <cell r="B8062">
            <v>2008</v>
          </cell>
          <cell r="D8062" t="str">
            <v>SOJA</v>
          </cell>
          <cell r="E8062">
            <v>-6.234</v>
          </cell>
        </row>
        <row r="8063">
          <cell r="A8063" t="str">
            <v>PR</v>
          </cell>
          <cell r="B8063">
            <v>2008</v>
          </cell>
          <cell r="D8063" t="str">
            <v>SOJA</v>
          </cell>
          <cell r="E8063">
            <v>50.433</v>
          </cell>
        </row>
        <row r="8064">
          <cell r="A8064" t="str">
            <v>PR</v>
          </cell>
          <cell r="B8064">
            <v>2008</v>
          </cell>
          <cell r="D8064" t="str">
            <v>SOJA</v>
          </cell>
          <cell r="E8064">
            <v>2656.4</v>
          </cell>
        </row>
        <row r="8065">
          <cell r="A8065" t="str">
            <v>PR</v>
          </cell>
          <cell r="B8065">
            <v>2008</v>
          </cell>
          <cell r="D8065" t="str">
            <v>SOJA</v>
          </cell>
          <cell r="E8065">
            <v>0</v>
          </cell>
        </row>
        <row r="8066">
          <cell r="A8066" t="str">
            <v>PR</v>
          </cell>
          <cell r="B8066">
            <v>2008</v>
          </cell>
          <cell r="D8066" t="str">
            <v>SOJA</v>
          </cell>
          <cell r="E8066">
            <v>348.83300000000003</v>
          </cell>
        </row>
        <row r="8067">
          <cell r="A8067" t="str">
            <v>PR</v>
          </cell>
          <cell r="B8067">
            <v>2008</v>
          </cell>
          <cell r="D8067" t="str">
            <v>MILHO</v>
          </cell>
          <cell r="E8067">
            <v>-6.1929999999999996</v>
          </cell>
        </row>
        <row r="8068">
          <cell r="A8068" t="str">
            <v>PR</v>
          </cell>
          <cell r="B8068">
            <v>2008</v>
          </cell>
          <cell r="D8068" t="str">
            <v>MILHO</v>
          </cell>
          <cell r="E8068">
            <v>6.1929999999999996</v>
          </cell>
        </row>
        <row r="8069">
          <cell r="A8069" t="str">
            <v>BA</v>
          </cell>
          <cell r="B8069">
            <v>2008</v>
          </cell>
          <cell r="D8069" t="str">
            <v>MILHO</v>
          </cell>
          <cell r="E8069">
            <v>0</v>
          </cell>
        </row>
        <row r="8070">
          <cell r="A8070" t="str">
            <v>BA</v>
          </cell>
          <cell r="B8070">
            <v>2008</v>
          </cell>
          <cell r="D8070" t="str">
            <v>MILHO</v>
          </cell>
          <cell r="E8070">
            <v>3907.4009999999998</v>
          </cell>
        </row>
        <row r="8071">
          <cell r="A8071" t="str">
            <v>BA</v>
          </cell>
          <cell r="B8071">
            <v>2008</v>
          </cell>
          <cell r="D8071" t="str">
            <v>MILHO</v>
          </cell>
          <cell r="E8071">
            <v>-451.21600000000001</v>
          </cell>
        </row>
        <row r="8072">
          <cell r="A8072" t="str">
            <v>BA</v>
          </cell>
          <cell r="B8072">
            <v>2008</v>
          </cell>
          <cell r="D8072" t="str">
            <v>MILHO</v>
          </cell>
          <cell r="E8072">
            <v>0</v>
          </cell>
        </row>
        <row r="8073">
          <cell r="A8073" t="str">
            <v>BA</v>
          </cell>
          <cell r="B8073">
            <v>2008</v>
          </cell>
          <cell r="D8073" t="str">
            <v>MILHO</v>
          </cell>
          <cell r="E8073">
            <v>-5.76</v>
          </cell>
        </row>
        <row r="8074">
          <cell r="A8074" t="str">
            <v>MG</v>
          </cell>
          <cell r="B8074">
            <v>2008</v>
          </cell>
          <cell r="D8074" t="str">
            <v>MILHO</v>
          </cell>
          <cell r="E8074">
            <v>-4555.0749999999998</v>
          </cell>
        </row>
        <row r="8075">
          <cell r="A8075" t="str">
            <v>GO</v>
          </cell>
          <cell r="B8075">
            <v>2008</v>
          </cell>
          <cell r="D8075" t="str">
            <v>MILHO</v>
          </cell>
          <cell r="E8075">
            <v>0</v>
          </cell>
        </row>
        <row r="8076">
          <cell r="A8076" t="str">
            <v>GO</v>
          </cell>
          <cell r="B8076">
            <v>2008</v>
          </cell>
          <cell r="D8076" t="str">
            <v>MILHO</v>
          </cell>
          <cell r="E8076">
            <v>16439.43</v>
          </cell>
        </row>
        <row r="8077">
          <cell r="A8077" t="str">
            <v>MT</v>
          </cell>
          <cell r="B8077">
            <v>2008</v>
          </cell>
          <cell r="D8077" t="str">
            <v>MILHO</v>
          </cell>
          <cell r="E8077">
            <v>74.418999999999997</v>
          </cell>
        </row>
        <row r="8078">
          <cell r="A8078" t="str">
            <v>GO</v>
          </cell>
          <cell r="B8078">
            <v>2008</v>
          </cell>
          <cell r="D8078" t="str">
            <v>MILHO</v>
          </cell>
          <cell r="E8078">
            <v>19181.832999999999</v>
          </cell>
        </row>
        <row r="8079">
          <cell r="A8079" t="str">
            <v>MS</v>
          </cell>
          <cell r="B8079">
            <v>2008</v>
          </cell>
          <cell r="D8079" t="str">
            <v>MILHO</v>
          </cell>
          <cell r="E8079">
            <v>0</v>
          </cell>
        </row>
        <row r="8080">
          <cell r="A8080" t="str">
            <v>GO</v>
          </cell>
          <cell r="B8080">
            <v>2008</v>
          </cell>
          <cell r="D8080" t="str">
            <v>MILHO</v>
          </cell>
          <cell r="E8080">
            <v>3465.33</v>
          </cell>
        </row>
        <row r="8081">
          <cell r="A8081" t="str">
            <v>GO</v>
          </cell>
          <cell r="B8081">
            <v>2008</v>
          </cell>
          <cell r="D8081" t="str">
            <v>MILHO</v>
          </cell>
          <cell r="E8081">
            <v>8793.9390000000003</v>
          </cell>
        </row>
        <row r="8082">
          <cell r="A8082" t="str">
            <v>MT</v>
          </cell>
          <cell r="B8082">
            <v>2008</v>
          </cell>
          <cell r="D8082" t="str">
            <v>MILHO</v>
          </cell>
          <cell r="E8082">
            <v>6955.1760000000004</v>
          </cell>
        </row>
        <row r="8083">
          <cell r="A8083" t="str">
            <v>MT</v>
          </cell>
          <cell r="B8083">
            <v>2008</v>
          </cell>
          <cell r="D8083" t="str">
            <v>MILHO</v>
          </cell>
          <cell r="E8083">
            <v>22.661999999999999</v>
          </cell>
        </row>
        <row r="8084">
          <cell r="A8084" t="str">
            <v>MT</v>
          </cell>
          <cell r="B8084">
            <v>2008</v>
          </cell>
          <cell r="D8084" t="str">
            <v>MILHO</v>
          </cell>
          <cell r="E8084">
            <v>300</v>
          </cell>
        </row>
        <row r="8085">
          <cell r="A8085" t="str">
            <v>MT</v>
          </cell>
          <cell r="B8085">
            <v>2008</v>
          </cell>
          <cell r="D8085" t="str">
            <v>MILHO</v>
          </cell>
          <cell r="E8085">
            <v>1574.134</v>
          </cell>
        </row>
        <row r="8086">
          <cell r="A8086" t="str">
            <v>MT</v>
          </cell>
          <cell r="B8086">
            <v>2008</v>
          </cell>
          <cell r="D8086" t="str">
            <v>MILHO</v>
          </cell>
          <cell r="E8086">
            <v>0</v>
          </cell>
        </row>
        <row r="8087">
          <cell r="A8087" t="str">
            <v>MT</v>
          </cell>
          <cell r="B8087">
            <v>2008</v>
          </cell>
          <cell r="D8087" t="str">
            <v>MILHO</v>
          </cell>
          <cell r="E8087">
            <v>3658.4870000000001</v>
          </cell>
        </row>
        <row r="8088">
          <cell r="A8088" t="str">
            <v>MS</v>
          </cell>
          <cell r="B8088">
            <v>2008</v>
          </cell>
          <cell r="D8088" t="str">
            <v>MILHO</v>
          </cell>
          <cell r="E8088">
            <v>16.907</v>
          </cell>
        </row>
        <row r="8089">
          <cell r="A8089" t="str">
            <v>MS</v>
          </cell>
          <cell r="B8089">
            <v>2008</v>
          </cell>
          <cell r="D8089" t="str">
            <v>MILHO</v>
          </cell>
          <cell r="E8089">
            <v>0</v>
          </cell>
        </row>
        <row r="8090">
          <cell r="A8090" t="str">
            <v>MS</v>
          </cell>
          <cell r="B8090">
            <v>2008</v>
          </cell>
          <cell r="D8090" t="str">
            <v>MILHO</v>
          </cell>
          <cell r="E8090">
            <v>579.02</v>
          </cell>
        </row>
        <row r="8091">
          <cell r="A8091" t="str">
            <v>MS</v>
          </cell>
          <cell r="B8091">
            <v>2008</v>
          </cell>
          <cell r="D8091" t="str">
            <v>MILHO</v>
          </cell>
          <cell r="E8091">
            <v>547.34400000000005</v>
          </cell>
        </row>
        <row r="8092">
          <cell r="A8092" t="str">
            <v>MS</v>
          </cell>
          <cell r="B8092">
            <v>2008</v>
          </cell>
          <cell r="D8092" t="str">
            <v>MILHO</v>
          </cell>
          <cell r="E8092">
            <v>21.12</v>
          </cell>
        </row>
        <row r="8093">
          <cell r="A8093" t="str">
            <v>MS</v>
          </cell>
          <cell r="B8093">
            <v>2008</v>
          </cell>
          <cell r="D8093" t="str">
            <v>MILHO</v>
          </cell>
          <cell r="E8093">
            <v>115.383</v>
          </cell>
        </row>
        <row r="8094">
          <cell r="A8094" t="str">
            <v>MT</v>
          </cell>
          <cell r="B8094">
            <v>2008</v>
          </cell>
          <cell r="D8094" t="str">
            <v>MILHO</v>
          </cell>
          <cell r="E8094">
            <v>0</v>
          </cell>
        </row>
        <row r="8095">
          <cell r="A8095" t="str">
            <v>MT</v>
          </cell>
          <cell r="B8095">
            <v>2008</v>
          </cell>
          <cell r="D8095" t="str">
            <v>MILHO</v>
          </cell>
          <cell r="E8095">
            <v>0</v>
          </cell>
        </row>
        <row r="8096">
          <cell r="A8096" t="str">
            <v>MT</v>
          </cell>
          <cell r="B8096">
            <v>2008</v>
          </cell>
          <cell r="D8096" t="str">
            <v>MILHO</v>
          </cell>
          <cell r="E8096">
            <v>0</v>
          </cell>
        </row>
        <row r="8097">
          <cell r="A8097" t="str">
            <v>MT</v>
          </cell>
          <cell r="B8097">
            <v>2008</v>
          </cell>
          <cell r="D8097" t="str">
            <v>MILHO</v>
          </cell>
          <cell r="E8097">
            <v>0</v>
          </cell>
        </row>
        <row r="8098">
          <cell r="A8098" t="str">
            <v>MT</v>
          </cell>
          <cell r="B8098">
            <v>2008</v>
          </cell>
          <cell r="D8098" t="str">
            <v>MILHO</v>
          </cell>
          <cell r="E8098">
            <v>2891.08</v>
          </cell>
        </row>
        <row r="8099">
          <cell r="A8099" t="str">
            <v>MT</v>
          </cell>
          <cell r="B8099">
            <v>2008</v>
          </cell>
          <cell r="D8099" t="str">
            <v>MILHO</v>
          </cell>
          <cell r="E8099">
            <v>1067.751</v>
          </cell>
        </row>
        <row r="8100">
          <cell r="A8100" t="str">
            <v>MT</v>
          </cell>
          <cell r="B8100">
            <v>2008</v>
          </cell>
          <cell r="D8100" t="str">
            <v>MILHO</v>
          </cell>
          <cell r="E8100">
            <v>4092.3209999999999</v>
          </cell>
        </row>
        <row r="8101">
          <cell r="A8101" t="str">
            <v>MT</v>
          </cell>
          <cell r="B8101">
            <v>2008</v>
          </cell>
          <cell r="D8101" t="str">
            <v>MILHO</v>
          </cell>
          <cell r="E8101">
            <v>3047.3180000000002</v>
          </cell>
        </row>
        <row r="8102">
          <cell r="A8102" t="str">
            <v>MT</v>
          </cell>
          <cell r="B8102">
            <v>2008</v>
          </cell>
          <cell r="D8102" t="str">
            <v>MILHO</v>
          </cell>
          <cell r="E8102">
            <v>4654.3599999999997</v>
          </cell>
        </row>
        <row r="8103">
          <cell r="A8103" t="str">
            <v>MT</v>
          </cell>
          <cell r="B8103">
            <v>2008</v>
          </cell>
          <cell r="D8103" t="str">
            <v>MILHO</v>
          </cell>
          <cell r="E8103">
            <v>6306.9179999999997</v>
          </cell>
        </row>
        <row r="8104">
          <cell r="A8104" t="str">
            <v>MT</v>
          </cell>
          <cell r="B8104">
            <v>2008</v>
          </cell>
          <cell r="D8104" t="str">
            <v>MILHO</v>
          </cell>
          <cell r="E8104">
            <v>1.5009999999999999</v>
          </cell>
        </row>
        <row r="8105">
          <cell r="A8105" t="str">
            <v>MT</v>
          </cell>
          <cell r="B8105">
            <v>2008</v>
          </cell>
          <cell r="D8105" t="str">
            <v>MILHO</v>
          </cell>
          <cell r="E8105">
            <v>0</v>
          </cell>
        </row>
        <row r="8106">
          <cell r="A8106" t="str">
            <v>MT</v>
          </cell>
          <cell r="B8106">
            <v>2008</v>
          </cell>
          <cell r="D8106" t="str">
            <v>MILHO</v>
          </cell>
          <cell r="E8106">
            <v>5028.7290000000003</v>
          </cell>
        </row>
        <row r="8107">
          <cell r="A8107" t="str">
            <v>MT</v>
          </cell>
          <cell r="B8107">
            <v>2008</v>
          </cell>
          <cell r="D8107" t="str">
            <v>MILHO</v>
          </cell>
          <cell r="E8107">
            <v>0</v>
          </cell>
        </row>
        <row r="8108">
          <cell r="A8108" t="str">
            <v>MT</v>
          </cell>
          <cell r="B8108">
            <v>2008</v>
          </cell>
          <cell r="D8108" t="str">
            <v>MILHO</v>
          </cell>
          <cell r="E8108">
            <v>0</v>
          </cell>
        </row>
        <row r="8109">
          <cell r="A8109" t="str">
            <v>MT</v>
          </cell>
          <cell r="B8109">
            <v>2008</v>
          </cell>
          <cell r="D8109" t="str">
            <v>MILHO</v>
          </cell>
          <cell r="E8109">
            <v>0</v>
          </cell>
        </row>
        <row r="8110">
          <cell r="A8110" t="str">
            <v>MT</v>
          </cell>
          <cell r="B8110">
            <v>2008</v>
          </cell>
          <cell r="D8110" t="str">
            <v>MILHO</v>
          </cell>
          <cell r="E8110">
            <v>0</v>
          </cell>
        </row>
        <row r="8111">
          <cell r="A8111" t="str">
            <v>SC</v>
          </cell>
          <cell r="B8111">
            <v>2008</v>
          </cell>
          <cell r="D8111" t="str">
            <v>MILHO</v>
          </cell>
          <cell r="E8111">
            <v>49.933999999999997</v>
          </cell>
        </row>
        <row r="8112">
          <cell r="A8112" t="str">
            <v>PR</v>
          </cell>
          <cell r="B8112">
            <v>2008</v>
          </cell>
          <cell r="D8112" t="str">
            <v>MILHO</v>
          </cell>
          <cell r="E8112">
            <v>-41.347999999999999</v>
          </cell>
        </row>
        <row r="8113">
          <cell r="A8113" t="str">
            <v>PR</v>
          </cell>
          <cell r="B8113">
            <v>2008</v>
          </cell>
          <cell r="D8113" t="str">
            <v>MILHO</v>
          </cell>
          <cell r="E8113">
            <v>-443.541</v>
          </cell>
        </row>
        <row r="8114">
          <cell r="A8114" t="str">
            <v>PR</v>
          </cell>
          <cell r="B8114">
            <v>2008</v>
          </cell>
          <cell r="D8114" t="str">
            <v>MILHO</v>
          </cell>
          <cell r="E8114">
            <v>-1.3</v>
          </cell>
        </row>
        <row r="8115">
          <cell r="A8115" t="str">
            <v>PR</v>
          </cell>
          <cell r="B8115">
            <v>2008</v>
          </cell>
          <cell r="D8115" t="str">
            <v>MILHO</v>
          </cell>
          <cell r="E8115">
            <v>33.874000000000002</v>
          </cell>
        </row>
        <row r="8116">
          <cell r="A8116" t="str">
            <v>PR</v>
          </cell>
          <cell r="B8116">
            <v>2008</v>
          </cell>
          <cell r="D8116" t="str">
            <v>MILHO</v>
          </cell>
          <cell r="E8116">
            <v>10281.02</v>
          </cell>
        </row>
        <row r="8117">
          <cell r="A8117" t="str">
            <v>PR</v>
          </cell>
          <cell r="B8117">
            <v>2008</v>
          </cell>
          <cell r="D8117" t="str">
            <v>MILHO</v>
          </cell>
          <cell r="E8117">
            <v>1698.9860000000001</v>
          </cell>
        </row>
        <row r="8118">
          <cell r="A8118" t="str">
            <v>PR</v>
          </cell>
          <cell r="B8118">
            <v>2008</v>
          </cell>
          <cell r="D8118" t="str">
            <v>MILHO</v>
          </cell>
          <cell r="E8118">
            <v>8083.7650000000003</v>
          </cell>
        </row>
        <row r="8119">
          <cell r="A8119" t="str">
            <v>PR</v>
          </cell>
          <cell r="B8119">
            <v>2008</v>
          </cell>
          <cell r="D8119" t="str">
            <v>MILHO</v>
          </cell>
          <cell r="E8119">
            <v>293.32600000000002</v>
          </cell>
        </row>
        <row r="8120">
          <cell r="A8120" t="str">
            <v>PR</v>
          </cell>
          <cell r="B8120">
            <v>2008</v>
          </cell>
          <cell r="D8120" t="str">
            <v>MILHO</v>
          </cell>
          <cell r="E8120">
            <v>258.51</v>
          </cell>
        </row>
        <row r="8121">
          <cell r="A8121" t="str">
            <v>PR</v>
          </cell>
          <cell r="B8121">
            <v>2008</v>
          </cell>
          <cell r="D8121" t="str">
            <v>MILHO</v>
          </cell>
          <cell r="E8121">
            <v>259.06299999999999</v>
          </cell>
        </row>
        <row r="8122">
          <cell r="A8122" t="str">
            <v>PR</v>
          </cell>
          <cell r="B8122">
            <v>2008</v>
          </cell>
          <cell r="D8122" t="str">
            <v>MILHO</v>
          </cell>
          <cell r="E8122">
            <v>0</v>
          </cell>
        </row>
        <row r="8123">
          <cell r="A8123" t="str">
            <v>PR</v>
          </cell>
          <cell r="B8123">
            <v>2008</v>
          </cell>
          <cell r="D8123" t="str">
            <v>MILHO</v>
          </cell>
          <cell r="E8123">
            <v>29599.885999999999</v>
          </cell>
        </row>
        <row r="8124">
          <cell r="A8124" t="str">
            <v>PR</v>
          </cell>
          <cell r="B8124">
            <v>2008</v>
          </cell>
          <cell r="D8124" t="str">
            <v>MILHO</v>
          </cell>
          <cell r="E8124">
            <v>-259.06299999999999</v>
          </cell>
        </row>
        <row r="8125">
          <cell r="A8125" t="str">
            <v>PR</v>
          </cell>
          <cell r="B8125">
            <v>2008</v>
          </cell>
          <cell r="D8125" t="str">
            <v>MILHO</v>
          </cell>
          <cell r="E8125">
            <v>0</v>
          </cell>
        </row>
        <row r="8126">
          <cell r="A8126" t="str">
            <v>PR</v>
          </cell>
          <cell r="B8126">
            <v>2008</v>
          </cell>
          <cell r="D8126" t="str">
            <v>MILHO</v>
          </cell>
          <cell r="E8126">
            <v>28.978000000000002</v>
          </cell>
        </row>
        <row r="8127">
          <cell r="A8127" t="str">
            <v>RS</v>
          </cell>
          <cell r="B8127">
            <v>2008</v>
          </cell>
          <cell r="D8127" t="str">
            <v>SOJA</v>
          </cell>
          <cell r="E8127">
            <v>0</v>
          </cell>
        </row>
        <row r="8128">
          <cell r="A8128" t="str">
            <v>PR</v>
          </cell>
          <cell r="B8128">
            <v>2008</v>
          </cell>
          <cell r="D8128" t="str">
            <v>SOJA</v>
          </cell>
          <cell r="E8128">
            <v>0</v>
          </cell>
        </row>
        <row r="8129">
          <cell r="A8129" t="str">
            <v>BA</v>
          </cell>
          <cell r="B8129">
            <v>2008</v>
          </cell>
          <cell r="D8129" t="str">
            <v>SOJA</v>
          </cell>
          <cell r="E8129">
            <v>1357.223</v>
          </cell>
        </row>
        <row r="8130">
          <cell r="A8130" t="str">
            <v>BA</v>
          </cell>
          <cell r="B8130">
            <v>2008</v>
          </cell>
          <cell r="D8130" t="str">
            <v>SOJA</v>
          </cell>
          <cell r="E8130">
            <v>346.709</v>
          </cell>
        </row>
        <row r="8131">
          <cell r="A8131" t="str">
            <v>BA</v>
          </cell>
          <cell r="B8131">
            <v>2008</v>
          </cell>
          <cell r="D8131" t="str">
            <v>SOJA</v>
          </cell>
          <cell r="E8131">
            <v>50.601999999999997</v>
          </cell>
        </row>
        <row r="8132">
          <cell r="A8132" t="str">
            <v>BA</v>
          </cell>
          <cell r="B8132">
            <v>2008</v>
          </cell>
          <cell r="D8132" t="str">
            <v>SOJA</v>
          </cell>
          <cell r="E8132">
            <v>180</v>
          </cell>
        </row>
        <row r="8133">
          <cell r="A8133" t="str">
            <v>BA</v>
          </cell>
          <cell r="B8133">
            <v>2008</v>
          </cell>
          <cell r="D8133" t="str">
            <v>SOJA</v>
          </cell>
          <cell r="E8133">
            <v>1227.9670000000001</v>
          </cell>
        </row>
        <row r="8134">
          <cell r="A8134" t="str">
            <v>BA</v>
          </cell>
          <cell r="B8134">
            <v>2008</v>
          </cell>
          <cell r="D8134" t="str">
            <v>SOJA</v>
          </cell>
          <cell r="E8134">
            <v>7.5650000000000004</v>
          </cell>
        </row>
        <row r="8135">
          <cell r="A8135" t="str">
            <v>BA</v>
          </cell>
          <cell r="B8135">
            <v>2008</v>
          </cell>
          <cell r="D8135" t="str">
            <v>SOJA</v>
          </cell>
          <cell r="E8135">
            <v>494.51100000000002</v>
          </cell>
        </row>
        <row r="8136">
          <cell r="A8136" t="str">
            <v>BA</v>
          </cell>
          <cell r="B8136">
            <v>2008</v>
          </cell>
          <cell r="D8136" t="str">
            <v>SOJA</v>
          </cell>
          <cell r="E8136">
            <v>1994.5550000000001</v>
          </cell>
        </row>
        <row r="8137">
          <cell r="A8137" t="str">
            <v>BA</v>
          </cell>
          <cell r="B8137">
            <v>2008</v>
          </cell>
          <cell r="D8137" t="str">
            <v>SOJA</v>
          </cell>
          <cell r="E8137">
            <v>946.41</v>
          </cell>
        </row>
        <row r="8138">
          <cell r="A8138" t="str">
            <v>BA</v>
          </cell>
          <cell r="B8138">
            <v>2008</v>
          </cell>
          <cell r="D8138" t="str">
            <v>SOJA</v>
          </cell>
          <cell r="E8138">
            <v>36.340000000000003</v>
          </cell>
        </row>
        <row r="8139">
          <cell r="A8139" t="str">
            <v>BA</v>
          </cell>
          <cell r="B8139">
            <v>2008</v>
          </cell>
          <cell r="D8139" t="str">
            <v>SOJA</v>
          </cell>
          <cell r="E8139">
            <v>755.31100000000004</v>
          </cell>
        </row>
        <row r="8140">
          <cell r="A8140" t="str">
            <v>BA</v>
          </cell>
          <cell r="B8140">
            <v>2008</v>
          </cell>
          <cell r="D8140" t="str">
            <v>SOJA</v>
          </cell>
          <cell r="E8140">
            <v>31.745000000000001</v>
          </cell>
        </row>
        <row r="8141">
          <cell r="A8141" t="str">
            <v>BA</v>
          </cell>
          <cell r="B8141">
            <v>2008</v>
          </cell>
          <cell r="D8141" t="str">
            <v>SOJA</v>
          </cell>
          <cell r="E8141">
            <v>304.84899999999999</v>
          </cell>
        </row>
        <row r="8142">
          <cell r="A8142" t="str">
            <v>TO</v>
          </cell>
          <cell r="B8142">
            <v>2008</v>
          </cell>
          <cell r="D8142" t="str">
            <v>SOJA</v>
          </cell>
          <cell r="E8142">
            <v>0</v>
          </cell>
        </row>
        <row r="8143">
          <cell r="A8143" t="str">
            <v>MA</v>
          </cell>
          <cell r="B8143">
            <v>2008</v>
          </cell>
          <cell r="D8143" t="str">
            <v>SOJA</v>
          </cell>
          <cell r="E8143">
            <v>70.980999999999995</v>
          </cell>
        </row>
        <row r="8144">
          <cell r="A8144" t="str">
            <v>TO</v>
          </cell>
          <cell r="B8144">
            <v>2008</v>
          </cell>
          <cell r="D8144" t="str">
            <v>SOJA</v>
          </cell>
          <cell r="E8144">
            <v>0</v>
          </cell>
        </row>
        <row r="8145">
          <cell r="A8145" t="str">
            <v>MA</v>
          </cell>
          <cell r="B8145">
            <v>2008</v>
          </cell>
          <cell r="D8145" t="str">
            <v>SOJA</v>
          </cell>
          <cell r="E8145">
            <v>463.1</v>
          </cell>
        </row>
        <row r="8146">
          <cell r="A8146" t="str">
            <v>PA</v>
          </cell>
          <cell r="B8146">
            <v>2008</v>
          </cell>
          <cell r="D8146" t="str">
            <v>SOJA</v>
          </cell>
          <cell r="E8146">
            <v>-28.885999999999999</v>
          </cell>
        </row>
        <row r="8147">
          <cell r="A8147" t="str">
            <v>MA</v>
          </cell>
          <cell r="B8147">
            <v>2008</v>
          </cell>
          <cell r="D8147" t="str">
            <v>SOJA</v>
          </cell>
          <cell r="E8147">
            <v>83.896000000000001</v>
          </cell>
        </row>
        <row r="8148">
          <cell r="A8148" t="str">
            <v>TO</v>
          </cell>
          <cell r="B8148">
            <v>2008</v>
          </cell>
          <cell r="D8148" t="str">
            <v>SOJA</v>
          </cell>
          <cell r="E8148">
            <v>0</v>
          </cell>
        </row>
        <row r="8149">
          <cell r="A8149" t="str">
            <v>MA</v>
          </cell>
          <cell r="B8149">
            <v>2008</v>
          </cell>
          <cell r="D8149" t="str">
            <v>SOJA</v>
          </cell>
          <cell r="E8149">
            <v>35.97</v>
          </cell>
        </row>
        <row r="8150">
          <cell r="A8150" t="str">
            <v>MA</v>
          </cell>
          <cell r="B8150">
            <v>2008</v>
          </cell>
          <cell r="D8150" t="str">
            <v>SOJA</v>
          </cell>
          <cell r="E8150">
            <v>262.2</v>
          </cell>
        </row>
        <row r="8151">
          <cell r="A8151" t="str">
            <v>TO</v>
          </cell>
          <cell r="B8151">
            <v>2008</v>
          </cell>
          <cell r="D8151" t="str">
            <v>SOJA</v>
          </cell>
          <cell r="E8151">
            <v>67.728999999999999</v>
          </cell>
        </row>
        <row r="8152">
          <cell r="A8152" t="str">
            <v>MA</v>
          </cell>
          <cell r="B8152">
            <v>2008</v>
          </cell>
          <cell r="D8152" t="str">
            <v>SOJA</v>
          </cell>
          <cell r="E8152">
            <v>1.7290000000000001</v>
          </cell>
        </row>
        <row r="8153">
          <cell r="A8153" t="str">
            <v>TO</v>
          </cell>
          <cell r="B8153">
            <v>2008</v>
          </cell>
          <cell r="D8153" t="str">
            <v>SOJA</v>
          </cell>
          <cell r="E8153">
            <v>10.095000000000001</v>
          </cell>
        </row>
        <row r="8154">
          <cell r="A8154" t="str">
            <v>PI</v>
          </cell>
          <cell r="B8154">
            <v>2008</v>
          </cell>
          <cell r="D8154" t="str">
            <v>SOJA</v>
          </cell>
          <cell r="E8154">
            <v>9.0869999999999997</v>
          </cell>
        </row>
        <row r="8155">
          <cell r="A8155" t="str">
            <v>PI</v>
          </cell>
          <cell r="B8155">
            <v>2008</v>
          </cell>
          <cell r="D8155" t="str">
            <v>SOJA</v>
          </cell>
          <cell r="E8155">
            <v>528.10900000000004</v>
          </cell>
        </row>
        <row r="8156">
          <cell r="A8156" t="str">
            <v>PI</v>
          </cell>
          <cell r="B8156">
            <v>2008</v>
          </cell>
          <cell r="D8156" t="str">
            <v>SOJA</v>
          </cell>
          <cell r="E8156">
            <v>646.55999999999995</v>
          </cell>
        </row>
        <row r="8157">
          <cell r="A8157" t="str">
            <v>PI</v>
          </cell>
          <cell r="B8157">
            <v>2008</v>
          </cell>
          <cell r="D8157" t="str">
            <v>SOJA</v>
          </cell>
          <cell r="E8157">
            <v>0</v>
          </cell>
        </row>
        <row r="8158">
          <cell r="A8158" t="str">
            <v>GO</v>
          </cell>
          <cell r="B8158">
            <v>2008</v>
          </cell>
          <cell r="D8158" t="str">
            <v>SOJA</v>
          </cell>
          <cell r="E8158">
            <v>-72.165999999999997</v>
          </cell>
        </row>
        <row r="8159">
          <cell r="A8159" t="str">
            <v>MG</v>
          </cell>
          <cell r="B8159">
            <v>2008</v>
          </cell>
          <cell r="D8159" t="str">
            <v>SOJA</v>
          </cell>
          <cell r="E8159">
            <v>555.82100000000003</v>
          </cell>
        </row>
        <row r="8160">
          <cell r="A8160" t="str">
            <v>GO</v>
          </cell>
          <cell r="B8160">
            <v>2008</v>
          </cell>
          <cell r="D8160" t="str">
            <v>SOJA</v>
          </cell>
          <cell r="E8160">
            <v>2300.598</v>
          </cell>
        </row>
        <row r="8161">
          <cell r="A8161" t="str">
            <v>GO</v>
          </cell>
          <cell r="B8161">
            <v>2008</v>
          </cell>
          <cell r="D8161" t="str">
            <v>SOJA</v>
          </cell>
          <cell r="E8161">
            <v>283.35599999999999</v>
          </cell>
        </row>
        <row r="8162">
          <cell r="A8162" t="str">
            <v>GO</v>
          </cell>
          <cell r="B8162">
            <v>2008</v>
          </cell>
          <cell r="D8162" t="str">
            <v>SOJA</v>
          </cell>
          <cell r="E8162">
            <v>19.239999999999998</v>
          </cell>
        </row>
        <row r="8163">
          <cell r="A8163" t="str">
            <v>GO</v>
          </cell>
          <cell r="B8163">
            <v>2008</v>
          </cell>
          <cell r="D8163" t="str">
            <v>SOJA</v>
          </cell>
          <cell r="E8163">
            <v>59.988</v>
          </cell>
        </row>
        <row r="8164">
          <cell r="A8164" t="str">
            <v>MG</v>
          </cell>
          <cell r="B8164">
            <v>2008</v>
          </cell>
          <cell r="D8164" t="str">
            <v>SOJA</v>
          </cell>
          <cell r="E8164">
            <v>23.82</v>
          </cell>
        </row>
        <row r="8165">
          <cell r="A8165" t="str">
            <v>GO</v>
          </cell>
          <cell r="B8165">
            <v>2008</v>
          </cell>
          <cell r="D8165" t="str">
            <v>SOJA</v>
          </cell>
          <cell r="E8165">
            <v>0</v>
          </cell>
        </row>
        <row r="8166">
          <cell r="A8166" t="str">
            <v>GO</v>
          </cell>
          <cell r="B8166">
            <v>2008</v>
          </cell>
          <cell r="D8166" t="str">
            <v>SOJA</v>
          </cell>
          <cell r="E8166">
            <v>0</v>
          </cell>
        </row>
        <row r="8167">
          <cell r="A8167" t="str">
            <v>GO</v>
          </cell>
          <cell r="B8167">
            <v>2008</v>
          </cell>
          <cell r="D8167" t="str">
            <v>SOJA</v>
          </cell>
          <cell r="E8167">
            <v>60</v>
          </cell>
        </row>
        <row r="8168">
          <cell r="A8168" t="str">
            <v>MT</v>
          </cell>
          <cell r="B8168">
            <v>2008</v>
          </cell>
          <cell r="D8168" t="str">
            <v>SOJA</v>
          </cell>
          <cell r="E8168">
            <v>0</v>
          </cell>
        </row>
        <row r="8169">
          <cell r="A8169" t="str">
            <v>GO</v>
          </cell>
          <cell r="B8169">
            <v>2008</v>
          </cell>
          <cell r="D8169" t="str">
            <v>SOJA</v>
          </cell>
          <cell r="E8169">
            <v>-60</v>
          </cell>
        </row>
        <row r="8170">
          <cell r="A8170" t="str">
            <v>GO</v>
          </cell>
          <cell r="B8170">
            <v>2008</v>
          </cell>
          <cell r="D8170" t="str">
            <v>SOJA</v>
          </cell>
          <cell r="E8170">
            <v>-33.018999999999998</v>
          </cell>
        </row>
        <row r="8171">
          <cell r="A8171" t="str">
            <v>MS</v>
          </cell>
          <cell r="B8171">
            <v>2008</v>
          </cell>
          <cell r="D8171" t="str">
            <v>SOJA</v>
          </cell>
          <cell r="E8171">
            <v>0</v>
          </cell>
        </row>
        <row r="8172">
          <cell r="A8172" t="str">
            <v>GO</v>
          </cell>
          <cell r="B8172">
            <v>2008</v>
          </cell>
          <cell r="D8172" t="str">
            <v>SOJA</v>
          </cell>
          <cell r="E8172">
            <v>13413.056</v>
          </cell>
        </row>
        <row r="8173">
          <cell r="A8173" t="str">
            <v>MT</v>
          </cell>
          <cell r="B8173">
            <v>2008</v>
          </cell>
          <cell r="D8173" t="str">
            <v>SOJA</v>
          </cell>
          <cell r="E8173">
            <v>73.757999999999996</v>
          </cell>
        </row>
        <row r="8174">
          <cell r="A8174" t="str">
            <v>MT</v>
          </cell>
          <cell r="B8174">
            <v>2008</v>
          </cell>
          <cell r="D8174" t="str">
            <v>SOJA</v>
          </cell>
          <cell r="E8174">
            <v>224.27799999999999</v>
          </cell>
        </row>
        <row r="8175">
          <cell r="A8175" t="str">
            <v>MT</v>
          </cell>
          <cell r="B8175">
            <v>2008</v>
          </cell>
          <cell r="D8175" t="str">
            <v>SOJA</v>
          </cell>
          <cell r="E8175">
            <v>0</v>
          </cell>
        </row>
        <row r="8176">
          <cell r="A8176" t="str">
            <v>MT</v>
          </cell>
          <cell r="B8176">
            <v>2008</v>
          </cell>
          <cell r="D8176" t="str">
            <v>SOJA</v>
          </cell>
          <cell r="E8176">
            <v>0</v>
          </cell>
        </row>
        <row r="8177">
          <cell r="A8177" t="str">
            <v>MT</v>
          </cell>
          <cell r="B8177">
            <v>2008</v>
          </cell>
          <cell r="D8177" t="str">
            <v>SOJA</v>
          </cell>
          <cell r="E8177">
            <v>3874.1280000000002</v>
          </cell>
        </row>
        <row r="8178">
          <cell r="A8178" t="str">
            <v>MT</v>
          </cell>
          <cell r="B8178">
            <v>2008</v>
          </cell>
          <cell r="D8178" t="str">
            <v>SOJA</v>
          </cell>
          <cell r="E8178">
            <v>110.63</v>
          </cell>
        </row>
        <row r="8179">
          <cell r="A8179" t="str">
            <v>MT</v>
          </cell>
          <cell r="B8179">
            <v>2008</v>
          </cell>
          <cell r="D8179" t="str">
            <v>SOJA</v>
          </cell>
          <cell r="E8179">
            <v>0</v>
          </cell>
        </row>
        <row r="8180">
          <cell r="A8180" t="str">
            <v>MT</v>
          </cell>
          <cell r="B8180">
            <v>2008</v>
          </cell>
          <cell r="D8180" t="str">
            <v>SOJA</v>
          </cell>
          <cell r="E8180">
            <v>0</v>
          </cell>
        </row>
        <row r="8181">
          <cell r="A8181" t="str">
            <v>MS</v>
          </cell>
          <cell r="B8181">
            <v>2008</v>
          </cell>
          <cell r="D8181" t="str">
            <v>SOJA</v>
          </cell>
          <cell r="E8181">
            <v>3558.9050000000002</v>
          </cell>
        </row>
        <row r="8182">
          <cell r="A8182" t="str">
            <v>MS</v>
          </cell>
          <cell r="B8182">
            <v>2008</v>
          </cell>
          <cell r="D8182" t="str">
            <v>SOJA</v>
          </cell>
          <cell r="E8182">
            <v>0</v>
          </cell>
        </row>
        <row r="8183">
          <cell r="A8183" t="str">
            <v>MS</v>
          </cell>
          <cell r="B8183">
            <v>2008</v>
          </cell>
          <cell r="D8183" t="str">
            <v>SOJA</v>
          </cell>
          <cell r="E8183">
            <v>54.84</v>
          </cell>
        </row>
        <row r="8184">
          <cell r="A8184" t="str">
            <v>MS</v>
          </cell>
          <cell r="B8184">
            <v>2008</v>
          </cell>
          <cell r="D8184" t="str">
            <v>SOJA</v>
          </cell>
          <cell r="E8184">
            <v>0</v>
          </cell>
        </row>
        <row r="8185">
          <cell r="A8185" t="str">
            <v>MS</v>
          </cell>
          <cell r="B8185">
            <v>2008</v>
          </cell>
          <cell r="D8185" t="str">
            <v>SOJA</v>
          </cell>
          <cell r="E8185">
            <v>0</v>
          </cell>
        </row>
        <row r="8186">
          <cell r="A8186" t="str">
            <v>MT</v>
          </cell>
          <cell r="B8186">
            <v>2008</v>
          </cell>
          <cell r="D8186" t="str">
            <v>SOJA</v>
          </cell>
          <cell r="E8186">
            <v>23135.006000000001</v>
          </cell>
        </row>
        <row r="8187">
          <cell r="A8187" t="str">
            <v>MT</v>
          </cell>
          <cell r="B8187">
            <v>2008</v>
          </cell>
          <cell r="D8187" t="str">
            <v>SOJA</v>
          </cell>
          <cell r="E8187">
            <v>209.68700000000001</v>
          </cell>
        </row>
        <row r="8188">
          <cell r="A8188" t="str">
            <v>MT</v>
          </cell>
          <cell r="B8188">
            <v>2008</v>
          </cell>
          <cell r="D8188" t="str">
            <v>SOJA</v>
          </cell>
          <cell r="E8188">
            <v>0</v>
          </cell>
        </row>
        <row r="8189">
          <cell r="A8189" t="str">
            <v>MT</v>
          </cell>
          <cell r="B8189">
            <v>2008</v>
          </cell>
          <cell r="D8189" t="str">
            <v>SOJA</v>
          </cell>
          <cell r="E8189">
            <v>0</v>
          </cell>
        </row>
        <row r="8190">
          <cell r="A8190" t="str">
            <v>MT</v>
          </cell>
          <cell r="B8190">
            <v>2008</v>
          </cell>
          <cell r="D8190" t="str">
            <v>SOJA</v>
          </cell>
          <cell r="E8190">
            <v>38.799999999999997</v>
          </cell>
        </row>
        <row r="8191">
          <cell r="A8191" t="str">
            <v>MT</v>
          </cell>
          <cell r="B8191">
            <v>2008</v>
          </cell>
          <cell r="D8191" t="str">
            <v>SOJA</v>
          </cell>
          <cell r="E8191">
            <v>86.305000000000007</v>
          </cell>
        </row>
        <row r="8192">
          <cell r="A8192" t="str">
            <v>MT</v>
          </cell>
          <cell r="B8192">
            <v>2008</v>
          </cell>
          <cell r="D8192" t="str">
            <v>SOJA</v>
          </cell>
          <cell r="E8192">
            <v>0</v>
          </cell>
        </row>
        <row r="8193">
          <cell r="A8193" t="str">
            <v>MT</v>
          </cell>
          <cell r="B8193">
            <v>2008</v>
          </cell>
          <cell r="D8193" t="str">
            <v>SOJA</v>
          </cell>
          <cell r="E8193">
            <v>0</v>
          </cell>
        </row>
        <row r="8194">
          <cell r="A8194" t="str">
            <v>MT</v>
          </cell>
          <cell r="B8194">
            <v>2008</v>
          </cell>
          <cell r="D8194" t="str">
            <v>SOJA</v>
          </cell>
          <cell r="E8194">
            <v>0</v>
          </cell>
        </row>
        <row r="8195">
          <cell r="A8195" t="str">
            <v>MT</v>
          </cell>
          <cell r="B8195">
            <v>2008</v>
          </cell>
          <cell r="D8195" t="str">
            <v>SOJA</v>
          </cell>
          <cell r="E8195">
            <v>0</v>
          </cell>
        </row>
        <row r="8196">
          <cell r="A8196" t="str">
            <v>MT</v>
          </cell>
          <cell r="B8196">
            <v>2008</v>
          </cell>
          <cell r="D8196" t="str">
            <v>SOJA</v>
          </cell>
          <cell r="E8196">
            <v>0</v>
          </cell>
        </row>
        <row r="8197">
          <cell r="A8197" t="str">
            <v>MT</v>
          </cell>
          <cell r="B8197">
            <v>2008</v>
          </cell>
          <cell r="D8197" t="str">
            <v>SOJA</v>
          </cell>
          <cell r="E8197">
            <v>0</v>
          </cell>
        </row>
        <row r="8198">
          <cell r="A8198" t="str">
            <v>MT</v>
          </cell>
          <cell r="B8198">
            <v>2008</v>
          </cell>
          <cell r="D8198" t="str">
            <v>SOJA</v>
          </cell>
          <cell r="E8198">
            <v>0</v>
          </cell>
        </row>
        <row r="8199">
          <cell r="A8199" t="str">
            <v>MT</v>
          </cell>
          <cell r="B8199">
            <v>2008</v>
          </cell>
          <cell r="D8199" t="str">
            <v>SOJA</v>
          </cell>
          <cell r="E8199">
            <v>0</v>
          </cell>
        </row>
        <row r="8200">
          <cell r="A8200" t="str">
            <v>MT</v>
          </cell>
          <cell r="B8200">
            <v>2008</v>
          </cell>
          <cell r="D8200" t="str">
            <v>SOJA</v>
          </cell>
          <cell r="E8200">
            <v>0</v>
          </cell>
        </row>
        <row r="8201">
          <cell r="A8201" t="str">
            <v>MT</v>
          </cell>
          <cell r="B8201">
            <v>2008</v>
          </cell>
          <cell r="D8201" t="str">
            <v>SOJA</v>
          </cell>
          <cell r="E8201">
            <v>0</v>
          </cell>
        </row>
        <row r="8202">
          <cell r="A8202" t="str">
            <v>MT</v>
          </cell>
          <cell r="B8202">
            <v>2008</v>
          </cell>
          <cell r="D8202" t="str">
            <v>SOJA</v>
          </cell>
          <cell r="E8202">
            <v>0</v>
          </cell>
        </row>
        <row r="8203">
          <cell r="A8203" t="str">
            <v>MT</v>
          </cell>
          <cell r="B8203">
            <v>2008</v>
          </cell>
          <cell r="D8203" t="str">
            <v>SOJA</v>
          </cell>
          <cell r="E8203">
            <v>78.97</v>
          </cell>
        </row>
        <row r="8204">
          <cell r="A8204" t="str">
            <v>MT</v>
          </cell>
          <cell r="B8204">
            <v>2008</v>
          </cell>
          <cell r="D8204" t="str">
            <v>SOJA</v>
          </cell>
          <cell r="E8204">
            <v>0</v>
          </cell>
        </row>
        <row r="8205">
          <cell r="A8205" t="str">
            <v>MT</v>
          </cell>
          <cell r="B8205">
            <v>2008</v>
          </cell>
          <cell r="D8205" t="str">
            <v>SOJA</v>
          </cell>
          <cell r="E8205">
            <v>0</v>
          </cell>
        </row>
        <row r="8206">
          <cell r="A8206" t="str">
            <v>RS</v>
          </cell>
          <cell r="B8206">
            <v>2008</v>
          </cell>
          <cell r="D8206" t="str">
            <v>SOJA</v>
          </cell>
          <cell r="E8206">
            <v>309.01</v>
          </cell>
        </row>
        <row r="8207">
          <cell r="A8207" t="str">
            <v>RS</v>
          </cell>
          <cell r="B8207">
            <v>2008</v>
          </cell>
          <cell r="D8207" t="str">
            <v>SOJA</v>
          </cell>
          <cell r="E8207">
            <v>3038.306</v>
          </cell>
        </row>
        <row r="8208">
          <cell r="A8208" t="str">
            <v>RS</v>
          </cell>
          <cell r="B8208">
            <v>2008</v>
          </cell>
          <cell r="D8208" t="str">
            <v>SOJA</v>
          </cell>
          <cell r="E8208">
            <v>3022.759</v>
          </cell>
        </row>
        <row r="8209">
          <cell r="A8209" t="str">
            <v>RS</v>
          </cell>
          <cell r="B8209">
            <v>2008</v>
          </cell>
          <cell r="D8209" t="str">
            <v>SOJA</v>
          </cell>
          <cell r="E8209">
            <v>0</v>
          </cell>
        </row>
        <row r="8210">
          <cell r="A8210" t="str">
            <v>RS</v>
          </cell>
          <cell r="B8210">
            <v>2008</v>
          </cell>
          <cell r="D8210" t="str">
            <v>SOJA</v>
          </cell>
          <cell r="E8210">
            <v>151.34899999999999</v>
          </cell>
        </row>
        <row r="8211">
          <cell r="A8211" t="str">
            <v>RS</v>
          </cell>
          <cell r="B8211">
            <v>2008</v>
          </cell>
          <cell r="D8211" t="str">
            <v>SOJA</v>
          </cell>
          <cell r="E8211">
            <v>6476.9470000000001</v>
          </cell>
        </row>
        <row r="8212">
          <cell r="A8212" t="str">
            <v>RS</v>
          </cell>
          <cell r="B8212">
            <v>2008</v>
          </cell>
          <cell r="D8212" t="str">
            <v>SOJA</v>
          </cell>
          <cell r="E8212">
            <v>2.37</v>
          </cell>
        </row>
        <row r="8213">
          <cell r="A8213" t="str">
            <v>RS</v>
          </cell>
          <cell r="B8213">
            <v>2008</v>
          </cell>
          <cell r="D8213" t="str">
            <v>SOJA</v>
          </cell>
          <cell r="E8213">
            <v>8775.4079999999994</v>
          </cell>
        </row>
        <row r="8214">
          <cell r="A8214" t="str">
            <v>RS</v>
          </cell>
          <cell r="B8214">
            <v>2008</v>
          </cell>
          <cell r="D8214" t="str">
            <v>SOJA</v>
          </cell>
          <cell r="E8214">
            <v>1846.48</v>
          </cell>
        </row>
        <row r="8215">
          <cell r="A8215" t="str">
            <v>RS</v>
          </cell>
          <cell r="B8215">
            <v>2008</v>
          </cell>
          <cell r="D8215" t="str">
            <v>SOJA</v>
          </cell>
          <cell r="E8215">
            <v>567.94500000000005</v>
          </cell>
        </row>
        <row r="8216">
          <cell r="A8216" t="str">
            <v>RS</v>
          </cell>
          <cell r="B8216">
            <v>2008</v>
          </cell>
          <cell r="D8216" t="str">
            <v>SOJA</v>
          </cell>
          <cell r="E8216">
            <v>1875.837</v>
          </cell>
        </row>
        <row r="8217">
          <cell r="A8217" t="str">
            <v>RS</v>
          </cell>
          <cell r="B8217">
            <v>2008</v>
          </cell>
          <cell r="D8217" t="str">
            <v>SOJA</v>
          </cell>
          <cell r="E8217">
            <v>3484.7959999999998</v>
          </cell>
        </row>
        <row r="8218">
          <cell r="A8218" t="str">
            <v>RS</v>
          </cell>
          <cell r="B8218">
            <v>2008</v>
          </cell>
          <cell r="D8218" t="str">
            <v>SOJA</v>
          </cell>
          <cell r="E8218">
            <v>1633.7650000000001</v>
          </cell>
        </row>
        <row r="8219">
          <cell r="A8219" t="str">
            <v>PR</v>
          </cell>
          <cell r="B8219">
            <v>2008</v>
          </cell>
          <cell r="D8219" t="str">
            <v>SOJA</v>
          </cell>
          <cell r="E8219">
            <v>0</v>
          </cell>
        </row>
        <row r="8220">
          <cell r="A8220" t="str">
            <v>PR</v>
          </cell>
          <cell r="B8220">
            <v>2008</v>
          </cell>
          <cell r="D8220" t="str">
            <v>SOJA</v>
          </cell>
          <cell r="E8220">
            <v>0</v>
          </cell>
        </row>
        <row r="8221">
          <cell r="A8221" t="str">
            <v>PR</v>
          </cell>
          <cell r="B8221">
            <v>2008</v>
          </cell>
          <cell r="D8221" t="str">
            <v>SOJA</v>
          </cell>
          <cell r="E8221">
            <v>6385.4009999999998</v>
          </cell>
        </row>
        <row r="8222">
          <cell r="A8222" t="str">
            <v>PR</v>
          </cell>
          <cell r="B8222">
            <v>2008</v>
          </cell>
          <cell r="D8222" t="str">
            <v>SOJA</v>
          </cell>
          <cell r="E8222">
            <v>-7306.43</v>
          </cell>
        </row>
        <row r="8223">
          <cell r="A8223" t="str">
            <v>PR</v>
          </cell>
          <cell r="B8223">
            <v>2008</v>
          </cell>
          <cell r="D8223" t="str">
            <v>SOJA</v>
          </cell>
          <cell r="E8223">
            <v>26.733000000000001</v>
          </cell>
        </row>
        <row r="8224">
          <cell r="A8224" t="str">
            <v>PR</v>
          </cell>
          <cell r="B8224">
            <v>2008</v>
          </cell>
          <cell r="D8224" t="str">
            <v>SOJA</v>
          </cell>
          <cell r="E8224">
            <v>135.03100000000001</v>
          </cell>
        </row>
        <row r="8225">
          <cell r="A8225" t="str">
            <v>PR</v>
          </cell>
          <cell r="B8225">
            <v>2008</v>
          </cell>
          <cell r="D8225" t="str">
            <v>SOJA</v>
          </cell>
          <cell r="E8225">
            <v>119.629</v>
          </cell>
        </row>
        <row r="8226">
          <cell r="A8226" t="str">
            <v>PR</v>
          </cell>
          <cell r="B8226">
            <v>2008</v>
          </cell>
          <cell r="D8226" t="str">
            <v>SOJA</v>
          </cell>
          <cell r="E8226">
            <v>1514.3820000000001</v>
          </cell>
        </row>
        <row r="8227">
          <cell r="A8227" t="str">
            <v>PR</v>
          </cell>
          <cell r="B8227">
            <v>2008</v>
          </cell>
          <cell r="D8227" t="str">
            <v>SOJA</v>
          </cell>
          <cell r="E8227">
            <v>-76.379000000000005</v>
          </cell>
        </row>
        <row r="8228">
          <cell r="A8228" t="str">
            <v>PR</v>
          </cell>
          <cell r="B8228">
            <v>2008</v>
          </cell>
          <cell r="D8228" t="str">
            <v>SOJA</v>
          </cell>
          <cell r="E8228">
            <v>0</v>
          </cell>
        </row>
        <row r="8229">
          <cell r="A8229" t="str">
            <v>PR</v>
          </cell>
          <cell r="B8229">
            <v>2008</v>
          </cell>
          <cell r="D8229" t="str">
            <v>SOJA</v>
          </cell>
          <cell r="E8229">
            <v>-26.733000000000001</v>
          </cell>
        </row>
        <row r="8230">
          <cell r="A8230" t="str">
            <v>BA</v>
          </cell>
          <cell r="B8230">
            <v>2008</v>
          </cell>
          <cell r="D8230" t="str">
            <v>MILHO</v>
          </cell>
          <cell r="E8230">
            <v>1092.6210000000001</v>
          </cell>
        </row>
        <row r="8231">
          <cell r="A8231" t="str">
            <v>BA</v>
          </cell>
          <cell r="B8231">
            <v>2008</v>
          </cell>
          <cell r="D8231" t="str">
            <v>MILHO</v>
          </cell>
          <cell r="E8231">
            <v>0</v>
          </cell>
        </row>
        <row r="8232">
          <cell r="A8232" t="str">
            <v>BA</v>
          </cell>
          <cell r="B8232">
            <v>2008</v>
          </cell>
          <cell r="D8232" t="str">
            <v>MILHO</v>
          </cell>
          <cell r="E8232">
            <v>0</v>
          </cell>
        </row>
        <row r="8233">
          <cell r="A8233" t="str">
            <v>GO</v>
          </cell>
          <cell r="B8233">
            <v>2008</v>
          </cell>
          <cell r="D8233" t="str">
            <v>MILHO</v>
          </cell>
          <cell r="E8233">
            <v>0</v>
          </cell>
        </row>
        <row r="8234">
          <cell r="A8234" t="str">
            <v>GO</v>
          </cell>
          <cell r="B8234">
            <v>2008</v>
          </cell>
          <cell r="D8234" t="str">
            <v>MILHO</v>
          </cell>
          <cell r="E8234">
            <v>-1800</v>
          </cell>
        </row>
        <row r="8235">
          <cell r="A8235" t="str">
            <v>MT</v>
          </cell>
          <cell r="B8235">
            <v>2008</v>
          </cell>
          <cell r="D8235" t="str">
            <v>MILHO</v>
          </cell>
          <cell r="E8235">
            <v>0</v>
          </cell>
        </row>
        <row r="8236">
          <cell r="A8236" t="str">
            <v>GO</v>
          </cell>
          <cell r="B8236">
            <v>2008</v>
          </cell>
          <cell r="D8236" t="str">
            <v>MILHO</v>
          </cell>
          <cell r="E8236">
            <v>2700</v>
          </cell>
        </row>
        <row r="8237">
          <cell r="A8237" t="str">
            <v>GO</v>
          </cell>
          <cell r="B8237">
            <v>2008</v>
          </cell>
          <cell r="D8237" t="str">
            <v>MILHO</v>
          </cell>
          <cell r="E8237">
            <v>49.226999999999997</v>
          </cell>
        </row>
        <row r="8238">
          <cell r="A8238" t="str">
            <v>MT</v>
          </cell>
          <cell r="B8238">
            <v>2008</v>
          </cell>
          <cell r="D8238" t="str">
            <v>MILHO</v>
          </cell>
          <cell r="E8238">
            <v>2402.2510000000002</v>
          </cell>
        </row>
        <row r="8239">
          <cell r="A8239" t="str">
            <v>MT</v>
          </cell>
          <cell r="B8239">
            <v>2008</v>
          </cell>
          <cell r="D8239" t="str">
            <v>MILHO</v>
          </cell>
          <cell r="E8239">
            <v>1170.9760000000001</v>
          </cell>
        </row>
        <row r="8240">
          <cell r="A8240" t="str">
            <v>MT</v>
          </cell>
          <cell r="B8240">
            <v>2008</v>
          </cell>
          <cell r="D8240" t="str">
            <v>MILHO</v>
          </cell>
          <cell r="E8240">
            <v>0</v>
          </cell>
        </row>
        <row r="8241">
          <cell r="A8241" t="str">
            <v>MT</v>
          </cell>
          <cell r="B8241">
            <v>2008</v>
          </cell>
          <cell r="D8241" t="str">
            <v>MILHO</v>
          </cell>
          <cell r="E8241">
            <v>0</v>
          </cell>
        </row>
        <row r="8242">
          <cell r="A8242" t="str">
            <v>MT</v>
          </cell>
          <cell r="B8242">
            <v>2008</v>
          </cell>
          <cell r="D8242" t="str">
            <v>MILHO</v>
          </cell>
          <cell r="E8242">
            <v>0</v>
          </cell>
        </row>
        <row r="8243">
          <cell r="A8243" t="str">
            <v>MT</v>
          </cell>
          <cell r="B8243">
            <v>2008</v>
          </cell>
          <cell r="D8243" t="str">
            <v>MILHO</v>
          </cell>
          <cell r="E8243">
            <v>249.75200000000001</v>
          </cell>
        </row>
        <row r="8244">
          <cell r="A8244" t="str">
            <v>MS</v>
          </cell>
          <cell r="B8244">
            <v>2008</v>
          </cell>
          <cell r="D8244" t="str">
            <v>MILHO</v>
          </cell>
          <cell r="E8244">
            <v>5.0949999999999998</v>
          </cell>
        </row>
        <row r="8245">
          <cell r="A8245" t="str">
            <v>MS</v>
          </cell>
          <cell r="B8245">
            <v>2008</v>
          </cell>
          <cell r="D8245" t="str">
            <v>MILHO</v>
          </cell>
          <cell r="E8245">
            <v>0</v>
          </cell>
        </row>
        <row r="8246">
          <cell r="A8246" t="str">
            <v>MS</v>
          </cell>
          <cell r="B8246">
            <v>2008</v>
          </cell>
          <cell r="D8246" t="str">
            <v>MILHO</v>
          </cell>
          <cell r="E8246">
            <v>49.122</v>
          </cell>
        </row>
        <row r="8247">
          <cell r="A8247" t="str">
            <v>MS</v>
          </cell>
          <cell r="B8247">
            <v>2008</v>
          </cell>
          <cell r="D8247" t="str">
            <v>MILHO</v>
          </cell>
          <cell r="E8247">
            <v>0</v>
          </cell>
        </row>
        <row r="8248">
          <cell r="A8248" t="str">
            <v>MS</v>
          </cell>
          <cell r="B8248">
            <v>2008</v>
          </cell>
          <cell r="D8248" t="str">
            <v>MILHO</v>
          </cell>
          <cell r="E8248">
            <v>17.295000000000002</v>
          </cell>
        </row>
        <row r="8249">
          <cell r="A8249" t="str">
            <v>MT</v>
          </cell>
          <cell r="B8249">
            <v>2008</v>
          </cell>
          <cell r="D8249" t="str">
            <v>MILHO</v>
          </cell>
          <cell r="E8249">
            <v>0</v>
          </cell>
        </row>
        <row r="8250">
          <cell r="A8250" t="str">
            <v>MT</v>
          </cell>
          <cell r="B8250">
            <v>2008</v>
          </cell>
          <cell r="D8250" t="str">
            <v>MILHO</v>
          </cell>
          <cell r="E8250">
            <v>0</v>
          </cell>
        </row>
        <row r="8251">
          <cell r="A8251" t="str">
            <v>MT</v>
          </cell>
          <cell r="B8251">
            <v>2008</v>
          </cell>
          <cell r="D8251" t="str">
            <v>MILHO</v>
          </cell>
          <cell r="E8251">
            <v>0</v>
          </cell>
        </row>
        <row r="8252">
          <cell r="A8252" t="str">
            <v>MT</v>
          </cell>
          <cell r="B8252">
            <v>2008</v>
          </cell>
          <cell r="D8252" t="str">
            <v>MILHO</v>
          </cell>
          <cell r="E8252">
            <v>172.36699999999999</v>
          </cell>
        </row>
        <row r="8253">
          <cell r="A8253" t="str">
            <v>MT</v>
          </cell>
          <cell r="B8253">
            <v>2008</v>
          </cell>
          <cell r="D8253" t="str">
            <v>MILHO</v>
          </cell>
          <cell r="E8253">
            <v>0</v>
          </cell>
        </row>
        <row r="8254">
          <cell r="A8254" t="str">
            <v>MT</v>
          </cell>
          <cell r="B8254">
            <v>2008</v>
          </cell>
          <cell r="D8254" t="str">
            <v>MILHO</v>
          </cell>
          <cell r="E8254">
            <v>0</v>
          </cell>
        </row>
        <row r="8255">
          <cell r="A8255" t="str">
            <v>MT</v>
          </cell>
          <cell r="B8255">
            <v>2008</v>
          </cell>
          <cell r="D8255" t="str">
            <v>MILHO</v>
          </cell>
          <cell r="E8255">
            <v>146.10499999999999</v>
          </cell>
        </row>
        <row r="8256">
          <cell r="A8256" t="str">
            <v>MT</v>
          </cell>
          <cell r="B8256">
            <v>2008</v>
          </cell>
          <cell r="D8256" t="str">
            <v>MILHO</v>
          </cell>
          <cell r="E8256">
            <v>3242.0619999999999</v>
          </cell>
        </row>
        <row r="8257">
          <cell r="A8257" t="str">
            <v>MT</v>
          </cell>
          <cell r="B8257">
            <v>2008</v>
          </cell>
          <cell r="D8257" t="str">
            <v>MILHO</v>
          </cell>
          <cell r="E8257">
            <v>1097.396</v>
          </cell>
        </row>
        <row r="8258">
          <cell r="A8258" t="str">
            <v>MT</v>
          </cell>
          <cell r="B8258">
            <v>2008</v>
          </cell>
          <cell r="D8258" t="str">
            <v>MILHO</v>
          </cell>
          <cell r="E8258">
            <v>3120.9079999999999</v>
          </cell>
        </row>
        <row r="8259">
          <cell r="A8259" t="str">
            <v>MT</v>
          </cell>
          <cell r="B8259">
            <v>2008</v>
          </cell>
          <cell r="D8259" t="str">
            <v>MILHO</v>
          </cell>
          <cell r="E8259">
            <v>0</v>
          </cell>
        </row>
        <row r="8260">
          <cell r="A8260" t="str">
            <v>MT</v>
          </cell>
          <cell r="B8260">
            <v>2008</v>
          </cell>
          <cell r="D8260" t="str">
            <v>MILHO</v>
          </cell>
          <cell r="E8260">
            <v>0</v>
          </cell>
        </row>
        <row r="8261">
          <cell r="A8261" t="str">
            <v>MT</v>
          </cell>
          <cell r="B8261">
            <v>2008</v>
          </cell>
          <cell r="D8261" t="str">
            <v>MILHO</v>
          </cell>
          <cell r="E8261">
            <v>-146.10499999999999</v>
          </cell>
        </row>
        <row r="8262">
          <cell r="A8262" t="str">
            <v>MT</v>
          </cell>
          <cell r="B8262">
            <v>2008</v>
          </cell>
          <cell r="D8262" t="str">
            <v>MILHO</v>
          </cell>
          <cell r="E8262">
            <v>1488.7729999999999</v>
          </cell>
        </row>
        <row r="8263">
          <cell r="A8263" t="str">
            <v>MT</v>
          </cell>
          <cell r="B8263">
            <v>2008</v>
          </cell>
          <cell r="D8263" t="str">
            <v>MILHO</v>
          </cell>
          <cell r="E8263">
            <v>0</v>
          </cell>
        </row>
        <row r="8264">
          <cell r="A8264" t="str">
            <v>MT</v>
          </cell>
          <cell r="B8264">
            <v>2008</v>
          </cell>
          <cell r="D8264" t="str">
            <v>MILHO</v>
          </cell>
          <cell r="E8264">
            <v>0</v>
          </cell>
        </row>
        <row r="8265">
          <cell r="A8265" t="str">
            <v>MT</v>
          </cell>
          <cell r="B8265">
            <v>2008</v>
          </cell>
          <cell r="D8265" t="str">
            <v>MILHO</v>
          </cell>
          <cell r="E8265">
            <v>0</v>
          </cell>
        </row>
        <row r="8266">
          <cell r="A8266" t="str">
            <v>MT</v>
          </cell>
          <cell r="B8266">
            <v>2008</v>
          </cell>
          <cell r="D8266" t="str">
            <v>MILHO</v>
          </cell>
          <cell r="E8266">
            <v>0</v>
          </cell>
        </row>
        <row r="8267">
          <cell r="A8267" t="str">
            <v>MT</v>
          </cell>
          <cell r="B8267">
            <v>2008</v>
          </cell>
          <cell r="D8267" t="str">
            <v>MILHO</v>
          </cell>
          <cell r="E8267">
            <v>5918.9049999999997</v>
          </cell>
        </row>
        <row r="8268">
          <cell r="A8268" t="str">
            <v>SC</v>
          </cell>
          <cell r="B8268">
            <v>2008</v>
          </cell>
          <cell r="D8268" t="str">
            <v>MILHO</v>
          </cell>
          <cell r="E8268">
            <v>1.8149999999999999</v>
          </cell>
        </row>
        <row r="8269">
          <cell r="A8269" t="str">
            <v>PR</v>
          </cell>
          <cell r="B8269">
            <v>2008</v>
          </cell>
          <cell r="D8269" t="str">
            <v>MILHO</v>
          </cell>
          <cell r="E8269">
            <v>0</v>
          </cell>
        </row>
        <row r="8270">
          <cell r="A8270" t="str">
            <v>PR</v>
          </cell>
          <cell r="B8270">
            <v>2008</v>
          </cell>
          <cell r="D8270" t="str">
            <v>MILHO</v>
          </cell>
          <cell r="E8270">
            <v>-159.143</v>
          </cell>
        </row>
        <row r="8271">
          <cell r="A8271" t="str">
            <v>PR</v>
          </cell>
          <cell r="B8271">
            <v>2008</v>
          </cell>
          <cell r="D8271" t="str">
            <v>MILHO</v>
          </cell>
          <cell r="E8271">
            <v>50.276000000000003</v>
          </cell>
        </row>
        <row r="8272">
          <cell r="A8272" t="str">
            <v>PR</v>
          </cell>
          <cell r="B8272">
            <v>2008</v>
          </cell>
          <cell r="D8272" t="str">
            <v>MILHO</v>
          </cell>
          <cell r="E8272">
            <v>35989.733999999997</v>
          </cell>
        </row>
        <row r="8273">
          <cell r="A8273" t="str">
            <v>PR</v>
          </cell>
          <cell r="B8273">
            <v>2008</v>
          </cell>
          <cell r="D8273" t="str">
            <v>MILHO</v>
          </cell>
          <cell r="E8273">
            <v>113.61199999999999</v>
          </cell>
        </row>
        <row r="8274">
          <cell r="A8274" t="str">
            <v>PR</v>
          </cell>
          <cell r="B8274">
            <v>2008</v>
          </cell>
          <cell r="D8274" t="str">
            <v>MILHO</v>
          </cell>
          <cell r="E8274">
            <v>0</v>
          </cell>
        </row>
        <row r="8275">
          <cell r="A8275" t="str">
            <v>PR</v>
          </cell>
          <cell r="B8275">
            <v>2008</v>
          </cell>
          <cell r="D8275" t="str">
            <v>MILHO</v>
          </cell>
          <cell r="E8275">
            <v>0</v>
          </cell>
        </row>
        <row r="8276">
          <cell r="A8276" t="str">
            <v>PR</v>
          </cell>
          <cell r="B8276">
            <v>2008</v>
          </cell>
          <cell r="D8276" t="str">
            <v>MILHO</v>
          </cell>
          <cell r="E8276">
            <v>0</v>
          </cell>
        </row>
        <row r="8277">
          <cell r="A8277" t="str">
            <v>PR</v>
          </cell>
          <cell r="B8277">
            <v>2008</v>
          </cell>
          <cell r="D8277" t="str">
            <v>MILHO</v>
          </cell>
          <cell r="E8277">
            <v>-15.791</v>
          </cell>
        </row>
        <row r="8278">
          <cell r="A8278" t="str">
            <v>PR</v>
          </cell>
          <cell r="B8278">
            <v>2008</v>
          </cell>
          <cell r="D8278" t="str">
            <v>MILHO</v>
          </cell>
          <cell r="E8278">
            <v>86.751999999999995</v>
          </cell>
        </row>
        <row r="8279">
          <cell r="A8279" t="str">
            <v>PR</v>
          </cell>
          <cell r="B8279">
            <v>2008</v>
          </cell>
          <cell r="D8279" t="str">
            <v>MILHO</v>
          </cell>
          <cell r="E8279">
            <v>50867.815000000002</v>
          </cell>
        </row>
        <row r="8280">
          <cell r="A8280" t="str">
            <v>PR</v>
          </cell>
          <cell r="B8280">
            <v>2008</v>
          </cell>
          <cell r="D8280" t="str">
            <v>MILHO</v>
          </cell>
          <cell r="E8280">
            <v>0.02</v>
          </cell>
        </row>
        <row r="8281">
          <cell r="A8281" t="str">
            <v>PR</v>
          </cell>
          <cell r="B8281">
            <v>2008</v>
          </cell>
          <cell r="D8281" t="str">
            <v>MILHO</v>
          </cell>
          <cell r="E8281">
            <v>0</v>
          </cell>
        </row>
        <row r="8282">
          <cell r="A8282" t="str">
            <v>PR</v>
          </cell>
          <cell r="B8282">
            <v>2008</v>
          </cell>
          <cell r="D8282" t="str">
            <v>SOJA</v>
          </cell>
          <cell r="E8282">
            <v>0</v>
          </cell>
        </row>
        <row r="8283">
          <cell r="A8283" t="str">
            <v>PR</v>
          </cell>
          <cell r="B8283">
            <v>2008</v>
          </cell>
          <cell r="D8283" t="str">
            <v>SOJA</v>
          </cell>
          <cell r="E8283">
            <v>0</v>
          </cell>
        </row>
        <row r="8284">
          <cell r="A8284" t="str">
            <v>BA</v>
          </cell>
          <cell r="B8284">
            <v>2008</v>
          </cell>
          <cell r="D8284" t="str">
            <v>SOJA</v>
          </cell>
          <cell r="E8284">
            <v>96.968999999999994</v>
          </cell>
        </row>
        <row r="8285">
          <cell r="A8285" t="str">
            <v>BA</v>
          </cell>
          <cell r="B8285">
            <v>2008</v>
          </cell>
          <cell r="D8285" t="str">
            <v>SOJA</v>
          </cell>
          <cell r="E8285">
            <v>497.27499999999998</v>
          </cell>
        </row>
        <row r="8286">
          <cell r="A8286" t="str">
            <v>BA</v>
          </cell>
          <cell r="B8286">
            <v>2008</v>
          </cell>
          <cell r="D8286" t="str">
            <v>SOJA</v>
          </cell>
          <cell r="E8286">
            <v>55.395000000000003</v>
          </cell>
        </row>
        <row r="8287">
          <cell r="A8287" t="str">
            <v>BA</v>
          </cell>
          <cell r="B8287">
            <v>2008</v>
          </cell>
          <cell r="D8287" t="str">
            <v>SOJA</v>
          </cell>
          <cell r="E8287">
            <v>461.54300000000001</v>
          </cell>
        </row>
        <row r="8288">
          <cell r="A8288" t="str">
            <v>BA</v>
          </cell>
          <cell r="B8288">
            <v>2008</v>
          </cell>
          <cell r="D8288" t="str">
            <v>SOJA</v>
          </cell>
          <cell r="E8288">
            <v>546.97500000000002</v>
          </cell>
        </row>
        <row r="8289">
          <cell r="A8289" t="str">
            <v>BA</v>
          </cell>
          <cell r="B8289">
            <v>2008</v>
          </cell>
          <cell r="D8289" t="str">
            <v>SOJA</v>
          </cell>
          <cell r="E8289">
            <v>-14.807</v>
          </cell>
        </row>
        <row r="8290">
          <cell r="A8290" t="str">
            <v>BA</v>
          </cell>
          <cell r="B8290">
            <v>2008</v>
          </cell>
          <cell r="D8290" t="str">
            <v>SOJA</v>
          </cell>
          <cell r="E8290">
            <v>-2047.154</v>
          </cell>
        </row>
        <row r="8291">
          <cell r="A8291" t="str">
            <v>BA</v>
          </cell>
          <cell r="B8291">
            <v>2008</v>
          </cell>
          <cell r="D8291" t="str">
            <v>SOJA</v>
          </cell>
          <cell r="E8291">
            <v>2308.04</v>
          </cell>
        </row>
        <row r="8292">
          <cell r="A8292" t="str">
            <v>BA</v>
          </cell>
          <cell r="B8292">
            <v>2008</v>
          </cell>
          <cell r="D8292" t="str">
            <v>SOJA</v>
          </cell>
          <cell r="E8292">
            <v>127.01</v>
          </cell>
        </row>
        <row r="8293">
          <cell r="A8293" t="str">
            <v>BA</v>
          </cell>
          <cell r="B8293">
            <v>2008</v>
          </cell>
          <cell r="D8293" t="str">
            <v>SOJA</v>
          </cell>
          <cell r="E8293">
            <v>-0.47599999999999998</v>
          </cell>
        </row>
        <row r="8294">
          <cell r="A8294" t="str">
            <v>TO</v>
          </cell>
          <cell r="B8294">
            <v>2008</v>
          </cell>
          <cell r="D8294" t="str">
            <v>SOJA</v>
          </cell>
          <cell r="E8294">
            <v>0</v>
          </cell>
        </row>
        <row r="8295">
          <cell r="A8295" t="str">
            <v>MA</v>
          </cell>
          <cell r="B8295">
            <v>2008</v>
          </cell>
          <cell r="D8295" t="str">
            <v>SOJA</v>
          </cell>
          <cell r="E8295">
            <v>-384.12299999999999</v>
          </cell>
        </row>
        <row r="8296">
          <cell r="A8296" t="str">
            <v>MA</v>
          </cell>
          <cell r="B8296">
            <v>2008</v>
          </cell>
          <cell r="D8296" t="str">
            <v>SOJA</v>
          </cell>
          <cell r="E8296">
            <v>-394.78</v>
          </cell>
        </row>
        <row r="8297">
          <cell r="A8297" t="str">
            <v>PA</v>
          </cell>
          <cell r="B8297">
            <v>2008</v>
          </cell>
          <cell r="D8297" t="str">
            <v>SOJA</v>
          </cell>
          <cell r="E8297">
            <v>-4.1029999999999998</v>
          </cell>
        </row>
        <row r="8298">
          <cell r="A8298" t="str">
            <v>MA</v>
          </cell>
          <cell r="B8298">
            <v>2008</v>
          </cell>
          <cell r="D8298" t="str">
            <v>SOJA</v>
          </cell>
          <cell r="E8298">
            <v>0</v>
          </cell>
        </row>
        <row r="8299">
          <cell r="A8299" t="str">
            <v>TO</v>
          </cell>
          <cell r="B8299">
            <v>2008</v>
          </cell>
          <cell r="D8299" t="str">
            <v>SOJA</v>
          </cell>
          <cell r="E8299">
            <v>0</v>
          </cell>
        </row>
        <row r="8300">
          <cell r="A8300" t="str">
            <v>MA</v>
          </cell>
          <cell r="B8300">
            <v>2008</v>
          </cell>
          <cell r="D8300" t="str">
            <v>SOJA</v>
          </cell>
          <cell r="E8300">
            <v>390.45</v>
          </cell>
        </row>
        <row r="8301">
          <cell r="A8301" t="str">
            <v>MA</v>
          </cell>
          <cell r="B8301">
            <v>2008</v>
          </cell>
          <cell r="D8301" t="str">
            <v>SOJA</v>
          </cell>
          <cell r="E8301">
            <v>66.055999999999997</v>
          </cell>
        </row>
        <row r="8302">
          <cell r="A8302" t="str">
            <v>TO</v>
          </cell>
          <cell r="B8302">
            <v>2008</v>
          </cell>
          <cell r="D8302" t="str">
            <v>SOJA</v>
          </cell>
          <cell r="E8302">
            <v>4.1029999999999998</v>
          </cell>
        </row>
        <row r="8303">
          <cell r="A8303" t="str">
            <v>MA</v>
          </cell>
          <cell r="B8303">
            <v>2008</v>
          </cell>
          <cell r="D8303" t="str">
            <v>SOJA</v>
          </cell>
          <cell r="E8303">
            <v>0</v>
          </cell>
        </row>
        <row r="8304">
          <cell r="A8304" t="str">
            <v>PI</v>
          </cell>
          <cell r="B8304">
            <v>2008</v>
          </cell>
          <cell r="D8304" t="str">
            <v>SOJA</v>
          </cell>
          <cell r="E8304">
            <v>0</v>
          </cell>
        </row>
        <row r="8305">
          <cell r="A8305" t="str">
            <v>PI</v>
          </cell>
          <cell r="B8305">
            <v>2008</v>
          </cell>
          <cell r="D8305" t="str">
            <v>SOJA</v>
          </cell>
          <cell r="E8305">
            <v>35.17</v>
          </cell>
        </row>
        <row r="8306">
          <cell r="A8306" t="str">
            <v>PI</v>
          </cell>
          <cell r="B8306">
            <v>2008</v>
          </cell>
          <cell r="D8306" t="str">
            <v>SOJA</v>
          </cell>
          <cell r="E8306">
            <v>21.503</v>
          </cell>
        </row>
        <row r="8307">
          <cell r="A8307" t="str">
            <v>PI</v>
          </cell>
          <cell r="B8307">
            <v>2008</v>
          </cell>
          <cell r="D8307" t="str">
            <v>SOJA</v>
          </cell>
          <cell r="E8307">
            <v>41.128999999999998</v>
          </cell>
        </row>
        <row r="8308">
          <cell r="A8308" t="str">
            <v>GO</v>
          </cell>
          <cell r="B8308">
            <v>2008</v>
          </cell>
          <cell r="D8308" t="str">
            <v>SOJA</v>
          </cell>
          <cell r="E8308">
            <v>563.54</v>
          </cell>
        </row>
        <row r="8309">
          <cell r="A8309" t="str">
            <v>MG</v>
          </cell>
          <cell r="B8309">
            <v>2008</v>
          </cell>
          <cell r="D8309" t="str">
            <v>SOJA</v>
          </cell>
          <cell r="E8309">
            <v>0</v>
          </cell>
        </row>
        <row r="8310">
          <cell r="A8310" t="str">
            <v>GO</v>
          </cell>
          <cell r="B8310">
            <v>2008</v>
          </cell>
          <cell r="D8310" t="str">
            <v>SOJA</v>
          </cell>
          <cell r="E8310">
            <v>1236.5350000000001</v>
          </cell>
        </row>
        <row r="8311">
          <cell r="A8311" t="str">
            <v>GO</v>
          </cell>
          <cell r="B8311">
            <v>2008</v>
          </cell>
          <cell r="D8311" t="str">
            <v>SOJA</v>
          </cell>
          <cell r="E8311">
            <v>200.57</v>
          </cell>
        </row>
        <row r="8312">
          <cell r="A8312" t="str">
            <v>GO</v>
          </cell>
          <cell r="B8312">
            <v>2008</v>
          </cell>
          <cell r="D8312" t="str">
            <v>SOJA</v>
          </cell>
          <cell r="E8312">
            <v>0</v>
          </cell>
        </row>
        <row r="8313">
          <cell r="A8313" t="str">
            <v>GO</v>
          </cell>
          <cell r="B8313">
            <v>2008</v>
          </cell>
          <cell r="D8313" t="str">
            <v>SOJA</v>
          </cell>
          <cell r="E8313">
            <v>-57.24</v>
          </cell>
        </row>
        <row r="8314">
          <cell r="A8314" t="str">
            <v>MG</v>
          </cell>
          <cell r="B8314">
            <v>2008</v>
          </cell>
          <cell r="D8314" t="str">
            <v>SOJA</v>
          </cell>
          <cell r="E8314">
            <v>0</v>
          </cell>
        </row>
        <row r="8315">
          <cell r="A8315" t="str">
            <v>GO</v>
          </cell>
          <cell r="B8315">
            <v>2008</v>
          </cell>
          <cell r="D8315" t="str">
            <v>SOJA</v>
          </cell>
          <cell r="E8315">
            <v>0</v>
          </cell>
        </row>
        <row r="8316">
          <cell r="A8316" t="str">
            <v>GO</v>
          </cell>
          <cell r="B8316">
            <v>2008</v>
          </cell>
          <cell r="D8316" t="str">
            <v>SOJA</v>
          </cell>
          <cell r="E8316">
            <v>0</v>
          </cell>
        </row>
        <row r="8317">
          <cell r="A8317" t="str">
            <v>GO</v>
          </cell>
          <cell r="B8317">
            <v>2008</v>
          </cell>
          <cell r="D8317" t="str">
            <v>SOJA</v>
          </cell>
          <cell r="E8317">
            <v>168.89</v>
          </cell>
        </row>
        <row r="8318">
          <cell r="A8318" t="str">
            <v>MT</v>
          </cell>
          <cell r="B8318">
            <v>2008</v>
          </cell>
          <cell r="D8318" t="str">
            <v>SOJA</v>
          </cell>
          <cell r="E8318">
            <v>0</v>
          </cell>
        </row>
        <row r="8319">
          <cell r="A8319" t="str">
            <v>GO</v>
          </cell>
          <cell r="B8319">
            <v>2008</v>
          </cell>
          <cell r="D8319" t="str">
            <v>SOJA</v>
          </cell>
          <cell r="E8319">
            <v>-168.89</v>
          </cell>
        </row>
        <row r="8320">
          <cell r="A8320" t="str">
            <v>GO</v>
          </cell>
          <cell r="B8320">
            <v>2008</v>
          </cell>
          <cell r="D8320" t="str">
            <v>SOJA</v>
          </cell>
          <cell r="E8320">
            <v>0</v>
          </cell>
        </row>
        <row r="8321">
          <cell r="A8321" t="str">
            <v>GO</v>
          </cell>
          <cell r="B8321">
            <v>2008</v>
          </cell>
          <cell r="D8321" t="str">
            <v>SOJA</v>
          </cell>
          <cell r="E8321">
            <v>11804.063</v>
          </cell>
        </row>
        <row r="8322">
          <cell r="A8322" t="str">
            <v>GO</v>
          </cell>
          <cell r="B8322">
            <v>2008</v>
          </cell>
          <cell r="D8322" t="str">
            <v>SOJA</v>
          </cell>
          <cell r="E8322">
            <v>0</v>
          </cell>
        </row>
        <row r="8323">
          <cell r="A8323" t="str">
            <v>MT</v>
          </cell>
          <cell r="B8323">
            <v>2008</v>
          </cell>
          <cell r="D8323" t="str">
            <v>SOJA</v>
          </cell>
          <cell r="E8323">
            <v>106.242</v>
          </cell>
        </row>
        <row r="8324">
          <cell r="A8324" t="str">
            <v>MT</v>
          </cell>
          <cell r="B8324">
            <v>2008</v>
          </cell>
          <cell r="D8324" t="str">
            <v>SOJA</v>
          </cell>
          <cell r="E8324">
            <v>645.84299999999996</v>
          </cell>
        </row>
        <row r="8325">
          <cell r="A8325" t="str">
            <v>MT</v>
          </cell>
          <cell r="B8325">
            <v>2008</v>
          </cell>
          <cell r="D8325" t="str">
            <v>SOJA</v>
          </cell>
          <cell r="E8325">
            <v>0</v>
          </cell>
        </row>
        <row r="8326">
          <cell r="A8326" t="str">
            <v>MT</v>
          </cell>
          <cell r="B8326">
            <v>2008</v>
          </cell>
          <cell r="D8326" t="str">
            <v>SOJA</v>
          </cell>
          <cell r="E8326">
            <v>-81.763000000000005</v>
          </cell>
        </row>
        <row r="8327">
          <cell r="A8327" t="str">
            <v>MT</v>
          </cell>
          <cell r="B8327">
            <v>2008</v>
          </cell>
          <cell r="D8327" t="str">
            <v>SOJA</v>
          </cell>
          <cell r="E8327">
            <v>3352.4659999999999</v>
          </cell>
        </row>
        <row r="8328">
          <cell r="A8328" t="str">
            <v>MT</v>
          </cell>
          <cell r="B8328">
            <v>2008</v>
          </cell>
          <cell r="D8328" t="str">
            <v>SOJA</v>
          </cell>
          <cell r="E8328">
            <v>1184.008</v>
          </cell>
        </row>
        <row r="8329">
          <cell r="A8329" t="str">
            <v>MS</v>
          </cell>
          <cell r="B8329">
            <v>2008</v>
          </cell>
          <cell r="D8329" t="str">
            <v>SOJA</v>
          </cell>
          <cell r="E8329">
            <v>7093.07</v>
          </cell>
        </row>
        <row r="8330">
          <cell r="A8330" t="str">
            <v>MS</v>
          </cell>
          <cell r="B8330">
            <v>2008</v>
          </cell>
          <cell r="D8330" t="str">
            <v>SOJA</v>
          </cell>
          <cell r="E8330">
            <v>0</v>
          </cell>
        </row>
        <row r="8331">
          <cell r="A8331" t="str">
            <v>MS</v>
          </cell>
          <cell r="B8331">
            <v>2008</v>
          </cell>
          <cell r="D8331" t="str">
            <v>SOJA</v>
          </cell>
          <cell r="E8331">
            <v>0</v>
          </cell>
        </row>
        <row r="8332">
          <cell r="A8332" t="str">
            <v>MS</v>
          </cell>
          <cell r="B8332">
            <v>2008</v>
          </cell>
          <cell r="D8332" t="str">
            <v>SOJA</v>
          </cell>
          <cell r="E8332">
            <v>0</v>
          </cell>
        </row>
        <row r="8333">
          <cell r="A8333" t="str">
            <v>MT</v>
          </cell>
          <cell r="B8333">
            <v>2008</v>
          </cell>
          <cell r="D8333" t="str">
            <v>SOJA</v>
          </cell>
          <cell r="E8333">
            <v>14035.893</v>
          </cell>
        </row>
        <row r="8334">
          <cell r="A8334" t="str">
            <v>MT</v>
          </cell>
          <cell r="B8334">
            <v>2008</v>
          </cell>
          <cell r="D8334" t="str">
            <v>SOJA</v>
          </cell>
          <cell r="E8334">
            <v>20.6</v>
          </cell>
        </row>
        <row r="8335">
          <cell r="A8335" t="str">
            <v>MT</v>
          </cell>
          <cell r="B8335">
            <v>2008</v>
          </cell>
          <cell r="D8335" t="str">
            <v>SOJA</v>
          </cell>
          <cell r="E8335">
            <v>0</v>
          </cell>
        </row>
        <row r="8336">
          <cell r="A8336" t="str">
            <v>MT</v>
          </cell>
          <cell r="B8336">
            <v>2008</v>
          </cell>
          <cell r="D8336" t="str">
            <v>SOJA</v>
          </cell>
          <cell r="E8336">
            <v>0</v>
          </cell>
        </row>
        <row r="8337">
          <cell r="A8337" t="str">
            <v>MT</v>
          </cell>
          <cell r="B8337">
            <v>2008</v>
          </cell>
          <cell r="D8337" t="str">
            <v>SOJA</v>
          </cell>
          <cell r="E8337">
            <v>0</v>
          </cell>
        </row>
        <row r="8338">
          <cell r="A8338" t="str">
            <v>MT</v>
          </cell>
          <cell r="B8338">
            <v>2008</v>
          </cell>
          <cell r="D8338" t="str">
            <v>SOJA</v>
          </cell>
          <cell r="E8338">
            <v>-1221.18</v>
          </cell>
        </row>
        <row r="8339">
          <cell r="A8339" t="str">
            <v>MT</v>
          </cell>
          <cell r="B8339">
            <v>2008</v>
          </cell>
          <cell r="D8339" t="str">
            <v>SOJA</v>
          </cell>
          <cell r="E8339">
            <v>0</v>
          </cell>
        </row>
        <row r="8340">
          <cell r="A8340" t="str">
            <v>MT</v>
          </cell>
          <cell r="B8340">
            <v>2008</v>
          </cell>
          <cell r="D8340" t="str">
            <v>SOJA</v>
          </cell>
          <cell r="E8340">
            <v>0</v>
          </cell>
        </row>
        <row r="8341">
          <cell r="A8341" t="str">
            <v>MT</v>
          </cell>
          <cell r="B8341">
            <v>2008</v>
          </cell>
          <cell r="D8341" t="str">
            <v>SOJA</v>
          </cell>
          <cell r="E8341">
            <v>-74.930999999999997</v>
          </cell>
        </row>
        <row r="8342">
          <cell r="A8342" t="str">
            <v>MT</v>
          </cell>
          <cell r="B8342">
            <v>2008</v>
          </cell>
          <cell r="D8342" t="str">
            <v>SOJA</v>
          </cell>
          <cell r="E8342">
            <v>-272.916</v>
          </cell>
        </row>
        <row r="8343">
          <cell r="A8343" t="str">
            <v>MT</v>
          </cell>
          <cell r="B8343">
            <v>2008</v>
          </cell>
          <cell r="D8343" t="str">
            <v>SOJA</v>
          </cell>
          <cell r="E8343">
            <v>18.297999999999998</v>
          </cell>
        </row>
        <row r="8344">
          <cell r="A8344" t="str">
            <v>MT</v>
          </cell>
          <cell r="B8344">
            <v>2008</v>
          </cell>
          <cell r="D8344" t="str">
            <v>SOJA</v>
          </cell>
          <cell r="E8344">
            <v>0</v>
          </cell>
        </row>
        <row r="8345">
          <cell r="A8345" t="str">
            <v>MT</v>
          </cell>
          <cell r="B8345">
            <v>2008</v>
          </cell>
          <cell r="D8345" t="str">
            <v>SOJA</v>
          </cell>
          <cell r="E8345">
            <v>0</v>
          </cell>
        </row>
        <row r="8346">
          <cell r="A8346" t="str">
            <v>MT</v>
          </cell>
          <cell r="B8346">
            <v>2008</v>
          </cell>
          <cell r="D8346" t="str">
            <v>SOJA</v>
          </cell>
          <cell r="E8346">
            <v>30.317</v>
          </cell>
        </row>
        <row r="8347">
          <cell r="A8347" t="str">
            <v>MT</v>
          </cell>
          <cell r="B8347">
            <v>2008</v>
          </cell>
          <cell r="D8347" t="str">
            <v>SOJA</v>
          </cell>
          <cell r="E8347">
            <v>0</v>
          </cell>
        </row>
        <row r="8348">
          <cell r="A8348" t="str">
            <v>MT</v>
          </cell>
          <cell r="B8348">
            <v>2008</v>
          </cell>
          <cell r="D8348" t="str">
            <v>SOJA</v>
          </cell>
          <cell r="E8348">
            <v>0</v>
          </cell>
        </row>
        <row r="8349">
          <cell r="A8349" t="str">
            <v>RS</v>
          </cell>
          <cell r="B8349">
            <v>2008</v>
          </cell>
          <cell r="D8349" t="str">
            <v>SOJA</v>
          </cell>
          <cell r="E8349">
            <v>940.52700000000004</v>
          </cell>
        </row>
        <row r="8350">
          <cell r="A8350" t="str">
            <v>RS</v>
          </cell>
          <cell r="B8350">
            <v>2008</v>
          </cell>
          <cell r="D8350" t="str">
            <v>SOJA</v>
          </cell>
          <cell r="E8350">
            <v>1108.0930000000001</v>
          </cell>
        </row>
        <row r="8351">
          <cell r="A8351" t="str">
            <v>RS</v>
          </cell>
          <cell r="B8351">
            <v>2008</v>
          </cell>
          <cell r="D8351" t="str">
            <v>SOJA</v>
          </cell>
          <cell r="E8351">
            <v>4954.6459999999997</v>
          </cell>
        </row>
        <row r="8352">
          <cell r="A8352" t="str">
            <v>RS</v>
          </cell>
          <cell r="B8352">
            <v>2008</v>
          </cell>
          <cell r="D8352" t="str">
            <v>SOJA</v>
          </cell>
          <cell r="E8352">
            <v>0</v>
          </cell>
        </row>
        <row r="8353">
          <cell r="A8353" t="str">
            <v>RS</v>
          </cell>
          <cell r="B8353">
            <v>2008</v>
          </cell>
          <cell r="D8353" t="str">
            <v>SOJA</v>
          </cell>
          <cell r="E8353">
            <v>82.106999999999999</v>
          </cell>
        </row>
        <row r="8354">
          <cell r="A8354" t="str">
            <v>RS</v>
          </cell>
          <cell r="B8354">
            <v>2008</v>
          </cell>
          <cell r="D8354" t="str">
            <v>SOJA</v>
          </cell>
          <cell r="E8354">
            <v>4069.3870000000002</v>
          </cell>
        </row>
        <row r="8355">
          <cell r="A8355" t="str">
            <v>RS</v>
          </cell>
          <cell r="B8355">
            <v>2008</v>
          </cell>
          <cell r="D8355" t="str">
            <v>SOJA</v>
          </cell>
          <cell r="E8355">
            <v>0</v>
          </cell>
        </row>
        <row r="8356">
          <cell r="A8356" t="str">
            <v>RS</v>
          </cell>
          <cell r="B8356">
            <v>2008</v>
          </cell>
          <cell r="D8356" t="str">
            <v>SOJA</v>
          </cell>
          <cell r="E8356">
            <v>5592.9030000000002</v>
          </cell>
        </row>
        <row r="8357">
          <cell r="A8357" t="str">
            <v>RS</v>
          </cell>
          <cell r="B8357">
            <v>2008</v>
          </cell>
          <cell r="D8357" t="str">
            <v>SOJA</v>
          </cell>
          <cell r="E8357">
            <v>1667.001</v>
          </cell>
        </row>
        <row r="8358">
          <cell r="A8358" t="str">
            <v>RS</v>
          </cell>
          <cell r="B8358">
            <v>2008</v>
          </cell>
          <cell r="D8358" t="str">
            <v>SOJA</v>
          </cell>
          <cell r="E8358">
            <v>-308.46699999999998</v>
          </cell>
        </row>
        <row r="8359">
          <cell r="A8359" t="str">
            <v>RS</v>
          </cell>
          <cell r="B8359">
            <v>2008</v>
          </cell>
          <cell r="D8359" t="str">
            <v>SOJA</v>
          </cell>
          <cell r="E8359">
            <v>1920.8009999999999</v>
          </cell>
        </row>
        <row r="8360">
          <cell r="A8360" t="str">
            <v>RS</v>
          </cell>
          <cell r="B8360">
            <v>2008</v>
          </cell>
          <cell r="D8360" t="str">
            <v>SOJA</v>
          </cell>
          <cell r="E8360">
            <v>2827.1680000000001</v>
          </cell>
        </row>
        <row r="8361">
          <cell r="A8361" t="str">
            <v>RS</v>
          </cell>
          <cell r="B8361">
            <v>2008</v>
          </cell>
          <cell r="D8361" t="str">
            <v>SOJA</v>
          </cell>
          <cell r="E8361">
            <v>31.984999999999999</v>
          </cell>
        </row>
        <row r="8362">
          <cell r="A8362" t="str">
            <v>SC</v>
          </cell>
          <cell r="B8362">
            <v>2008</v>
          </cell>
          <cell r="D8362" t="str">
            <v>SOJA</v>
          </cell>
          <cell r="E8362">
            <v>-18.297999999999998</v>
          </cell>
        </row>
        <row r="8363">
          <cell r="A8363" t="str">
            <v>PR</v>
          </cell>
          <cell r="B8363">
            <v>2008</v>
          </cell>
          <cell r="D8363" t="str">
            <v>SOJA</v>
          </cell>
          <cell r="E8363">
            <v>0</v>
          </cell>
        </row>
        <row r="8364">
          <cell r="A8364" t="str">
            <v>PR</v>
          </cell>
          <cell r="B8364">
            <v>2008</v>
          </cell>
          <cell r="D8364" t="str">
            <v>SOJA</v>
          </cell>
          <cell r="E8364">
            <v>0</v>
          </cell>
        </row>
        <row r="8365">
          <cell r="A8365" t="str">
            <v>PR</v>
          </cell>
          <cell r="B8365">
            <v>2008</v>
          </cell>
          <cell r="D8365" t="str">
            <v>SOJA</v>
          </cell>
          <cell r="E8365">
            <v>2488.5859999999998</v>
          </cell>
        </row>
        <row r="8366">
          <cell r="A8366" t="str">
            <v>PR</v>
          </cell>
          <cell r="B8366">
            <v>2008</v>
          </cell>
          <cell r="D8366" t="str">
            <v>SOJA</v>
          </cell>
          <cell r="E8366">
            <v>0</v>
          </cell>
        </row>
        <row r="8367">
          <cell r="A8367" t="str">
            <v>PR</v>
          </cell>
          <cell r="B8367">
            <v>2008</v>
          </cell>
          <cell r="D8367" t="str">
            <v>SOJA</v>
          </cell>
          <cell r="E8367">
            <v>0</v>
          </cell>
        </row>
        <row r="8368">
          <cell r="A8368" t="str">
            <v>PR</v>
          </cell>
          <cell r="B8368">
            <v>2008</v>
          </cell>
          <cell r="D8368" t="str">
            <v>SOJA</v>
          </cell>
          <cell r="E8368">
            <v>0</v>
          </cell>
        </row>
        <row r="8369">
          <cell r="A8369" t="str">
            <v>PR</v>
          </cell>
          <cell r="B8369">
            <v>2008</v>
          </cell>
          <cell r="D8369" t="str">
            <v>SOJA</v>
          </cell>
          <cell r="E8369">
            <v>14.939</v>
          </cell>
        </row>
        <row r="8370">
          <cell r="A8370" t="str">
            <v>PR</v>
          </cell>
          <cell r="B8370">
            <v>2008</v>
          </cell>
          <cell r="D8370" t="str">
            <v>SOJA</v>
          </cell>
          <cell r="E8370">
            <v>221.702</v>
          </cell>
        </row>
        <row r="8371">
          <cell r="A8371" t="str">
            <v>PR</v>
          </cell>
          <cell r="B8371">
            <v>2008</v>
          </cell>
          <cell r="D8371" t="str">
            <v>SOJA</v>
          </cell>
          <cell r="E8371">
            <v>29.08</v>
          </cell>
        </row>
        <row r="8372">
          <cell r="A8372" t="str">
            <v>PR</v>
          </cell>
          <cell r="B8372">
            <v>2008</v>
          </cell>
          <cell r="D8372" t="str">
            <v>SOJA</v>
          </cell>
          <cell r="E8372">
            <v>0</v>
          </cell>
        </row>
        <row r="8373">
          <cell r="A8373" t="str">
            <v>BA</v>
          </cell>
          <cell r="B8373">
            <v>2008</v>
          </cell>
          <cell r="D8373" t="str">
            <v>MILHO</v>
          </cell>
          <cell r="E8373">
            <v>94.656526683004074</v>
          </cell>
        </row>
        <row r="8374">
          <cell r="A8374" t="str">
            <v>BA</v>
          </cell>
          <cell r="B8374">
            <v>2008</v>
          </cell>
          <cell r="D8374" t="str">
            <v>MILHO</v>
          </cell>
          <cell r="E8374">
            <v>176.30706987123148</v>
          </cell>
        </row>
        <row r="8375">
          <cell r="A8375" t="str">
            <v>BA</v>
          </cell>
          <cell r="B8375">
            <v>2008</v>
          </cell>
          <cell r="D8375" t="str">
            <v>MILHO</v>
          </cell>
          <cell r="E8375">
            <v>1398.7241481141023</v>
          </cell>
        </row>
        <row r="8376">
          <cell r="A8376" t="str">
            <v>BA</v>
          </cell>
          <cell r="B8376">
            <v>2008</v>
          </cell>
          <cell r="D8376" t="str">
            <v>MILHO</v>
          </cell>
          <cell r="E8376">
            <v>70.112911109223049</v>
          </cell>
        </row>
        <row r="8377">
          <cell r="A8377" t="str">
            <v>BA</v>
          </cell>
          <cell r="B8377">
            <v>2008</v>
          </cell>
          <cell r="D8377" t="str">
            <v>MILHO</v>
          </cell>
          <cell r="E8377">
            <v>2370.0049671691618</v>
          </cell>
        </row>
        <row r="8378">
          <cell r="A8378" t="str">
            <v>BA</v>
          </cell>
          <cell r="B8378">
            <v>2008</v>
          </cell>
          <cell r="D8378" t="str">
            <v>MILHO</v>
          </cell>
          <cell r="E8378">
            <v>22.717983520995464</v>
          </cell>
        </row>
        <row r="8379">
          <cell r="A8379" t="str">
            <v>BA</v>
          </cell>
          <cell r="B8379">
            <v>2008</v>
          </cell>
          <cell r="D8379" t="str">
            <v>MILHO</v>
          </cell>
          <cell r="E8379">
            <v>14.897038374423257</v>
          </cell>
        </row>
        <row r="8380">
          <cell r="A8380" t="str">
            <v>BA</v>
          </cell>
          <cell r="B8380">
            <v>2008</v>
          </cell>
          <cell r="D8380" t="str">
            <v>MILHO</v>
          </cell>
          <cell r="E8380">
            <v>74.485191872116275</v>
          </cell>
        </row>
        <row r="8381">
          <cell r="A8381" t="str">
            <v>BA</v>
          </cell>
          <cell r="B8381">
            <v>2008</v>
          </cell>
          <cell r="D8381" t="str">
            <v>MILHO</v>
          </cell>
          <cell r="E8381">
            <v>15.696388625197516</v>
          </cell>
        </row>
        <row r="8382">
          <cell r="A8382" t="str">
            <v>BA</v>
          </cell>
          <cell r="B8382">
            <v>2008</v>
          </cell>
          <cell r="D8382" t="str">
            <v>MILHO</v>
          </cell>
          <cell r="E8382">
            <v>231.20799438639864</v>
          </cell>
        </row>
        <row r="8383">
          <cell r="A8383" t="str">
            <v>GO</v>
          </cell>
          <cell r="B8383">
            <v>2008</v>
          </cell>
          <cell r="D8383" t="str">
            <v>MILHO</v>
          </cell>
          <cell r="E8383">
            <v>0</v>
          </cell>
        </row>
        <row r="8384">
          <cell r="A8384" t="str">
            <v>GO</v>
          </cell>
          <cell r="B8384">
            <v>2008</v>
          </cell>
          <cell r="D8384" t="str">
            <v>MILHO</v>
          </cell>
          <cell r="E8384">
            <v>4919.8520564748542</v>
          </cell>
        </row>
        <row r="8385">
          <cell r="A8385" t="str">
            <v>MT</v>
          </cell>
          <cell r="B8385">
            <v>2008</v>
          </cell>
          <cell r="D8385" t="str">
            <v>MILHO</v>
          </cell>
          <cell r="E8385">
            <v>1933.4507099937932</v>
          </cell>
        </row>
        <row r="8386">
          <cell r="A8386" t="str">
            <v>GO</v>
          </cell>
          <cell r="B8386">
            <v>2008</v>
          </cell>
          <cell r="D8386" t="str">
            <v>MILHO</v>
          </cell>
          <cell r="E8386">
            <v>18336.117230111395</v>
          </cell>
        </row>
        <row r="8387">
          <cell r="A8387" t="str">
            <v>GO</v>
          </cell>
          <cell r="B8387">
            <v>2008</v>
          </cell>
          <cell r="D8387" t="str">
            <v>MILHO</v>
          </cell>
          <cell r="E8387">
            <v>265.62848828076852</v>
          </cell>
        </row>
        <row r="8388">
          <cell r="A8388" t="str">
            <v>MS</v>
          </cell>
          <cell r="B8388">
            <v>2008</v>
          </cell>
          <cell r="D8388" t="str">
            <v>MILHO</v>
          </cell>
          <cell r="E8388">
            <v>0</v>
          </cell>
        </row>
        <row r="8389">
          <cell r="A8389" t="str">
            <v>GO</v>
          </cell>
          <cell r="B8389">
            <v>2008</v>
          </cell>
          <cell r="D8389" t="str">
            <v>MILHO</v>
          </cell>
          <cell r="E8389">
            <v>676.83555107461393</v>
          </cell>
        </row>
        <row r="8390">
          <cell r="A8390" t="str">
            <v>GO</v>
          </cell>
          <cell r="B8390">
            <v>2008</v>
          </cell>
          <cell r="D8390" t="str">
            <v>MILHO</v>
          </cell>
          <cell r="E8390">
            <v>10710.146561195601</v>
          </cell>
        </row>
        <row r="8391">
          <cell r="A8391" t="str">
            <v>MT</v>
          </cell>
          <cell r="B8391">
            <v>2008</v>
          </cell>
          <cell r="D8391" t="str">
            <v>MILHO</v>
          </cell>
          <cell r="E8391">
            <v>7273.9689457001477</v>
          </cell>
        </row>
        <row r="8392">
          <cell r="A8392" t="str">
            <v>MT</v>
          </cell>
          <cell r="B8392">
            <v>2008</v>
          </cell>
          <cell r="D8392" t="str">
            <v>MILHO</v>
          </cell>
          <cell r="E8392">
            <v>3623.0165157521228</v>
          </cell>
        </row>
        <row r="8393">
          <cell r="A8393" t="str">
            <v>MT</v>
          </cell>
          <cell r="B8393">
            <v>2008</v>
          </cell>
          <cell r="D8393" t="str">
            <v>MILHO</v>
          </cell>
          <cell r="E8393">
            <v>0</v>
          </cell>
        </row>
        <row r="8394">
          <cell r="A8394" t="str">
            <v>MT</v>
          </cell>
          <cell r="B8394">
            <v>2008</v>
          </cell>
          <cell r="D8394" t="str">
            <v>MILHO</v>
          </cell>
          <cell r="E8394">
            <v>559.20901465831366</v>
          </cell>
        </row>
        <row r="8395">
          <cell r="A8395" t="str">
            <v>MT</v>
          </cell>
          <cell r="B8395">
            <v>2008</v>
          </cell>
          <cell r="D8395" t="str">
            <v>MILHO</v>
          </cell>
          <cell r="E8395">
            <v>0</v>
          </cell>
        </row>
        <row r="8396">
          <cell r="A8396" t="str">
            <v>MT</v>
          </cell>
          <cell r="B8396">
            <v>2008</v>
          </cell>
          <cell r="D8396" t="str">
            <v>MILHO</v>
          </cell>
          <cell r="E8396">
            <v>14774.704833181162</v>
          </cell>
        </row>
        <row r="8397">
          <cell r="A8397" t="str">
            <v>MS</v>
          </cell>
          <cell r="B8397">
            <v>2008</v>
          </cell>
          <cell r="D8397" t="str">
            <v>MILHO</v>
          </cell>
          <cell r="E8397">
            <v>1936.8629878658776</v>
          </cell>
        </row>
        <row r="8398">
          <cell r="A8398" t="str">
            <v>MS</v>
          </cell>
          <cell r="B8398">
            <v>2008</v>
          </cell>
          <cell r="D8398" t="str">
            <v>MILHO</v>
          </cell>
          <cell r="E8398">
            <v>5068.3303970483494</v>
          </cell>
        </row>
        <row r="8399">
          <cell r="A8399" t="str">
            <v>MS</v>
          </cell>
          <cell r="B8399">
            <v>2008</v>
          </cell>
          <cell r="D8399" t="str">
            <v>MILHO</v>
          </cell>
          <cell r="E8399">
            <v>1967.4503527659599</v>
          </cell>
        </row>
        <row r="8400">
          <cell r="A8400" t="str">
            <v>MS</v>
          </cell>
          <cell r="B8400">
            <v>2008</v>
          </cell>
          <cell r="D8400" t="str">
            <v>MILHO</v>
          </cell>
          <cell r="E8400">
            <v>1848.6052130394207</v>
          </cell>
        </row>
        <row r="8401">
          <cell r="A8401" t="str">
            <v>MS</v>
          </cell>
          <cell r="B8401">
            <v>2008</v>
          </cell>
          <cell r="D8401" t="str">
            <v>MILHO</v>
          </cell>
          <cell r="E8401">
            <v>1078.1673438528576</v>
          </cell>
        </row>
        <row r="8402">
          <cell r="A8402" t="str">
            <v>MS</v>
          </cell>
          <cell r="B8402">
            <v>2008</v>
          </cell>
          <cell r="D8402" t="str">
            <v>MILHO</v>
          </cell>
          <cell r="E8402">
            <v>1719.2021520426624</v>
          </cell>
        </row>
        <row r="8403">
          <cell r="A8403" t="str">
            <v>MT</v>
          </cell>
          <cell r="B8403">
            <v>2008</v>
          </cell>
          <cell r="D8403" t="str">
            <v>MILHO</v>
          </cell>
          <cell r="E8403">
            <v>5182.1958003089658</v>
          </cell>
        </row>
        <row r="8404">
          <cell r="A8404" t="str">
            <v>MT</v>
          </cell>
          <cell r="B8404">
            <v>2008</v>
          </cell>
          <cell r="D8404" t="str">
            <v>MILHO</v>
          </cell>
          <cell r="E8404">
            <v>3244.9643812499185</v>
          </cell>
        </row>
        <row r="8405">
          <cell r="A8405" t="str">
            <v>MT</v>
          </cell>
          <cell r="B8405">
            <v>2008</v>
          </cell>
          <cell r="D8405" t="str">
            <v>MILHO</v>
          </cell>
          <cell r="E8405">
            <v>11858.129064454622</v>
          </cell>
        </row>
        <row r="8406">
          <cell r="A8406" t="str">
            <v>MT</v>
          </cell>
          <cell r="B8406">
            <v>2008</v>
          </cell>
          <cell r="D8406" t="str">
            <v>MILHO</v>
          </cell>
          <cell r="E8406">
            <v>6697.9146550063615</v>
          </cell>
        </row>
        <row r="8407">
          <cell r="A8407" t="str">
            <v>MT</v>
          </cell>
          <cell r="B8407">
            <v>2008</v>
          </cell>
          <cell r="D8407" t="str">
            <v>MILHO</v>
          </cell>
          <cell r="E8407">
            <v>8969.7011134300374</v>
          </cell>
        </row>
        <row r="8408">
          <cell r="A8408" t="str">
            <v>MT</v>
          </cell>
          <cell r="B8408">
            <v>2008</v>
          </cell>
          <cell r="D8408" t="str">
            <v>MILHO</v>
          </cell>
          <cell r="E8408">
            <v>52787.160261672812</v>
          </cell>
        </row>
        <row r="8409">
          <cell r="A8409" t="str">
            <v>MT</v>
          </cell>
          <cell r="B8409">
            <v>2008</v>
          </cell>
          <cell r="D8409" t="str">
            <v>MILHO</v>
          </cell>
          <cell r="E8409">
            <v>8771.3076246734236</v>
          </cell>
        </row>
        <row r="8410">
          <cell r="A8410" t="str">
            <v>MT</v>
          </cell>
          <cell r="B8410">
            <v>2008</v>
          </cell>
          <cell r="D8410" t="str">
            <v>MILHO</v>
          </cell>
          <cell r="E8410">
            <v>693.80608801771382</v>
          </cell>
        </row>
        <row r="8411">
          <cell r="A8411" t="str">
            <v>MT</v>
          </cell>
          <cell r="B8411">
            <v>2008</v>
          </cell>
          <cell r="D8411" t="str">
            <v>MILHO</v>
          </cell>
          <cell r="E8411">
            <v>1551.8079896918928</v>
          </cell>
        </row>
        <row r="8412">
          <cell r="A8412" t="str">
            <v>MT</v>
          </cell>
          <cell r="B8412">
            <v>2008</v>
          </cell>
          <cell r="D8412" t="str">
            <v>MILHO</v>
          </cell>
          <cell r="E8412">
            <v>0</v>
          </cell>
        </row>
        <row r="8413">
          <cell r="A8413" t="str">
            <v>MT</v>
          </cell>
          <cell r="B8413">
            <v>2008</v>
          </cell>
          <cell r="D8413" t="str">
            <v>MILHO</v>
          </cell>
          <cell r="E8413">
            <v>0</v>
          </cell>
        </row>
        <row r="8414">
          <cell r="A8414" t="str">
            <v>MT</v>
          </cell>
          <cell r="B8414">
            <v>2008</v>
          </cell>
          <cell r="D8414" t="str">
            <v>MILHO</v>
          </cell>
          <cell r="E8414">
            <v>15598.569000743724</v>
          </cell>
        </row>
        <row r="8415">
          <cell r="A8415" t="str">
            <v>MT</v>
          </cell>
          <cell r="B8415">
            <v>2008</v>
          </cell>
          <cell r="D8415" t="str">
            <v>MILHO</v>
          </cell>
          <cell r="E8415">
            <v>2461.071939252744</v>
          </cell>
        </row>
        <row r="8416">
          <cell r="A8416" t="str">
            <v>MT</v>
          </cell>
          <cell r="B8416">
            <v>2008</v>
          </cell>
          <cell r="D8416" t="str">
            <v>MILHO</v>
          </cell>
          <cell r="E8416">
            <v>0</v>
          </cell>
        </row>
        <row r="8417">
          <cell r="A8417" t="str">
            <v>MT</v>
          </cell>
          <cell r="B8417">
            <v>2008</v>
          </cell>
          <cell r="D8417" t="str">
            <v>MILHO</v>
          </cell>
          <cell r="E8417">
            <v>5759.3732200369213</v>
          </cell>
        </row>
        <row r="8418">
          <cell r="A8418" t="str">
            <v>MT</v>
          </cell>
          <cell r="B8418">
            <v>2008</v>
          </cell>
          <cell r="D8418" t="str">
            <v>MILHO</v>
          </cell>
          <cell r="E8418">
            <v>22537.030255712929</v>
          </cell>
        </row>
        <row r="8419">
          <cell r="A8419" t="str">
            <v>MT</v>
          </cell>
          <cell r="B8419">
            <v>2008</v>
          </cell>
          <cell r="D8419" t="str">
            <v>MILHO</v>
          </cell>
          <cell r="E8419">
            <v>15414.036026350135</v>
          </cell>
        </row>
        <row r="8420">
          <cell r="A8420" t="str">
            <v>MT</v>
          </cell>
          <cell r="B8420">
            <v>2008</v>
          </cell>
          <cell r="D8420" t="str">
            <v>MILHO</v>
          </cell>
          <cell r="E8420">
            <v>887.45205565608546</v>
          </cell>
        </row>
        <row r="8421">
          <cell r="A8421" t="str">
            <v>MT</v>
          </cell>
          <cell r="B8421">
            <v>2008</v>
          </cell>
          <cell r="D8421" t="str">
            <v>MILHO</v>
          </cell>
          <cell r="E8421">
            <v>11827.568343751069</v>
          </cell>
        </row>
        <row r="8422">
          <cell r="A8422" t="str">
            <v>MT</v>
          </cell>
          <cell r="B8422">
            <v>2008</v>
          </cell>
          <cell r="D8422" t="str">
            <v>MILHO</v>
          </cell>
          <cell r="E8422">
            <v>4196.6020606124639</v>
          </cell>
        </row>
        <row r="8423">
          <cell r="A8423" t="str">
            <v>MT</v>
          </cell>
          <cell r="B8423">
            <v>2008</v>
          </cell>
          <cell r="D8423" t="str">
            <v>MILHO</v>
          </cell>
          <cell r="E8423">
            <v>3747.708505086071</v>
          </cell>
        </row>
        <row r="8424">
          <cell r="A8424" t="str">
            <v>MT</v>
          </cell>
          <cell r="B8424">
            <v>2008</v>
          </cell>
          <cell r="D8424" t="str">
            <v>MILHO</v>
          </cell>
          <cell r="E8424">
            <v>14638.921066477333</v>
          </cell>
        </row>
        <row r="8425">
          <cell r="A8425" t="str">
            <v>SC</v>
          </cell>
          <cell r="B8425">
            <v>2008</v>
          </cell>
          <cell r="D8425" t="str">
            <v>MILHO</v>
          </cell>
          <cell r="E8425">
            <v>7194.6350175915504</v>
          </cell>
        </row>
        <row r="8426">
          <cell r="A8426" t="str">
            <v>PR</v>
          </cell>
          <cell r="B8426">
            <v>2008</v>
          </cell>
          <cell r="D8426" t="str">
            <v>MILHO</v>
          </cell>
          <cell r="E8426">
            <v>1371.2344581956311</v>
          </cell>
        </row>
        <row r="8427">
          <cell r="A8427" t="str">
            <v>SP</v>
          </cell>
          <cell r="B8427">
            <v>2008</v>
          </cell>
          <cell r="D8427" t="str">
            <v>MILHO</v>
          </cell>
          <cell r="E8427">
            <v>2189.1550247297632</v>
          </cell>
        </row>
        <row r="8428">
          <cell r="A8428" t="str">
            <v>PR</v>
          </cell>
          <cell r="B8428">
            <v>2008</v>
          </cell>
          <cell r="D8428" t="str">
            <v>MILHO</v>
          </cell>
          <cell r="E8428">
            <v>1298.1387790920285</v>
          </cell>
        </row>
        <row r="8429">
          <cell r="A8429" t="str">
            <v>PR</v>
          </cell>
          <cell r="B8429">
            <v>2008</v>
          </cell>
          <cell r="D8429" t="str">
            <v>MILHO</v>
          </cell>
          <cell r="E8429">
            <v>-9.2642263349187832</v>
          </cell>
        </row>
        <row r="8430">
          <cell r="A8430" t="str">
            <v>PR</v>
          </cell>
          <cell r="B8430">
            <v>2008</v>
          </cell>
          <cell r="D8430" t="str">
            <v>MILHO</v>
          </cell>
          <cell r="E8430">
            <v>2.7926590292120554</v>
          </cell>
        </row>
        <row r="8431">
          <cell r="A8431" t="str">
            <v>PR</v>
          </cell>
          <cell r="B8431">
            <v>2008</v>
          </cell>
          <cell r="D8431" t="str">
            <v>MILHO</v>
          </cell>
          <cell r="E8431">
            <v>4177.411466654492</v>
          </cell>
        </row>
        <row r="8432">
          <cell r="A8432" t="str">
            <v>PR</v>
          </cell>
          <cell r="B8432">
            <v>2008</v>
          </cell>
          <cell r="D8432" t="str">
            <v>MILHO</v>
          </cell>
          <cell r="E8432">
            <v>9117.3608754068355</v>
          </cell>
        </row>
        <row r="8433">
          <cell r="A8433" t="str">
            <v>PR</v>
          </cell>
          <cell r="B8433">
            <v>2008</v>
          </cell>
          <cell r="D8433" t="str">
            <v>MILHO</v>
          </cell>
          <cell r="E8433">
            <v>1423.0597495726713</v>
          </cell>
        </row>
        <row r="8434">
          <cell r="A8434" t="str">
            <v>PR</v>
          </cell>
          <cell r="B8434">
            <v>2008</v>
          </cell>
          <cell r="D8434" t="str">
            <v>MILHO</v>
          </cell>
          <cell r="E8434">
            <v>3715.2332146217991</v>
          </cell>
        </row>
        <row r="8435">
          <cell r="A8435" t="str">
            <v>PR</v>
          </cell>
          <cell r="B8435">
            <v>2008</v>
          </cell>
          <cell r="D8435" t="str">
            <v>MILHO</v>
          </cell>
          <cell r="E8435">
            <v>760.18751495036599</v>
          </cell>
        </row>
        <row r="8436">
          <cell r="A8436" t="str">
            <v>PR</v>
          </cell>
          <cell r="B8436">
            <v>2008</v>
          </cell>
          <cell r="D8436" t="str">
            <v>MILHO</v>
          </cell>
          <cell r="E8436">
            <v>308.68889098085299</v>
          </cell>
        </row>
        <row r="8437">
          <cell r="A8437" t="str">
            <v>PR</v>
          </cell>
          <cell r="B8437">
            <v>2008</v>
          </cell>
          <cell r="D8437" t="str">
            <v>MILHO</v>
          </cell>
          <cell r="E8437">
            <v>988.97535520377062</v>
          </cell>
        </row>
        <row r="8438">
          <cell r="A8438" t="str">
            <v>PR</v>
          </cell>
          <cell r="B8438">
            <v>2008</v>
          </cell>
          <cell r="D8438" t="str">
            <v>MILHO</v>
          </cell>
          <cell r="E8438">
            <v>1204.0965341022154</v>
          </cell>
        </row>
        <row r="8439">
          <cell r="A8439" t="str">
            <v>PR</v>
          </cell>
          <cell r="B8439">
            <v>2008</v>
          </cell>
          <cell r="D8439" t="str">
            <v>MILHO</v>
          </cell>
          <cell r="E8439">
            <v>2301.5781764982457</v>
          </cell>
        </row>
        <row r="8440">
          <cell r="A8440" t="str">
            <v>PR</v>
          </cell>
          <cell r="B8440">
            <v>2008</v>
          </cell>
          <cell r="D8440" t="str">
            <v>MILHO</v>
          </cell>
          <cell r="E8440">
            <v>1521.4412072232183</v>
          </cell>
        </row>
        <row r="8441">
          <cell r="A8441" t="str">
            <v>PR</v>
          </cell>
          <cell r="B8441">
            <v>2008</v>
          </cell>
          <cell r="D8441" t="str">
            <v>MILHO</v>
          </cell>
          <cell r="E8441">
            <v>15574.990207374583</v>
          </cell>
        </row>
        <row r="8442">
          <cell r="A8442" t="str">
            <v>PR</v>
          </cell>
          <cell r="B8442">
            <v>2008</v>
          </cell>
          <cell r="D8442" t="str">
            <v>MILHO</v>
          </cell>
          <cell r="E8442">
            <v>2085.4389471824088</v>
          </cell>
        </row>
        <row r="8443">
          <cell r="A8443" t="str">
            <v>PR</v>
          </cell>
          <cell r="B8443">
            <v>2008</v>
          </cell>
          <cell r="D8443" t="str">
            <v>MILHO</v>
          </cell>
          <cell r="E8443">
            <v>720.05909047033697</v>
          </cell>
        </row>
        <row r="8444">
          <cell r="A8444" t="str">
            <v>PR</v>
          </cell>
          <cell r="B8444">
            <v>2008</v>
          </cell>
          <cell r="D8444" t="str">
            <v>MILHO</v>
          </cell>
          <cell r="E8444">
            <v>1236.2970857368634</v>
          </cell>
        </row>
        <row r="8445">
          <cell r="A8445" t="str">
            <v>PR</v>
          </cell>
          <cell r="B8445">
            <v>2008</v>
          </cell>
          <cell r="D8445" t="str">
            <v>MILHO</v>
          </cell>
          <cell r="E8445">
            <v>2916.4165135013914</v>
          </cell>
        </row>
        <row r="8446">
          <cell r="A8446" t="str">
            <v>TO</v>
          </cell>
          <cell r="B8446">
            <v>2008</v>
          </cell>
          <cell r="D8446" t="str">
            <v>SOJA</v>
          </cell>
          <cell r="E8446">
            <v>1038.9541669710411</v>
          </cell>
        </row>
        <row r="8447">
          <cell r="A8447" t="str">
            <v>MA</v>
          </cell>
          <cell r="B8447">
            <v>2008</v>
          </cell>
          <cell r="D8447" t="str">
            <v>SOJA</v>
          </cell>
          <cell r="E8447">
            <v>2392.4811003521372</v>
          </cell>
        </row>
        <row r="8448">
          <cell r="A8448" t="str">
            <v>TO</v>
          </cell>
          <cell r="B8448">
            <v>2008</v>
          </cell>
          <cell r="D8448" t="str">
            <v>SOJA</v>
          </cell>
          <cell r="E8448">
            <v>507.88883612104075</v>
          </cell>
        </row>
        <row r="8449">
          <cell r="A8449" t="str">
            <v>MA</v>
          </cell>
          <cell r="B8449">
            <v>2008</v>
          </cell>
          <cell r="D8449" t="str">
            <v>SOJA</v>
          </cell>
          <cell r="E8449">
            <v>26.096337317021632</v>
          </cell>
        </row>
        <row r="8450">
          <cell r="A8450" t="str">
            <v>PA</v>
          </cell>
          <cell r="B8450">
            <v>2008</v>
          </cell>
          <cell r="D8450" t="str">
            <v>SOJA</v>
          </cell>
          <cell r="E8450">
            <v>13.179331541588988</v>
          </cell>
        </row>
        <row r="8451">
          <cell r="A8451" t="str">
            <v>MA</v>
          </cell>
          <cell r="B8451">
            <v>2008</v>
          </cell>
          <cell r="D8451" t="str">
            <v>SOJA</v>
          </cell>
          <cell r="E8451">
            <v>459.71506132755161</v>
          </cell>
        </row>
        <row r="8452">
          <cell r="A8452" t="str">
            <v>MA</v>
          </cell>
          <cell r="B8452">
            <v>2008</v>
          </cell>
          <cell r="D8452" t="str">
            <v>SOJA</v>
          </cell>
          <cell r="E8452">
            <v>913.30275621323722</v>
          </cell>
        </row>
        <row r="8453">
          <cell r="A8453" t="str">
            <v>TO</v>
          </cell>
          <cell r="B8453">
            <v>2008</v>
          </cell>
          <cell r="D8453" t="str">
            <v>SOJA</v>
          </cell>
          <cell r="E8453">
            <v>928.32522526560717</v>
          </cell>
        </row>
        <row r="8454">
          <cell r="A8454" t="str">
            <v>MA</v>
          </cell>
          <cell r="B8454">
            <v>2008</v>
          </cell>
          <cell r="D8454" t="str">
            <v>SOJA</v>
          </cell>
          <cell r="E8454">
            <v>2139.1608156215711</v>
          </cell>
        </row>
        <row r="8455">
          <cell r="A8455" t="str">
            <v>MA</v>
          </cell>
          <cell r="B8455">
            <v>2008</v>
          </cell>
          <cell r="D8455" t="str">
            <v>SOJA</v>
          </cell>
          <cell r="E8455">
            <v>1227.071482189881</v>
          </cell>
        </row>
        <row r="8456">
          <cell r="A8456" t="str">
            <v>TO</v>
          </cell>
          <cell r="B8456">
            <v>2008</v>
          </cell>
          <cell r="D8456" t="str">
            <v>SOJA</v>
          </cell>
          <cell r="E8456">
            <v>1592.3872743724326</v>
          </cell>
        </row>
        <row r="8457">
          <cell r="A8457" t="str">
            <v>MA</v>
          </cell>
          <cell r="B8457">
            <v>2008</v>
          </cell>
          <cell r="D8457" t="str">
            <v>SOJA</v>
          </cell>
          <cell r="E8457">
            <v>1543.0787213710598</v>
          </cell>
        </row>
        <row r="8458">
          <cell r="A8458" t="str">
            <v>TO</v>
          </cell>
          <cell r="B8458">
            <v>2008</v>
          </cell>
          <cell r="D8458" t="str">
            <v>SOJA</v>
          </cell>
          <cell r="E8458">
            <v>1401.9240970362409</v>
          </cell>
        </row>
        <row r="8459">
          <cell r="A8459" t="str">
            <v>BA</v>
          </cell>
          <cell r="B8459">
            <v>2008</v>
          </cell>
          <cell r="D8459" t="str">
            <v>SOJA</v>
          </cell>
          <cell r="E8459">
            <v>178.99491699521568</v>
          </cell>
        </row>
        <row r="8460">
          <cell r="A8460" t="str">
            <v>BA</v>
          </cell>
          <cell r="B8460">
            <v>2008</v>
          </cell>
          <cell r="D8460" t="str">
            <v>SOJA</v>
          </cell>
          <cell r="E8460">
            <v>336.64207543207732</v>
          </cell>
        </row>
        <row r="8461">
          <cell r="A8461" t="str">
            <v>BA</v>
          </cell>
          <cell r="B8461">
            <v>2008</v>
          </cell>
          <cell r="D8461" t="str">
            <v>SOJA</v>
          </cell>
          <cell r="E8461">
            <v>642.06116806870716</v>
          </cell>
        </row>
        <row r="8462">
          <cell r="A8462" t="str">
            <v>BA</v>
          </cell>
          <cell r="B8462">
            <v>2008</v>
          </cell>
          <cell r="D8462" t="str">
            <v>SOJA</v>
          </cell>
          <cell r="E8462">
            <v>364.4299018305739</v>
          </cell>
        </row>
        <row r="8463">
          <cell r="A8463" t="str">
            <v>BA</v>
          </cell>
          <cell r="B8463">
            <v>2008</v>
          </cell>
          <cell r="D8463" t="str">
            <v>SOJA</v>
          </cell>
          <cell r="E8463">
            <v>140.4009262290507</v>
          </cell>
        </row>
        <row r="8464">
          <cell r="A8464" t="str">
            <v>BA</v>
          </cell>
          <cell r="B8464">
            <v>2008</v>
          </cell>
          <cell r="D8464" t="str">
            <v>SOJA</v>
          </cell>
          <cell r="E8464">
            <v>46.656381186071968</v>
          </cell>
        </row>
        <row r="8465">
          <cell r="A8465" t="str">
            <v>BA</v>
          </cell>
          <cell r="B8465">
            <v>2008</v>
          </cell>
          <cell r="D8465" t="str">
            <v>SOJA</v>
          </cell>
          <cell r="E8465">
            <v>263.19643646441955</v>
          </cell>
        </row>
        <row r="8466">
          <cell r="A8466" t="str">
            <v>BA</v>
          </cell>
          <cell r="B8466">
            <v>2008</v>
          </cell>
          <cell r="D8466" t="str">
            <v>SOJA</v>
          </cell>
          <cell r="E8466">
            <v>426.83478397030717</v>
          </cell>
        </row>
        <row r="8467">
          <cell r="A8467" t="str">
            <v>BA</v>
          </cell>
          <cell r="B8467">
            <v>2008</v>
          </cell>
          <cell r="D8467" t="str">
            <v>SOJA</v>
          </cell>
          <cell r="E8467">
            <v>1174.7086974363592</v>
          </cell>
        </row>
        <row r="8468">
          <cell r="A8468" t="str">
            <v>BA</v>
          </cell>
          <cell r="B8468">
            <v>2008</v>
          </cell>
          <cell r="D8468" t="str">
            <v>SOJA</v>
          </cell>
          <cell r="E8468">
            <v>314.4215666495885</v>
          </cell>
        </row>
        <row r="8469">
          <cell r="A8469" t="str">
            <v>BA</v>
          </cell>
          <cell r="B8469">
            <v>2008</v>
          </cell>
          <cell r="D8469" t="str">
            <v>SOJA</v>
          </cell>
          <cell r="E8469">
            <v>147.60173428924082</v>
          </cell>
        </row>
        <row r="8470">
          <cell r="A8470" t="str">
            <v>BA</v>
          </cell>
          <cell r="B8470">
            <v>2008</v>
          </cell>
          <cell r="D8470" t="str">
            <v>SOJA</v>
          </cell>
          <cell r="E8470">
            <v>583.87534149708097</v>
          </cell>
        </row>
        <row r="8471">
          <cell r="A8471" t="str">
            <v>BA</v>
          </cell>
          <cell r="B8471">
            <v>2008</v>
          </cell>
          <cell r="D8471" t="str">
            <v>SOJA</v>
          </cell>
          <cell r="E8471">
            <v>181.40727408194306</v>
          </cell>
        </row>
        <row r="8472">
          <cell r="A8472" t="str">
            <v>BA</v>
          </cell>
          <cell r="B8472">
            <v>2008</v>
          </cell>
          <cell r="D8472" t="str">
            <v>SOJA</v>
          </cell>
          <cell r="E8472">
            <v>662.34994177932458</v>
          </cell>
        </row>
        <row r="8473">
          <cell r="A8473" t="str">
            <v>GO</v>
          </cell>
          <cell r="B8473">
            <v>2008</v>
          </cell>
          <cell r="D8473" t="str">
            <v>SOJA</v>
          </cell>
          <cell r="E8473">
            <v>1056.8991197194985</v>
          </cell>
        </row>
        <row r="8474">
          <cell r="A8474" t="str">
            <v>GO</v>
          </cell>
          <cell r="B8474">
            <v>2008</v>
          </cell>
          <cell r="D8474" t="str">
            <v>SOJA</v>
          </cell>
          <cell r="E8474">
            <v>454.998338587175</v>
          </cell>
        </row>
        <row r="8475">
          <cell r="A8475" t="str">
            <v>MG</v>
          </cell>
          <cell r="B8475">
            <v>2008</v>
          </cell>
          <cell r="D8475" t="str">
            <v>SOJA</v>
          </cell>
          <cell r="E8475">
            <v>422.68453097409696</v>
          </cell>
        </row>
        <row r="8476">
          <cell r="A8476" t="str">
            <v>GO</v>
          </cell>
          <cell r="B8476">
            <v>2008</v>
          </cell>
          <cell r="D8476" t="str">
            <v>SOJA</v>
          </cell>
          <cell r="E8476">
            <v>413.52622025860836</v>
          </cell>
        </row>
        <row r="8477">
          <cell r="A8477" t="str">
            <v>GO</v>
          </cell>
          <cell r="B8477">
            <v>2008</v>
          </cell>
          <cell r="D8477" t="str">
            <v>SOJA</v>
          </cell>
          <cell r="E8477">
            <v>583.10957786623294</v>
          </cell>
        </row>
        <row r="8478">
          <cell r="A8478" t="str">
            <v>GO</v>
          </cell>
          <cell r="B8478">
            <v>2008</v>
          </cell>
          <cell r="D8478" t="str">
            <v>SOJA</v>
          </cell>
          <cell r="E8478">
            <v>251.19758339876327</v>
          </cell>
        </row>
        <row r="8479">
          <cell r="A8479" t="str">
            <v>GO</v>
          </cell>
          <cell r="B8479">
            <v>2008</v>
          </cell>
          <cell r="D8479" t="str">
            <v>SOJA</v>
          </cell>
          <cell r="E8479">
            <v>749.24892408815788</v>
          </cell>
        </row>
        <row r="8480">
          <cell r="A8480" t="str">
            <v>MG</v>
          </cell>
          <cell r="B8480">
            <v>2008</v>
          </cell>
          <cell r="D8480" t="str">
            <v>SOJA</v>
          </cell>
          <cell r="E8480">
            <v>0.88498797917720173</v>
          </cell>
        </row>
        <row r="8481">
          <cell r="A8481" t="str">
            <v>MG</v>
          </cell>
          <cell r="B8481">
            <v>2008</v>
          </cell>
          <cell r="D8481" t="str">
            <v>SOJA</v>
          </cell>
          <cell r="E8481">
            <v>314.10310627203989</v>
          </cell>
        </row>
        <row r="8482">
          <cell r="A8482" t="str">
            <v>GO</v>
          </cell>
          <cell r="B8482">
            <v>2008</v>
          </cell>
          <cell r="D8482" t="str">
            <v>SOJA</v>
          </cell>
          <cell r="E8482">
            <v>447.5870152876293</v>
          </cell>
        </row>
        <row r="8483">
          <cell r="A8483" t="str">
            <v>MS</v>
          </cell>
          <cell r="B8483">
            <v>2008</v>
          </cell>
          <cell r="D8483" t="str">
            <v>SOJA</v>
          </cell>
          <cell r="E8483">
            <v>0.58573799366551982</v>
          </cell>
        </row>
        <row r="8484">
          <cell r="A8484" t="str">
            <v>GO</v>
          </cell>
          <cell r="B8484">
            <v>2008</v>
          </cell>
          <cell r="D8484" t="str">
            <v>SOJA</v>
          </cell>
          <cell r="E8484">
            <v>68.258789938911818</v>
          </cell>
        </row>
        <row r="8485">
          <cell r="A8485" t="str">
            <v>GO</v>
          </cell>
          <cell r="B8485">
            <v>2008</v>
          </cell>
          <cell r="D8485" t="str">
            <v>SOJA</v>
          </cell>
          <cell r="E8485">
            <v>0.46310732079482148</v>
          </cell>
        </row>
        <row r="8486">
          <cell r="A8486" t="str">
            <v>MT</v>
          </cell>
          <cell r="B8486">
            <v>2008</v>
          </cell>
          <cell r="D8486" t="str">
            <v>SOJA</v>
          </cell>
          <cell r="E8486">
            <v>43.234167041230435</v>
          </cell>
        </row>
        <row r="8487">
          <cell r="A8487" t="str">
            <v>GO</v>
          </cell>
          <cell r="B8487">
            <v>2008</v>
          </cell>
          <cell r="D8487" t="str">
            <v>SOJA</v>
          </cell>
          <cell r="E8487">
            <v>111.13408876619938</v>
          </cell>
        </row>
        <row r="8488">
          <cell r="A8488" t="str">
            <v>GO</v>
          </cell>
          <cell r="B8488">
            <v>2008</v>
          </cell>
          <cell r="D8488" t="str">
            <v>SOJA</v>
          </cell>
          <cell r="E8488">
            <v>31.620781317953256</v>
          </cell>
        </row>
        <row r="8489">
          <cell r="A8489" t="str">
            <v>MS</v>
          </cell>
          <cell r="B8489">
            <v>2008</v>
          </cell>
          <cell r="D8489" t="str">
            <v>SOJA</v>
          </cell>
          <cell r="E8489">
            <v>58.870652191051491</v>
          </cell>
        </row>
        <row r="8490">
          <cell r="A8490" t="str">
            <v>GO</v>
          </cell>
          <cell r="B8490">
            <v>2008</v>
          </cell>
          <cell r="D8490" t="str">
            <v>SOJA</v>
          </cell>
          <cell r="E8490">
            <v>195.9497332562328</v>
          </cell>
        </row>
        <row r="8491">
          <cell r="A8491" t="str">
            <v>GO</v>
          </cell>
          <cell r="B8491">
            <v>2008</v>
          </cell>
          <cell r="D8491" t="str">
            <v>SOJA</v>
          </cell>
          <cell r="E8491">
            <v>142.49155505924898</v>
          </cell>
        </row>
        <row r="8492">
          <cell r="A8492" t="str">
            <v>PI</v>
          </cell>
          <cell r="B8492">
            <v>2008</v>
          </cell>
          <cell r="D8492" t="str">
            <v>SOJA</v>
          </cell>
          <cell r="E8492">
            <v>465.05406973298238</v>
          </cell>
        </row>
        <row r="8493">
          <cell r="A8493" t="str">
            <v>PI</v>
          </cell>
          <cell r="B8493">
            <v>2008</v>
          </cell>
          <cell r="D8493" t="str">
            <v>SOJA</v>
          </cell>
          <cell r="E8493">
            <v>498.17196509788579</v>
          </cell>
        </row>
        <row r="8494">
          <cell r="A8494" t="str">
            <v>PI</v>
          </cell>
          <cell r="B8494">
            <v>2008</v>
          </cell>
          <cell r="D8494" t="str">
            <v>SOJA</v>
          </cell>
          <cell r="E8494">
            <v>454.38107196461505</v>
          </cell>
        </row>
        <row r="8495">
          <cell r="A8495" t="str">
            <v>PI</v>
          </cell>
          <cell r="B8495">
            <v>2008</v>
          </cell>
          <cell r="D8495" t="str">
            <v>SOJA</v>
          </cell>
          <cell r="E8495">
            <v>507.69010555878788</v>
          </cell>
        </row>
        <row r="8496">
          <cell r="A8496" t="str">
            <v>PI</v>
          </cell>
          <cell r="B8496">
            <v>2008</v>
          </cell>
          <cell r="D8496" t="str">
            <v>SOJA</v>
          </cell>
          <cell r="E8496">
            <v>0.68432834484582716</v>
          </cell>
        </row>
        <row r="8497">
          <cell r="A8497" t="str">
            <v>MT</v>
          </cell>
          <cell r="B8497">
            <v>2008</v>
          </cell>
          <cell r="D8497" t="str">
            <v>SOJA</v>
          </cell>
          <cell r="E8497">
            <v>1724.9241593134338</v>
          </cell>
        </row>
        <row r="8498">
          <cell r="A8498" t="str">
            <v>MT</v>
          </cell>
          <cell r="B8498">
            <v>2008</v>
          </cell>
          <cell r="D8498" t="str">
            <v>SOJA</v>
          </cell>
          <cell r="E8498">
            <v>-14.566991330967003</v>
          </cell>
        </row>
        <row r="8499">
          <cell r="A8499" t="str">
            <v>MT</v>
          </cell>
          <cell r="B8499">
            <v>2008</v>
          </cell>
          <cell r="D8499" t="str">
            <v>SOJA</v>
          </cell>
          <cell r="E8499">
            <v>2808.8484383274904</v>
          </cell>
        </row>
        <row r="8500">
          <cell r="A8500" t="str">
            <v>MT</v>
          </cell>
          <cell r="B8500">
            <v>2008</v>
          </cell>
          <cell r="D8500" t="str">
            <v>SOJA</v>
          </cell>
          <cell r="E8500">
            <v>0</v>
          </cell>
        </row>
        <row r="8501">
          <cell r="A8501" t="str">
            <v>MT</v>
          </cell>
          <cell r="B8501">
            <v>2008</v>
          </cell>
          <cell r="D8501" t="str">
            <v>SOJA</v>
          </cell>
          <cell r="E8501">
            <v>1274.9967623106704</v>
          </cell>
        </row>
        <row r="8502">
          <cell r="A8502" t="str">
            <v>MT</v>
          </cell>
          <cell r="B8502">
            <v>2008</v>
          </cell>
          <cell r="D8502" t="str">
            <v>SOJA</v>
          </cell>
          <cell r="E8502">
            <v>1028.1166354547242</v>
          </cell>
        </row>
        <row r="8503">
          <cell r="A8503" t="str">
            <v>MT</v>
          </cell>
          <cell r="B8503">
            <v>2008</v>
          </cell>
          <cell r="D8503" t="str">
            <v>SOJA</v>
          </cell>
          <cell r="E8503">
            <v>1156.3412534446427</v>
          </cell>
        </row>
        <row r="8504">
          <cell r="A8504" t="str">
            <v>MS</v>
          </cell>
          <cell r="B8504">
            <v>2008</v>
          </cell>
          <cell r="D8504" t="str">
            <v>SOJA</v>
          </cell>
          <cell r="E8504">
            <v>431.82064834219028</v>
          </cell>
        </row>
        <row r="8505">
          <cell r="A8505" t="str">
            <v>MS</v>
          </cell>
          <cell r="B8505">
            <v>2008</v>
          </cell>
          <cell r="D8505" t="str">
            <v>SOJA</v>
          </cell>
          <cell r="E8505">
            <v>3838.2912557177101</v>
          </cell>
        </row>
        <row r="8506">
          <cell r="A8506" t="str">
            <v>MS</v>
          </cell>
          <cell r="B8506">
            <v>2008</v>
          </cell>
          <cell r="D8506" t="str">
            <v>SOJA</v>
          </cell>
          <cell r="E8506">
            <v>450.88529503891112</v>
          </cell>
        </row>
        <row r="8507">
          <cell r="A8507" t="str">
            <v>MS</v>
          </cell>
          <cell r="B8507">
            <v>2008</v>
          </cell>
          <cell r="D8507" t="str">
            <v>SOJA</v>
          </cell>
          <cell r="E8507">
            <v>3108.4497762635042</v>
          </cell>
        </row>
        <row r="8508">
          <cell r="A8508" t="str">
            <v>MS</v>
          </cell>
          <cell r="B8508">
            <v>2008</v>
          </cell>
          <cell r="D8508" t="str">
            <v>SOJA</v>
          </cell>
          <cell r="E8508">
            <v>1155.8398874531824</v>
          </cell>
        </row>
        <row r="8509">
          <cell r="A8509" t="str">
            <v>MS</v>
          </cell>
          <cell r="B8509">
            <v>2008</v>
          </cell>
          <cell r="D8509" t="str">
            <v>SOJA</v>
          </cell>
          <cell r="E8509">
            <v>644.49133279293062</v>
          </cell>
        </row>
        <row r="8510">
          <cell r="A8510" t="str">
            <v>MS</v>
          </cell>
          <cell r="B8510">
            <v>2008</v>
          </cell>
          <cell r="D8510" t="str">
            <v>SOJA</v>
          </cell>
          <cell r="E8510">
            <v>207.49509222402656</v>
          </cell>
        </row>
        <row r="8511">
          <cell r="A8511" t="str">
            <v>MT</v>
          </cell>
          <cell r="B8511">
            <v>2008</v>
          </cell>
          <cell r="D8511" t="str">
            <v>SOJA</v>
          </cell>
          <cell r="E8511">
            <v>428.4830223089844</v>
          </cell>
        </row>
        <row r="8512">
          <cell r="A8512" t="str">
            <v>MT</v>
          </cell>
          <cell r="B8512">
            <v>2008</v>
          </cell>
          <cell r="D8512" t="str">
            <v>SOJA</v>
          </cell>
          <cell r="E8512">
            <v>550.47864952616601</v>
          </cell>
        </row>
        <row r="8513">
          <cell r="A8513" t="str">
            <v>MT</v>
          </cell>
          <cell r="B8513">
            <v>2008</v>
          </cell>
          <cell r="D8513" t="str">
            <v>SOJA</v>
          </cell>
          <cell r="E8513">
            <v>129.22959951233355</v>
          </cell>
        </row>
        <row r="8514">
          <cell r="A8514" t="str">
            <v>MT</v>
          </cell>
          <cell r="B8514">
            <v>2008</v>
          </cell>
          <cell r="D8514" t="str">
            <v>SOJA</v>
          </cell>
          <cell r="E8514">
            <v>1296.6837422957872</v>
          </cell>
        </row>
        <row r="8515">
          <cell r="A8515" t="str">
            <v>MT</v>
          </cell>
          <cell r="B8515">
            <v>2008</v>
          </cell>
          <cell r="D8515" t="str">
            <v>SOJA</v>
          </cell>
          <cell r="E8515">
            <v>589.74423767206235</v>
          </cell>
        </row>
        <row r="8516">
          <cell r="A8516" t="str">
            <v>MT</v>
          </cell>
          <cell r="B8516">
            <v>2008</v>
          </cell>
          <cell r="D8516" t="str">
            <v>SOJA</v>
          </cell>
          <cell r="E8516">
            <v>2606.4048031802899</v>
          </cell>
        </row>
        <row r="8517">
          <cell r="A8517" t="str">
            <v>MT</v>
          </cell>
          <cell r="B8517">
            <v>2008</v>
          </cell>
          <cell r="D8517" t="str">
            <v>SOJA</v>
          </cell>
          <cell r="E8517">
            <v>877.2501782427081</v>
          </cell>
        </row>
        <row r="8518">
          <cell r="A8518" t="str">
            <v>MT</v>
          </cell>
          <cell r="B8518">
            <v>2008</v>
          </cell>
          <cell r="D8518" t="str">
            <v>SOJA</v>
          </cell>
          <cell r="E8518">
            <v>1416.3468103423506</v>
          </cell>
        </row>
        <row r="8519">
          <cell r="A8519" t="str">
            <v>MT</v>
          </cell>
          <cell r="B8519">
            <v>2008</v>
          </cell>
          <cell r="D8519" t="str">
            <v>SOJA</v>
          </cell>
          <cell r="E8519">
            <v>-1.4307570499643152</v>
          </cell>
        </row>
        <row r="8520">
          <cell r="A8520" t="str">
            <v>MT</v>
          </cell>
          <cell r="B8520">
            <v>2008</v>
          </cell>
          <cell r="D8520" t="str">
            <v>SOJA</v>
          </cell>
          <cell r="E8520">
            <v>481.12039362163108</v>
          </cell>
        </row>
        <row r="8521">
          <cell r="A8521" t="str">
            <v>MT</v>
          </cell>
          <cell r="B8521">
            <v>2008</v>
          </cell>
          <cell r="D8521" t="str">
            <v>SOJA</v>
          </cell>
          <cell r="E8521">
            <v>11565.810394591916</v>
          </cell>
        </row>
        <row r="8522">
          <cell r="A8522" t="str">
            <v>MT</v>
          </cell>
          <cell r="B8522">
            <v>2008</v>
          </cell>
          <cell r="D8522" t="str">
            <v>SOJA</v>
          </cell>
          <cell r="E8522">
            <v>3862.9571467891019</v>
          </cell>
        </row>
        <row r="8523">
          <cell r="A8523" t="str">
            <v>MT</v>
          </cell>
          <cell r="B8523">
            <v>2008</v>
          </cell>
          <cell r="D8523" t="str">
            <v>SOJA</v>
          </cell>
          <cell r="E8523">
            <v>1493.4578517007003</v>
          </cell>
        </row>
        <row r="8524">
          <cell r="A8524" t="str">
            <v>MT</v>
          </cell>
          <cell r="B8524">
            <v>2008</v>
          </cell>
          <cell r="D8524" t="str">
            <v>SOJA</v>
          </cell>
          <cell r="E8524">
            <v>5409.4413676696831</v>
          </cell>
        </row>
        <row r="8525">
          <cell r="A8525" t="str">
            <v>MT</v>
          </cell>
          <cell r="B8525">
            <v>2008</v>
          </cell>
          <cell r="D8525" t="str">
            <v>SOJA</v>
          </cell>
          <cell r="E8525">
            <v>1324.5453520474546</v>
          </cell>
        </row>
        <row r="8526">
          <cell r="A8526" t="str">
            <v>MT</v>
          </cell>
          <cell r="B8526">
            <v>2008</v>
          </cell>
          <cell r="D8526" t="str">
            <v>SOJA</v>
          </cell>
          <cell r="E8526">
            <v>11.53584521971762</v>
          </cell>
        </row>
        <row r="8527">
          <cell r="A8527" t="str">
            <v>MT</v>
          </cell>
          <cell r="B8527">
            <v>2008</v>
          </cell>
          <cell r="D8527" t="str">
            <v>SOJA</v>
          </cell>
          <cell r="E8527">
            <v>2690.2598087110114</v>
          </cell>
        </row>
        <row r="8528">
          <cell r="A8528" t="str">
            <v>MT</v>
          </cell>
          <cell r="B8528">
            <v>2008</v>
          </cell>
          <cell r="D8528" t="str">
            <v>SOJA</v>
          </cell>
          <cell r="E8528">
            <v>810.65671827293022</v>
          </cell>
        </row>
        <row r="8529">
          <cell r="A8529" t="str">
            <v>MT</v>
          </cell>
          <cell r="B8529">
            <v>2008</v>
          </cell>
          <cell r="D8529" t="str">
            <v>SOJA</v>
          </cell>
          <cell r="E8529">
            <v>421.36833303866581</v>
          </cell>
        </row>
        <row r="8530">
          <cell r="A8530" t="str">
            <v>MT</v>
          </cell>
          <cell r="B8530">
            <v>2008</v>
          </cell>
          <cell r="D8530" t="str">
            <v>SOJA</v>
          </cell>
          <cell r="E8530">
            <v>1043.4040304460837</v>
          </cell>
        </row>
        <row r="8531">
          <cell r="A8531" t="str">
            <v>MT</v>
          </cell>
          <cell r="B8531">
            <v>2008</v>
          </cell>
          <cell r="D8531" t="str">
            <v>SOJA</v>
          </cell>
          <cell r="E8531">
            <v>2298.5182987602384</v>
          </cell>
        </row>
        <row r="8532">
          <cell r="A8532" t="str">
            <v>MT</v>
          </cell>
          <cell r="B8532">
            <v>2008</v>
          </cell>
          <cell r="D8532" t="str">
            <v>SOJA</v>
          </cell>
          <cell r="E8532">
            <v>376.49884614049648</v>
          </cell>
        </row>
        <row r="8533">
          <cell r="A8533" t="str">
            <v>PA</v>
          </cell>
          <cell r="B8533">
            <v>2008</v>
          </cell>
          <cell r="D8533" t="str">
            <v>SOJA</v>
          </cell>
          <cell r="E8533">
            <v>507.72695761517048</v>
          </cell>
        </row>
        <row r="8534">
          <cell r="A8534" t="str">
            <v>MT</v>
          </cell>
          <cell r="B8534">
            <v>2008</v>
          </cell>
          <cell r="D8534" t="str">
            <v>SOJA</v>
          </cell>
          <cell r="E8534">
            <v>1060.012116644891</v>
          </cell>
        </row>
        <row r="8535">
          <cell r="A8535" t="str">
            <v>MT</v>
          </cell>
          <cell r="B8535">
            <v>2008</v>
          </cell>
          <cell r="D8535" t="str">
            <v>SOJA</v>
          </cell>
          <cell r="E8535">
            <v>1375.9232810013636</v>
          </cell>
        </row>
        <row r="8536">
          <cell r="A8536" t="str">
            <v>MT</v>
          </cell>
          <cell r="B8536">
            <v>2008</v>
          </cell>
          <cell r="D8536" t="str">
            <v>SOJA</v>
          </cell>
          <cell r="E8536">
            <v>1244.2511626222176</v>
          </cell>
        </row>
        <row r="8537">
          <cell r="A8537" t="str">
            <v>MT</v>
          </cell>
          <cell r="B8537">
            <v>2008</v>
          </cell>
          <cell r="D8537" t="str">
            <v>SOJA</v>
          </cell>
          <cell r="E8537">
            <v>826.92993138236591</v>
          </cell>
        </row>
        <row r="8538">
          <cell r="A8538" t="str">
            <v>MT</v>
          </cell>
          <cell r="B8538">
            <v>2008</v>
          </cell>
          <cell r="D8538" t="str">
            <v>SOJA</v>
          </cell>
          <cell r="E8538">
            <v>1385.4482262766344</v>
          </cell>
        </row>
        <row r="8539">
          <cell r="A8539" t="str">
            <v>MT</v>
          </cell>
          <cell r="B8539">
            <v>2008</v>
          </cell>
          <cell r="D8539" t="str">
            <v>SOJA</v>
          </cell>
          <cell r="E8539">
            <v>1020.089469859421</v>
          </cell>
        </row>
        <row r="8540">
          <cell r="A8540" t="str">
            <v>MT</v>
          </cell>
          <cell r="B8540">
            <v>2008</v>
          </cell>
          <cell r="D8540" t="str">
            <v>SOJA</v>
          </cell>
          <cell r="E8540">
            <v>451.74833979901126</v>
          </cell>
        </row>
        <row r="8541">
          <cell r="A8541" t="str">
            <v>MT</v>
          </cell>
          <cell r="B8541">
            <v>2008</v>
          </cell>
          <cell r="D8541" t="str">
            <v>SOJA</v>
          </cell>
          <cell r="E8541">
            <v>717.92809660647026</v>
          </cell>
        </row>
        <row r="8542">
          <cell r="A8542" t="str">
            <v>MT</v>
          </cell>
          <cell r="B8542">
            <v>2008</v>
          </cell>
          <cell r="D8542" t="str">
            <v>SOJA</v>
          </cell>
          <cell r="E8542">
            <v>6.5870838992561227</v>
          </cell>
        </row>
        <row r="8543">
          <cell r="A8543" t="str">
            <v>MT</v>
          </cell>
          <cell r="B8543">
            <v>2008</v>
          </cell>
          <cell r="D8543" t="str">
            <v>SOJA</v>
          </cell>
          <cell r="E8543">
            <v>277.01384109381422</v>
          </cell>
        </row>
        <row r="8544">
          <cell r="A8544" t="str">
            <v>RS</v>
          </cell>
          <cell r="B8544">
            <v>2008</v>
          </cell>
          <cell r="D8544" t="str">
            <v>SOJA</v>
          </cell>
          <cell r="E8544">
            <v>3781.5051383262762</v>
          </cell>
        </row>
        <row r="8545">
          <cell r="A8545" t="str">
            <v>RS</v>
          </cell>
          <cell r="B8545">
            <v>2008</v>
          </cell>
          <cell r="D8545" t="str">
            <v>SOJA</v>
          </cell>
          <cell r="E8545">
            <v>9379.5059807527214</v>
          </cell>
        </row>
        <row r="8546">
          <cell r="A8546" t="str">
            <v>RS</v>
          </cell>
          <cell r="B8546">
            <v>2008</v>
          </cell>
          <cell r="D8546" t="str">
            <v>SOJA</v>
          </cell>
          <cell r="E8546">
            <v>10862.632257057145</v>
          </cell>
        </row>
        <row r="8547">
          <cell r="A8547" t="str">
            <v>RS</v>
          </cell>
          <cell r="B8547">
            <v>2008</v>
          </cell>
          <cell r="D8547" t="str">
            <v>SOJA</v>
          </cell>
          <cell r="E8547">
            <v>2989.671732239759</v>
          </cell>
        </row>
        <row r="8548">
          <cell r="A8548" t="str">
            <v>RS</v>
          </cell>
          <cell r="B8548">
            <v>2008</v>
          </cell>
          <cell r="D8548" t="str">
            <v>SOJA</v>
          </cell>
          <cell r="E8548">
            <v>2368.7164799969282</v>
          </cell>
        </row>
        <row r="8549">
          <cell r="A8549" t="str">
            <v>RS</v>
          </cell>
          <cell r="B8549">
            <v>2008</v>
          </cell>
          <cell r="D8549" t="str">
            <v>SOJA</v>
          </cell>
          <cell r="E8549">
            <v>10839.039295417671</v>
          </cell>
        </row>
        <row r="8550">
          <cell r="A8550" t="str">
            <v>RS</v>
          </cell>
          <cell r="B8550">
            <v>2008</v>
          </cell>
          <cell r="D8550" t="str">
            <v>SOJA</v>
          </cell>
          <cell r="E8550">
            <v>1411.6761830776147</v>
          </cell>
        </row>
        <row r="8551">
          <cell r="A8551" t="str">
            <v>RS</v>
          </cell>
          <cell r="B8551">
            <v>2008</v>
          </cell>
          <cell r="D8551" t="str">
            <v>SOJA</v>
          </cell>
          <cell r="E8551">
            <v>1.7203482858891936</v>
          </cell>
        </row>
        <row r="8552">
          <cell r="A8552" t="str">
            <v>RS</v>
          </cell>
          <cell r="B8552">
            <v>2008</v>
          </cell>
          <cell r="D8552" t="str">
            <v>SOJA</v>
          </cell>
          <cell r="E8552">
            <v>14499.646755155403</v>
          </cell>
        </row>
        <row r="8553">
          <cell r="A8553" t="str">
            <v>RS</v>
          </cell>
          <cell r="B8553">
            <v>2008</v>
          </cell>
          <cell r="D8553" t="str">
            <v>SOJA</v>
          </cell>
          <cell r="E8553">
            <v>7066.5867333545566</v>
          </cell>
        </row>
        <row r="8554">
          <cell r="A8554" t="str">
            <v>RS</v>
          </cell>
          <cell r="B8554">
            <v>2008</v>
          </cell>
          <cell r="D8554" t="str">
            <v>SOJA</v>
          </cell>
          <cell r="E8554">
            <v>138.16917666801933</v>
          </cell>
        </row>
        <row r="8555">
          <cell r="A8555" t="str">
            <v>RS</v>
          </cell>
          <cell r="B8555">
            <v>2008</v>
          </cell>
          <cell r="D8555" t="str">
            <v>SOJA</v>
          </cell>
          <cell r="E8555">
            <v>7964.1647756739576</v>
          </cell>
        </row>
        <row r="8556">
          <cell r="A8556" t="str">
            <v>RS</v>
          </cell>
          <cell r="B8556">
            <v>2008</v>
          </cell>
          <cell r="D8556" t="str">
            <v>SOJA</v>
          </cell>
          <cell r="E8556">
            <v>3357.8024496929602</v>
          </cell>
        </row>
        <row r="8557">
          <cell r="A8557" t="str">
            <v>RS</v>
          </cell>
          <cell r="B8557">
            <v>2008</v>
          </cell>
          <cell r="D8557" t="str">
            <v>SOJA</v>
          </cell>
          <cell r="E8557">
            <v>15972.783945928475</v>
          </cell>
        </row>
        <row r="8558">
          <cell r="A8558" t="str">
            <v>SC</v>
          </cell>
          <cell r="B8558">
            <v>2008</v>
          </cell>
          <cell r="D8558" t="str">
            <v>SOJA</v>
          </cell>
          <cell r="E8558">
            <v>-1.2644183823398575E-16</v>
          </cell>
        </row>
        <row r="8559">
          <cell r="A8559" t="str">
            <v>SC</v>
          </cell>
          <cell r="B8559">
            <v>2008</v>
          </cell>
          <cell r="D8559" t="str">
            <v>SOJA</v>
          </cell>
          <cell r="E8559">
            <v>6769.0094353210125</v>
          </cell>
        </row>
        <row r="8560">
          <cell r="A8560" t="str">
            <v>PR</v>
          </cell>
          <cell r="B8560">
            <v>2008</v>
          </cell>
          <cell r="D8560" t="str">
            <v>SOJA</v>
          </cell>
          <cell r="E8560">
            <v>684.10344536212483</v>
          </cell>
        </row>
        <row r="8561">
          <cell r="A8561" t="str">
            <v>SP</v>
          </cell>
          <cell r="B8561">
            <v>2008</v>
          </cell>
          <cell r="D8561" t="str">
            <v>SOJA</v>
          </cell>
          <cell r="E8561">
            <v>989.78750415283071</v>
          </cell>
        </row>
        <row r="8562">
          <cell r="A8562" t="str">
            <v>PR</v>
          </cell>
          <cell r="B8562">
            <v>2008</v>
          </cell>
          <cell r="D8562" t="str">
            <v>SOJA</v>
          </cell>
          <cell r="E8562">
            <v>971.21674430433654</v>
          </cell>
        </row>
        <row r="8563">
          <cell r="A8563" t="str">
            <v>PR</v>
          </cell>
          <cell r="B8563">
            <v>2008</v>
          </cell>
          <cell r="D8563" t="str">
            <v>SOJA</v>
          </cell>
          <cell r="E8563">
            <v>2888.834244765274</v>
          </cell>
        </row>
        <row r="8564">
          <cell r="A8564" t="str">
            <v>PR</v>
          </cell>
          <cell r="B8564">
            <v>2008</v>
          </cell>
          <cell r="D8564" t="str">
            <v>SOJA</v>
          </cell>
          <cell r="E8564">
            <v>6250.9687871331735</v>
          </cell>
        </row>
        <row r="8565">
          <cell r="A8565" t="str">
            <v>PR</v>
          </cell>
          <cell r="B8565">
            <v>2008</v>
          </cell>
          <cell r="D8565" t="str">
            <v>SOJA</v>
          </cell>
          <cell r="E8565">
            <v>1420.6755849845192</v>
          </cell>
        </row>
        <row r="8566">
          <cell r="A8566" t="str">
            <v>PR</v>
          </cell>
          <cell r="B8566">
            <v>2008</v>
          </cell>
          <cell r="D8566" t="str">
            <v>SOJA</v>
          </cell>
          <cell r="E8566">
            <v>694.81773676706575</v>
          </cell>
        </row>
        <row r="8567">
          <cell r="A8567" t="str">
            <v>PR</v>
          </cell>
          <cell r="B8567">
            <v>2008</v>
          </cell>
          <cell r="D8567" t="str">
            <v>SOJA</v>
          </cell>
          <cell r="E8567">
            <v>1015.8282939069973</v>
          </cell>
        </row>
        <row r="8568">
          <cell r="A8568" t="str">
            <v>PR</v>
          </cell>
          <cell r="B8568">
            <v>2008</v>
          </cell>
          <cell r="D8568" t="str">
            <v>SOJA</v>
          </cell>
          <cell r="E8568">
            <v>750.18806554150763</v>
          </cell>
        </row>
        <row r="8569">
          <cell r="A8569" t="str">
            <v>PR</v>
          </cell>
          <cell r="B8569">
            <v>2008</v>
          </cell>
          <cell r="D8569" t="str">
            <v>SOJA</v>
          </cell>
          <cell r="E8569">
            <v>563.36724076937014</v>
          </cell>
        </row>
        <row r="8570">
          <cell r="A8570" t="str">
            <v>PR</v>
          </cell>
          <cell r="B8570">
            <v>2008</v>
          </cell>
          <cell r="D8570" t="str">
            <v>SOJA</v>
          </cell>
          <cell r="E8570">
            <v>1964.6341655096207</v>
          </cell>
        </row>
        <row r="8571">
          <cell r="A8571" t="str">
            <v>PR</v>
          </cell>
          <cell r="B8571">
            <v>2008</v>
          </cell>
          <cell r="D8571" t="str">
            <v>SOJA</v>
          </cell>
          <cell r="E8571">
            <v>808.67413955437019</v>
          </cell>
        </row>
        <row r="8572">
          <cell r="A8572" t="str">
            <v>PR</v>
          </cell>
          <cell r="B8572">
            <v>2008</v>
          </cell>
          <cell r="D8572" t="str">
            <v>SOJA</v>
          </cell>
          <cell r="E8572">
            <v>2061.1352854189317</v>
          </cell>
        </row>
        <row r="8573">
          <cell r="A8573" t="str">
            <v>PR</v>
          </cell>
          <cell r="B8573">
            <v>2008</v>
          </cell>
          <cell r="D8573" t="str">
            <v>SOJA</v>
          </cell>
          <cell r="E8573">
            <v>1170.9608382609917</v>
          </cell>
        </row>
        <row r="8574">
          <cell r="A8574" t="str">
            <v>PR</v>
          </cell>
          <cell r="B8574">
            <v>2008</v>
          </cell>
          <cell r="D8574" t="str">
            <v>SOJA</v>
          </cell>
          <cell r="E8574">
            <v>5883.7437327660073</v>
          </cell>
        </row>
        <row r="8575">
          <cell r="A8575" t="str">
            <v>PR</v>
          </cell>
          <cell r="B8575">
            <v>2008</v>
          </cell>
          <cell r="D8575" t="str">
            <v>SOJA</v>
          </cell>
          <cell r="E8575">
            <v>1309.9585237471674</v>
          </cell>
        </row>
        <row r="8576">
          <cell r="A8576" t="str">
            <v>PR</v>
          </cell>
          <cell r="B8576">
            <v>2008</v>
          </cell>
          <cell r="D8576" t="str">
            <v>SOJA</v>
          </cell>
          <cell r="E8576">
            <v>503.39605832874128</v>
          </cell>
        </row>
        <row r="8577">
          <cell r="A8577" t="str">
            <v>PR</v>
          </cell>
          <cell r="B8577">
            <v>2008</v>
          </cell>
          <cell r="D8577" t="str">
            <v>SOJA</v>
          </cell>
          <cell r="E8577">
            <v>789.26615552415683</v>
          </cell>
        </row>
        <row r="8578">
          <cell r="A8578" t="str">
            <v>PR</v>
          </cell>
          <cell r="B8578">
            <v>2008</v>
          </cell>
          <cell r="D8578" t="str">
            <v>SOJA</v>
          </cell>
          <cell r="E8578">
            <v>2211.5757227993968</v>
          </cell>
        </row>
      </sheetData>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ntrole"/>
      <sheetName val="Violações de tolerância"/>
    </sheetNames>
    <sheetDataSet>
      <sheetData sheetId="0" refreshError="1"/>
      <sheetData sheetId="1">
        <row r="9">
          <cell r="A9" t="str">
            <v>Sim (Yes)</v>
          </cell>
          <cell r="B9" t="str">
            <v>Não (No)</v>
          </cell>
        </row>
        <row r="10">
          <cell r="A10" t="str">
            <v>Atendidos / Attended</v>
          </cell>
          <cell r="B10" t="str">
            <v>Parcialmente Atendidos / Partially Attended</v>
          </cell>
          <cell r="C10" t="str">
            <v>Não Atendidos / Not Attended</v>
          </cell>
        </row>
        <row r="11">
          <cell r="A11" t="str">
            <v>Sim/Yes</v>
          </cell>
          <cell r="B11" t="str">
            <v>Não/No</v>
          </cell>
          <cell r="C11" t="str">
            <v>Em parte/In part</v>
          </cell>
        </row>
      </sheetData>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api.mziq.com/mzfilemanager/v2/d/53207d1c-63b4-48f1-96b7-19869fae19fe/5dcb8eb2-3106-e1be-1cf0-9969a410c9b5?origin=1" TargetMode="External"/><Relationship Id="rId13" Type="http://schemas.openxmlformats.org/officeDocument/2006/relationships/hyperlink" Target="https://vale.com/documents/d/guest/ethics-compliance-program-2023-report" TargetMode="External"/><Relationship Id="rId3" Type="http://schemas.openxmlformats.org/officeDocument/2006/relationships/hyperlink" Target="https://vale.com/documents/d/guest/ethics-compliance-program-report-2022" TargetMode="External"/><Relationship Id="rId7" Type="http://schemas.openxmlformats.org/officeDocument/2006/relationships/hyperlink" Target="https://ri-vale.mz-sites.com/en/information-to-the-market/annual-reports/20-f-form/" TargetMode="External"/><Relationship Id="rId12" Type="http://schemas.openxmlformats.org/officeDocument/2006/relationships/hyperlink" Target="https://vale.com/documents/44618/2639311/VALE+Tax+Transparency+Report+2022.pdf/2c637c35-0af2-3778-eb11-c8ea6406611d?version=1.1&amp;t=1705513655539&amp;download=false" TargetMode="External"/><Relationship Id="rId2" Type="http://schemas.openxmlformats.org/officeDocument/2006/relationships/hyperlink" Target="https://api.mziq.com/mzfilemanager/v2/d/53207d1c-63b4-48f1-96b7-19869fae19fe/b481cd73-55f1-3cb9-80cd-9091b5197fea?origin=1" TargetMode="External"/><Relationship Id="rId1" Type="http://schemas.openxmlformats.org/officeDocument/2006/relationships/hyperlink" Target="https://www.vale.com/web/esg/home" TargetMode="External"/><Relationship Id="rId6" Type="http://schemas.openxmlformats.org/officeDocument/2006/relationships/hyperlink" Target="https://vale.com/esg/document-library" TargetMode="External"/><Relationship Id="rId11" Type="http://schemas.openxmlformats.org/officeDocument/2006/relationships/hyperlink" Target="https://api.mziq.com/mzfilemanager/v2/d/53207d1c-63b4-48f1-96b7-19869fae19fe/d9b4d312-ebd1-e97d-7de5-091b79ada598?origin=1" TargetMode="External"/><Relationship Id="rId5" Type="http://schemas.openxmlformats.org/officeDocument/2006/relationships/hyperlink" Target="https://api.mziq.com/mzfilemanager/v2/d/53207d1c-63b4-48f1-96b7-19869fae19fe/0e221e32-aed3-1fa6-3bfd-5f512e9ab6b9?origin=1" TargetMode="External"/><Relationship Id="rId15" Type="http://schemas.openxmlformats.org/officeDocument/2006/relationships/drawing" Target="../drawings/drawing2.xml"/><Relationship Id="rId10" Type="http://schemas.openxmlformats.org/officeDocument/2006/relationships/hyperlink" Target="https://api.mziq.com/mzfilemanager/v2/d/53207d1c-63b4-48f1-96b7-19869fae19fe/07540762-7359-a4cc-293b-5cde1019162c?origin=1" TargetMode="External"/><Relationship Id="rId4" Type="http://schemas.openxmlformats.org/officeDocument/2006/relationships/hyperlink" Target="https://api.mziq.com/mzfilemanager/v2/d/53207d1c-63b4-48f1-96b7-19869fae19fe/85440251-62c0-75e6-a679-fdf485c9b3d3?origin=1" TargetMode="External"/><Relationship Id="rId9" Type="http://schemas.openxmlformats.org/officeDocument/2006/relationships/hyperlink" Target="https://api.mziq.com/mzfilemanager/v2/d/53207d1c-63b4-48f1-96b7-19869fae19fe/c57b25fd-1217-2c39-1daf-7e53d0be3624?origin=1"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vale.com/documents/44618/5301370/POL-0046-G_Rev00_P_Conformidade+Fiscal.pdf/4c8fc565-4388-7107-2ee5-36d86512d645?version=1.1&amp;t=1705511992153&amp;download=false" TargetMode="External"/><Relationship Id="rId13" Type="http://schemas.openxmlformats.org/officeDocument/2006/relationships/hyperlink" Target="https://vale.com/documents/44618/387477/POL-0046-G_Rev+00_E_Tax+Policy.pdf/a8d11a2a-57ad-feb9-77cf-c0a878332a6b?version=1.1&amp;t=1705512042181&amp;download=false" TargetMode="External"/><Relationship Id="rId18" Type="http://schemas.openxmlformats.org/officeDocument/2006/relationships/drawing" Target="../drawings/drawing8.xml"/><Relationship Id="rId3" Type="http://schemas.openxmlformats.org/officeDocument/2006/relationships/hyperlink" Target="https://api.mziq.com/mzfilemanager/v2/d/53207d1c-63b4-48f1-96b7-19869fae19fe/573e99f4-40f9-0fe8-249b-10ae33e528e2?origin=1" TargetMode="External"/><Relationship Id="rId7" Type="http://schemas.openxmlformats.org/officeDocument/2006/relationships/hyperlink" Target="https://api.mziq.com/mzfilemanager/v2/d/53207d1c-63b4-48f1-96b7-19869fae19fe/d9b4d312-ebd1-e97d-7de5-091b79ada598?origin=1" TargetMode="External"/><Relationship Id="rId12" Type="http://schemas.openxmlformats.org/officeDocument/2006/relationships/hyperlink" Target="https://vale.com/pt/esg/biblioteca-de-documentos" TargetMode="External"/><Relationship Id="rId17" Type="http://schemas.openxmlformats.org/officeDocument/2006/relationships/printerSettings" Target="../printerSettings/printerSettings8.bin"/><Relationship Id="rId2" Type="http://schemas.openxmlformats.org/officeDocument/2006/relationships/hyperlink" Target="https://api.mziq.com/mzfilemanager/v2/d/53207d1c-63b4-48f1-96b7-19869fae19fe/22ce80da-3ec8-4d06-9753-5ccdddcc6fc9?origin=1" TargetMode="External"/><Relationship Id="rId16" Type="http://schemas.openxmlformats.org/officeDocument/2006/relationships/hyperlink" Target="https://vale.com/documents/44618/387477/POL-0046-G_Rev+00_E_Tax+Policy.pdf/a8d11a2a-57ad-feb9-77cf-c0a878332a6b?version=1.1&amp;t=1705512042181&amp;download=false" TargetMode="External"/><Relationship Id="rId1" Type="http://schemas.openxmlformats.org/officeDocument/2006/relationships/hyperlink" Target="https://vale.com/pt/esg/clima" TargetMode="External"/><Relationship Id="rId6" Type="http://schemas.openxmlformats.org/officeDocument/2006/relationships/hyperlink" Target="https://api.mziq.com/mzfilemanager/v2/d/53207d1c-63b4-48f1-96b7-19869fae19fe/573e99f4-40f9-0fe8-249b-10ae33e528e2?origin=1" TargetMode="External"/><Relationship Id="rId11" Type="http://schemas.openxmlformats.org/officeDocument/2006/relationships/hyperlink" Target="https://vale.com/documents/44618/5301370/POL-0046-G_Rev00_P_Conformidade+Fiscal.pdf/4c8fc565-4388-7107-2ee5-36d86512d645?version=1.1&amp;t=1705511992153&amp;download=false" TargetMode="External"/><Relationship Id="rId5" Type="http://schemas.openxmlformats.org/officeDocument/2006/relationships/hyperlink" Target="https://api.mziq.com/mzfilemanager/v2/d/53207d1c-63b4-48f1-96b7-19869fae19fe/d9b4d312-ebd1-e97d-7de5-091b79ada598?origin=1" TargetMode="External"/><Relationship Id="rId15" Type="http://schemas.openxmlformats.org/officeDocument/2006/relationships/hyperlink" Target="https://vale.com/pt/esg/biblioteca-de-documentos" TargetMode="External"/><Relationship Id="rId10" Type="http://schemas.openxmlformats.org/officeDocument/2006/relationships/hyperlink" Target="https://vale.com/documents/44618/387477/POL-0046-G_Rev+00_E_Tax+Policy.pdf/a8d11a2a-57ad-feb9-77cf-c0a878332a6b?version=1.1&amp;t=1705512042181&amp;download=false" TargetMode="External"/><Relationship Id="rId4" Type="http://schemas.openxmlformats.org/officeDocument/2006/relationships/hyperlink" Target="https://api.mziq.com/mzfilemanager/v2/d/53207d1c-63b4-48f1-96b7-19869fae19fe/5dcb8eb2-3106-e1be-1cf0-9969a410c9b5?origin=1" TargetMode="External"/><Relationship Id="rId9" Type="http://schemas.openxmlformats.org/officeDocument/2006/relationships/hyperlink" Target="https://vale.com/pt/esg/biblioteca-de-documentos" TargetMode="External"/><Relationship Id="rId14" Type="http://schemas.openxmlformats.org/officeDocument/2006/relationships/hyperlink" Target="https://vale.com/documents/44618/5301370/POL-0046-G_Rev00_P_Conformidade+Fiscal.pdf/4c8fc565-4388-7107-2ee5-36d86512d645?version=1.1&amp;t=1705511992153&amp;download=false"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vale.com/documents/44618/5301309/CDP+23.pdf/9173c021-5220-6cdf-1f14-b2bb678c50c2?version=1.1&amp;t=1699360395549&amp;download=false" TargetMode="External"/><Relationship Id="rId13" Type="http://schemas.openxmlformats.org/officeDocument/2006/relationships/ctrlProp" Target="../ctrlProps/ctrlProp1.xml"/><Relationship Id="rId3" Type="http://schemas.openxmlformats.org/officeDocument/2006/relationships/hyperlink" Target="https://vale.com/documents/44618/5301370/POL-0046-G_Rev00_P_Conformidade+Fiscal.pdf/4c8fc565-4388-7107-2ee5-36d86512d645?version=1.1&amp;t=1705511992153&amp;download=false" TargetMode="External"/><Relationship Id="rId7" Type="http://schemas.openxmlformats.org/officeDocument/2006/relationships/hyperlink" Target="https://vale.com/paebm" TargetMode="External"/><Relationship Id="rId12" Type="http://schemas.openxmlformats.org/officeDocument/2006/relationships/vmlDrawing" Target="../drawings/vmlDrawing1.vml"/><Relationship Id="rId2" Type="http://schemas.openxmlformats.org/officeDocument/2006/relationships/hyperlink" Target="https://vale.com/documents/44618/5301370/POL-0046-G_Rev00_P_Conformidade+Fiscal.pdf/4c8fc565-4388-7107-2ee5-36d86512d645?version=1.1&amp;t=1705511992153&amp;download=false" TargetMode="External"/><Relationship Id="rId1" Type="http://schemas.openxmlformats.org/officeDocument/2006/relationships/hyperlink" Target="https://vale.com/documents/44618/5301309/CDP+23.pdf/9173c021-5220-6cdf-1f14-b2bb678c50c2?version=1.1&amp;t=1699360395549&amp;download=false" TargetMode="External"/><Relationship Id="rId6" Type="http://schemas.openxmlformats.org/officeDocument/2006/relationships/hyperlink" Target="https://vale.com/documents/44618/5301370/POL-0046-G_Rev00_P_Conformidade+Fiscal.pdf/4c8fc565-4388-7107-2ee5-36d86512d645?version=1.1&amp;t=1705511992153&amp;download=false" TargetMode="External"/><Relationship Id="rId11" Type="http://schemas.openxmlformats.org/officeDocument/2006/relationships/drawing" Target="../drawings/drawing10.xml"/><Relationship Id="rId5" Type="http://schemas.openxmlformats.org/officeDocument/2006/relationships/hyperlink" Target="https://principio15.azurewebsites.net/basemetals" TargetMode="External"/><Relationship Id="rId10" Type="http://schemas.openxmlformats.org/officeDocument/2006/relationships/printerSettings" Target="../printerSettings/printerSettings10.bin"/><Relationship Id="rId4" Type="http://schemas.openxmlformats.org/officeDocument/2006/relationships/hyperlink" Target="https://principio15.azurewebsites.net/" TargetMode="External"/><Relationship Id="rId9" Type="http://schemas.openxmlformats.org/officeDocument/2006/relationships/hyperlink" Target="https://vale.com/dams" TargetMode="External"/><Relationship Id="rId14" Type="http://schemas.openxmlformats.org/officeDocument/2006/relationships/ctrlProp" Target="../ctrlProps/ctrlProp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vale.com/esg/social" TargetMode="External"/><Relationship Id="rId1" Type="http://schemas.openxmlformats.org/officeDocument/2006/relationships/hyperlink" Target="https://vale.com/pt/esg/biblioteca-de-documento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vale.com/esg/climate"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vale.com/en/document-library?_com_liferay_portal_search_web_internal_custom_filter_portlet_CustomFilterPortlet_INSTANCE_pjirbibliotecatypefilter_formDate=1674132545141&amp;customfilter=assetCategoryIds%3A3067795&amp;_gl=1*okiqeq*_ga*MTg5NTYxNDEyMS4xNjY0ODI0MDgz*_ga_BNK5C1QYMC*MTcxMjI0MDg1OS45MS4xLjE3MTIyNDA4ODkuMzAuMC4w" TargetMode="External"/><Relationship Id="rId2" Type="http://schemas.openxmlformats.org/officeDocument/2006/relationships/hyperlink" Target="https://vale.com/pt/esg/biblioteca-de-documentos" TargetMode="External"/><Relationship Id="rId1" Type="http://schemas.openxmlformats.org/officeDocument/2006/relationships/hyperlink" Target="https://api.mziq.com/mzfilemanager/v2/d/53207d1c-63b4-48f1-96b7-19869fae19fe/b919aa5e-704a-38ce-5732-494fadfa15e7?origin=1" TargetMode="External"/><Relationship Id="rId5" Type="http://schemas.openxmlformats.org/officeDocument/2006/relationships/drawing" Target="../drawings/drawing19.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vale.com/en/document-library?_com_liferay_portal_search_web_internal_custom_filter_portlet_CustomFilterPortlet_INSTANCE_pjirbibliotecatypefilter_formDate=1674132545141&amp;customfilter=assetCategoryIds%3A3067795&amp;_gl=1*ntvobv*_ga*MTg5NTYxNDEyMS4xNjY0ODI0MDgz*_ga_BNK5C1QYMC*MTcxMjA4MzI3NC44Ny4xLjE3MTIwODMyODYuNDguMC4w"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hyperlink" Target="https://www.responsiblemineralsinitiative.org/cobalt-refiners-list/conformant-cobalt-refiners" TargetMode="External"/><Relationship Id="rId3" Type="http://schemas.openxmlformats.org/officeDocument/2006/relationships/hyperlink" Target="https://vale.com/ca/web/esg/suppliers-and-customers" TargetMode="External"/><Relationship Id="rId7" Type="http://schemas.openxmlformats.org/officeDocument/2006/relationships/hyperlink" Target="https://coppermark.org/participants-home/jdd-sites/" TargetMode="External"/><Relationship Id="rId2" Type="http://schemas.openxmlformats.org/officeDocument/2006/relationships/hyperlink" Target="https://vale.com/ca/web/esg/suppliers-and-customers" TargetMode="External"/><Relationship Id="rId1" Type="http://schemas.openxmlformats.org/officeDocument/2006/relationships/hyperlink" Target="https://vale.com/ca/web/esg/suppliers-and-customers" TargetMode="External"/><Relationship Id="rId6" Type="http://schemas.openxmlformats.org/officeDocument/2006/relationships/hyperlink" Target="https://coppermark.org/participants-home/jdd-sites/" TargetMode="External"/><Relationship Id="rId5" Type="http://schemas.openxmlformats.org/officeDocument/2006/relationships/hyperlink" Target="https://coppermark.org/participants-home/jdd-sites/" TargetMode="External"/><Relationship Id="rId10" Type="http://schemas.openxmlformats.org/officeDocument/2006/relationships/drawing" Target="../drawings/drawing22.xml"/><Relationship Id="rId4" Type="http://schemas.openxmlformats.org/officeDocument/2006/relationships/hyperlink" Target="https://vale.com/ca/web/esg/suppliers-and-customers" TargetMode="External"/><Relationship Id="rId9"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8" Type="http://schemas.openxmlformats.org/officeDocument/2006/relationships/hyperlink" Target="https://vale.com/documents/d/guest/code-of-conduct_english" TargetMode="External"/><Relationship Id="rId13" Type="http://schemas.openxmlformats.org/officeDocument/2006/relationships/drawing" Target="../drawings/drawing23.xml"/><Relationship Id="rId3" Type="http://schemas.openxmlformats.org/officeDocument/2006/relationships/hyperlink" Target="https://vale.com/documents/d/guest/bullet-point-3-1-cartilha-trabalho-decente" TargetMode="External"/><Relationship Id="rId7" Type="http://schemas.openxmlformats.org/officeDocument/2006/relationships/hyperlink" Target="https://vale.com/contact-us?_gl=1*1dl3pee*_ga*MjAzNzAzMDYwOC4xNjk3MDQzNTQ1*_ga_BNK5C1QYMC*MTcwOTc0MTQwOS40My4xLjE3MDk3NDE0NzQuNTYuMC4w" TargetMode="External"/><Relationship Id="rId12" Type="http://schemas.openxmlformats.org/officeDocument/2006/relationships/printerSettings" Target="../printerSettings/printerSettings23.bin"/><Relationship Id="rId2" Type="http://schemas.openxmlformats.org/officeDocument/2006/relationships/hyperlink" Target="https://vale.com/esg/human-rights" TargetMode="External"/><Relationship Id="rId1" Type="http://schemas.openxmlformats.org/officeDocument/2006/relationships/hyperlink" Target="https://vale.com/documents/d/guest/principles-of-conduct-for-third-parties-english" TargetMode="External"/><Relationship Id="rId6" Type="http://schemas.openxmlformats.org/officeDocument/2006/relationships/hyperlink" Target="https://inpacto.org.br/" TargetMode="External"/><Relationship Id="rId11" Type="http://schemas.openxmlformats.org/officeDocument/2006/relationships/hyperlink" Target="https://vale.com/documents/d/guest/bullet-point-3-2-vale_cartilha-esca" TargetMode="External"/><Relationship Id="rId5" Type="http://schemas.openxmlformats.org/officeDocument/2006/relationships/hyperlink" Target="https://vale.com/w/18-de-maio-dia-nacional-de-combate-ao-abuso-e-a-exploracao-sexual-de-criancas-e-adolescentes" TargetMode="External"/><Relationship Id="rId10" Type="http://schemas.openxmlformats.org/officeDocument/2006/relationships/hyperlink" Target="https://vale.com/documents/d/guest/hr-guide?_gl=1*1tr09w6*_ga*MTM4NzYxOTc4NS4xNjkzODMyMzQ3*_ga_BNK5C1QYMC*MTcwMDIyNTM5Ni4xMTMuMS4xNzAwMjI2NjU5LjYwLjAuMA.." TargetMode="External"/><Relationship Id="rId4" Type="http://schemas.openxmlformats.org/officeDocument/2006/relationships/hyperlink" Target="https://www.fundacaovale.org/en/activities/projects/" TargetMode="External"/><Relationship Id="rId9" Type="http://schemas.openxmlformats.org/officeDocument/2006/relationships/hyperlink" Target="https://vale.com/documents/44618/387477/POL-0005-G+-+Human+Rights+Policy_2019.pdf/52f03b46-ec69-b05f-9b67-41ad7b634be0?version=2.0&amp;t=1701869483944&amp;download=false"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5DCE-22F7-4C5A-89D8-06DFD6D2518B}">
  <sheetPr codeName="Planilha1">
    <pageSetUpPr fitToPage="1"/>
  </sheetPr>
  <dimension ref="A1:XFC119"/>
  <sheetViews>
    <sheetView showGridLines="0" showRowColHeaders="0" showRuler="0" zoomScale="110" zoomScaleNormal="110" workbookViewId="0">
      <pane ySplit="2" topLeftCell="A3" activePane="bottomLeft" state="frozen"/>
      <selection pane="bottomLeft"/>
    </sheetView>
  </sheetViews>
  <sheetFormatPr defaultColWidth="0" defaultRowHeight="14.4" zeroHeight="1" x14ac:dyDescent="0.3"/>
  <cols>
    <col min="1" max="1" width="8.77734375" customWidth="1"/>
    <col min="2" max="2" width="52.5546875" customWidth="1"/>
    <col min="3" max="3" width="49" style="4" customWidth="1"/>
    <col min="4" max="4" width="19.5546875" style="19" customWidth="1"/>
    <col min="5" max="5" width="8.77734375" customWidth="1"/>
    <col min="6" max="6" width="8.77734375" hidden="1" customWidth="1"/>
    <col min="7" max="16383" width="8.77734375" hidden="1"/>
    <col min="16384" max="16384" width="6" hidden="1"/>
  </cols>
  <sheetData>
    <row r="1" spans="1:5" ht="14.1" customHeight="1" x14ac:dyDescent="0.3">
      <c r="A1" s="446"/>
    </row>
    <row r="2" spans="1:5" s="41" customFormat="1" ht="14.1" customHeight="1" x14ac:dyDescent="0.3">
      <c r="A2" s="447"/>
      <c r="B2" s="421"/>
      <c r="C2" s="422"/>
      <c r="D2" s="423"/>
      <c r="E2" s="421"/>
    </row>
    <row r="3" spans="1:5" ht="14.55" customHeight="1" x14ac:dyDescent="0.3"/>
    <row r="4" spans="1:5" ht="14.55" customHeight="1" x14ac:dyDescent="0.3">
      <c r="D4" s="9" t="s">
        <v>0</v>
      </c>
    </row>
    <row r="5" spans="1:5" ht="14.55" customHeight="1" x14ac:dyDescent="0.3"/>
    <row r="6" spans="1:5" x14ac:dyDescent="0.3"/>
    <row r="7" spans="1:5" x14ac:dyDescent="0.3"/>
    <row r="8" spans="1:5" ht="21" x14ac:dyDescent="0.4">
      <c r="B8" s="441" t="s">
        <v>1</v>
      </c>
      <c r="C8" s="18"/>
      <c r="D8" s="663"/>
    </row>
    <row r="9" spans="1:5" ht="20.100000000000001" customHeight="1" x14ac:dyDescent="0.3">
      <c r="B9" s="5"/>
      <c r="C9" s="18"/>
      <c r="D9" s="20"/>
    </row>
    <row r="10" spans="1:5" x14ac:dyDescent="0.3">
      <c r="C10"/>
      <c r="D10"/>
    </row>
    <row r="11" spans="1:5" x14ac:dyDescent="0.3">
      <c r="C11"/>
      <c r="D11"/>
    </row>
    <row r="12" spans="1:5" x14ac:dyDescent="0.3">
      <c r="C12"/>
      <c r="D12"/>
    </row>
    <row r="13" spans="1:5" x14ac:dyDescent="0.3">
      <c r="C13"/>
      <c r="D13"/>
    </row>
    <row r="14" spans="1:5" x14ac:dyDescent="0.3">
      <c r="C14"/>
      <c r="D14"/>
    </row>
    <row r="15" spans="1:5" x14ac:dyDescent="0.3">
      <c r="C15"/>
      <c r="D15"/>
    </row>
    <row r="16" spans="1:5" x14ac:dyDescent="0.3">
      <c r="C16"/>
      <c r="D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hidden="1" x14ac:dyDescent="0.3"/>
    <row r="42" customFormat="1" hidden="1" x14ac:dyDescent="0.3"/>
    <row r="43" customFormat="1" hidden="1" x14ac:dyDescent="0.3"/>
    <row r="44" customFormat="1" hidden="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row r="71" customFormat="1" hidden="1" x14ac:dyDescent="0.3"/>
    <row r="72" customFormat="1" hidden="1" x14ac:dyDescent="0.3"/>
    <row r="73" customFormat="1" hidden="1" x14ac:dyDescent="0.3"/>
    <row r="74" customFormat="1" hidden="1" x14ac:dyDescent="0.3"/>
    <row r="75" customFormat="1" hidden="1" x14ac:dyDescent="0.3"/>
    <row r="76" customFormat="1" hidden="1" x14ac:dyDescent="0.3"/>
    <row r="77" customFormat="1" hidden="1" x14ac:dyDescent="0.3"/>
    <row r="78" customFormat="1" hidden="1" x14ac:dyDescent="0.3"/>
    <row r="79" customFormat="1" hidden="1" x14ac:dyDescent="0.3"/>
    <row r="80" customFormat="1" hidden="1" x14ac:dyDescent="0.3"/>
    <row r="81" customFormat="1" hidden="1" x14ac:dyDescent="0.3"/>
    <row r="82" customFormat="1" hidden="1" x14ac:dyDescent="0.3"/>
    <row r="83" customFormat="1" hidden="1" x14ac:dyDescent="0.3"/>
    <row r="84" customFormat="1" hidden="1" x14ac:dyDescent="0.3"/>
    <row r="85" customFormat="1" hidden="1" x14ac:dyDescent="0.3"/>
    <row r="86" customFormat="1" hidden="1" x14ac:dyDescent="0.3"/>
    <row r="87" customFormat="1" hidden="1" x14ac:dyDescent="0.3"/>
    <row r="88" customFormat="1" hidden="1" x14ac:dyDescent="0.3"/>
    <row r="89" customFormat="1" hidden="1" x14ac:dyDescent="0.3"/>
    <row r="90" customFormat="1" hidden="1" x14ac:dyDescent="0.3"/>
    <row r="91" customFormat="1" hidden="1" x14ac:dyDescent="0.3"/>
    <row r="92" customFormat="1" hidden="1" x14ac:dyDescent="0.3"/>
    <row r="93" customFormat="1" hidden="1" x14ac:dyDescent="0.3"/>
    <row r="94" customFormat="1" hidden="1" x14ac:dyDescent="0.3"/>
    <row r="95" customFormat="1" hidden="1" x14ac:dyDescent="0.3"/>
    <row r="96" customFormat="1" hidden="1" x14ac:dyDescent="0.3"/>
    <row r="97" customFormat="1" hidden="1" x14ac:dyDescent="0.3"/>
    <row r="98" customFormat="1" hidden="1" x14ac:dyDescent="0.3"/>
    <row r="99" customFormat="1" hidden="1" x14ac:dyDescent="0.3"/>
    <row r="100" customFormat="1" hidden="1" x14ac:dyDescent="0.3"/>
    <row r="101" customFormat="1" hidden="1" x14ac:dyDescent="0.3"/>
    <row r="102" customFormat="1" hidden="1" x14ac:dyDescent="0.3"/>
    <row r="103" customFormat="1" hidden="1" x14ac:dyDescent="0.3"/>
    <row r="104" customFormat="1" hidden="1" x14ac:dyDescent="0.3"/>
    <row r="105" customFormat="1" hidden="1" x14ac:dyDescent="0.3"/>
    <row r="106" customFormat="1" hidden="1" x14ac:dyDescent="0.3"/>
    <row r="107" customFormat="1" hidden="1" x14ac:dyDescent="0.3"/>
    <row r="108" customFormat="1" hidden="1" x14ac:dyDescent="0.3"/>
    <row r="109" customFormat="1" hidden="1" x14ac:dyDescent="0.3"/>
    <row r="110" customFormat="1" hidden="1" x14ac:dyDescent="0.3"/>
    <row r="111" customFormat="1" hidden="1" x14ac:dyDescent="0.3"/>
    <row r="112" customFormat="1" hidden="1" x14ac:dyDescent="0.3"/>
    <row r="113" customFormat="1" hidden="1" x14ac:dyDescent="0.3"/>
    <row r="114" customFormat="1" hidden="1" x14ac:dyDescent="0.3"/>
    <row r="115" customFormat="1" hidden="1" x14ac:dyDescent="0.3"/>
    <row r="116" customFormat="1" hidden="1" x14ac:dyDescent="0.3"/>
    <row r="117" customFormat="1" hidden="1" x14ac:dyDescent="0.3"/>
    <row r="118" customFormat="1" hidden="1" x14ac:dyDescent="0.3"/>
    <row r="119" customFormat="1" hidden="1" x14ac:dyDescent="0.3"/>
  </sheetData>
  <sheetProtection algorithmName="SHA-512" hashValue="A3FsQvNZ4Mmc0w5T+SY9gI3YzEwktnH1HBXX2YSRW0aJws/gK5gyfAl+8NKg74KrOcTWUeZB1jowd3uR3AdT2Q==" saltValue="N2+mdi4Fj77UzGgKaNUAKQ==" spinCount="100000" sheet="1" objects="1" sort="0" autoFilter="0" pivotTables="0"/>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14BE-9BFD-4AB2-BA5D-035F3D5F6539}">
  <sheetPr codeName="Planilha2">
    <pageSetUpPr fitToPage="1"/>
  </sheetPr>
  <dimension ref="A1:XFC68"/>
  <sheetViews>
    <sheetView showGridLines="0" showRowColHeaders="0" showRuler="0" zoomScale="130" zoomScaleNormal="130" workbookViewId="0">
      <pane ySplit="2" topLeftCell="A10" activePane="bottomLeft" state="frozen"/>
      <selection pane="bottomLeft" activeCell="A2" sqref="A2"/>
    </sheetView>
  </sheetViews>
  <sheetFormatPr defaultColWidth="0" defaultRowHeight="13.8" x14ac:dyDescent="0.25"/>
  <cols>
    <col min="1" max="1" width="8.77734375" style="5" customWidth="1"/>
    <col min="2" max="2" width="35.5546875" style="5" customWidth="1"/>
    <col min="3" max="3" width="15.5546875" style="18" customWidth="1"/>
    <col min="4" max="6" width="15.5546875" style="20" customWidth="1"/>
    <col min="7" max="7" width="19.77734375" style="20" customWidth="1"/>
    <col min="8" max="8" width="8.77734375" style="20" customWidth="1"/>
    <col min="9" max="9" width="8.77734375" style="20" hidden="1" customWidth="1"/>
    <col min="10" max="11" width="8.77734375" style="20" hidden="1"/>
    <col min="12" max="16383" width="8.77734375" style="5" hidden="1"/>
    <col min="16384" max="16384" width="10.21875" style="5" hidden="1"/>
  </cols>
  <sheetData>
    <row r="1" spans="1:11" ht="14.1" customHeight="1" x14ac:dyDescent="0.25">
      <c r="A1" s="448"/>
    </row>
    <row r="2" spans="1:11" ht="14.1" customHeight="1" x14ac:dyDescent="0.25">
      <c r="A2" s="449"/>
      <c r="B2" s="424"/>
      <c r="C2" s="425"/>
      <c r="D2" s="426"/>
      <c r="E2" s="426"/>
      <c r="F2" s="426"/>
      <c r="G2" s="426"/>
      <c r="H2" s="426"/>
    </row>
    <row r="3" spans="1:11" ht="14.55" customHeight="1" x14ac:dyDescent="0.25"/>
    <row r="4" spans="1:11" ht="14.55" customHeight="1" x14ac:dyDescent="0.25">
      <c r="E4" s="9"/>
      <c r="F4" s="9"/>
      <c r="G4" s="9" t="s">
        <v>0</v>
      </c>
      <c r="H4" s="9"/>
      <c r="I4" s="9"/>
      <c r="J4" s="9"/>
      <c r="K4" s="9"/>
    </row>
    <row r="5" spans="1:11" ht="14.55" customHeight="1" x14ac:dyDescent="0.25"/>
    <row r="8" spans="1:11" ht="21" x14ac:dyDescent="0.4">
      <c r="B8" s="441" t="s">
        <v>2</v>
      </c>
    </row>
    <row r="9" spans="1:11" ht="20.100000000000001" customHeight="1" x14ac:dyDescent="0.25"/>
    <row r="10" spans="1:11" ht="14.4" thickBot="1" x14ac:dyDescent="0.3">
      <c r="B10" s="10" t="s">
        <v>3</v>
      </c>
      <c r="C10" s="39">
        <v>2019</v>
      </c>
      <c r="D10" s="39">
        <v>2020</v>
      </c>
      <c r="E10" s="39">
        <v>2021</v>
      </c>
      <c r="F10" s="39">
        <v>2022</v>
      </c>
      <c r="G10" s="39">
        <v>2023</v>
      </c>
      <c r="H10" s="5"/>
      <c r="I10" s="5"/>
      <c r="J10" s="5"/>
      <c r="K10" s="5"/>
    </row>
    <row r="11" spans="1:11" s="35" customFormat="1" ht="20.100000000000001" customHeight="1" thickTop="1" x14ac:dyDescent="0.3">
      <c r="B11" s="11" t="s">
        <v>4</v>
      </c>
      <c r="C11" s="38" t="s">
        <v>5</v>
      </c>
      <c r="D11" s="37" t="s">
        <v>6</v>
      </c>
      <c r="E11" s="37" t="s">
        <v>6</v>
      </c>
      <c r="F11" s="37" t="s">
        <v>6</v>
      </c>
      <c r="G11" s="37" t="s">
        <v>6</v>
      </c>
    </row>
    <row r="12" spans="1:11" s="35" customFormat="1" ht="20.100000000000001" customHeight="1" x14ac:dyDescent="0.3">
      <c r="B12" s="11" t="s">
        <v>7</v>
      </c>
      <c r="C12" s="36" t="s">
        <v>6</v>
      </c>
      <c r="D12" s="38" t="s">
        <v>5</v>
      </c>
      <c r="E12" s="38" t="s">
        <v>5</v>
      </c>
      <c r="F12" s="38" t="s">
        <v>5</v>
      </c>
      <c r="G12" s="660" t="s">
        <v>5</v>
      </c>
    </row>
    <row r="13" spans="1:11" s="35" customFormat="1" ht="20.100000000000001" customHeight="1" x14ac:dyDescent="0.3">
      <c r="B13" s="11" t="s">
        <v>8</v>
      </c>
      <c r="C13" s="38" t="s">
        <v>5</v>
      </c>
      <c r="D13" s="38" t="s">
        <v>5</v>
      </c>
      <c r="E13" s="38" t="s">
        <v>5</v>
      </c>
      <c r="F13" s="38" t="s">
        <v>5</v>
      </c>
      <c r="G13" s="38" t="s">
        <v>5</v>
      </c>
    </row>
    <row r="14" spans="1:11" s="35" customFormat="1" ht="20.100000000000001" customHeight="1" x14ac:dyDescent="0.3">
      <c r="B14" s="11" t="s">
        <v>9</v>
      </c>
      <c r="C14" s="38" t="s">
        <v>5</v>
      </c>
      <c r="D14" s="38" t="s">
        <v>5</v>
      </c>
      <c r="E14" s="38" t="s">
        <v>5</v>
      </c>
      <c r="F14" s="38" t="s">
        <v>5</v>
      </c>
      <c r="G14" s="36" t="s">
        <v>6</v>
      </c>
    </row>
    <row r="15" spans="1:11" s="35" customFormat="1" ht="20.100000000000001" customHeight="1" x14ac:dyDescent="0.3">
      <c r="B15" s="11" t="s">
        <v>10</v>
      </c>
      <c r="C15" s="38" t="s">
        <v>5</v>
      </c>
      <c r="D15" s="38" t="s">
        <v>5</v>
      </c>
      <c r="E15" s="38" t="s">
        <v>5</v>
      </c>
      <c r="F15" s="38" t="s">
        <v>5</v>
      </c>
      <c r="G15" s="38" t="s">
        <v>5</v>
      </c>
    </row>
    <row r="16" spans="1:11" s="35" customFormat="1" ht="20.100000000000001" customHeight="1" x14ac:dyDescent="0.3">
      <c r="B16" s="11" t="s">
        <v>11</v>
      </c>
      <c r="C16" s="36" t="s">
        <v>6</v>
      </c>
      <c r="D16" s="36" t="s">
        <v>6</v>
      </c>
      <c r="E16" s="36" t="s">
        <v>6</v>
      </c>
      <c r="F16" s="38" t="s">
        <v>5</v>
      </c>
      <c r="G16" s="674" t="s">
        <v>5</v>
      </c>
    </row>
    <row r="17" spans="2:11" s="35" customFormat="1" ht="20.100000000000001" customHeight="1" x14ac:dyDescent="0.3">
      <c r="B17" s="11" t="s">
        <v>12</v>
      </c>
      <c r="C17" s="38" t="s">
        <v>5</v>
      </c>
      <c r="D17" s="38" t="s">
        <v>5</v>
      </c>
      <c r="E17" s="38" t="s">
        <v>5</v>
      </c>
      <c r="F17" s="38" t="s">
        <v>5</v>
      </c>
      <c r="G17" s="38" t="s">
        <v>5</v>
      </c>
    </row>
    <row r="18" spans="2:11" x14ac:dyDescent="0.25">
      <c r="C18" s="5"/>
      <c r="D18" s="5"/>
      <c r="E18" s="5"/>
      <c r="F18" s="5"/>
      <c r="G18" s="5"/>
      <c r="H18" s="5"/>
      <c r="I18" s="5"/>
      <c r="J18" s="5"/>
      <c r="K18" s="5"/>
    </row>
    <row r="19" spans="2:11" ht="14.4" thickBot="1" x14ac:dyDescent="0.3">
      <c r="B19" s="671" t="s">
        <v>13</v>
      </c>
      <c r="C19" s="10"/>
      <c r="D19" s="10"/>
      <c r="E19" s="10"/>
      <c r="F19" s="10"/>
      <c r="G19" s="10"/>
      <c r="H19" s="5"/>
      <c r="I19" s="5"/>
      <c r="J19" s="5"/>
      <c r="K19" s="5"/>
    </row>
    <row r="20" spans="2:11" ht="14.4" thickTop="1" x14ac:dyDescent="0.25">
      <c r="C20" s="34"/>
      <c r="D20" s="34"/>
      <c r="E20" s="5"/>
      <c r="F20" s="5"/>
      <c r="G20" s="5"/>
      <c r="H20" s="5"/>
      <c r="I20" s="5"/>
      <c r="J20" s="5"/>
      <c r="K20" s="5"/>
    </row>
    <row r="21" spans="2:11" x14ac:dyDescent="0.25">
      <c r="C21" s="35"/>
      <c r="D21" s="35"/>
      <c r="E21" s="5"/>
      <c r="F21" s="5"/>
      <c r="G21" s="5"/>
      <c r="H21" s="5"/>
      <c r="I21" s="5"/>
      <c r="J21" s="5"/>
      <c r="K21" s="5"/>
    </row>
    <row r="22" spans="2:11" x14ac:dyDescent="0.25">
      <c r="C22" s="5"/>
      <c r="E22" s="5"/>
      <c r="F22" s="5"/>
      <c r="G22" s="5"/>
      <c r="H22" s="5"/>
      <c r="I22" s="5"/>
      <c r="J22" s="5"/>
      <c r="K22" s="5"/>
    </row>
    <row r="23" spans="2:11" x14ac:dyDescent="0.25">
      <c r="C23" s="5"/>
      <c r="D23" s="5"/>
      <c r="E23" s="5"/>
      <c r="F23" s="5"/>
      <c r="G23" s="5"/>
      <c r="H23" s="5"/>
      <c r="I23" s="5"/>
      <c r="J23" s="5"/>
      <c r="K23" s="5"/>
    </row>
    <row r="24" spans="2:11" x14ac:dyDescent="0.25">
      <c r="C24" s="5"/>
      <c r="D24" s="5"/>
      <c r="E24" s="5"/>
      <c r="F24" s="5"/>
      <c r="G24" s="5"/>
      <c r="H24" s="5"/>
      <c r="I24" s="5"/>
      <c r="J24" s="5"/>
      <c r="K24" s="5"/>
    </row>
    <row r="25" spans="2:11" x14ac:dyDescent="0.25">
      <c r="C25" s="5"/>
      <c r="D25" s="5"/>
      <c r="E25" s="5"/>
      <c r="F25" s="5"/>
      <c r="G25" s="5"/>
      <c r="H25" s="5"/>
      <c r="I25" s="5"/>
      <c r="J25" s="5"/>
      <c r="K25" s="5"/>
    </row>
    <row r="26" spans="2:11" x14ac:dyDescent="0.25">
      <c r="C26" s="5"/>
      <c r="D26" s="5"/>
      <c r="E26" s="5"/>
      <c r="F26" s="5"/>
      <c r="G26" s="5"/>
      <c r="H26" s="5"/>
      <c r="I26" s="5"/>
      <c r="J26" s="5"/>
      <c r="K26" s="5"/>
    </row>
    <row r="27" spans="2:11" x14ac:dyDescent="0.25">
      <c r="C27" s="5"/>
      <c r="D27" s="5"/>
      <c r="E27" s="5"/>
      <c r="F27" s="5"/>
      <c r="G27" s="5"/>
      <c r="H27" s="5"/>
      <c r="I27" s="5"/>
      <c r="J27" s="5"/>
      <c r="K27" s="5"/>
    </row>
    <row r="28" spans="2:11" x14ac:dyDescent="0.25">
      <c r="C28" s="5"/>
      <c r="D28" s="5"/>
      <c r="E28" s="5"/>
      <c r="F28" s="5"/>
      <c r="G28" s="5"/>
      <c r="H28" s="5"/>
      <c r="I28" s="5"/>
      <c r="J28" s="5"/>
      <c r="K28" s="5"/>
    </row>
    <row r="29" spans="2:11" x14ac:dyDescent="0.25">
      <c r="C29" s="5"/>
      <c r="D29" s="5"/>
      <c r="E29" s="5"/>
      <c r="F29" s="5"/>
      <c r="G29" s="5"/>
      <c r="H29" s="5"/>
      <c r="I29" s="5"/>
      <c r="J29" s="5"/>
      <c r="K29" s="5"/>
    </row>
    <row r="30" spans="2:11" x14ac:dyDescent="0.25">
      <c r="C30" s="5"/>
      <c r="D30" s="5"/>
      <c r="E30" s="5"/>
      <c r="F30" s="5"/>
      <c r="G30" s="5"/>
      <c r="H30" s="5"/>
      <c r="I30" s="5"/>
      <c r="J30" s="5"/>
      <c r="K30" s="5"/>
    </row>
    <row r="31" spans="2:11" x14ac:dyDescent="0.25">
      <c r="C31" s="5"/>
      <c r="D31" s="5"/>
      <c r="E31" s="5"/>
      <c r="F31" s="5"/>
      <c r="G31" s="5"/>
      <c r="H31" s="5"/>
      <c r="I31" s="5"/>
      <c r="J31" s="5"/>
      <c r="K31" s="5"/>
    </row>
    <row r="32" spans="2:11" x14ac:dyDescent="0.25">
      <c r="C32" s="5"/>
      <c r="D32" s="5"/>
      <c r="E32" s="5"/>
      <c r="F32" s="5"/>
      <c r="G32" s="5"/>
      <c r="H32" s="5"/>
      <c r="I32" s="5"/>
      <c r="J32" s="5"/>
      <c r="K32" s="5"/>
    </row>
    <row r="33" s="5" customFormat="1" x14ac:dyDescent="0.25"/>
    <row r="34" s="5" customFormat="1" x14ac:dyDescent="0.25"/>
    <row r="35" s="5" customFormat="1" x14ac:dyDescent="0.25"/>
    <row r="36" s="5" customFormat="1" x14ac:dyDescent="0.25"/>
    <row r="37" s="5" customFormat="1" x14ac:dyDescent="0.25"/>
    <row r="38" s="5" customFormat="1" x14ac:dyDescent="0.25"/>
    <row r="39" s="5" customFormat="1" x14ac:dyDescent="0.25"/>
    <row r="40" s="5" customFormat="1" x14ac:dyDescent="0.25"/>
    <row r="41" s="5" customFormat="1" x14ac:dyDescent="0.25"/>
    <row r="42" s="5" customFormat="1" x14ac:dyDescent="0.25"/>
    <row r="43" s="5" customFormat="1" x14ac:dyDescent="0.25"/>
    <row r="44" s="5" customFormat="1" x14ac:dyDescent="0.25"/>
    <row r="45" s="5" customFormat="1" x14ac:dyDescent="0.25"/>
    <row r="46" s="5" customFormat="1" x14ac:dyDescent="0.25"/>
    <row r="47" s="5" customFormat="1" x14ac:dyDescent="0.25"/>
    <row r="48" s="5" customFormat="1" x14ac:dyDescent="0.25"/>
    <row r="49" s="5" customFormat="1" x14ac:dyDescent="0.25"/>
    <row r="50" s="5" customFormat="1" x14ac:dyDescent="0.25"/>
    <row r="51" s="5" customFormat="1" x14ac:dyDescent="0.25"/>
    <row r="52" s="5" customFormat="1" x14ac:dyDescent="0.25"/>
    <row r="53" s="5" customFormat="1" x14ac:dyDescent="0.25"/>
    <row r="54" s="5" customFormat="1" x14ac:dyDescent="0.25"/>
    <row r="55" s="5" customFormat="1" x14ac:dyDescent="0.25"/>
    <row r="56" s="5" customFormat="1" x14ac:dyDescent="0.25"/>
    <row r="57" s="5" customFormat="1" x14ac:dyDescent="0.25"/>
    <row r="58" s="5" customFormat="1" x14ac:dyDescent="0.25"/>
    <row r="59" s="5" customFormat="1" x14ac:dyDescent="0.25"/>
    <row r="60" s="5" customFormat="1" x14ac:dyDescent="0.25"/>
    <row r="61" s="5" customFormat="1" x14ac:dyDescent="0.25"/>
    <row r="62" s="5" customFormat="1" x14ac:dyDescent="0.25"/>
    <row r="63" s="5" customFormat="1" x14ac:dyDescent="0.25"/>
    <row r="64" s="5" customFormat="1" x14ac:dyDescent="0.25"/>
    <row r="65" s="5" customFormat="1" x14ac:dyDescent="0.25"/>
    <row r="66" s="5" customFormat="1" x14ac:dyDescent="0.25"/>
    <row r="67" s="5" customFormat="1" x14ac:dyDescent="0.25"/>
    <row r="68" s="5" customFormat="1" x14ac:dyDescent="0.25"/>
  </sheetData>
  <sheetProtection algorithmName="SHA-512" hashValue="lXRTzSURwi/mxuhag8FsdIfLrD2vG1zRs7eg9QYto8+Bll0W5wn4Kd5ESOtNR2EJdtpJR4lGcGL+VbbHGgxaTA==" saltValue="42icqcSkaIMFMo0p+2c0sg==" spinCount="100000" sheet="1" objects="1" autoFilter="0" pivotTables="0"/>
  <hyperlinks>
    <hyperlink ref="B19" r:id="rId1" display="Portal ESG" xr:uid="{C7FF56F4-3797-4153-B005-E5E7FC8E90C6}"/>
    <hyperlink ref="E12" r:id="rId2" xr:uid="{44C4A50C-5695-46D0-9352-7B0901C92C2D}"/>
    <hyperlink ref="D12" r:id="rId3" xr:uid="{C43D5D74-13D3-4A3D-8C2C-9923C296129D}"/>
    <hyperlink ref="C13" r:id="rId4" xr:uid="{F150FF09-285F-4EB1-823A-2D745E85A345}"/>
    <hyperlink ref="D13" r:id="rId5" xr:uid="{C7D3563C-BAB6-4BF2-BBB2-8C336D6FDDB4}"/>
    <hyperlink ref="G12" r:id="rId6" xr:uid="{342E055C-D272-440A-8E65-20D503695DA3}"/>
    <hyperlink ref="G13" r:id="rId7" xr:uid="{F6D830B7-8D15-4B66-A45A-1048726705F8}"/>
    <hyperlink ref="G17" r:id="rId8" xr:uid="{2EB4FDB4-6CB9-4712-9509-E6CF1E19D2EC}"/>
    <hyperlink ref="F17" r:id="rId9" xr:uid="{00276146-4FD8-4B09-9D82-3BD8DD776E99}"/>
    <hyperlink ref="E17" r:id="rId10" xr:uid="{70823C34-D38C-4602-B6A7-25E091D7924A}"/>
    <hyperlink ref="G15" r:id="rId11" xr:uid="{434C2C58-5F85-4591-9658-E62276D82113}"/>
    <hyperlink ref="F14" r:id="rId12" xr:uid="{F139DB6F-0DF3-4CE1-BC3D-05AA6A1F0D3A}"/>
    <hyperlink ref="G16" r:id="rId13" xr:uid="{E131E986-FA0D-4EA7-8EF0-92D7C20593A4}"/>
  </hyperlinks>
  <pageMargins left="0.70866141732283472" right="0.70866141732283472" top="0.74803149606299213" bottom="0.74803149606299213" header="0.31496062992125984" footer="0.31496062992125984"/>
  <pageSetup paperSize="9" scale="44" fitToHeight="0" orientation="portrait" horizontalDpi="300" r:id="rId14"/>
  <headerFooter>
    <oddHeader xml:space="preserve">&amp;C </oddHeader>
  </headerFooter>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2779-C53E-4AAB-978E-CB1367964328}">
  <sheetPr codeName="Planilha3">
    <pageSetUpPr fitToPage="1"/>
  </sheetPr>
  <dimension ref="A1:XFC119"/>
  <sheetViews>
    <sheetView showGridLines="0" showRowColHeaders="0" showRuler="0" zoomScale="110" zoomScaleNormal="110" workbookViewId="0">
      <pane ySplit="2" topLeftCell="A3" activePane="bottomLeft" state="frozen"/>
      <selection pane="bottomLeft"/>
    </sheetView>
  </sheetViews>
  <sheetFormatPr defaultColWidth="0" defaultRowHeight="14.4" x14ac:dyDescent="0.3"/>
  <cols>
    <col min="1" max="1" width="8.77734375" customWidth="1"/>
    <col min="2" max="2" width="52.5546875" customWidth="1"/>
    <col min="3" max="3" width="49.77734375" style="4" customWidth="1"/>
    <col min="4" max="4" width="19.5546875" style="19" customWidth="1"/>
    <col min="5" max="5" width="8.77734375" customWidth="1"/>
    <col min="6" max="6" width="8.77734375" hidden="1" customWidth="1"/>
    <col min="7" max="16383" width="8.77734375" hidden="1"/>
    <col min="16384" max="16384" width="3.44140625" hidden="1"/>
  </cols>
  <sheetData>
    <row r="1" spans="1:4" ht="14.1" customHeight="1" x14ac:dyDescent="0.3">
      <c r="A1" s="446"/>
    </row>
    <row r="2" spans="1:4" s="421" customFormat="1" ht="14.1" customHeight="1" x14ac:dyDescent="0.3">
      <c r="A2" s="447"/>
      <c r="C2" s="422"/>
      <c r="D2" s="423"/>
    </row>
    <row r="3" spans="1:4" ht="14.55" customHeight="1" x14ac:dyDescent="0.3"/>
    <row r="4" spans="1:4" ht="14.55" customHeight="1" x14ac:dyDescent="0.3">
      <c r="D4" s="9" t="s">
        <v>0</v>
      </c>
    </row>
    <row r="5" spans="1:4" ht="14.55" customHeight="1" x14ac:dyDescent="0.3"/>
    <row r="8" spans="1:4" ht="21" x14ac:dyDescent="0.4">
      <c r="B8" s="441" t="s">
        <v>14</v>
      </c>
      <c r="C8" s="18"/>
      <c r="D8" s="20"/>
    </row>
    <row r="9" spans="1:4" ht="20.100000000000001" customHeight="1" x14ac:dyDescent="0.3">
      <c r="B9" s="5"/>
      <c r="C9" s="18"/>
      <c r="D9" s="20"/>
    </row>
    <row r="10" spans="1:4" x14ac:dyDescent="0.3">
      <c r="C10"/>
      <c r="D10"/>
    </row>
    <row r="11" spans="1:4" x14ac:dyDescent="0.3">
      <c r="C11"/>
      <c r="D11"/>
    </row>
    <row r="12" spans="1:4" x14ac:dyDescent="0.3">
      <c r="C12"/>
      <c r="D12"/>
    </row>
    <row r="13" spans="1:4" x14ac:dyDescent="0.3">
      <c r="C13"/>
      <c r="D13"/>
    </row>
    <row r="14" spans="1:4" x14ac:dyDescent="0.3">
      <c r="C14"/>
      <c r="D14"/>
    </row>
    <row r="15" spans="1:4" x14ac:dyDescent="0.3">
      <c r="C15"/>
      <c r="D15"/>
    </row>
    <row r="16" spans="1:4" x14ac:dyDescent="0.3">
      <c r="C16"/>
      <c r="D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spans="3:4" x14ac:dyDescent="0.3">
      <c r="C49"/>
      <c r="D49"/>
    </row>
    <row r="50" spans="3:4" x14ac:dyDescent="0.3">
      <c r="C50"/>
      <c r="D50"/>
    </row>
    <row r="51" spans="3:4" x14ac:dyDescent="0.3">
      <c r="C51"/>
      <c r="D51"/>
    </row>
    <row r="52" spans="3:4" x14ac:dyDescent="0.3">
      <c r="C52"/>
      <c r="D52"/>
    </row>
    <row r="53" spans="3:4" x14ac:dyDescent="0.3">
      <c r="C53"/>
      <c r="D53"/>
    </row>
    <row r="54" spans="3:4" x14ac:dyDescent="0.3">
      <c r="C54"/>
      <c r="D54"/>
    </row>
    <row r="55" spans="3:4" x14ac:dyDescent="0.3">
      <c r="C55"/>
      <c r="D55"/>
    </row>
    <row r="56" spans="3:4" x14ac:dyDescent="0.3">
      <c r="C56"/>
      <c r="D56"/>
    </row>
    <row r="57" spans="3:4" x14ac:dyDescent="0.3">
      <c r="C57"/>
      <c r="D57"/>
    </row>
    <row r="58" spans="3:4" x14ac:dyDescent="0.3">
      <c r="C58"/>
      <c r="D58"/>
    </row>
    <row r="59" spans="3:4" x14ac:dyDescent="0.3">
      <c r="C59"/>
      <c r="D59"/>
    </row>
    <row r="60" spans="3:4" x14ac:dyDescent="0.3">
      <c r="C60"/>
      <c r="D60"/>
    </row>
    <row r="61" spans="3:4" x14ac:dyDescent="0.3">
      <c r="C61"/>
      <c r="D61"/>
    </row>
    <row r="62" spans="3:4" x14ac:dyDescent="0.3">
      <c r="C62"/>
      <c r="D62"/>
    </row>
    <row r="63" spans="3:4" x14ac:dyDescent="0.3">
      <c r="C63"/>
      <c r="D63"/>
    </row>
    <row r="64" spans="3:4" x14ac:dyDescent="0.3">
      <c r="C64"/>
      <c r="D64"/>
    </row>
    <row r="65" spans="3:4" x14ac:dyDescent="0.3">
      <c r="C65"/>
      <c r="D65"/>
    </row>
    <row r="66" spans="3:4" x14ac:dyDescent="0.3">
      <c r="C66"/>
      <c r="D66"/>
    </row>
    <row r="67" spans="3:4" x14ac:dyDescent="0.3">
      <c r="C67"/>
      <c r="D67"/>
    </row>
    <row r="68" spans="3:4" x14ac:dyDescent="0.3">
      <c r="C68"/>
      <c r="D68"/>
    </row>
    <row r="69" spans="3:4" x14ac:dyDescent="0.3">
      <c r="C69"/>
      <c r="D69"/>
    </row>
    <row r="70" spans="3:4" x14ac:dyDescent="0.3">
      <c r="C70"/>
      <c r="D70"/>
    </row>
    <row r="71" spans="3:4" x14ac:dyDescent="0.3">
      <c r="C71"/>
      <c r="D71"/>
    </row>
    <row r="72" spans="3:4" x14ac:dyDescent="0.3">
      <c r="C72"/>
      <c r="D72"/>
    </row>
    <row r="73" spans="3:4" x14ac:dyDescent="0.3">
      <c r="C73"/>
      <c r="D73"/>
    </row>
    <row r="74" spans="3:4" x14ac:dyDescent="0.3">
      <c r="C74"/>
      <c r="D74"/>
    </row>
    <row r="75" spans="3:4" x14ac:dyDescent="0.3">
      <c r="C75"/>
      <c r="D75"/>
    </row>
    <row r="76" spans="3:4" x14ac:dyDescent="0.3">
      <c r="C76"/>
      <c r="D76"/>
    </row>
    <row r="77" spans="3:4" x14ac:dyDescent="0.3">
      <c r="C77"/>
      <c r="D77"/>
    </row>
    <row r="78" spans="3:4" x14ac:dyDescent="0.3">
      <c r="C78"/>
      <c r="D78"/>
    </row>
    <row r="79" spans="3:4" x14ac:dyDescent="0.3">
      <c r="C79"/>
      <c r="D79"/>
    </row>
    <row r="80" spans="3:4" x14ac:dyDescent="0.3">
      <c r="C80"/>
      <c r="D80"/>
    </row>
    <row r="81" spans="3:4" x14ac:dyDescent="0.3">
      <c r="C81"/>
      <c r="D81"/>
    </row>
    <row r="82" spans="3:4" x14ac:dyDescent="0.3">
      <c r="C82"/>
      <c r="D82"/>
    </row>
    <row r="83" spans="3:4" x14ac:dyDescent="0.3">
      <c r="C83"/>
      <c r="D83"/>
    </row>
    <row r="84" spans="3:4" x14ac:dyDescent="0.3">
      <c r="C84"/>
      <c r="D84"/>
    </row>
    <row r="85" spans="3:4" x14ac:dyDescent="0.3">
      <c r="C85"/>
      <c r="D85"/>
    </row>
    <row r="86" spans="3:4" x14ac:dyDescent="0.3">
      <c r="C86"/>
      <c r="D86"/>
    </row>
    <row r="87" spans="3:4" x14ac:dyDescent="0.3">
      <c r="C87"/>
      <c r="D87"/>
    </row>
    <row r="88" spans="3:4" x14ac:dyDescent="0.3">
      <c r="C88"/>
      <c r="D88"/>
    </row>
    <row r="89" spans="3:4" x14ac:dyDescent="0.3">
      <c r="C89"/>
      <c r="D89"/>
    </row>
    <row r="90" spans="3:4" x14ac:dyDescent="0.3">
      <c r="C90"/>
      <c r="D90"/>
    </row>
    <row r="91" spans="3:4" x14ac:dyDescent="0.3">
      <c r="C91"/>
      <c r="D91"/>
    </row>
    <row r="92" spans="3:4" x14ac:dyDescent="0.3">
      <c r="C92"/>
      <c r="D92"/>
    </row>
    <row r="93" spans="3:4" x14ac:dyDescent="0.3">
      <c r="C93"/>
      <c r="D93"/>
    </row>
    <row r="94" spans="3:4" x14ac:dyDescent="0.3">
      <c r="C94"/>
      <c r="D94"/>
    </row>
    <row r="95" spans="3:4" x14ac:dyDescent="0.3">
      <c r="C95"/>
      <c r="D95"/>
    </row>
    <row r="96" spans="3:4" x14ac:dyDescent="0.3">
      <c r="C96"/>
      <c r="D96"/>
    </row>
    <row r="97" spans="3:4" x14ac:dyDescent="0.3">
      <c r="C97"/>
      <c r="D97"/>
    </row>
    <row r="98" spans="3:4" x14ac:dyDescent="0.3">
      <c r="C98"/>
      <c r="D98"/>
    </row>
    <row r="99" spans="3:4" x14ac:dyDescent="0.3">
      <c r="C99"/>
      <c r="D99"/>
    </row>
    <row r="100" spans="3:4" x14ac:dyDescent="0.3">
      <c r="C100"/>
      <c r="D100"/>
    </row>
    <row r="101" spans="3:4" x14ac:dyDescent="0.3">
      <c r="C101"/>
      <c r="D101"/>
    </row>
    <row r="102" spans="3:4" x14ac:dyDescent="0.3">
      <c r="C102"/>
      <c r="D102"/>
    </row>
    <row r="103" spans="3:4" x14ac:dyDescent="0.3">
      <c r="C103"/>
      <c r="D103"/>
    </row>
    <row r="104" spans="3:4" x14ac:dyDescent="0.3">
      <c r="C104"/>
      <c r="D104"/>
    </row>
    <row r="105" spans="3:4" x14ac:dyDescent="0.3">
      <c r="C105"/>
      <c r="D105"/>
    </row>
    <row r="106" spans="3:4" x14ac:dyDescent="0.3">
      <c r="C106"/>
      <c r="D106"/>
    </row>
    <row r="107" spans="3:4" x14ac:dyDescent="0.3">
      <c r="C107"/>
      <c r="D107"/>
    </row>
    <row r="108" spans="3:4" x14ac:dyDescent="0.3">
      <c r="C108"/>
      <c r="D108"/>
    </row>
    <row r="109" spans="3:4" x14ac:dyDescent="0.3">
      <c r="C109"/>
      <c r="D109"/>
    </row>
    <row r="110" spans="3:4" x14ac:dyDescent="0.3">
      <c r="C110"/>
      <c r="D110"/>
    </row>
    <row r="111" spans="3:4" x14ac:dyDescent="0.3">
      <c r="C111"/>
      <c r="D111"/>
    </row>
    <row r="112" spans="3:4" x14ac:dyDescent="0.3">
      <c r="C112"/>
      <c r="D112"/>
    </row>
    <row r="113" spans="3:4" x14ac:dyDescent="0.3">
      <c r="C113"/>
      <c r="D113"/>
    </row>
    <row r="114" spans="3:4" x14ac:dyDescent="0.3">
      <c r="C114"/>
      <c r="D114"/>
    </row>
    <row r="115" spans="3:4" x14ac:dyDescent="0.3">
      <c r="C115"/>
      <c r="D115"/>
    </row>
    <row r="116" spans="3:4" x14ac:dyDescent="0.3">
      <c r="C116"/>
      <c r="D116"/>
    </row>
    <row r="117" spans="3:4" x14ac:dyDescent="0.3">
      <c r="C117"/>
      <c r="D117"/>
    </row>
    <row r="118" spans="3:4" x14ac:dyDescent="0.3">
      <c r="C118"/>
      <c r="D118"/>
    </row>
    <row r="119" spans="3:4" x14ac:dyDescent="0.3">
      <c r="C119"/>
      <c r="D119"/>
    </row>
  </sheetData>
  <sheetProtection algorithmName="SHA-512" hashValue="e1hh/vDUeMppAWHVAwv+bXgxD9dLffhFb2qoKJimx7OUy6G+nChrESJZGH8lc5DbHWdRErUpZvGrhlkI+QXFgg==" saltValue="XutILJwPclF5gux3KZOu6w==" spinCount="100000" sheet="1" objects="1" autoFilter="0" pivotTables="0"/>
  <pageMargins left="0.70866141732283472" right="0.70866141732283472" top="0.74803149606299213" bottom="0.74803149606299213" header="0.31496062992125984" footer="0.31496062992125984"/>
  <pageSetup paperSize="9" scale="66" fitToHeight="0" orientation="portrait" horizontalDpi="300" r:id="rId1"/>
  <headerFooter>
    <oddHeader xml:space="preserve">&amp;C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94A3-4D9C-4A5D-B2D5-3D25E6DDDED4}">
  <sheetPr codeName="Planilha4">
    <tabColor rgb="FF008080"/>
    <pageSetUpPr fitToPage="1"/>
  </sheetPr>
  <dimension ref="A1:XFC123"/>
  <sheetViews>
    <sheetView showGridLines="0" showRowColHeaders="0" showRuler="0" zoomScale="110" zoomScaleNormal="110" workbookViewId="0">
      <pane ySplit="2" topLeftCell="A3" activePane="bottomLeft" state="frozen"/>
      <selection pane="bottomLeft"/>
    </sheetView>
  </sheetViews>
  <sheetFormatPr defaultColWidth="0" defaultRowHeight="13.8" x14ac:dyDescent="0.25"/>
  <cols>
    <col min="1" max="1" width="8.77734375" style="5" customWidth="1"/>
    <col min="2" max="2" width="52.5546875" style="5" customWidth="1"/>
    <col min="3" max="3" width="49.77734375" style="18" customWidth="1"/>
    <col min="4" max="4" width="21.77734375" style="20" customWidth="1"/>
    <col min="5" max="6" width="8.77734375" style="5" hidden="1" customWidth="1"/>
    <col min="7" max="16383" width="8.77734375" style="5" hidden="1"/>
    <col min="16384" max="16384" width="9.44140625" style="5" hidden="1"/>
  </cols>
  <sheetData>
    <row r="1" spans="1:4" ht="14.1" customHeight="1" x14ac:dyDescent="0.25">
      <c r="A1" s="448"/>
    </row>
    <row r="2" spans="1:4" s="424" customFormat="1" ht="14.1" customHeight="1" x14ac:dyDescent="0.25">
      <c r="A2" s="449"/>
      <c r="C2" s="425"/>
      <c r="D2" s="426"/>
    </row>
    <row r="3" spans="1:4" ht="14.55" customHeight="1" x14ac:dyDescent="0.25"/>
    <row r="4" spans="1:4" ht="14.55" customHeight="1" x14ac:dyDescent="0.25">
      <c r="C4" s="662"/>
      <c r="D4" s="664" t="s">
        <v>0</v>
      </c>
    </row>
    <row r="5" spans="1:4" ht="14.55" customHeight="1" x14ac:dyDescent="0.25"/>
    <row r="7" spans="1:4" ht="14.4" x14ac:dyDescent="0.3">
      <c r="C7"/>
    </row>
    <row r="8" spans="1:4" ht="21" x14ac:dyDescent="0.4">
      <c r="B8" s="441" t="s">
        <v>15</v>
      </c>
    </row>
    <row r="9" spans="1:4" ht="20.100000000000001" customHeight="1" x14ac:dyDescent="0.25"/>
    <row r="10" spans="1:4" x14ac:dyDescent="0.25">
      <c r="B10" s="10" t="s">
        <v>16</v>
      </c>
      <c r="C10" s="665" t="s">
        <v>17</v>
      </c>
      <c r="D10" s="5"/>
    </row>
    <row r="11" spans="1:4" x14ac:dyDescent="0.25">
      <c r="B11" s="29"/>
      <c r="C11" s="29"/>
      <c r="D11" s="5"/>
    </row>
    <row r="12" spans="1:4" x14ac:dyDescent="0.25">
      <c r="B12" s="10" t="s">
        <v>18</v>
      </c>
      <c r="C12" s="665" t="s">
        <v>18</v>
      </c>
      <c r="D12" s="5"/>
    </row>
    <row r="13" spans="1:4" x14ac:dyDescent="0.25">
      <c r="B13" s="29"/>
      <c r="C13" s="29"/>
      <c r="D13" s="5"/>
    </row>
    <row r="14" spans="1:4" x14ac:dyDescent="0.25">
      <c r="B14" s="10" t="s">
        <v>19</v>
      </c>
      <c r="C14" s="28" t="s">
        <v>19</v>
      </c>
      <c r="D14" s="5"/>
    </row>
    <row r="15" spans="1:4" x14ac:dyDescent="0.25">
      <c r="B15" s="666" t="s">
        <v>20</v>
      </c>
      <c r="C15" s="667" t="s">
        <v>21</v>
      </c>
      <c r="D15" s="5"/>
    </row>
    <row r="16" spans="1:4" x14ac:dyDescent="0.25">
      <c r="B16" s="29"/>
      <c r="C16" s="29"/>
      <c r="D16" s="5"/>
    </row>
    <row r="17" spans="2:4" x14ac:dyDescent="0.25">
      <c r="B17" s="10" t="s">
        <v>22</v>
      </c>
      <c r="C17" s="28" t="s">
        <v>22</v>
      </c>
      <c r="D17" s="5"/>
    </row>
    <row r="18" spans="2:4" x14ac:dyDescent="0.25">
      <c r="B18" s="668" t="s">
        <v>23</v>
      </c>
      <c r="C18" s="667" t="s">
        <v>21</v>
      </c>
      <c r="D18" s="5"/>
    </row>
    <row r="19" spans="2:4" x14ac:dyDescent="0.25">
      <c r="B19" s="29"/>
      <c r="C19" s="29"/>
      <c r="D19" s="5"/>
    </row>
    <row r="20" spans="2:4" x14ac:dyDescent="0.25">
      <c r="B20" s="30" t="s">
        <v>24</v>
      </c>
      <c r="C20" s="28" t="s">
        <v>24</v>
      </c>
      <c r="D20" s="5"/>
    </row>
    <row r="21" spans="2:4" x14ac:dyDescent="0.25">
      <c r="B21" s="669" t="s">
        <v>25</v>
      </c>
      <c r="C21" s="667" t="s">
        <v>21</v>
      </c>
      <c r="D21" s="5"/>
    </row>
    <row r="22" spans="2:4" x14ac:dyDescent="0.25">
      <c r="B22" s="31"/>
      <c r="C22" s="32"/>
      <c r="D22" s="5"/>
    </row>
    <row r="23" spans="2:4" x14ac:dyDescent="0.25">
      <c r="B23" s="10" t="s">
        <v>26</v>
      </c>
      <c r="C23" s="28" t="s">
        <v>26</v>
      </c>
      <c r="D23" s="5"/>
    </row>
    <row r="24" spans="2:4" x14ac:dyDescent="0.25">
      <c r="B24" s="670" t="s">
        <v>27</v>
      </c>
      <c r="C24" s="667" t="s">
        <v>28</v>
      </c>
      <c r="D24" s="5"/>
    </row>
    <row r="25" spans="2:4" x14ac:dyDescent="0.25">
      <c r="B25" s="670" t="s">
        <v>29</v>
      </c>
      <c r="C25" s="667" t="s">
        <v>30</v>
      </c>
      <c r="D25" s="5"/>
    </row>
    <row r="26" spans="2:4" x14ac:dyDescent="0.25">
      <c r="B26" s="670" t="s">
        <v>31</v>
      </c>
      <c r="C26" s="667" t="s">
        <v>32</v>
      </c>
      <c r="D26" s="5"/>
    </row>
    <row r="27" spans="2:4" x14ac:dyDescent="0.25">
      <c r="B27" s="670" t="s">
        <v>33</v>
      </c>
      <c r="C27" s="667" t="s">
        <v>34</v>
      </c>
      <c r="D27" s="5"/>
    </row>
    <row r="28" spans="2:4" ht="26.4" x14ac:dyDescent="0.25">
      <c r="B28" s="670" t="s">
        <v>35</v>
      </c>
      <c r="C28" s="667" t="s">
        <v>36</v>
      </c>
      <c r="D28" s="5"/>
    </row>
    <row r="29" spans="2:4" x14ac:dyDescent="0.25">
      <c r="B29" s="670" t="s">
        <v>37</v>
      </c>
      <c r="C29" s="667" t="s">
        <v>38</v>
      </c>
      <c r="D29" s="5"/>
    </row>
    <row r="30" spans="2:4" x14ac:dyDescent="0.25">
      <c r="B30" s="670" t="s">
        <v>39</v>
      </c>
      <c r="C30" s="667" t="s">
        <v>39</v>
      </c>
      <c r="D30" s="5"/>
    </row>
    <row r="31" spans="2:4" x14ac:dyDescent="0.25">
      <c r="B31" s="670" t="s">
        <v>40</v>
      </c>
      <c r="C31" s="667" t="s">
        <v>40</v>
      </c>
      <c r="D31" s="5"/>
    </row>
    <row r="32" spans="2:4" x14ac:dyDescent="0.25">
      <c r="B32" s="670" t="s">
        <v>41</v>
      </c>
      <c r="C32" s="667" t="s">
        <v>41</v>
      </c>
      <c r="D32" s="5"/>
    </row>
    <row r="33" spans="2:4" x14ac:dyDescent="0.25">
      <c r="B33" s="670" t="s">
        <v>42</v>
      </c>
      <c r="C33" s="667" t="s">
        <v>42</v>
      </c>
      <c r="D33" s="5"/>
    </row>
    <row r="34" spans="2:4" x14ac:dyDescent="0.25">
      <c r="B34" s="483"/>
      <c r="C34" s="480"/>
      <c r="D34" s="5"/>
    </row>
    <row r="35" spans="2:4" x14ac:dyDescent="0.25">
      <c r="B35" s="10" t="s">
        <v>43</v>
      </c>
      <c r="C35" s="28" t="s">
        <v>43</v>
      </c>
      <c r="D35" s="5"/>
    </row>
    <row r="36" spans="2:4" ht="14.4" thickTop="1" x14ac:dyDescent="0.25">
      <c r="C36" s="5"/>
      <c r="D36" s="5"/>
    </row>
    <row r="37" spans="2:4" x14ac:dyDescent="0.25">
      <c r="C37" s="5"/>
      <c r="D37" s="5"/>
    </row>
    <row r="38" spans="2:4" x14ac:dyDescent="0.25">
      <c r="C38" s="5"/>
      <c r="D38" s="5"/>
    </row>
    <row r="39" spans="2:4" x14ac:dyDescent="0.25">
      <c r="C39" s="5"/>
      <c r="D39" s="5"/>
    </row>
    <row r="40" spans="2:4" x14ac:dyDescent="0.25">
      <c r="C40" s="5"/>
      <c r="D40" s="5"/>
    </row>
    <row r="41" spans="2:4" x14ac:dyDescent="0.25">
      <c r="C41" s="5"/>
      <c r="D41" s="5"/>
    </row>
    <row r="42" spans="2:4" x14ac:dyDescent="0.25">
      <c r="C42" s="5"/>
      <c r="D42" s="5"/>
    </row>
    <row r="43" spans="2:4" x14ac:dyDescent="0.25">
      <c r="C43" s="5"/>
      <c r="D43" s="5"/>
    </row>
    <row r="44" spans="2:4" x14ac:dyDescent="0.25">
      <c r="C44" s="5"/>
      <c r="D44" s="5"/>
    </row>
    <row r="45" spans="2:4" x14ac:dyDescent="0.25">
      <c r="C45" s="5"/>
      <c r="D45" s="5"/>
    </row>
    <row r="46" spans="2:4" x14ac:dyDescent="0.25">
      <c r="C46" s="5"/>
      <c r="D46" s="5"/>
    </row>
    <row r="47" spans="2:4" x14ac:dyDescent="0.25">
      <c r="C47" s="5"/>
      <c r="D47" s="5"/>
    </row>
    <row r="48" spans="2:4" x14ac:dyDescent="0.25">
      <c r="C48" s="5"/>
      <c r="D48" s="5"/>
    </row>
    <row r="49" s="5" customFormat="1" x14ac:dyDescent="0.25"/>
    <row r="50" s="5" customFormat="1" x14ac:dyDescent="0.25"/>
    <row r="51" s="5" customFormat="1" x14ac:dyDescent="0.25"/>
    <row r="52" s="5" customFormat="1" x14ac:dyDescent="0.25"/>
    <row r="53" s="5" customFormat="1" x14ac:dyDescent="0.25"/>
    <row r="54" s="5" customFormat="1" x14ac:dyDescent="0.25"/>
    <row r="55" s="5" customFormat="1" x14ac:dyDescent="0.25"/>
    <row r="56" s="5" customFormat="1" x14ac:dyDescent="0.25"/>
    <row r="57" s="5" customFormat="1" x14ac:dyDescent="0.25"/>
    <row r="58" s="5" customFormat="1" x14ac:dyDescent="0.25"/>
    <row r="59" s="5" customFormat="1" x14ac:dyDescent="0.25"/>
    <row r="60" s="5" customFormat="1" x14ac:dyDescent="0.25"/>
    <row r="61" s="5" customFormat="1" x14ac:dyDescent="0.25"/>
    <row r="62" s="5" customFormat="1" x14ac:dyDescent="0.25"/>
    <row r="63" s="5" customFormat="1" x14ac:dyDescent="0.25"/>
    <row r="64" s="5" customFormat="1" x14ac:dyDescent="0.25"/>
    <row r="65" s="5" customFormat="1" x14ac:dyDescent="0.25"/>
    <row r="66" s="5" customFormat="1" x14ac:dyDescent="0.25"/>
    <row r="67" s="5" customFormat="1" x14ac:dyDescent="0.25"/>
    <row r="68" s="5" customFormat="1" x14ac:dyDescent="0.25"/>
    <row r="69" s="5" customFormat="1" x14ac:dyDescent="0.25"/>
    <row r="70" s="5" customFormat="1" x14ac:dyDescent="0.25"/>
    <row r="71" s="5" customFormat="1" x14ac:dyDescent="0.25"/>
    <row r="72" s="5" customFormat="1" x14ac:dyDescent="0.25"/>
    <row r="73" s="5" customFormat="1" x14ac:dyDescent="0.25"/>
    <row r="74" s="5" customFormat="1" x14ac:dyDescent="0.25"/>
    <row r="75" s="5" customFormat="1" x14ac:dyDescent="0.25"/>
    <row r="76" s="5" customFormat="1" x14ac:dyDescent="0.25"/>
    <row r="77" s="5" customFormat="1" x14ac:dyDescent="0.25"/>
    <row r="78" s="5" customFormat="1" x14ac:dyDescent="0.25"/>
    <row r="79" s="5" customFormat="1" x14ac:dyDescent="0.25"/>
    <row r="80" s="5" customFormat="1" x14ac:dyDescent="0.25"/>
    <row r="81" s="5" customFormat="1" x14ac:dyDescent="0.25"/>
    <row r="82" s="5" customFormat="1" x14ac:dyDescent="0.25"/>
    <row r="83" s="5" customFormat="1" x14ac:dyDescent="0.25"/>
    <row r="84" s="5" customFormat="1" x14ac:dyDescent="0.25"/>
    <row r="85" s="5" customFormat="1" x14ac:dyDescent="0.25"/>
    <row r="86" s="5" customFormat="1" x14ac:dyDescent="0.25"/>
    <row r="87" s="5" customFormat="1" x14ac:dyDescent="0.25"/>
    <row r="88" s="5" customFormat="1" x14ac:dyDescent="0.25"/>
    <row r="89" s="5" customFormat="1" x14ac:dyDescent="0.25"/>
    <row r="90" s="5" customFormat="1" x14ac:dyDescent="0.25"/>
    <row r="91" s="5" customFormat="1" x14ac:dyDescent="0.25"/>
    <row r="92" s="5" customFormat="1" x14ac:dyDescent="0.25"/>
    <row r="93" s="5" customFormat="1" x14ac:dyDescent="0.25"/>
    <row r="94" s="5" customFormat="1" x14ac:dyDescent="0.25"/>
    <row r="95" s="5" customFormat="1" x14ac:dyDescent="0.25"/>
    <row r="96" s="5" customFormat="1" x14ac:dyDescent="0.25"/>
    <row r="97" s="5" customFormat="1" x14ac:dyDescent="0.25"/>
    <row r="98" s="5" customFormat="1" x14ac:dyDescent="0.25"/>
    <row r="99" s="5" customFormat="1" x14ac:dyDescent="0.25"/>
    <row r="100" s="5" customFormat="1" x14ac:dyDescent="0.25"/>
    <row r="101" s="5" customFormat="1" x14ac:dyDescent="0.25"/>
    <row r="102" s="5" customFormat="1" x14ac:dyDescent="0.25"/>
    <row r="103" s="5" customFormat="1" x14ac:dyDescent="0.25"/>
    <row r="104" s="5" customFormat="1" x14ac:dyDescent="0.25"/>
    <row r="105" s="5" customFormat="1" x14ac:dyDescent="0.25"/>
    <row r="106" s="5" customFormat="1" x14ac:dyDescent="0.25"/>
    <row r="107" s="5" customFormat="1" x14ac:dyDescent="0.25"/>
    <row r="108" s="5" customFormat="1" x14ac:dyDescent="0.25"/>
    <row r="109" s="5" customFormat="1" x14ac:dyDescent="0.25"/>
    <row r="110" s="5" customFormat="1" x14ac:dyDescent="0.25"/>
    <row r="111" s="5" customFormat="1" x14ac:dyDescent="0.25"/>
    <row r="112" s="5" customFormat="1" x14ac:dyDescent="0.25"/>
    <row r="113" s="5" customFormat="1" x14ac:dyDescent="0.25"/>
    <row r="114" s="5" customFormat="1" x14ac:dyDescent="0.25"/>
    <row r="115" s="5" customFormat="1" x14ac:dyDescent="0.25"/>
    <row r="116" s="5" customFormat="1" x14ac:dyDescent="0.25"/>
    <row r="117" s="5" customFormat="1" x14ac:dyDescent="0.25"/>
    <row r="118" s="5" customFormat="1" x14ac:dyDescent="0.25"/>
    <row r="119" s="5" customFormat="1" x14ac:dyDescent="0.25"/>
    <row r="120" s="5" customFormat="1" x14ac:dyDescent="0.25"/>
    <row r="121" s="5" customFormat="1" x14ac:dyDescent="0.25"/>
    <row r="122" s="5" customFormat="1" x14ac:dyDescent="0.25"/>
    <row r="123" s="5" customFormat="1" x14ac:dyDescent="0.25"/>
  </sheetData>
  <sheetProtection algorithmName="SHA-512" hashValue="jXnwJwIUjcAecRwBXDaGaflN2nHhem8iNYBb+yms87X+miDacSLPWUSF/LLxGVq+eJZt1w54Nle9EfloE9XRkw==" saltValue="azmi3uPOW3goStakgD0NOQ==" spinCount="100000" sheet="1" objects="1" autoFilter="0" pivotTables="0"/>
  <hyperlinks>
    <hyperlink ref="C14" location="Economic!A1" display="Economic" xr:uid="{13E2A997-FBD0-4E9A-826F-DF480D99BF80}"/>
    <hyperlink ref="C15" location="'Economic Data'!A1" display="Data" xr:uid="{26E2DEBD-015F-4A96-A7BC-7DC7C8F4769A}"/>
    <hyperlink ref="C17" location="Environmental!A1" display="Environmental" xr:uid="{04C52C02-1A5F-466D-A0CA-27823FA8E647}"/>
    <hyperlink ref="C18" location="'Environmental Data'!A1" display="Data" xr:uid="{CBA14145-582D-4F59-9D15-A0E7C6C951EB}"/>
    <hyperlink ref="C20" location="Social!A1" display="Social" xr:uid="{263207F6-FC84-4C27-AD74-2088B711CC83}"/>
    <hyperlink ref="C21" location="'Social Data'!A1" display="Data" xr:uid="{5836965E-3F2C-42EE-A323-742B988A9F23}"/>
    <hyperlink ref="C23" location="Frameworks!A1" display="Frameworks" xr:uid="{10C87762-5AF4-4041-BF7A-3D6CECE2AAAD}"/>
    <hyperlink ref="C28" location="'ICMM principles'!A1" display="ICMM Principles" xr:uid="{1ABBE1BA-979E-46DF-811A-64A1C990FF81}"/>
    <hyperlink ref="C24" location="'GRI index'!A1" display="Index GRI" xr:uid="{2C881276-73A7-4AA5-BBBD-C2B16D3C6493}"/>
    <hyperlink ref="C25" location="'SASB index'!A1" display="Index SASB" xr:uid="{AA2D4502-AE87-46B2-B910-14373ADE2AEA}"/>
    <hyperlink ref="C26" location="TCFD!A1" display="TCFD" xr:uid="{725D97CD-D304-4CA1-8CA9-3B02A7BFC8D0}"/>
    <hyperlink ref="C27" location="WEF!A1" display="WEF" xr:uid="{0FBB0263-A22C-4B59-8F63-BC6E048FBC21}"/>
    <hyperlink ref="C35" location="'Glossary | Preparation Base'!A1" display="Preparation Base" xr:uid="{3A2C1AEC-CCA5-4890-BA1E-31E3F4AD7FE9}"/>
    <hyperlink ref="C12" location="'Material Topics'!A1" display="Material Topics" xr:uid="{359F1F89-C9C8-416D-9326-9A8D9C8725BB}"/>
    <hyperlink ref="C10" location="Progress!A1" display="Avanços" xr:uid="{EA690BDC-E5BA-41CD-8785-AF0014C20407}"/>
    <hyperlink ref="C29" location="'ICMM Report'!A1" display="ICMM Report" xr:uid="{3D5FBA1E-F6F9-4855-B074-CF2273CFD2A9}"/>
    <hyperlink ref="C33" location="'Swiss Code'!A1" display="Swiss Code" xr:uid="{E5CB48AF-0727-427A-B6E7-FFF7044F5353}"/>
    <hyperlink ref="C30:C31" location="'Responsible Sourcing'!A1" display="Responsible Sourcing" xr:uid="{3CF1E02D-8ADE-413D-9D39-21F9CA400194}"/>
    <hyperlink ref="C30" location="'ICMM Social &amp; Economic'!A1" display="ICMM Social &amp; Economic" xr:uid="{1CD56929-69CF-4E87-B4E5-29D7AD7C73E0}"/>
    <hyperlink ref="C31" location="'TNFD Index'!A1" display="TNFD Index" xr:uid="{A6CF7D36-8E73-411B-854A-76A946E3A073}"/>
    <hyperlink ref="C32" location="'Responsible Sourcing'!A1" display="Responsible Sourcing" xr:uid="{278CC1F9-5E56-4381-9513-1B407EEB3F2D}"/>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E471-AC45-4BE0-94A1-F606FCE0F1F3}">
  <sheetPr codeName="Planilha5">
    <pageSetUpPr fitToPage="1"/>
  </sheetPr>
  <dimension ref="A1:XFC71"/>
  <sheetViews>
    <sheetView showGridLines="0" showRowColHeaders="0" showRuler="0" zoomScale="110" zoomScaleNormal="110" workbookViewId="0">
      <pane ySplit="2" topLeftCell="A17" activePane="bottomLeft" state="frozen"/>
      <selection pane="bottomLeft" activeCell="H8" sqref="H8"/>
    </sheetView>
  </sheetViews>
  <sheetFormatPr defaultColWidth="0" defaultRowHeight="13.8" x14ac:dyDescent="0.25"/>
  <cols>
    <col min="1" max="1" width="8.77734375" style="220" customWidth="1"/>
    <col min="2" max="2" width="19.5546875" style="220" customWidth="1"/>
    <col min="3" max="3" width="2.5546875" style="220" customWidth="1"/>
    <col min="4" max="4" width="19.5546875" style="220" customWidth="1"/>
    <col min="5" max="5" width="2.5546875" style="220" customWidth="1"/>
    <col min="6" max="6" width="22.77734375" style="221" customWidth="1"/>
    <col min="7" max="7" width="2.5546875" style="221" customWidth="1"/>
    <col min="8" max="8" width="28.21875" style="222" customWidth="1"/>
    <col min="9" max="9" width="2.5546875" style="222" customWidth="1"/>
    <col min="10" max="10" width="28" style="222" customWidth="1"/>
    <col min="11" max="11" width="2.5546875" style="222" customWidth="1"/>
    <col min="12" max="12" width="25.5546875" style="222" hidden="1" customWidth="1"/>
    <col min="13" max="13" width="8.77734375" style="222" hidden="1" customWidth="1"/>
    <col min="14" max="14" width="12.21875" style="222" hidden="1" customWidth="1"/>
    <col min="15" max="16" width="12.21875" style="222" hidden="1"/>
    <col min="17" max="16383" width="12.21875" style="220" hidden="1"/>
    <col min="16384" max="16384" width="4.5546875" style="220" hidden="1"/>
  </cols>
  <sheetData>
    <row r="1" spans="1:16" x14ac:dyDescent="0.25">
      <c r="A1" s="450"/>
    </row>
    <row r="2" spans="1:16" x14ac:dyDescent="0.25">
      <c r="A2" s="451"/>
      <c r="B2" s="427"/>
      <c r="C2" s="427"/>
      <c r="D2" s="427"/>
      <c r="E2" s="427"/>
      <c r="F2" s="428"/>
      <c r="G2" s="428"/>
      <c r="H2" s="429"/>
      <c r="I2" s="429"/>
      <c r="J2" s="429"/>
      <c r="K2" s="429"/>
      <c r="L2" s="429"/>
      <c r="M2" s="429"/>
    </row>
    <row r="3" spans="1:16" ht="14.55" customHeight="1" x14ac:dyDescent="0.25"/>
    <row r="4" spans="1:16" ht="14.55" customHeight="1" x14ac:dyDescent="0.25">
      <c r="J4" s="662" t="s">
        <v>0</v>
      </c>
      <c r="L4" s="9" t="s">
        <v>0</v>
      </c>
      <c r="N4" s="9"/>
      <c r="O4" s="9"/>
      <c r="P4" s="9"/>
    </row>
    <row r="5" spans="1:16" ht="14.55" customHeight="1" x14ac:dyDescent="0.25"/>
    <row r="7" spans="1:16" ht="14.1" customHeight="1" x14ac:dyDescent="0.25">
      <c r="L7" s="220"/>
    </row>
    <row r="8" spans="1:16" ht="21" x14ac:dyDescent="0.4">
      <c r="B8" s="681" t="s">
        <v>44</v>
      </c>
      <c r="C8" s="681"/>
      <c r="D8" s="681"/>
      <c r="E8" s="681"/>
      <c r="F8" s="681"/>
    </row>
    <row r="9" spans="1:16" ht="21" x14ac:dyDescent="0.4">
      <c r="B9" s="223"/>
      <c r="C9" s="223"/>
      <c r="D9" s="223"/>
      <c r="E9" s="223"/>
    </row>
    <row r="10" spans="1:16" ht="20.100000000000001" customHeight="1" x14ac:dyDescent="0.3">
      <c r="B10" s="440" t="s">
        <v>45</v>
      </c>
      <c r="C10" s="224"/>
    </row>
    <row r="11" spans="1:16" ht="15.6" x14ac:dyDescent="0.3">
      <c r="B11" s="224"/>
      <c r="C11" s="224"/>
    </row>
    <row r="12" spans="1:16" s="309" customFormat="1" ht="30" customHeight="1" x14ac:dyDescent="0.3">
      <c r="B12" s="225" t="s">
        <v>46</v>
      </c>
      <c r="C12" s="225"/>
      <c r="D12" s="225" t="s">
        <v>47</v>
      </c>
      <c r="E12" s="225"/>
      <c r="F12" s="225" t="s">
        <v>48</v>
      </c>
      <c r="G12" s="225"/>
      <c r="H12" s="225" t="s">
        <v>49</v>
      </c>
      <c r="I12" s="225"/>
      <c r="J12" s="225" t="s">
        <v>50</v>
      </c>
      <c r="K12" s="500"/>
    </row>
    <row r="13" spans="1:16" ht="93" customHeight="1" x14ac:dyDescent="0.25">
      <c r="B13" s="686" t="s">
        <v>51</v>
      </c>
      <c r="C13" s="296"/>
      <c r="D13" s="679"/>
      <c r="E13" s="298"/>
      <c r="F13" s="284" t="s">
        <v>2904</v>
      </c>
      <c r="G13" s="284"/>
      <c r="H13" s="284" t="s">
        <v>52</v>
      </c>
      <c r="I13" s="284"/>
      <c r="J13" s="284" t="s">
        <v>53</v>
      </c>
      <c r="K13" s="284"/>
      <c r="L13" s="220"/>
      <c r="N13" s="220"/>
      <c r="O13" s="220"/>
      <c r="P13" s="220"/>
    </row>
    <row r="14" spans="1:16" ht="55.5" customHeight="1" x14ac:dyDescent="0.25">
      <c r="B14" s="687"/>
      <c r="C14" s="297"/>
      <c r="D14" s="684"/>
      <c r="E14" s="299"/>
      <c r="F14" s="265" t="s">
        <v>2905</v>
      </c>
      <c r="G14" s="265"/>
      <c r="H14" s="265" t="s">
        <v>54</v>
      </c>
      <c r="I14" s="265"/>
      <c r="J14" s="655" t="s">
        <v>55</v>
      </c>
      <c r="K14" s="265"/>
      <c r="L14" s="220"/>
      <c r="N14" s="220"/>
      <c r="O14" s="220"/>
      <c r="P14" s="220"/>
    </row>
    <row r="15" spans="1:16" ht="55.5" customHeight="1" x14ac:dyDescent="0.25">
      <c r="B15" s="688" t="s">
        <v>56</v>
      </c>
      <c r="C15" s="688"/>
      <c r="D15" s="314"/>
      <c r="E15" s="678"/>
      <c r="F15" s="311" t="s">
        <v>57</v>
      </c>
      <c r="G15" s="678"/>
      <c r="H15" s="682" t="s">
        <v>58</v>
      </c>
      <c r="I15" s="678"/>
      <c r="J15" s="602"/>
      <c r="K15" s="678"/>
      <c r="L15" s="220"/>
      <c r="N15" s="220"/>
      <c r="O15" s="220"/>
      <c r="P15" s="220"/>
    </row>
    <row r="16" spans="1:16" ht="50.55" customHeight="1" x14ac:dyDescent="0.25">
      <c r="B16" s="689"/>
      <c r="C16" s="689"/>
      <c r="D16" s="315"/>
      <c r="E16" s="679"/>
      <c r="F16" s="284" t="s">
        <v>59</v>
      </c>
      <c r="G16" s="679"/>
      <c r="H16" s="683"/>
      <c r="I16" s="679"/>
      <c r="J16" s="315" t="s">
        <v>60</v>
      </c>
      <c r="K16" s="679"/>
      <c r="L16" s="220"/>
      <c r="N16" s="220"/>
      <c r="O16" s="220"/>
      <c r="P16" s="220"/>
    </row>
    <row r="17" spans="2:16" ht="67.05" customHeight="1" x14ac:dyDescent="0.25">
      <c r="B17" s="689"/>
      <c r="C17" s="689"/>
      <c r="D17" s="315"/>
      <c r="E17" s="679"/>
      <c r="F17" s="284" t="s">
        <v>61</v>
      </c>
      <c r="G17" s="284"/>
      <c r="H17" s="284" t="s">
        <v>62</v>
      </c>
      <c r="I17" s="284"/>
      <c r="J17" s="312" t="s">
        <v>63</v>
      </c>
      <c r="K17" s="284"/>
      <c r="L17" s="220"/>
      <c r="N17" s="220"/>
      <c r="O17" s="220"/>
      <c r="P17" s="220"/>
    </row>
    <row r="18" spans="2:16" ht="55.5" customHeight="1" x14ac:dyDescent="0.25">
      <c r="B18" s="690"/>
      <c r="C18" s="690"/>
      <c r="D18" s="313"/>
      <c r="E18" s="684"/>
      <c r="F18" s="265" t="s">
        <v>64</v>
      </c>
      <c r="G18" s="265"/>
      <c r="H18" s="265" t="s">
        <v>65</v>
      </c>
      <c r="I18" s="265"/>
      <c r="J18" s="266" t="s">
        <v>66</v>
      </c>
      <c r="K18" s="265"/>
      <c r="L18" s="220"/>
      <c r="N18" s="220"/>
      <c r="O18" s="220"/>
      <c r="P18" s="220"/>
    </row>
    <row r="19" spans="2:16" ht="58.5" customHeight="1" x14ac:dyDescent="0.25">
      <c r="B19" s="325" t="s">
        <v>67</v>
      </c>
      <c r="C19" s="267"/>
      <c r="D19" s="268"/>
      <c r="E19" s="268"/>
      <c r="F19" s="268" t="s">
        <v>68</v>
      </c>
      <c r="G19" s="326"/>
      <c r="H19" s="326" t="s">
        <v>69</v>
      </c>
      <c r="I19" s="326"/>
      <c r="J19" s="327" t="s">
        <v>70</v>
      </c>
      <c r="K19" s="326"/>
      <c r="L19" s="220"/>
      <c r="N19" s="220"/>
      <c r="O19" s="220"/>
      <c r="P19" s="220"/>
    </row>
    <row r="20" spans="2:16" ht="60" customHeight="1" x14ac:dyDescent="0.25">
      <c r="B20" s="324" t="s">
        <v>71</v>
      </c>
      <c r="C20" s="297"/>
      <c r="D20" s="266"/>
      <c r="E20" s="266"/>
      <c r="F20" s="268" t="s">
        <v>72</v>
      </c>
      <c r="G20" s="265"/>
      <c r="H20" s="265" t="s">
        <v>73</v>
      </c>
      <c r="I20" s="265"/>
      <c r="J20" s="265" t="s">
        <v>74</v>
      </c>
      <c r="K20" s="265"/>
      <c r="L20" s="220"/>
      <c r="N20" s="220"/>
      <c r="O20" s="220"/>
      <c r="P20" s="220"/>
    </row>
    <row r="21" spans="2:16" ht="80.55" customHeight="1" x14ac:dyDescent="0.25">
      <c r="B21" s="685" t="s">
        <v>75</v>
      </c>
      <c r="C21" s="295"/>
      <c r="D21" s="311"/>
      <c r="E21" s="311"/>
      <c r="F21" s="311" t="s">
        <v>76</v>
      </c>
      <c r="G21" s="283"/>
      <c r="H21" s="283" t="s">
        <v>77</v>
      </c>
      <c r="I21" s="283"/>
      <c r="J21" s="283" t="s">
        <v>78</v>
      </c>
      <c r="K21" s="283"/>
      <c r="L21" s="220"/>
      <c r="N21" s="220"/>
      <c r="O21" s="220"/>
      <c r="P21" s="220"/>
    </row>
    <row r="22" spans="2:16" ht="104.1" customHeight="1" x14ac:dyDescent="0.25">
      <c r="B22" s="686"/>
      <c r="C22" s="296"/>
      <c r="D22" s="312"/>
      <c r="E22" s="312"/>
      <c r="F22" s="312" t="s">
        <v>76</v>
      </c>
      <c r="G22" s="284"/>
      <c r="H22" s="284" t="s">
        <v>79</v>
      </c>
      <c r="I22" s="284"/>
      <c r="J22" s="284" t="s">
        <v>80</v>
      </c>
      <c r="K22" s="284"/>
      <c r="N22" s="220"/>
      <c r="O22" s="220"/>
      <c r="P22" s="220"/>
    </row>
    <row r="23" spans="2:16" ht="123.6" customHeight="1" x14ac:dyDescent="0.25">
      <c r="B23" s="687"/>
      <c r="C23" s="297"/>
      <c r="D23" s="266"/>
      <c r="E23" s="266"/>
      <c r="F23" s="266" t="s">
        <v>76</v>
      </c>
      <c r="G23" s="265"/>
      <c r="H23" s="265" t="s">
        <v>81</v>
      </c>
      <c r="I23" s="265"/>
      <c r="J23" s="265" t="s">
        <v>82</v>
      </c>
      <c r="K23" s="265"/>
      <c r="N23" s="220"/>
      <c r="O23" s="220"/>
      <c r="P23" s="220"/>
    </row>
    <row r="24" spans="2:16" ht="21" customHeight="1" x14ac:dyDescent="0.25">
      <c r="B24" s="688" t="s">
        <v>83</v>
      </c>
      <c r="C24" s="688"/>
      <c r="D24" s="678"/>
      <c r="E24" s="678"/>
      <c r="F24" s="311" t="s">
        <v>84</v>
      </c>
      <c r="G24" s="283"/>
      <c r="H24" s="682" t="s">
        <v>85</v>
      </c>
      <c r="I24" s="283"/>
      <c r="J24" s="682" t="s">
        <v>86</v>
      </c>
      <c r="K24" s="310"/>
      <c r="N24" s="220"/>
      <c r="O24" s="220"/>
      <c r="P24" s="220"/>
    </row>
    <row r="25" spans="2:16" ht="48.75" customHeight="1" x14ac:dyDescent="0.25">
      <c r="B25" s="689"/>
      <c r="C25" s="689"/>
      <c r="D25" s="679"/>
      <c r="E25" s="679"/>
      <c r="F25" s="312" t="s">
        <v>87</v>
      </c>
      <c r="G25" s="284"/>
      <c r="H25" s="683"/>
      <c r="I25" s="284"/>
      <c r="J25" s="683"/>
      <c r="K25" s="298"/>
      <c r="N25" s="220"/>
      <c r="O25" s="220"/>
      <c r="P25" s="220"/>
    </row>
    <row r="26" spans="2:16" ht="69" customHeight="1" x14ac:dyDescent="0.25">
      <c r="B26" s="689"/>
      <c r="C26" s="689"/>
      <c r="D26" s="679"/>
      <c r="E26" s="679"/>
      <c r="F26" s="312" t="s">
        <v>88</v>
      </c>
      <c r="G26" s="284"/>
      <c r="H26" s="284" t="s">
        <v>89</v>
      </c>
      <c r="I26" s="284"/>
      <c r="J26" s="653" t="s">
        <v>90</v>
      </c>
      <c r="K26" s="298"/>
      <c r="N26" s="220"/>
      <c r="O26" s="220"/>
      <c r="P26" s="220"/>
    </row>
    <row r="27" spans="2:16" ht="70.5" customHeight="1" thickBot="1" x14ac:dyDescent="0.3">
      <c r="B27" s="692"/>
      <c r="C27" s="692"/>
      <c r="D27" s="680"/>
      <c r="E27" s="680"/>
      <c r="F27" s="328" t="s">
        <v>91</v>
      </c>
      <c r="G27" s="285"/>
      <c r="H27" s="285" t="s">
        <v>92</v>
      </c>
      <c r="I27" s="285"/>
      <c r="J27" s="654" t="s">
        <v>93</v>
      </c>
      <c r="K27" s="316"/>
      <c r="N27" s="220"/>
      <c r="O27" s="220"/>
      <c r="P27" s="220"/>
    </row>
    <row r="28" spans="2:16" ht="14.1" customHeight="1" x14ac:dyDescent="0.3">
      <c r="F28" s="317"/>
      <c r="G28" s="317"/>
      <c r="H28" s="220"/>
      <c r="I28" s="220"/>
      <c r="J28" s="220"/>
      <c r="K28" s="220"/>
      <c r="M28" s="220"/>
      <c r="N28" s="220"/>
      <c r="O28" s="220"/>
      <c r="P28" s="220"/>
    </row>
    <row r="29" spans="2:16" ht="119.1" customHeight="1" x14ac:dyDescent="0.25">
      <c r="B29" s="675" t="s">
        <v>2903</v>
      </c>
      <c r="C29" s="675"/>
      <c r="D29" s="675"/>
      <c r="E29" s="675"/>
      <c r="F29" s="675"/>
      <c r="G29" s="675"/>
      <c r="H29" s="675"/>
      <c r="I29" s="675"/>
      <c r="J29" s="675"/>
      <c r="K29" s="675"/>
      <c r="L29" s="652"/>
      <c r="M29" s="220"/>
      <c r="N29" s="220"/>
      <c r="O29" s="220"/>
      <c r="P29" s="220"/>
    </row>
    <row r="30" spans="2:16" ht="20.100000000000001" customHeight="1" x14ac:dyDescent="0.25">
      <c r="B30" s="675"/>
      <c r="C30" s="675"/>
      <c r="D30" s="675"/>
      <c r="E30" s="675"/>
      <c r="F30" s="675"/>
      <c r="G30" s="675"/>
      <c r="H30" s="675"/>
      <c r="I30" s="675"/>
      <c r="J30" s="675"/>
      <c r="K30" s="675"/>
      <c r="L30" s="652"/>
      <c r="M30" s="220"/>
      <c r="N30" s="220"/>
      <c r="O30" s="220"/>
      <c r="P30" s="220"/>
    </row>
    <row r="31" spans="2:16" ht="20.100000000000001" customHeight="1" x14ac:dyDescent="0.25">
      <c r="B31" s="675"/>
      <c r="C31" s="675"/>
      <c r="D31" s="675"/>
      <c r="E31" s="675"/>
      <c r="F31" s="675"/>
      <c r="G31" s="675"/>
      <c r="H31" s="675"/>
      <c r="I31" s="675"/>
      <c r="J31" s="675"/>
      <c r="K31" s="675"/>
      <c r="L31" s="652"/>
      <c r="M31" s="220"/>
      <c r="N31" s="220"/>
      <c r="O31" s="220"/>
      <c r="P31" s="220"/>
    </row>
    <row r="32" spans="2:16" ht="20.25" customHeight="1" x14ac:dyDescent="0.25">
      <c r="B32" s="675"/>
      <c r="C32" s="675"/>
      <c r="D32" s="675"/>
      <c r="E32" s="675"/>
      <c r="F32" s="675"/>
      <c r="G32" s="675"/>
      <c r="H32" s="675"/>
      <c r="I32" s="675"/>
      <c r="J32" s="675"/>
      <c r="K32" s="675"/>
      <c r="L32" s="652"/>
      <c r="M32" s="220"/>
      <c r="N32" s="220"/>
      <c r="O32" s="220"/>
      <c r="P32" s="220"/>
    </row>
    <row r="33" spans="2:16" ht="20.100000000000001" customHeight="1" x14ac:dyDescent="0.25">
      <c r="F33" s="220"/>
      <c r="G33" s="220"/>
      <c r="H33" s="220"/>
      <c r="I33" s="220"/>
      <c r="J33" s="220"/>
      <c r="K33" s="220"/>
      <c r="L33" s="220"/>
      <c r="M33" s="220"/>
      <c r="N33" s="220"/>
      <c r="O33" s="220"/>
      <c r="P33" s="220"/>
    </row>
    <row r="34" spans="2:16" ht="20.100000000000001" customHeight="1" x14ac:dyDescent="0.3">
      <c r="B34" s="224" t="s">
        <v>94</v>
      </c>
      <c r="C34" s="224"/>
      <c r="F34" s="220"/>
      <c r="G34" s="220"/>
      <c r="I34" s="220"/>
      <c r="J34" s="220"/>
      <c r="K34" s="220"/>
      <c r="L34" s="220"/>
      <c r="M34" s="220"/>
      <c r="N34" s="220"/>
      <c r="O34" s="220"/>
      <c r="P34" s="220"/>
    </row>
    <row r="35" spans="2:16" ht="16.05" customHeight="1" x14ac:dyDescent="0.25">
      <c r="F35" s="220"/>
      <c r="G35" s="220"/>
      <c r="H35" s="220"/>
      <c r="I35" s="220"/>
      <c r="J35" s="220"/>
      <c r="K35" s="220"/>
      <c r="L35" s="220"/>
      <c r="M35" s="220"/>
      <c r="N35" s="220"/>
      <c r="O35" s="220"/>
      <c r="P35" s="220"/>
    </row>
    <row r="36" spans="2:16" ht="40.049999999999997" customHeight="1" x14ac:dyDescent="0.25">
      <c r="B36" s="225" t="s">
        <v>95</v>
      </c>
      <c r="C36" s="225"/>
      <c r="D36" s="225" t="s">
        <v>47</v>
      </c>
      <c r="E36" s="225"/>
      <c r="F36" s="225" t="s">
        <v>48</v>
      </c>
      <c r="G36" s="225"/>
      <c r="H36" s="225" t="s">
        <v>49</v>
      </c>
      <c r="I36" s="225"/>
      <c r="J36" s="225" t="s">
        <v>96</v>
      </c>
      <c r="K36" s="500"/>
      <c r="N36" s="220"/>
      <c r="O36" s="220"/>
      <c r="P36" s="220"/>
    </row>
    <row r="37" spans="2:16" ht="56.1" customHeight="1" x14ac:dyDescent="0.25">
      <c r="B37" s="676" t="s">
        <v>97</v>
      </c>
      <c r="C37" s="269"/>
      <c r="D37" s="270"/>
      <c r="E37" s="270"/>
      <c r="F37" s="312" t="s">
        <v>98</v>
      </c>
      <c r="G37" s="270"/>
      <c r="H37" s="284" t="s">
        <v>99</v>
      </c>
      <c r="I37" s="284"/>
      <c r="J37" s="284" t="s">
        <v>100</v>
      </c>
      <c r="K37" s="284"/>
      <c r="N37" s="220"/>
      <c r="O37" s="220"/>
      <c r="P37" s="220"/>
    </row>
    <row r="38" spans="2:16" ht="56.1" customHeight="1" x14ac:dyDescent="0.25">
      <c r="B38" s="676"/>
      <c r="C38" s="269"/>
      <c r="D38" s="270"/>
      <c r="E38" s="270"/>
      <c r="F38" s="312" t="s">
        <v>101</v>
      </c>
      <c r="G38" s="270"/>
      <c r="H38" s="284" t="s">
        <v>102</v>
      </c>
      <c r="I38" s="284"/>
      <c r="J38" s="284" t="s">
        <v>103</v>
      </c>
      <c r="K38" s="284"/>
      <c r="N38" s="220"/>
      <c r="O38" s="220"/>
      <c r="P38" s="220"/>
    </row>
    <row r="39" spans="2:16" ht="56.1" customHeight="1" x14ac:dyDescent="0.25">
      <c r="B39" s="677"/>
      <c r="C39" s="271"/>
      <c r="D39" s="272"/>
      <c r="E39" s="272"/>
      <c r="F39" s="266" t="s">
        <v>104</v>
      </c>
      <c r="G39" s="272"/>
      <c r="H39" s="265" t="s">
        <v>105</v>
      </c>
      <c r="I39" s="265"/>
      <c r="J39" s="265" t="s">
        <v>106</v>
      </c>
      <c r="K39" s="265"/>
      <c r="N39" s="220"/>
      <c r="O39" s="220"/>
      <c r="P39" s="220"/>
    </row>
    <row r="40" spans="2:16" ht="50.55" customHeight="1" x14ac:dyDescent="0.25">
      <c r="B40" s="676" t="s">
        <v>107</v>
      </c>
      <c r="F40" s="312" t="s">
        <v>108</v>
      </c>
      <c r="G40" s="284"/>
      <c r="H40" s="284" t="s">
        <v>109</v>
      </c>
      <c r="I40" s="284"/>
      <c r="J40" s="284" t="s">
        <v>110</v>
      </c>
      <c r="K40" s="284"/>
      <c r="N40" s="220"/>
      <c r="O40" s="220"/>
      <c r="P40" s="220"/>
    </row>
    <row r="41" spans="2:16" ht="53.55" customHeight="1" x14ac:dyDescent="0.25">
      <c r="B41" s="677"/>
      <c r="C41" s="271"/>
      <c r="D41" s="272"/>
      <c r="E41" s="272"/>
      <c r="F41" s="266" t="s">
        <v>111</v>
      </c>
      <c r="G41" s="265"/>
      <c r="H41" s="265" t="s">
        <v>112</v>
      </c>
      <c r="I41" s="265"/>
      <c r="J41" s="265" t="s">
        <v>113</v>
      </c>
      <c r="K41" s="265"/>
      <c r="N41" s="220"/>
      <c r="O41" s="220"/>
      <c r="P41" s="220"/>
    </row>
    <row r="42" spans="2:16" ht="62.1" customHeight="1" x14ac:dyDescent="0.25">
      <c r="B42" s="685" t="s">
        <v>114</v>
      </c>
      <c r="C42" s="273"/>
      <c r="D42" s="273"/>
      <c r="E42" s="273"/>
      <c r="F42" s="310" t="s">
        <v>6</v>
      </c>
      <c r="G42" s="283"/>
      <c r="H42" s="283" t="s">
        <v>115</v>
      </c>
      <c r="I42" s="283"/>
      <c r="J42" s="284" t="s">
        <v>116</v>
      </c>
      <c r="K42" s="283"/>
      <c r="N42" s="220"/>
      <c r="O42" s="220"/>
      <c r="P42" s="220"/>
    </row>
    <row r="43" spans="2:16" ht="111.6" customHeight="1" x14ac:dyDescent="0.25">
      <c r="B43" s="686"/>
      <c r="F43" s="318" t="s">
        <v>6</v>
      </c>
      <c r="G43" s="284"/>
      <c r="H43" s="284" t="s">
        <v>117</v>
      </c>
      <c r="I43" s="284"/>
      <c r="J43" s="284" t="s">
        <v>118</v>
      </c>
      <c r="K43" s="284"/>
      <c r="M43" s="220"/>
      <c r="N43" s="220"/>
      <c r="O43" s="220"/>
      <c r="P43" s="220"/>
    </row>
    <row r="44" spans="2:16" ht="69" customHeight="1" thickBot="1" x14ac:dyDescent="0.3">
      <c r="B44" s="691" t="s">
        <v>119</v>
      </c>
      <c r="C44" s="226"/>
      <c r="D44" s="227"/>
      <c r="E44" s="227"/>
      <c r="F44" s="316" t="s">
        <v>6</v>
      </c>
      <c r="G44" s="285"/>
      <c r="H44" s="285" t="s">
        <v>120</v>
      </c>
      <c r="I44" s="285"/>
      <c r="J44" s="285" t="s">
        <v>121</v>
      </c>
      <c r="K44" s="285"/>
      <c r="M44" s="220"/>
      <c r="N44" s="220"/>
      <c r="O44" s="220"/>
      <c r="P44" s="220"/>
    </row>
    <row r="45" spans="2:16" ht="20.100000000000001" customHeight="1" x14ac:dyDescent="0.25">
      <c r="F45" s="220"/>
      <c r="G45" s="220"/>
      <c r="H45" s="220"/>
      <c r="I45" s="220"/>
      <c r="J45" s="220"/>
      <c r="K45" s="220"/>
      <c r="L45" s="220"/>
      <c r="M45" s="220"/>
      <c r="N45" s="220"/>
      <c r="O45" s="220"/>
      <c r="P45" s="220"/>
    </row>
    <row r="46" spans="2:16" ht="64.05" customHeight="1" x14ac:dyDescent="0.25">
      <c r="B46" s="675" t="s">
        <v>2887</v>
      </c>
      <c r="C46" s="675"/>
      <c r="D46" s="675"/>
      <c r="E46" s="675"/>
      <c r="F46" s="675"/>
      <c r="G46" s="675"/>
      <c r="H46" s="675"/>
      <c r="I46" s="675"/>
      <c r="J46" s="675"/>
      <c r="K46" s="675"/>
      <c r="L46" s="315"/>
      <c r="M46" s="220"/>
      <c r="N46" s="220"/>
      <c r="O46" s="220"/>
      <c r="P46" s="220"/>
    </row>
    <row r="47" spans="2:16" ht="14.1" customHeight="1" x14ac:dyDescent="0.25">
      <c r="F47" s="220"/>
      <c r="G47" s="220"/>
      <c r="H47" s="220"/>
      <c r="I47" s="220"/>
      <c r="J47" s="220"/>
      <c r="K47" s="220"/>
      <c r="L47" s="220"/>
      <c r="M47" s="220"/>
      <c r="N47" s="220"/>
      <c r="O47" s="220"/>
      <c r="P47" s="220"/>
    </row>
    <row r="48" spans="2:16" ht="14.55" customHeight="1" x14ac:dyDescent="0.25">
      <c r="F48" s="220"/>
      <c r="G48" s="220"/>
      <c r="H48" s="220"/>
      <c r="I48" s="220"/>
      <c r="J48" s="220"/>
      <c r="K48" s="220"/>
      <c r="L48" s="220"/>
      <c r="M48" s="220"/>
      <c r="N48" s="220"/>
      <c r="O48" s="220"/>
      <c r="P48" s="220"/>
    </row>
    <row r="49" s="220" customFormat="1" x14ac:dyDescent="0.25"/>
    <row r="50" s="220" customFormat="1" x14ac:dyDescent="0.25"/>
    <row r="51" s="220" customFormat="1" x14ac:dyDescent="0.25"/>
    <row r="52" s="220" customFormat="1" x14ac:dyDescent="0.25"/>
    <row r="53" s="220" customFormat="1" x14ac:dyDescent="0.25"/>
    <row r="54" s="220" customFormat="1" x14ac:dyDescent="0.25"/>
    <row r="55" s="220" customFormat="1" x14ac:dyDescent="0.25"/>
    <row r="56" s="220" customFormat="1" x14ac:dyDescent="0.25"/>
    <row r="57" s="220" customFormat="1" x14ac:dyDescent="0.25"/>
    <row r="58" s="220" customFormat="1" x14ac:dyDescent="0.25"/>
    <row r="59" s="220" customFormat="1" x14ac:dyDescent="0.25"/>
    <row r="60" s="220" customFormat="1" x14ac:dyDescent="0.25"/>
    <row r="61" s="220" customFormat="1" x14ac:dyDescent="0.25"/>
    <row r="62" s="220" customFormat="1" x14ac:dyDescent="0.25"/>
    <row r="63" s="220" customFormat="1" x14ac:dyDescent="0.25"/>
    <row r="64" s="220" customFormat="1" x14ac:dyDescent="0.25"/>
    <row r="65" s="220" customFormat="1" x14ac:dyDescent="0.25"/>
    <row r="66" s="220" customFormat="1" x14ac:dyDescent="0.25"/>
    <row r="67" s="220" customFormat="1" x14ac:dyDescent="0.25"/>
    <row r="68" s="220" customFormat="1" x14ac:dyDescent="0.25"/>
    <row r="69" s="220" customFormat="1" x14ac:dyDescent="0.25"/>
    <row r="70" s="220" customFormat="1" x14ac:dyDescent="0.25"/>
    <row r="71" s="220" customFormat="1" x14ac:dyDescent="0.25"/>
  </sheetData>
  <sheetProtection algorithmName="SHA-512" hashValue="iH/cxBs6LKoa1zNi47npOW+QHnafnMvlOnyV1VO0Po0SA2gsa58eiMdHhU9v41yW89N/oCbp+YhAyzYuWKsaZQ==" saltValue="KYc8NI/oylSsfUSijkm00A==" spinCount="100000" sheet="1" objects="1" autoFilter="0" pivotTables="0"/>
  <mergeCells count="22">
    <mergeCell ref="K15:K16"/>
    <mergeCell ref="B42:B44"/>
    <mergeCell ref="B24:B27"/>
    <mergeCell ref="C24:C27"/>
    <mergeCell ref="D24:D27"/>
    <mergeCell ref="B40:B41"/>
    <mergeCell ref="B46:K46"/>
    <mergeCell ref="B37:B39"/>
    <mergeCell ref="E24:E27"/>
    <mergeCell ref="B8:F8"/>
    <mergeCell ref="H24:H25"/>
    <mergeCell ref="J24:J25"/>
    <mergeCell ref="B29:K32"/>
    <mergeCell ref="E15:E18"/>
    <mergeCell ref="G15:G16"/>
    <mergeCell ref="B21:B23"/>
    <mergeCell ref="B13:B14"/>
    <mergeCell ref="D13:D14"/>
    <mergeCell ref="B15:B18"/>
    <mergeCell ref="C15:C18"/>
    <mergeCell ref="H15:H16"/>
    <mergeCell ref="I15:I16"/>
  </mergeCell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70D2E-8692-417E-9C62-2E0825EBBB3C}">
  <sheetPr codeName="Planilha6">
    <tabColor rgb="FFECB11F"/>
    <pageSetUpPr fitToPage="1"/>
  </sheetPr>
  <dimension ref="A1:XFC163"/>
  <sheetViews>
    <sheetView showGridLines="0" showRowColHeaders="0" showRuler="0" zoomScaleNormal="100" workbookViewId="0">
      <pane ySplit="2" topLeftCell="A120" activePane="bottomLeft" state="frozen"/>
      <selection pane="bottomLeft" activeCell="A2" sqref="A2"/>
    </sheetView>
  </sheetViews>
  <sheetFormatPr defaultColWidth="0" defaultRowHeight="14.4" x14ac:dyDescent="0.3"/>
  <cols>
    <col min="1" max="1" width="8.77734375" customWidth="1"/>
    <col min="2" max="2" width="30.5546875" customWidth="1"/>
    <col min="3" max="3" width="73.21875" style="4" customWidth="1"/>
    <col min="4" max="4" width="43.21875" style="19" customWidth="1"/>
    <col min="5" max="5" width="8.77734375" customWidth="1"/>
    <col min="6" max="6" width="8.77734375" hidden="1" customWidth="1"/>
    <col min="7" max="16383" width="8.77734375" hidden="1"/>
    <col min="16384" max="16384" width="5.5546875" hidden="1"/>
  </cols>
  <sheetData>
    <row r="1" spans="1:5" ht="14.1" customHeight="1" x14ac:dyDescent="0.3">
      <c r="A1" s="446"/>
    </row>
    <row r="2" spans="1:5" ht="14.1" customHeight="1" x14ac:dyDescent="0.3">
      <c r="A2" s="447"/>
      <c r="B2" s="421"/>
      <c r="C2" s="422"/>
      <c r="D2" s="423"/>
      <c r="E2" s="421"/>
    </row>
    <row r="3" spans="1:5" ht="14.55" customHeight="1" x14ac:dyDescent="0.3"/>
    <row r="4" spans="1:5" ht="14.55" customHeight="1" x14ac:dyDescent="0.3">
      <c r="D4" s="9" t="s">
        <v>0</v>
      </c>
    </row>
    <row r="5" spans="1:5" ht="14.55" customHeight="1" x14ac:dyDescent="0.3"/>
    <row r="8" spans="1:5" ht="21" x14ac:dyDescent="0.4">
      <c r="B8" s="441" t="s">
        <v>18</v>
      </c>
      <c r="C8" s="18"/>
      <c r="D8" s="20"/>
    </row>
    <row r="9" spans="1:5" ht="12" customHeight="1" x14ac:dyDescent="0.3">
      <c r="B9" s="5"/>
      <c r="C9" s="18"/>
      <c r="D9" s="20"/>
    </row>
    <row r="10" spans="1:5" ht="12" customHeight="1" x14ac:dyDescent="0.3">
      <c r="B10" s="5"/>
      <c r="C10" s="18"/>
      <c r="D10" s="20"/>
    </row>
    <row r="11" spans="1:5" ht="16.2" thickBot="1" x14ac:dyDescent="0.35">
      <c r="B11" s="16" t="s">
        <v>22</v>
      </c>
      <c r="C11" s="13"/>
      <c r="D11" s="21"/>
    </row>
    <row r="12" spans="1:5" ht="15" thickTop="1" x14ac:dyDescent="0.3">
      <c r="B12" s="5"/>
      <c r="C12" s="18"/>
      <c r="D12" s="20"/>
    </row>
    <row r="13" spans="1:5" ht="15" thickBot="1" x14ac:dyDescent="0.35">
      <c r="B13" s="12" t="s">
        <v>114</v>
      </c>
      <c r="C13" s="12"/>
      <c r="D13" s="22"/>
    </row>
    <row r="14" spans="1:5" s="75" customFormat="1" ht="87" customHeight="1" thickTop="1" x14ac:dyDescent="0.3">
      <c r="B14" s="699" t="s">
        <v>122</v>
      </c>
      <c r="C14" s="702" t="s">
        <v>2899</v>
      </c>
      <c r="D14" s="702"/>
    </row>
    <row r="15" spans="1:5" s="75" customFormat="1" ht="148.5" customHeight="1" x14ac:dyDescent="0.3">
      <c r="B15" s="700"/>
      <c r="C15" s="703"/>
      <c r="D15" s="703"/>
    </row>
    <row r="16" spans="1:5" s="75" customFormat="1" ht="152.55000000000001" customHeight="1" x14ac:dyDescent="0.3">
      <c r="B16" s="701"/>
      <c r="C16" s="704"/>
      <c r="D16" s="704"/>
    </row>
    <row r="17" spans="2:4" ht="18" customHeight="1" x14ac:dyDescent="0.3">
      <c r="B17" s="11" t="s">
        <v>123</v>
      </c>
      <c r="C17" s="11" t="s">
        <v>124</v>
      </c>
      <c r="D17" s="369" t="s">
        <v>125</v>
      </c>
    </row>
    <row r="18" spans="2:4" ht="21.75" customHeight="1" x14ac:dyDescent="0.3">
      <c r="B18" s="11" t="s">
        <v>126</v>
      </c>
      <c r="C18" s="11" t="s">
        <v>127</v>
      </c>
      <c r="D18" s="369" t="s">
        <v>125</v>
      </c>
    </row>
    <row r="19" spans="2:4" ht="18" customHeight="1" x14ac:dyDescent="0.3">
      <c r="B19" s="11" t="s">
        <v>128</v>
      </c>
      <c r="C19" s="11" t="s">
        <v>129</v>
      </c>
      <c r="D19" s="369" t="s">
        <v>125</v>
      </c>
    </row>
    <row r="20" spans="2:4" ht="19.5" customHeight="1" x14ac:dyDescent="0.3">
      <c r="B20" s="11" t="s">
        <v>130</v>
      </c>
      <c r="C20" s="11" t="s">
        <v>131</v>
      </c>
      <c r="D20" s="369" t="s">
        <v>125</v>
      </c>
    </row>
    <row r="21" spans="2:4" ht="20.25" customHeight="1" x14ac:dyDescent="0.3">
      <c r="B21" s="11" t="s">
        <v>132</v>
      </c>
      <c r="C21" s="11" t="s">
        <v>133</v>
      </c>
      <c r="D21" s="369" t="s">
        <v>125</v>
      </c>
    </row>
    <row r="22" spans="2:4" ht="32.25" customHeight="1" x14ac:dyDescent="0.3">
      <c r="B22" s="11" t="s">
        <v>134</v>
      </c>
      <c r="C22" s="11" t="s">
        <v>135</v>
      </c>
      <c r="D22" s="369" t="s">
        <v>125</v>
      </c>
    </row>
    <row r="23" spans="2:4" ht="33" customHeight="1" x14ac:dyDescent="0.3">
      <c r="B23" s="11" t="s">
        <v>136</v>
      </c>
      <c r="C23" s="11" t="s">
        <v>137</v>
      </c>
      <c r="D23" s="369" t="s">
        <v>125</v>
      </c>
    </row>
    <row r="24" spans="2:4" ht="71.25" customHeight="1" x14ac:dyDescent="0.3">
      <c r="B24" s="11" t="s">
        <v>138</v>
      </c>
      <c r="C24" s="11" t="s">
        <v>139</v>
      </c>
      <c r="D24" s="369" t="s">
        <v>125</v>
      </c>
    </row>
    <row r="25" spans="2:4" ht="39" customHeight="1" x14ac:dyDescent="0.3">
      <c r="B25" s="11" t="s">
        <v>140</v>
      </c>
      <c r="C25" s="11" t="s">
        <v>141</v>
      </c>
      <c r="D25" s="369" t="s">
        <v>125</v>
      </c>
    </row>
    <row r="26" spans="2:4" ht="32.25" customHeight="1" x14ac:dyDescent="0.3">
      <c r="B26" s="11" t="s">
        <v>142</v>
      </c>
      <c r="C26" s="11" t="s">
        <v>143</v>
      </c>
      <c r="D26" s="369" t="s">
        <v>125</v>
      </c>
    </row>
    <row r="27" spans="2:4" x14ac:dyDescent="0.3">
      <c r="B27" s="14" t="s">
        <v>144</v>
      </c>
      <c r="C27" s="15" t="s">
        <v>144</v>
      </c>
      <c r="D27" s="23"/>
    </row>
    <row r="28" spans="2:4" ht="27.6" customHeight="1" thickBot="1" x14ac:dyDescent="0.35">
      <c r="B28" s="12" t="s">
        <v>145</v>
      </c>
      <c r="C28" s="12" t="s">
        <v>144</v>
      </c>
      <c r="D28" s="22"/>
    </row>
    <row r="29" spans="2:4" ht="164.1" customHeight="1" thickTop="1" x14ac:dyDescent="0.3">
      <c r="B29" s="696" t="s">
        <v>122</v>
      </c>
      <c r="C29" s="699" t="s">
        <v>146</v>
      </c>
      <c r="D29" s="699"/>
    </row>
    <row r="30" spans="2:4" ht="162.6" customHeight="1" x14ac:dyDescent="0.3">
      <c r="B30" s="697"/>
      <c r="C30" s="700"/>
      <c r="D30" s="700"/>
    </row>
    <row r="31" spans="2:4" ht="180" customHeight="1" x14ac:dyDescent="0.3">
      <c r="B31" s="697"/>
      <c r="C31" s="700"/>
      <c r="D31" s="700"/>
    </row>
    <row r="32" spans="2:4" ht="150" customHeight="1" x14ac:dyDescent="0.3">
      <c r="B32" s="697"/>
      <c r="C32" s="700"/>
      <c r="D32" s="700"/>
    </row>
    <row r="33" spans="2:4" ht="162.6" customHeight="1" x14ac:dyDescent="0.3">
      <c r="B33" s="697"/>
      <c r="C33" s="700"/>
      <c r="D33" s="700"/>
    </row>
    <row r="34" spans="2:4" ht="225.75" customHeight="1" x14ac:dyDescent="0.3">
      <c r="B34" s="706"/>
      <c r="C34" s="705"/>
      <c r="D34" s="705"/>
    </row>
    <row r="35" spans="2:4" ht="28.5" customHeight="1" x14ac:dyDescent="0.3">
      <c r="B35" s="287" t="s">
        <v>147</v>
      </c>
      <c r="C35" s="11" t="s">
        <v>148</v>
      </c>
      <c r="D35" s="369" t="s">
        <v>125</v>
      </c>
    </row>
    <row r="36" spans="2:4" ht="18.75" customHeight="1" x14ac:dyDescent="0.3">
      <c r="B36" s="11" t="s">
        <v>149</v>
      </c>
      <c r="C36" s="11" t="s">
        <v>150</v>
      </c>
      <c r="D36" s="369" t="s">
        <v>125</v>
      </c>
    </row>
    <row r="37" spans="2:4" ht="21" customHeight="1" x14ac:dyDescent="0.3">
      <c r="B37" s="11" t="s">
        <v>151</v>
      </c>
      <c r="C37" s="11" t="s">
        <v>152</v>
      </c>
      <c r="D37" s="369" t="s">
        <v>125</v>
      </c>
    </row>
    <row r="38" spans="2:4" ht="30.75" customHeight="1" x14ac:dyDescent="0.3">
      <c r="B38" s="11" t="s">
        <v>153</v>
      </c>
      <c r="C38" s="11" t="s">
        <v>154</v>
      </c>
      <c r="D38" s="369" t="s">
        <v>125</v>
      </c>
    </row>
    <row r="39" spans="2:4" ht="32.25" customHeight="1" x14ac:dyDescent="0.3">
      <c r="B39" s="11" t="s">
        <v>155</v>
      </c>
      <c r="C39" s="11" t="s">
        <v>156</v>
      </c>
      <c r="D39" s="369" t="s">
        <v>125</v>
      </c>
    </row>
    <row r="40" spans="2:4" ht="31.5" customHeight="1" x14ac:dyDescent="0.3">
      <c r="B40" s="11" t="s">
        <v>157</v>
      </c>
      <c r="C40" s="11" t="s">
        <v>158</v>
      </c>
      <c r="D40" s="369" t="s">
        <v>125</v>
      </c>
    </row>
    <row r="41" spans="2:4" ht="21" customHeight="1" x14ac:dyDescent="0.3">
      <c r="B41" s="11" t="s">
        <v>159</v>
      </c>
      <c r="C41" s="11" t="s">
        <v>160</v>
      </c>
      <c r="D41" s="369" t="s">
        <v>125</v>
      </c>
    </row>
    <row r="42" spans="2:4" ht="34.5" customHeight="1" x14ac:dyDescent="0.3">
      <c r="B42" s="11" t="s">
        <v>161</v>
      </c>
      <c r="C42" s="11" t="s">
        <v>162</v>
      </c>
      <c r="D42" s="369" t="s">
        <v>125</v>
      </c>
    </row>
    <row r="43" spans="2:4" ht="31.5" customHeight="1" x14ac:dyDescent="0.3">
      <c r="B43" s="11" t="s">
        <v>163</v>
      </c>
      <c r="C43" s="11" t="s">
        <v>164</v>
      </c>
      <c r="D43" s="369" t="s">
        <v>125</v>
      </c>
    </row>
    <row r="44" spans="2:4" x14ac:dyDescent="0.3">
      <c r="B44" t="s">
        <v>144</v>
      </c>
      <c r="C44" s="4" t="s">
        <v>144</v>
      </c>
    </row>
    <row r="45" spans="2:4" ht="15" thickBot="1" x14ac:dyDescent="0.35">
      <c r="B45" s="12" t="s">
        <v>165</v>
      </c>
      <c r="C45" s="12" t="s">
        <v>144</v>
      </c>
      <c r="D45" s="22"/>
    </row>
    <row r="46" spans="2:4" ht="118.5" customHeight="1" thickTop="1" x14ac:dyDescent="0.3">
      <c r="B46" s="699" t="s">
        <v>122</v>
      </c>
      <c r="C46" s="702" t="s">
        <v>2900</v>
      </c>
      <c r="D46" s="702"/>
    </row>
    <row r="47" spans="2:4" ht="118.5" customHeight="1" x14ac:dyDescent="0.3">
      <c r="B47" s="700"/>
      <c r="C47" s="703"/>
      <c r="D47" s="703"/>
    </row>
    <row r="48" spans="2:4" ht="113.55" customHeight="1" x14ac:dyDescent="0.3">
      <c r="B48" s="700"/>
      <c r="C48" s="703"/>
      <c r="D48" s="703"/>
    </row>
    <row r="49" spans="2:7" ht="111" customHeight="1" x14ac:dyDescent="0.3">
      <c r="B49" s="701"/>
      <c r="C49" s="704"/>
      <c r="D49" s="704"/>
    </row>
    <row r="50" spans="2:7" ht="20.100000000000001" customHeight="1" x14ac:dyDescent="0.3">
      <c r="B50" s="11" t="s">
        <v>166</v>
      </c>
      <c r="C50" s="11" t="s">
        <v>167</v>
      </c>
      <c r="D50" s="369" t="s">
        <v>125</v>
      </c>
    </row>
    <row r="51" spans="2:7" ht="20.100000000000001" customHeight="1" x14ac:dyDescent="0.3">
      <c r="B51" s="11" t="s">
        <v>168</v>
      </c>
      <c r="C51" s="11" t="s">
        <v>169</v>
      </c>
      <c r="D51" s="369" t="s">
        <v>125</v>
      </c>
    </row>
    <row r="52" spans="2:7" ht="20.100000000000001" customHeight="1" x14ac:dyDescent="0.3">
      <c r="B52" s="11" t="s">
        <v>170</v>
      </c>
      <c r="C52" s="11" t="s">
        <v>171</v>
      </c>
      <c r="D52" s="369" t="s">
        <v>125</v>
      </c>
      <c r="G52" s="2"/>
    </row>
    <row r="53" spans="2:7" ht="20.100000000000001" customHeight="1" x14ac:dyDescent="0.3">
      <c r="B53" s="11" t="s">
        <v>172</v>
      </c>
      <c r="C53" s="11" t="s">
        <v>173</v>
      </c>
      <c r="D53" s="369" t="s">
        <v>125</v>
      </c>
    </row>
    <row r="54" spans="2:7" ht="20.100000000000001" customHeight="1" x14ac:dyDescent="0.3">
      <c r="B54" s="11" t="s">
        <v>174</v>
      </c>
      <c r="C54" s="11" t="s">
        <v>175</v>
      </c>
      <c r="D54" s="369" t="s">
        <v>125</v>
      </c>
    </row>
    <row r="55" spans="2:7" ht="20.100000000000001" customHeight="1" x14ac:dyDescent="0.3">
      <c r="B55" s="11" t="s">
        <v>176</v>
      </c>
      <c r="C55" s="11" t="s">
        <v>177</v>
      </c>
      <c r="D55" s="369" t="s">
        <v>125</v>
      </c>
    </row>
    <row r="56" spans="2:7" ht="20.100000000000001" customHeight="1" x14ac:dyDescent="0.3">
      <c r="B56" s="11" t="s">
        <v>178</v>
      </c>
      <c r="C56" s="11" t="s">
        <v>179</v>
      </c>
      <c r="D56" s="369" t="s">
        <v>125</v>
      </c>
    </row>
    <row r="57" spans="2:7" ht="42.75" customHeight="1" x14ac:dyDescent="0.3">
      <c r="B57" s="11" t="s">
        <v>180</v>
      </c>
      <c r="C57" s="11" t="s">
        <v>181</v>
      </c>
      <c r="D57" s="369" t="s">
        <v>125</v>
      </c>
    </row>
    <row r="58" spans="2:7" ht="32.25" customHeight="1" x14ac:dyDescent="0.3">
      <c r="B58" s="11" t="s">
        <v>182</v>
      </c>
      <c r="C58" s="11" t="s">
        <v>183</v>
      </c>
      <c r="D58" s="369" t="s">
        <v>125</v>
      </c>
    </row>
    <row r="59" spans="2:7" ht="32.25" customHeight="1" x14ac:dyDescent="0.3">
      <c r="B59" s="11" t="s">
        <v>184</v>
      </c>
      <c r="C59" s="11" t="s">
        <v>185</v>
      </c>
      <c r="D59" s="369" t="s">
        <v>125</v>
      </c>
    </row>
    <row r="60" spans="2:7" x14ac:dyDescent="0.3">
      <c r="B60" t="s">
        <v>144</v>
      </c>
      <c r="C60" s="4" t="s">
        <v>144</v>
      </c>
    </row>
    <row r="61" spans="2:7" ht="15" thickBot="1" x14ac:dyDescent="0.35">
      <c r="B61" s="12" t="s">
        <v>186</v>
      </c>
      <c r="C61" s="12" t="s">
        <v>144</v>
      </c>
      <c r="D61" s="22"/>
    </row>
    <row r="62" spans="2:7" ht="122.55" customHeight="1" thickTop="1" x14ac:dyDescent="0.3">
      <c r="B62" s="699" t="s">
        <v>122</v>
      </c>
      <c r="C62" s="699" t="s">
        <v>2901</v>
      </c>
      <c r="D62" s="699"/>
    </row>
    <row r="63" spans="2:7" ht="122.55" customHeight="1" x14ac:dyDescent="0.3">
      <c r="B63" s="700"/>
      <c r="C63" s="700"/>
      <c r="D63" s="700"/>
    </row>
    <row r="64" spans="2:7" ht="122.55" customHeight="1" x14ac:dyDescent="0.3">
      <c r="B64" s="701"/>
      <c r="C64" s="701"/>
      <c r="D64" s="701"/>
    </row>
    <row r="65" spans="2:4" ht="17.55" customHeight="1" x14ac:dyDescent="0.3">
      <c r="B65" s="11" t="s">
        <v>187</v>
      </c>
      <c r="C65" s="11" t="s">
        <v>188</v>
      </c>
      <c r="D65" s="369" t="s">
        <v>125</v>
      </c>
    </row>
    <row r="66" spans="2:4" ht="19.5" customHeight="1" x14ac:dyDescent="0.3">
      <c r="B66" t="s">
        <v>144</v>
      </c>
      <c r="C66" s="4" t="s">
        <v>144</v>
      </c>
    </row>
    <row r="67" spans="2:4" ht="15" thickBot="1" x14ac:dyDescent="0.35">
      <c r="B67" s="12" t="s">
        <v>51</v>
      </c>
      <c r="C67" s="12" t="s">
        <v>144</v>
      </c>
      <c r="D67" s="22"/>
    </row>
    <row r="68" spans="2:4" ht="144.6" customHeight="1" thickTop="1" x14ac:dyDescent="0.3">
      <c r="B68" s="699" t="s">
        <v>122</v>
      </c>
      <c r="C68" s="699" t="s">
        <v>189</v>
      </c>
      <c r="D68" s="699"/>
    </row>
    <row r="69" spans="2:4" ht="144.6" customHeight="1" x14ac:dyDescent="0.3">
      <c r="B69" s="700"/>
      <c r="C69" s="700"/>
      <c r="D69" s="700"/>
    </row>
    <row r="70" spans="2:4" ht="144.6" customHeight="1" x14ac:dyDescent="0.3">
      <c r="B70" s="701"/>
      <c r="C70" s="701"/>
      <c r="D70" s="701"/>
    </row>
    <row r="71" spans="2:4" ht="26.1" customHeight="1" x14ac:dyDescent="0.3">
      <c r="B71" s="11" t="s">
        <v>190</v>
      </c>
      <c r="C71" s="11" t="s">
        <v>191</v>
      </c>
      <c r="D71" s="369" t="s">
        <v>20</v>
      </c>
    </row>
    <row r="72" spans="2:4" x14ac:dyDescent="0.3">
      <c r="B72" s="11" t="s">
        <v>192</v>
      </c>
      <c r="C72" s="11" t="s">
        <v>193</v>
      </c>
      <c r="D72" s="369" t="s">
        <v>125</v>
      </c>
    </row>
    <row r="73" spans="2:4" x14ac:dyDescent="0.3">
      <c r="B73" s="11" t="s">
        <v>194</v>
      </c>
      <c r="C73" s="11" t="s">
        <v>195</v>
      </c>
      <c r="D73" s="369" t="s">
        <v>125</v>
      </c>
    </row>
    <row r="74" spans="2:4" x14ac:dyDescent="0.3">
      <c r="B74" s="11" t="s">
        <v>196</v>
      </c>
      <c r="C74" s="11" t="s">
        <v>197</v>
      </c>
      <c r="D74" s="369" t="s">
        <v>125</v>
      </c>
    </row>
    <row r="75" spans="2:4" x14ac:dyDescent="0.3">
      <c r="B75" s="11" t="s">
        <v>198</v>
      </c>
      <c r="C75" s="11" t="s">
        <v>199</v>
      </c>
      <c r="D75" s="369" t="s">
        <v>125</v>
      </c>
    </row>
    <row r="76" spans="2:4" x14ac:dyDescent="0.3">
      <c r="B76" s="11" t="s">
        <v>200</v>
      </c>
      <c r="C76" s="11" t="s">
        <v>201</v>
      </c>
      <c r="D76" s="369" t="s">
        <v>125</v>
      </c>
    </row>
    <row r="77" spans="2:4" x14ac:dyDescent="0.3">
      <c r="B77" s="11" t="s">
        <v>202</v>
      </c>
      <c r="C77" s="11" t="s">
        <v>203</v>
      </c>
      <c r="D77" s="369" t="s">
        <v>125</v>
      </c>
    </row>
    <row r="78" spans="2:4" x14ac:dyDescent="0.3">
      <c r="B78" s="11" t="s">
        <v>204</v>
      </c>
      <c r="C78" s="11" t="s">
        <v>205</v>
      </c>
      <c r="D78" s="369" t="s">
        <v>125</v>
      </c>
    </row>
    <row r="79" spans="2:4" x14ac:dyDescent="0.3">
      <c r="B79" s="11" t="s">
        <v>206</v>
      </c>
      <c r="C79" s="11" t="s">
        <v>207</v>
      </c>
      <c r="D79" s="369" t="s">
        <v>125</v>
      </c>
    </row>
    <row r="80" spans="2:4" x14ac:dyDescent="0.3">
      <c r="B80" s="11" t="s">
        <v>208</v>
      </c>
      <c r="C80" s="11" t="s">
        <v>209</v>
      </c>
      <c r="D80" s="369" t="s">
        <v>125</v>
      </c>
    </row>
    <row r="81" spans="2:4" x14ac:dyDescent="0.3">
      <c r="B81" s="11" t="s">
        <v>210</v>
      </c>
      <c r="C81" s="11" t="s">
        <v>211</v>
      </c>
      <c r="D81" s="369" t="s">
        <v>125</v>
      </c>
    </row>
    <row r="82" spans="2:4" ht="30" customHeight="1" x14ac:dyDescent="0.3">
      <c r="B82" s="11" t="s">
        <v>212</v>
      </c>
      <c r="C82" s="11" t="s">
        <v>213</v>
      </c>
      <c r="D82" s="369" t="s">
        <v>125</v>
      </c>
    </row>
    <row r="83" spans="2:4" ht="33" customHeight="1" x14ac:dyDescent="0.3">
      <c r="B83" s="11" t="s">
        <v>214</v>
      </c>
      <c r="C83" s="11" t="s">
        <v>215</v>
      </c>
      <c r="D83" s="369" t="s">
        <v>125</v>
      </c>
    </row>
    <row r="84" spans="2:4" x14ac:dyDescent="0.3">
      <c r="B84" s="14"/>
      <c r="C84" s="14"/>
      <c r="D84" s="23"/>
    </row>
    <row r="85" spans="2:4" x14ac:dyDescent="0.3">
      <c r="B85" s="14"/>
      <c r="C85" s="14"/>
      <c r="D85" s="23"/>
    </row>
    <row r="86" spans="2:4" ht="16.2" thickBot="1" x14ac:dyDescent="0.35">
      <c r="B86" s="165" t="s">
        <v>216</v>
      </c>
      <c r="C86" s="16" t="s">
        <v>144</v>
      </c>
      <c r="D86" s="24"/>
    </row>
    <row r="87" spans="2:4" ht="16.2" thickTop="1" x14ac:dyDescent="0.3">
      <c r="B87" s="166"/>
      <c r="C87" s="17"/>
      <c r="D87" s="25"/>
    </row>
    <row r="88" spans="2:4" ht="15" thickBot="1" x14ac:dyDescent="0.35">
      <c r="B88" s="12" t="s">
        <v>217</v>
      </c>
      <c r="C88" s="12" t="s">
        <v>144</v>
      </c>
      <c r="D88" s="22"/>
    </row>
    <row r="89" spans="2:4" ht="128.1" customHeight="1" thickTop="1" x14ac:dyDescent="0.3">
      <c r="B89" s="699" t="s">
        <v>122</v>
      </c>
      <c r="C89" s="699" t="s">
        <v>218</v>
      </c>
      <c r="D89" s="699"/>
    </row>
    <row r="90" spans="2:4" ht="135" customHeight="1" x14ac:dyDescent="0.3">
      <c r="B90" s="700"/>
      <c r="C90" s="700"/>
      <c r="D90" s="700"/>
    </row>
    <row r="91" spans="2:4" ht="124.05" customHeight="1" x14ac:dyDescent="0.3">
      <c r="B91" s="701"/>
      <c r="C91" s="701"/>
      <c r="D91" s="701"/>
    </row>
    <row r="92" spans="2:4" x14ac:dyDescent="0.3">
      <c r="B92" s="11" t="s">
        <v>219</v>
      </c>
      <c r="C92" s="11" t="s">
        <v>220</v>
      </c>
      <c r="D92" s="369" t="s">
        <v>20</v>
      </c>
    </row>
    <row r="93" spans="2:4" x14ac:dyDescent="0.3">
      <c r="B93" s="57" t="s">
        <v>221</v>
      </c>
      <c r="C93" s="11" t="s">
        <v>222</v>
      </c>
      <c r="D93" s="369" t="s">
        <v>20</v>
      </c>
    </row>
    <row r="94" spans="2:4" x14ac:dyDescent="0.3">
      <c r="B94" s="11" t="s">
        <v>223</v>
      </c>
      <c r="C94" s="11" t="s">
        <v>224</v>
      </c>
      <c r="D94" s="369" t="s">
        <v>20</v>
      </c>
    </row>
    <row r="95" spans="2:4" x14ac:dyDescent="0.3">
      <c r="B95" s="11" t="s">
        <v>225</v>
      </c>
      <c r="C95" s="11" t="s">
        <v>226</v>
      </c>
      <c r="D95" s="369" t="s">
        <v>20</v>
      </c>
    </row>
    <row r="96" spans="2:4" x14ac:dyDescent="0.3">
      <c r="B96" s="11" t="s">
        <v>227</v>
      </c>
      <c r="C96" s="11" t="s">
        <v>228</v>
      </c>
      <c r="D96" s="369" t="s">
        <v>20</v>
      </c>
    </row>
    <row r="97" spans="2:4" x14ac:dyDescent="0.3">
      <c r="B97" s="11" t="s">
        <v>229</v>
      </c>
      <c r="C97" s="11" t="s">
        <v>230</v>
      </c>
      <c r="D97" s="369" t="s">
        <v>20</v>
      </c>
    </row>
    <row r="98" spans="2:4" ht="29.25" customHeight="1" x14ac:dyDescent="0.3">
      <c r="B98" s="11" t="s">
        <v>231</v>
      </c>
      <c r="C98" s="11" t="s">
        <v>232</v>
      </c>
      <c r="D98" s="369" t="s">
        <v>20</v>
      </c>
    </row>
    <row r="99" spans="2:4" ht="33" customHeight="1" x14ac:dyDescent="0.3">
      <c r="B99" s="11" t="s">
        <v>233</v>
      </c>
      <c r="C99" s="11" t="s">
        <v>234</v>
      </c>
      <c r="D99" s="369" t="s">
        <v>20</v>
      </c>
    </row>
    <row r="100" spans="2:4" x14ac:dyDescent="0.3">
      <c r="C100"/>
      <c r="D100"/>
    </row>
    <row r="102" spans="2:4" ht="16.2" thickBot="1" x14ac:dyDescent="0.35">
      <c r="B102" s="165" t="s">
        <v>24</v>
      </c>
      <c r="C102" s="16" t="s">
        <v>144</v>
      </c>
      <c r="D102" s="16"/>
    </row>
    <row r="103" spans="2:4" ht="16.2" thickTop="1" x14ac:dyDescent="0.3">
      <c r="B103" s="166"/>
      <c r="C103" s="17"/>
      <c r="D103" s="25"/>
    </row>
    <row r="104" spans="2:4" ht="15" thickBot="1" x14ac:dyDescent="0.35">
      <c r="B104" s="12" t="s">
        <v>235</v>
      </c>
      <c r="C104" s="12" t="s">
        <v>144</v>
      </c>
      <c r="D104" s="22"/>
    </row>
    <row r="105" spans="2:4" ht="120" customHeight="1" thickTop="1" x14ac:dyDescent="0.3">
      <c r="B105" s="699" t="s">
        <v>236</v>
      </c>
      <c r="C105" s="699" t="s">
        <v>237</v>
      </c>
      <c r="D105" s="699"/>
    </row>
    <row r="106" spans="2:4" ht="135" customHeight="1" x14ac:dyDescent="0.3">
      <c r="B106" s="700"/>
      <c r="C106" s="700"/>
      <c r="D106" s="700"/>
    </row>
    <row r="107" spans="2:4" ht="104.1" customHeight="1" x14ac:dyDescent="0.3">
      <c r="B107" s="701"/>
      <c r="C107" s="701"/>
      <c r="D107" s="701"/>
    </row>
    <row r="108" spans="2:4" x14ac:dyDescent="0.3">
      <c r="B108" s="11" t="s">
        <v>238</v>
      </c>
      <c r="C108" s="11" t="s">
        <v>239</v>
      </c>
      <c r="D108" s="369" t="s">
        <v>25</v>
      </c>
    </row>
    <row r="109" spans="2:4" x14ac:dyDescent="0.3">
      <c r="B109" s="11" t="s">
        <v>240</v>
      </c>
      <c r="C109" s="11" t="s">
        <v>241</v>
      </c>
      <c r="D109" s="369" t="s">
        <v>25</v>
      </c>
    </row>
    <row r="110" spans="2:4" x14ac:dyDescent="0.3">
      <c r="B110" s="11" t="s">
        <v>242</v>
      </c>
      <c r="C110" s="11" t="s">
        <v>243</v>
      </c>
      <c r="D110" s="369" t="s">
        <v>25</v>
      </c>
    </row>
    <row r="111" spans="2:4" x14ac:dyDescent="0.3">
      <c r="B111" s="11" t="s">
        <v>244</v>
      </c>
      <c r="C111" s="11" t="s">
        <v>245</v>
      </c>
      <c r="D111" s="369" t="s">
        <v>25</v>
      </c>
    </row>
    <row r="112" spans="2:4" x14ac:dyDescent="0.3">
      <c r="B112" s="11" t="s">
        <v>246</v>
      </c>
      <c r="C112" s="11" t="s">
        <v>247</v>
      </c>
      <c r="D112" s="369" t="s">
        <v>25</v>
      </c>
    </row>
    <row r="113" spans="2:4" ht="32.25" customHeight="1" x14ac:dyDescent="0.3">
      <c r="B113" s="11" t="s">
        <v>248</v>
      </c>
      <c r="C113" s="11" t="s">
        <v>249</v>
      </c>
      <c r="D113" s="369" t="s">
        <v>25</v>
      </c>
    </row>
    <row r="114" spans="2:4" x14ac:dyDescent="0.3">
      <c r="B114" s="5" t="s">
        <v>144</v>
      </c>
      <c r="C114" s="18" t="s">
        <v>144</v>
      </c>
      <c r="D114" s="20"/>
    </row>
    <row r="115" spans="2:4" ht="15" thickBot="1" x14ac:dyDescent="0.35">
      <c r="B115" s="12" t="s">
        <v>250</v>
      </c>
      <c r="C115" s="12" t="s">
        <v>144</v>
      </c>
      <c r="D115" s="22"/>
    </row>
    <row r="116" spans="2:4" ht="193.5" customHeight="1" thickTop="1" x14ac:dyDescent="0.3">
      <c r="B116" s="699" t="s">
        <v>236</v>
      </c>
      <c r="C116" s="699" t="s">
        <v>251</v>
      </c>
      <c r="D116" s="699"/>
    </row>
    <row r="117" spans="2:4" ht="163.05000000000001" customHeight="1" x14ac:dyDescent="0.3">
      <c r="B117" s="700"/>
      <c r="C117" s="700"/>
      <c r="D117" s="700"/>
    </row>
    <row r="118" spans="2:4" ht="139.5" customHeight="1" x14ac:dyDescent="0.3">
      <c r="B118" s="701"/>
      <c r="C118" s="701"/>
      <c r="D118" s="701"/>
    </row>
    <row r="119" spans="2:4" x14ac:dyDescent="0.3">
      <c r="B119" s="11" t="s">
        <v>252</v>
      </c>
      <c r="C119" s="11" t="s">
        <v>253</v>
      </c>
      <c r="D119" s="369" t="s">
        <v>20</v>
      </c>
    </row>
    <row r="120" spans="2:4" x14ac:dyDescent="0.3">
      <c r="B120" s="11" t="s">
        <v>254</v>
      </c>
      <c r="C120" s="11" t="s">
        <v>255</v>
      </c>
      <c r="D120" s="369" t="s">
        <v>25</v>
      </c>
    </row>
    <row r="121" spans="2:4" ht="26.1" customHeight="1" x14ac:dyDescent="0.3">
      <c r="B121" s="11" t="s">
        <v>256</v>
      </c>
      <c r="C121" s="11" t="s">
        <v>257</v>
      </c>
      <c r="D121" s="369" t="s">
        <v>25</v>
      </c>
    </row>
    <row r="122" spans="2:4" x14ac:dyDescent="0.3">
      <c r="B122" s="11" t="s">
        <v>258</v>
      </c>
      <c r="C122" s="11" t="s">
        <v>259</v>
      </c>
      <c r="D122" s="369" t="s">
        <v>25</v>
      </c>
    </row>
    <row r="123" spans="2:4" x14ac:dyDescent="0.3">
      <c r="B123" s="11" t="s">
        <v>260</v>
      </c>
      <c r="C123" s="11" t="s">
        <v>261</v>
      </c>
      <c r="D123" s="369" t="s">
        <v>25</v>
      </c>
    </row>
    <row r="124" spans="2:4" x14ac:dyDescent="0.3">
      <c r="B124" s="11" t="s">
        <v>262</v>
      </c>
      <c r="C124" s="11" t="s">
        <v>263</v>
      </c>
      <c r="D124" s="369" t="s">
        <v>25</v>
      </c>
    </row>
    <row r="125" spans="2:4" x14ac:dyDescent="0.3">
      <c r="B125" s="11" t="s">
        <v>264</v>
      </c>
      <c r="C125" s="11" t="s">
        <v>265</v>
      </c>
      <c r="D125" s="369" t="s">
        <v>25</v>
      </c>
    </row>
    <row r="126" spans="2:4" x14ac:dyDescent="0.3">
      <c r="B126" s="11" t="s">
        <v>266</v>
      </c>
      <c r="C126" s="11" t="s">
        <v>267</v>
      </c>
      <c r="D126" s="369" t="s">
        <v>25</v>
      </c>
    </row>
    <row r="127" spans="2:4" x14ac:dyDescent="0.3">
      <c r="B127" s="11" t="s">
        <v>268</v>
      </c>
      <c r="C127" s="11" t="s">
        <v>269</v>
      </c>
      <c r="D127" s="369" t="s">
        <v>25</v>
      </c>
    </row>
    <row r="128" spans="2:4" x14ac:dyDescent="0.3">
      <c r="B128" s="11" t="s">
        <v>270</v>
      </c>
      <c r="C128" s="11" t="s">
        <v>271</v>
      </c>
      <c r="D128" s="369" t="s">
        <v>25</v>
      </c>
    </row>
    <row r="129" spans="2:4" ht="24.75" customHeight="1" x14ac:dyDescent="0.3">
      <c r="B129" s="11" t="s">
        <v>272</v>
      </c>
      <c r="C129" s="11" t="s">
        <v>273</v>
      </c>
      <c r="D129" s="369" t="s">
        <v>25</v>
      </c>
    </row>
    <row r="130" spans="2:4" ht="22.8" x14ac:dyDescent="0.3">
      <c r="B130" s="11" t="s">
        <v>274</v>
      </c>
      <c r="C130" s="11" t="s">
        <v>275</v>
      </c>
      <c r="D130" s="369" t="s">
        <v>25</v>
      </c>
    </row>
    <row r="131" spans="2:4" x14ac:dyDescent="0.3">
      <c r="B131" s="11" t="s">
        <v>276</v>
      </c>
      <c r="C131" s="11" t="s">
        <v>277</v>
      </c>
      <c r="D131" s="369" t="s">
        <v>25</v>
      </c>
    </row>
    <row r="132" spans="2:4" x14ac:dyDescent="0.3">
      <c r="B132" s="5" t="s">
        <v>144</v>
      </c>
      <c r="C132" s="18" t="s">
        <v>144</v>
      </c>
      <c r="D132" s="20"/>
    </row>
    <row r="133" spans="2:4" ht="15" thickBot="1" x14ac:dyDescent="0.35">
      <c r="B133" s="12" t="s">
        <v>278</v>
      </c>
      <c r="C133" s="12" t="s">
        <v>144</v>
      </c>
      <c r="D133" s="22"/>
    </row>
    <row r="134" spans="2:4" ht="138" customHeight="1" thickTop="1" x14ac:dyDescent="0.3">
      <c r="B134" s="699" t="s">
        <v>236</v>
      </c>
      <c r="C134" s="699" t="s">
        <v>2902</v>
      </c>
      <c r="D134" s="699"/>
    </row>
    <row r="135" spans="2:4" ht="153" customHeight="1" x14ac:dyDescent="0.3">
      <c r="B135" s="700"/>
      <c r="C135" s="700"/>
      <c r="D135" s="700"/>
    </row>
    <row r="136" spans="2:4" ht="175.05" customHeight="1" x14ac:dyDescent="0.3">
      <c r="B136" s="700"/>
      <c r="C136" s="700"/>
      <c r="D136" s="700"/>
    </row>
    <row r="137" spans="2:4" ht="100.5" customHeight="1" x14ac:dyDescent="0.3">
      <c r="B137" s="701"/>
      <c r="C137" s="701"/>
      <c r="D137" s="701"/>
    </row>
    <row r="138" spans="2:4" x14ac:dyDescent="0.3">
      <c r="B138" s="11" t="s">
        <v>279</v>
      </c>
      <c r="C138" s="11" t="s">
        <v>280</v>
      </c>
      <c r="D138" s="369" t="s">
        <v>25</v>
      </c>
    </row>
    <row r="139" spans="2:4" x14ac:dyDescent="0.3">
      <c r="B139" s="11" t="s">
        <v>281</v>
      </c>
      <c r="C139" s="11" t="s">
        <v>282</v>
      </c>
      <c r="D139" s="369" t="s">
        <v>25</v>
      </c>
    </row>
    <row r="140" spans="2:4" x14ac:dyDescent="0.3">
      <c r="B140" s="11" t="s">
        <v>283</v>
      </c>
      <c r="C140" s="11" t="s">
        <v>284</v>
      </c>
      <c r="D140" s="369" t="s">
        <v>25</v>
      </c>
    </row>
    <row r="141" spans="2:4" x14ac:dyDescent="0.3">
      <c r="B141" s="11" t="s">
        <v>285</v>
      </c>
      <c r="C141" s="11" t="s">
        <v>286</v>
      </c>
      <c r="D141" s="369" t="s">
        <v>25</v>
      </c>
    </row>
    <row r="142" spans="2:4" x14ac:dyDescent="0.3">
      <c r="B142" s="11" t="s">
        <v>287</v>
      </c>
      <c r="C142" s="11" t="s">
        <v>288</v>
      </c>
      <c r="D142" s="369" t="s">
        <v>25</v>
      </c>
    </row>
    <row r="143" spans="2:4" x14ac:dyDescent="0.3">
      <c r="B143" s="11" t="s">
        <v>289</v>
      </c>
      <c r="C143" s="11" t="s">
        <v>290</v>
      </c>
      <c r="D143" s="369" t="s">
        <v>25</v>
      </c>
    </row>
    <row r="144" spans="2:4" ht="22.8" x14ac:dyDescent="0.3">
      <c r="B144" s="11" t="s">
        <v>291</v>
      </c>
      <c r="C144" s="11" t="s">
        <v>292</v>
      </c>
      <c r="D144" s="369" t="s">
        <v>25</v>
      </c>
    </row>
    <row r="145" spans="2:4" x14ac:dyDescent="0.3">
      <c r="B145" s="11" t="s">
        <v>293</v>
      </c>
      <c r="C145" s="11" t="s">
        <v>294</v>
      </c>
      <c r="D145" s="369" t="s">
        <v>25</v>
      </c>
    </row>
    <row r="146" spans="2:4" x14ac:dyDescent="0.3">
      <c r="B146" s="11" t="s">
        <v>295</v>
      </c>
      <c r="C146" s="11" t="s">
        <v>296</v>
      </c>
      <c r="D146" s="369" t="s">
        <v>25</v>
      </c>
    </row>
    <row r="147" spans="2:4" x14ac:dyDescent="0.3">
      <c r="B147" s="11" t="s">
        <v>297</v>
      </c>
      <c r="C147" s="11" t="s">
        <v>298</v>
      </c>
      <c r="D147" s="369" t="s">
        <v>25</v>
      </c>
    </row>
    <row r="148" spans="2:4" ht="51" customHeight="1" x14ac:dyDescent="0.3">
      <c r="B148" s="11" t="s">
        <v>299</v>
      </c>
      <c r="C148" s="11" t="s">
        <v>300</v>
      </c>
      <c r="D148" s="369" t="s">
        <v>25</v>
      </c>
    </row>
    <row r="149" spans="2:4" x14ac:dyDescent="0.3">
      <c r="B149" s="480" t="s">
        <v>144</v>
      </c>
      <c r="C149" s="480" t="s">
        <v>144</v>
      </c>
      <c r="D149" s="480"/>
    </row>
    <row r="150" spans="2:4" ht="15" thickBot="1" x14ac:dyDescent="0.35">
      <c r="B150" s="12" t="s">
        <v>301</v>
      </c>
      <c r="C150" s="12" t="s">
        <v>144</v>
      </c>
      <c r="D150" s="22"/>
    </row>
    <row r="151" spans="2:4" ht="189.6" customHeight="1" thickTop="1" x14ac:dyDescent="0.3">
      <c r="B151" s="696" t="s">
        <v>236</v>
      </c>
      <c r="C151" s="693" t="s">
        <v>302</v>
      </c>
      <c r="D151" s="693"/>
    </row>
    <row r="152" spans="2:4" ht="157.05000000000001" customHeight="1" x14ac:dyDescent="0.3">
      <c r="B152" s="697"/>
      <c r="C152" s="694"/>
      <c r="D152" s="694"/>
    </row>
    <row r="153" spans="2:4" ht="140.55000000000001" customHeight="1" x14ac:dyDescent="0.3">
      <c r="B153" s="698"/>
      <c r="C153" s="695"/>
      <c r="D153" s="695"/>
    </row>
    <row r="154" spans="2:4" x14ac:dyDescent="0.3">
      <c r="B154" s="490" t="s">
        <v>303</v>
      </c>
      <c r="C154" s="11" t="s">
        <v>304</v>
      </c>
      <c r="D154" s="369" t="s">
        <v>20</v>
      </c>
    </row>
    <row r="155" spans="2:4" x14ac:dyDescent="0.3">
      <c r="B155" s="11" t="s">
        <v>305</v>
      </c>
      <c r="C155" s="11" t="s">
        <v>306</v>
      </c>
      <c r="D155" s="369" t="s">
        <v>20</v>
      </c>
    </row>
    <row r="156" spans="2:4" x14ac:dyDescent="0.3">
      <c r="B156" s="11" t="s">
        <v>307</v>
      </c>
      <c r="C156" s="11" t="s">
        <v>308</v>
      </c>
      <c r="D156" s="369" t="s">
        <v>25</v>
      </c>
    </row>
    <row r="157" spans="2:4" x14ac:dyDescent="0.3">
      <c r="B157" s="11" t="s">
        <v>309</v>
      </c>
      <c r="C157" s="11" t="s">
        <v>310</v>
      </c>
      <c r="D157" s="369" t="s">
        <v>25</v>
      </c>
    </row>
    <row r="158" spans="2:4" x14ac:dyDescent="0.3">
      <c r="B158" s="11" t="s">
        <v>311</v>
      </c>
      <c r="C158" s="11" t="s">
        <v>312</v>
      </c>
      <c r="D158" s="369" t="s">
        <v>25</v>
      </c>
    </row>
    <row r="159" spans="2:4" ht="49.5" customHeight="1" x14ac:dyDescent="0.3">
      <c r="B159" s="11" t="s">
        <v>313</v>
      </c>
      <c r="C159" s="11" t="s">
        <v>314</v>
      </c>
      <c r="D159" s="369" t="s">
        <v>25</v>
      </c>
    </row>
    <row r="160" spans="2:4" ht="49.5" customHeight="1" x14ac:dyDescent="0.3">
      <c r="B160" s="11" t="s">
        <v>315</v>
      </c>
      <c r="C160" s="11" t="s">
        <v>316</v>
      </c>
      <c r="D160" s="369" t="s">
        <v>25</v>
      </c>
    </row>
    <row r="161" spans="2:4" ht="30.75" customHeight="1" x14ac:dyDescent="0.3">
      <c r="B161" s="11" t="s">
        <v>317</v>
      </c>
      <c r="C161" s="11" t="s">
        <v>318</v>
      </c>
      <c r="D161" s="369" t="s">
        <v>25</v>
      </c>
    </row>
    <row r="162" spans="2:4" ht="22.8" x14ac:dyDescent="0.3">
      <c r="B162" s="11" t="s">
        <v>319</v>
      </c>
      <c r="C162" s="11" t="s">
        <v>320</v>
      </c>
      <c r="D162" s="369" t="s">
        <v>25</v>
      </c>
    </row>
    <row r="163" spans="2:4" x14ac:dyDescent="0.3">
      <c r="B163" s="11" t="s">
        <v>321</v>
      </c>
      <c r="C163" s="11" t="s">
        <v>322</v>
      </c>
      <c r="D163" s="369" t="s">
        <v>25</v>
      </c>
    </row>
  </sheetData>
  <sheetProtection algorithmName="SHA-512" hashValue="eiC1NR+FhUfR/S5fl6jJi54HuZDgn/ewwnLJ8l/k8EP8S1+tG8mWN6hB2NTUwefpel1Sd7pt6trvZDTJzqX0CQ==" saltValue="U1ZL7oqpX9UJGjr5VbaHow==" spinCount="100000" sheet="1" objects="1" autoFilter="0" pivotTables="0"/>
  <mergeCells count="20">
    <mergeCell ref="C14:D16"/>
    <mergeCell ref="B14:B16"/>
    <mergeCell ref="C29:D34"/>
    <mergeCell ref="B29:B34"/>
    <mergeCell ref="C46:D49"/>
    <mergeCell ref="B46:B49"/>
    <mergeCell ref="C62:D64"/>
    <mergeCell ref="B62:B64"/>
    <mergeCell ref="C68:D70"/>
    <mergeCell ref="B68:B70"/>
    <mergeCell ref="C134:D137"/>
    <mergeCell ref="B134:B137"/>
    <mergeCell ref="C151:D153"/>
    <mergeCell ref="B151:B153"/>
    <mergeCell ref="C89:D91"/>
    <mergeCell ref="B89:B91"/>
    <mergeCell ref="C105:D107"/>
    <mergeCell ref="B105:B107"/>
    <mergeCell ref="C116:D118"/>
    <mergeCell ref="B116:B118"/>
  </mergeCells>
  <hyperlinks>
    <hyperlink ref="D19:D25" location="'Ambiental Dados'!A160" display="Ambiental Dados" xr:uid="{01E6EB46-8A25-410E-900C-BBB343DE4859}"/>
    <hyperlink ref="D17" location="'Environmental Data'!A794" display="Environmental data" xr:uid="{D96AB46B-DC31-4525-8712-FBDCE10A9D4D}"/>
    <hyperlink ref="D18" location="'Environmental Data'!A896" display="Environmental data" xr:uid="{12A02EA7-3EB2-48A5-818B-D6BD62818195}"/>
    <hyperlink ref="D19" location="'Environmental Data'!A906" display="Environmental data" xr:uid="{26D74D4B-9AB4-4536-98E8-D272A03113F5}"/>
    <hyperlink ref="D20" location="'Environmental Data'!A915" display="Environmental data" xr:uid="{AFA30EE1-D077-40BF-9988-465B493B1341}"/>
    <hyperlink ref="D21" location="'Environmental Data'!A924" display="Environmental data" xr:uid="{B87BD854-4651-4A68-9FD7-B8FF840FEEA4}"/>
    <hyperlink ref="D22" location="'Environmental Data'!A933" display="Environmental data" xr:uid="{DD8DF9FC-A363-4846-A3CA-4070574625C2}"/>
    <hyperlink ref="D23" location="'Environmental Data'!A941" display="Environmental data" xr:uid="{210B6B7E-05DB-4F83-A643-C9204C068B02}"/>
    <hyperlink ref="D24" location="'Environmental Data'!A975" display="Environmental data" xr:uid="{93654E5D-3026-4EEC-8F8C-833104A5BAF3}"/>
    <hyperlink ref="D25" location="'Environmental Data'!A985" display="Environmental data" xr:uid="{1F93EFE6-50B8-453C-9F33-BEF1F525EB91}"/>
    <hyperlink ref="D26" location="'Environmental Data'!A995" display="Environmental data" xr:uid="{E99EC82C-F488-445C-8DC3-8D641EC9F7D6}"/>
    <hyperlink ref="D35" location="'Environmental Data'!A193" display="Environmental data" xr:uid="{27EBCF88-FC9E-4907-AD09-48C6514A1061}"/>
    <hyperlink ref="D36" location="'Environmental Data'!A361" display="Environmental data" xr:uid="{8522BF0C-FD9B-465C-A867-0613002E8ADB}"/>
    <hyperlink ref="D37" location="'Environmental Data'!A375" display="Environmental data" xr:uid="{8AE07B71-1B7B-40F4-8002-73983DF74D3E}"/>
    <hyperlink ref="D38" location="'Environmental Data'!A422" display="Environmental data" xr:uid="{523A8AAB-3229-48BA-A1EE-F73DE1247A5A}"/>
    <hyperlink ref="D39" location="'Environmental Data'!A770" display="Environmental data" xr:uid="{2FADBF22-1AEB-454B-AE1A-E5A70DD1A6E7}"/>
    <hyperlink ref="D40" location="'Environmental Data'!A783" display="Environmental data" xr:uid="{9A1961FA-BA9F-4CCC-AE30-807515F6CA94}"/>
    <hyperlink ref="D41" location="'Environmental Data'!A951" display="Environmental data" xr:uid="{D9934B22-8D45-4E52-B9D1-3E3F27AD2F38}"/>
    <hyperlink ref="D42" location="'Environmental Data'!A964" display="Environmental data" xr:uid="{470198E4-96B5-43E3-9CBB-03ACAA09B5D6}"/>
    <hyperlink ref="D43" location="'Environmental Data'!A193" display="Environmental data" xr:uid="{EFDFA460-35A4-46E6-805E-F6B5B692AD30}"/>
    <hyperlink ref="D50" location="'Environmental Data'!A135" display="Environmental data" xr:uid="{9E7094B0-D6EC-4DEF-B2AD-593462B1DB99}"/>
    <hyperlink ref="D51" location="'Environmental Data'!A147" display="Environmental data" xr:uid="{8DD0656A-D18E-4529-88B1-942FB5800D30}"/>
    <hyperlink ref="D52" location="'Environmental Data'!A157" display="Environmental data" xr:uid="{E99FA1C3-EC40-4DF3-AA0D-78851C7567D1}"/>
    <hyperlink ref="D53" location="'Environmental Data'!A168" display="Environmental data" xr:uid="{0361D58E-F575-4FB4-A7DE-9EB03DB81022}"/>
    <hyperlink ref="D54" location="'Environmental Data'!A180" display="Environmental data" xr:uid="{3DBD4CFE-6CD3-4A25-9E5F-82F3D191A379}"/>
    <hyperlink ref="D55" location="'Environmental Data'!A518" display="Environmental data" xr:uid="{CD618133-C804-480C-95EE-9D2C580757CC}"/>
    <hyperlink ref="D56" location="'Environmental Data'!A535" display="Environmental data" xr:uid="{321D211C-183C-4491-98E9-6A2BD3252361}"/>
    <hyperlink ref="D57" location="'Environmental Data'!A535" display="Environmental data" xr:uid="{ACA2647E-5BD1-4DAB-A80D-7E9EAC29F6EB}"/>
    <hyperlink ref="D58" location="'Environmental Data'!A865" display="Environmental data" xr:uid="{866687CD-F08F-4C33-B691-D550C8F406D1}"/>
    <hyperlink ref="D59" location="'Environmental Data'!A878" display="Environmental data" xr:uid="{BDA28DEA-B017-4DA7-B2DD-6B95F08F8B4B}"/>
    <hyperlink ref="D65" location="'Environmental Data'!A828" display="Environmental data" xr:uid="{4A89118A-0E3B-4805-9157-BEF6CD8D9E99}"/>
    <hyperlink ref="D71" location="'Economic Data'!A11" display="Economic Data" xr:uid="{4D38F4E9-B9B1-4F6F-8F39-6DF72B0D53E1}"/>
    <hyperlink ref="D72" location="'Environmental Data'!A17" display="Environmental data" xr:uid="{BD06EB64-DE3D-448A-BA80-E34757A5C8E1}"/>
    <hyperlink ref="D73" location="'Environmental Data'!A96" display="Environmental data" xr:uid="{F8CDEF39-98EA-44D3-BF84-956502DEF9CB}"/>
    <hyperlink ref="D74" location="'Environmental Data'!A110" display="Environmental data" xr:uid="{19552618-2216-4736-83A4-B25EE50F5BEB}"/>
    <hyperlink ref="D75" location="'Environmental Data'!A122" display="Environmental data" xr:uid="{ADF098FC-164C-4139-ADBA-73E1C3072267}"/>
    <hyperlink ref="D76" location="'Environmental Data'!A448" display="Environmental data" xr:uid="{798E8149-1E82-4E12-AC2E-B72B5B97C466}"/>
    <hyperlink ref="D77" location="'Environmental Data'!A464" display="Environmental data" xr:uid="{2A3CF518-38F0-4B33-A212-33997C0A6D17}"/>
    <hyperlink ref="D78" location="'Environmental Data'!A478" display="Environmental data" xr:uid="{6C6790D5-CD41-4F75-B8E5-82FC4C0D596E}"/>
    <hyperlink ref="D79" location="'Environmental Data'!A493" display="Environmental data" xr:uid="{6E15575E-EAEB-4B64-AEE6-7D06E68D9210}"/>
    <hyperlink ref="D80" location="'Environmental Data'!A505" display="Environmental data" xr:uid="{92540AB7-EB0B-4A22-95BD-8D0F6D45AB84}"/>
    <hyperlink ref="D82" location="'Environmental Data'!A842" display="Environmental data" xr:uid="{C855B383-222F-4BDA-8473-21220CAEE506}"/>
    <hyperlink ref="D81" location="'Environmental Data'!A448" display="Environmental data" xr:uid="{6E0B308E-C829-4300-ADF9-50BA6D87265D}"/>
    <hyperlink ref="D83" location="'Environmental Data'!A853" display="Environmental data" xr:uid="{8FE7D0BF-09EA-48AE-8D0A-82F965888796}"/>
    <hyperlink ref="D108" location="'Social Data'!A574" display="Social Data" xr:uid="{EB4537EF-A34B-413F-B5A6-30D45B4B9442}"/>
    <hyperlink ref="D109" location="'Social Data'!A585" display="Social Data" xr:uid="{FC9C6CEE-DFC8-45D0-9481-1C9329E9CC0F}"/>
    <hyperlink ref="D110" location="'Social Data'!A597" display="Social Data" xr:uid="{61C03209-2BF6-4DC7-9788-C2ECE45BE15F}"/>
    <hyperlink ref="D113" location="'Social Data'!A840" display="Social Data" xr:uid="{F485DE90-44DC-4CFF-88C0-4539DE6CF682}"/>
    <hyperlink ref="D112" location="'Social Data'!A790" display="Social Data" xr:uid="{14D39ADB-DC31-4DA7-8CF6-43F8E8E8C04A}"/>
    <hyperlink ref="D111" location="'Social Data'!A803" display="Social Data" xr:uid="{908EF537-1869-468B-9919-18B827ECD31D}"/>
    <hyperlink ref="D119" location="'Economic Data'!A41" display="Economic Data" xr:uid="{24C552D8-F8EB-435A-BBA1-7D58603A9F81}"/>
    <hyperlink ref="D120" location="'Social Data'!A17" display="Social Data" xr:uid="{F0FF8C65-4DC8-469E-BF12-1B1233372DDB}"/>
    <hyperlink ref="D121" location="'Social Data'!A91" display="Social Data" xr:uid="{64EB78E9-12EC-42E7-9FDA-2063F29D4208}"/>
    <hyperlink ref="D122" location="'Social Data'!A119" display="Social Data" xr:uid="{4FC1CBC6-DA18-4881-B117-E9F6AF5BAEAB}"/>
    <hyperlink ref="D123" location="'Social Data'!A290" display="Social Data" xr:uid="{9C9160C0-4FF5-4359-9526-0FB2E77B3AFC}"/>
    <hyperlink ref="D124" location="'Social Data'!A361" display="Social Data" xr:uid="{276887F3-0613-47F5-B240-E1E6EAB96C7F}"/>
    <hyperlink ref="D125" location="'Social Data'!A376" display="Social Data" xr:uid="{2119C163-32DA-4FC0-AA92-C1320745EA0B}"/>
    <hyperlink ref="D126" location="'Social Data'!A421" display="Social Data" xr:uid="{313C0567-F994-4AC5-AD4B-67079521EA8E}"/>
    <hyperlink ref="D127" location="'Social Data'!A538" display="Social Data" xr:uid="{9711E5F8-4874-4C6C-B7D6-BB77A92FAB66}"/>
    <hyperlink ref="D128" location="'Social Data'!A551" display="Social Data" xr:uid="{5DF6954C-CA28-46FE-8B87-BAD1D227D618}"/>
    <hyperlink ref="D129" location="'Social Data'!A562" display="Social Data" xr:uid="{01E8F3AB-0821-4F96-9DD4-B3FBE739B53B}"/>
    <hyperlink ref="D130" location="'Social Data'!A879" display="Social Data" xr:uid="{83E6F6FD-AFAF-49F9-B84C-6A3798271126}"/>
    <hyperlink ref="D131" location="'Social Data'!A776" display="Social Data" xr:uid="{93350C2F-CCAE-4E89-80B4-27ECEAD39D03}"/>
    <hyperlink ref="D138" location="'Social Data'!A142" display="Social Data" xr:uid="{8DD861FD-42C0-4C20-9409-2C1E0EBEF30E}"/>
    <hyperlink ref="D139" location="'Social Data'!A152" display="Social Data" xr:uid="{FFD21D67-B829-4110-9914-8CB20EF3FA97}"/>
    <hyperlink ref="D140" location="'Social Data'!A165" display="Social Data" xr:uid="{F71EF7DD-6BFC-4F19-AB25-64B86AFD00EE}"/>
    <hyperlink ref="D141" location="'Social Data'!A177" display="Social Data" xr:uid="{ED57BD94-6E5A-4BF2-AEDA-5FE4C61E1695}"/>
    <hyperlink ref="D143" location="'Social Data'!A201" display="Social Data" xr:uid="{1F6CB9F6-F46B-417E-91F2-FCB2D4C5D368}"/>
    <hyperlink ref="D144" location="'Social Data'!A213" display="Social Data" xr:uid="{23845BCA-FF49-49DE-9B6E-57FD3FEF8CAE}"/>
    <hyperlink ref="D145" location="'Social Data'!A225" display="Social Data" xr:uid="{934CA396-8730-4D2A-97BB-2089AE02CFC5}"/>
    <hyperlink ref="D146" location="'Social Data'!A237" display="Social Data" xr:uid="{F79A009C-3BD4-4CFE-950D-D20DF16EC22D}"/>
    <hyperlink ref="D142" location="'Social Data'!A190" display="Social Data" xr:uid="{A606FFB9-4509-48B3-849B-442AEBD3B768}"/>
    <hyperlink ref="D147" location="'Social Data'!A274" display="Social Data" xr:uid="{759C86E7-036E-4CF5-BA0E-D5536C25707C}"/>
    <hyperlink ref="D148" location="'Social Data'!A890" display="Social Data" xr:uid="{BFF98180-81B6-4E28-A04E-30FD8549B559}"/>
    <hyperlink ref="D156" location="'Social Data'!A610" display="Social Data" xr:uid="{D93567E6-6E0B-44FB-A2B1-7F155B0DDEF5}"/>
    <hyperlink ref="D157" location="'Social Data'!A623" display="Social Data" xr:uid="{4F6589A9-D3BB-4828-B278-887A2566D19F}"/>
    <hyperlink ref="D158" location="'Social Data'!A634" display="Social Data" xr:uid="{D990B748-8CAF-4E0C-88AF-7F38C50C3946}"/>
    <hyperlink ref="D159" location="'Social Data'!A790" display="Social Data" xr:uid="{230E4E3B-187B-4467-8B30-5E267F6B99AF}"/>
    <hyperlink ref="D160" location="'Social Data'!A803" display="Social Data" xr:uid="{8B569BC5-0488-419E-BE2E-67EC391B47E7}"/>
    <hyperlink ref="D161" location="'Social Data'!A828" display="Social Data" xr:uid="{314AF454-ABEB-43C8-82BB-12F4DE6E47B5}"/>
    <hyperlink ref="D162" location="'Social Data'!A853" display="Social Data" xr:uid="{E113DF62-3846-4B57-AF4B-1F9305C4BBFF}"/>
    <hyperlink ref="D163" location="'Social Data'!A867" display="Social Data" xr:uid="{6FA96A0A-B121-4AD8-ABD3-BE55706EF829}"/>
    <hyperlink ref="D154:D155" location="'Economic Data'!A11" display="Economic Data" xr:uid="{9B0CE54C-70A1-411A-A539-1AEFE6095004}"/>
    <hyperlink ref="D92" location="'Economic Data'!A287" display="Economic Data" xr:uid="{92C884A2-78FA-453A-A74E-DC11F0E85958}"/>
    <hyperlink ref="D93" location="'Economic Data'!A55" display="Economic Data" xr:uid="{310E9942-B60F-4E04-B95B-DDC10535383D}"/>
    <hyperlink ref="D94:D97" location="'Economic Data'!A11" display="Economic Data" xr:uid="{DB6940C8-AC5B-49D2-A3F3-61390AC202AD}"/>
    <hyperlink ref="D98:D99" location="'Economic Data'!A11" display="Economic Data" xr:uid="{52FC7CAA-1E41-4EDC-ABC5-8942BE757EC7}"/>
    <hyperlink ref="D98" location="'Economic Data'!A258" display="Economic Data" xr:uid="{130A16B1-BFD1-4746-AE4F-82C39AE963BC}"/>
    <hyperlink ref="D99" location="'Economic Data'!A270" display="Economic Data" xr:uid="{75A0E7FE-6A82-4415-91E8-E0CD3691E0BE}"/>
    <hyperlink ref="D94" location="'Economic Data'!A130" display="Economic Data" xr:uid="{DB70F645-CD20-4CE3-B69F-8983E46ABB39}"/>
    <hyperlink ref="D95" location="'Economic Data'!A143" display="Economic Data" xr:uid="{0CA97C13-AF97-45CE-8E33-1B1E9FE2035F}"/>
    <hyperlink ref="D96" location="'Economic Data'!A179" display="Economic Data" xr:uid="{5F8857CA-1D3C-49BA-9B81-3AB9A20CDA7A}"/>
    <hyperlink ref="D97" location="'Economic Data'!A190" display="Economic Data" xr:uid="{A460E28B-E897-45F8-8301-305DEEB0F41D}"/>
    <hyperlink ref="D154" location="'Economic Data'!A93" display="Economic Data" xr:uid="{26BAFDC3-F172-4211-82FD-689BA935E2A4}"/>
    <hyperlink ref="D155" location="'Economic Data'!A105" display="Economic Data" xr:uid="{A193331D-2B84-4BD6-81E0-9224C397D9EF}"/>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DF1DF-12D6-4F5C-AEDC-7773256E9D6D}">
  <sheetPr codeName="Planilha7">
    <tabColor rgb="FFECB11F"/>
    <pageSetUpPr fitToPage="1"/>
  </sheetPr>
  <dimension ref="A1:XFC29"/>
  <sheetViews>
    <sheetView showGridLines="0" showRowColHeaders="0" showRuler="0" zoomScaleNormal="100" workbookViewId="0">
      <pane ySplit="2" topLeftCell="A3" activePane="bottomLeft" state="frozen"/>
      <selection pane="bottomLeft"/>
    </sheetView>
  </sheetViews>
  <sheetFormatPr defaultColWidth="0" defaultRowHeight="14.4" x14ac:dyDescent="0.3"/>
  <cols>
    <col min="1" max="1" width="8.77734375" customWidth="1"/>
    <col min="2" max="2" width="30.5546875" customWidth="1"/>
    <col min="3" max="3" width="70.5546875" customWidth="1"/>
    <col min="4" max="4" width="37.5546875" customWidth="1"/>
    <col min="5" max="5" width="8.77734375" customWidth="1"/>
    <col min="6" max="6" width="8.77734375" hidden="1" customWidth="1"/>
    <col min="7" max="16383" width="8.77734375" hidden="1"/>
    <col min="16384" max="16384" width="5.77734375" hidden="1"/>
  </cols>
  <sheetData>
    <row r="1" spans="1:5" ht="14.1" customHeight="1" x14ac:dyDescent="0.3">
      <c r="A1" s="446"/>
      <c r="C1" s="4"/>
      <c r="D1" s="19"/>
    </row>
    <row r="2" spans="1:5" ht="14.1" customHeight="1" x14ac:dyDescent="0.3">
      <c r="A2" s="447"/>
      <c r="B2" s="421"/>
      <c r="C2" s="422"/>
      <c r="D2" s="423"/>
      <c r="E2" s="421"/>
    </row>
    <row r="3" spans="1:5" ht="14.55" customHeight="1" x14ac:dyDescent="0.3">
      <c r="C3" s="4"/>
      <c r="D3" s="19"/>
    </row>
    <row r="4" spans="1:5" ht="14.55" customHeight="1" x14ac:dyDescent="0.3">
      <c r="C4" s="4"/>
      <c r="D4" s="9" t="s">
        <v>0</v>
      </c>
    </row>
    <row r="5" spans="1:5" ht="14.55" customHeight="1" x14ac:dyDescent="0.3">
      <c r="C5" s="4"/>
      <c r="D5" s="19"/>
    </row>
    <row r="6" spans="1:5" x14ac:dyDescent="0.3">
      <c r="C6" s="4"/>
      <c r="D6" s="19"/>
    </row>
    <row r="7" spans="1:5" x14ac:dyDescent="0.3">
      <c r="C7" s="4"/>
      <c r="D7" s="19"/>
    </row>
    <row r="8" spans="1:5" ht="21" x14ac:dyDescent="0.4">
      <c r="B8" s="441" t="s">
        <v>19</v>
      </c>
      <c r="C8" s="18"/>
      <c r="D8" s="20"/>
    </row>
    <row r="9" spans="1:5" ht="21" x14ac:dyDescent="0.4">
      <c r="B9" s="6"/>
      <c r="C9" s="18"/>
      <c r="D9" s="20"/>
    </row>
    <row r="10" spans="1:5" ht="12" customHeight="1" thickBot="1" x14ac:dyDescent="0.35">
      <c r="B10" s="26" t="s">
        <v>323</v>
      </c>
      <c r="C10" s="26" t="s">
        <v>324</v>
      </c>
      <c r="D10" s="27" t="s">
        <v>325</v>
      </c>
    </row>
    <row r="11" spans="1:5" ht="20.100000000000001" customHeight="1" thickTop="1" x14ac:dyDescent="0.3">
      <c r="B11" s="11" t="s">
        <v>219</v>
      </c>
      <c r="C11" s="11" t="s">
        <v>220</v>
      </c>
      <c r="D11" s="369" t="s">
        <v>20</v>
      </c>
    </row>
    <row r="12" spans="1:5" ht="20.100000000000001" customHeight="1" x14ac:dyDescent="0.3">
      <c r="B12" s="11" t="s">
        <v>190</v>
      </c>
      <c r="C12" s="11" t="s">
        <v>191</v>
      </c>
      <c r="D12" s="369" t="s">
        <v>20</v>
      </c>
    </row>
    <row r="13" spans="1:5" ht="20.100000000000001" customHeight="1" x14ac:dyDescent="0.3">
      <c r="B13" s="11" t="s">
        <v>252</v>
      </c>
      <c r="C13" s="11" t="s">
        <v>253</v>
      </c>
      <c r="D13" s="369" t="s">
        <v>20</v>
      </c>
    </row>
    <row r="14" spans="1:5" ht="20.100000000000001" customHeight="1" x14ac:dyDescent="0.3">
      <c r="B14" s="11" t="s">
        <v>221</v>
      </c>
      <c r="C14" s="11" t="s">
        <v>222</v>
      </c>
      <c r="D14" s="369" t="s">
        <v>20</v>
      </c>
    </row>
    <row r="15" spans="1:5" ht="20.100000000000001" customHeight="1" x14ac:dyDescent="0.3">
      <c r="B15" s="11" t="s">
        <v>326</v>
      </c>
      <c r="C15" s="11" t="s">
        <v>327</v>
      </c>
      <c r="D15" s="369" t="s">
        <v>20</v>
      </c>
    </row>
    <row r="16" spans="1:5" ht="20.100000000000001" customHeight="1" x14ac:dyDescent="0.3">
      <c r="B16" s="11" t="s">
        <v>328</v>
      </c>
      <c r="C16" s="11" t="s">
        <v>329</v>
      </c>
      <c r="D16" s="369" t="s">
        <v>20</v>
      </c>
    </row>
    <row r="17" spans="2:4" ht="20.100000000000001" customHeight="1" x14ac:dyDescent="0.3">
      <c r="B17" s="11" t="s">
        <v>303</v>
      </c>
      <c r="C17" s="11" t="s">
        <v>330</v>
      </c>
      <c r="D17" s="369" t="s">
        <v>20</v>
      </c>
    </row>
    <row r="18" spans="2:4" ht="20.100000000000001" customHeight="1" x14ac:dyDescent="0.3">
      <c r="B18" s="11" t="s">
        <v>305</v>
      </c>
      <c r="C18" s="11" t="s">
        <v>306</v>
      </c>
      <c r="D18" s="369" t="s">
        <v>20</v>
      </c>
    </row>
    <row r="19" spans="2:4" ht="20.100000000000001" customHeight="1" x14ac:dyDescent="0.3">
      <c r="B19" s="11" t="s">
        <v>331</v>
      </c>
      <c r="C19" s="11" t="s">
        <v>332</v>
      </c>
      <c r="D19" s="369" t="s">
        <v>20</v>
      </c>
    </row>
    <row r="20" spans="2:4" ht="20.100000000000001" customHeight="1" x14ac:dyDescent="0.3">
      <c r="B20" s="11" t="s">
        <v>223</v>
      </c>
      <c r="C20" s="11" t="s">
        <v>224</v>
      </c>
      <c r="D20" s="369" t="s">
        <v>20</v>
      </c>
    </row>
    <row r="21" spans="2:4" ht="20.100000000000001" customHeight="1" x14ac:dyDescent="0.3">
      <c r="B21" s="11" t="s">
        <v>225</v>
      </c>
      <c r="C21" s="11" t="s">
        <v>226</v>
      </c>
      <c r="D21" s="369" t="s">
        <v>20</v>
      </c>
    </row>
    <row r="22" spans="2:4" ht="20.100000000000001" customHeight="1" x14ac:dyDescent="0.3">
      <c r="B22" s="11" t="s">
        <v>227</v>
      </c>
      <c r="C22" s="11" t="s">
        <v>228</v>
      </c>
      <c r="D22" s="369" t="s">
        <v>20</v>
      </c>
    </row>
    <row r="23" spans="2:4" ht="20.100000000000001" customHeight="1" x14ac:dyDescent="0.3">
      <c r="B23" s="11" t="s">
        <v>229</v>
      </c>
      <c r="C23" s="11" t="s">
        <v>230</v>
      </c>
      <c r="D23" s="369" t="s">
        <v>20</v>
      </c>
    </row>
    <row r="24" spans="2:4" ht="20.100000000000001" customHeight="1" x14ac:dyDescent="0.3">
      <c r="B24" s="11" t="s">
        <v>333</v>
      </c>
      <c r="C24" s="11" t="s">
        <v>334</v>
      </c>
      <c r="D24" s="369" t="s">
        <v>20</v>
      </c>
    </row>
    <row r="25" spans="2:4" ht="20.100000000000001" customHeight="1" x14ac:dyDescent="0.3">
      <c r="B25" s="11" t="s">
        <v>335</v>
      </c>
      <c r="C25" s="11" t="s">
        <v>336</v>
      </c>
      <c r="D25" s="369" t="s">
        <v>20</v>
      </c>
    </row>
    <row r="26" spans="2:4" ht="20.100000000000001" customHeight="1" x14ac:dyDescent="0.3">
      <c r="B26" s="11" t="s">
        <v>337</v>
      </c>
      <c r="C26" s="11" t="s">
        <v>338</v>
      </c>
      <c r="D26" s="369" t="s">
        <v>20</v>
      </c>
    </row>
    <row r="27" spans="2:4" ht="20.100000000000001" customHeight="1" x14ac:dyDescent="0.3">
      <c r="B27" s="181" t="s">
        <v>339</v>
      </c>
      <c r="C27" s="11" t="s">
        <v>340</v>
      </c>
      <c r="D27" s="369" t="s">
        <v>20</v>
      </c>
    </row>
    <row r="28" spans="2:4" ht="28.5" customHeight="1" x14ac:dyDescent="0.3">
      <c r="B28" s="11" t="s">
        <v>231</v>
      </c>
      <c r="C28" s="11" t="s">
        <v>232</v>
      </c>
      <c r="D28" s="369" t="s">
        <v>20</v>
      </c>
    </row>
    <row r="29" spans="2:4" ht="30" customHeight="1" x14ac:dyDescent="0.3">
      <c r="B29" s="11" t="s">
        <v>233</v>
      </c>
      <c r="C29" s="11" t="s">
        <v>341</v>
      </c>
      <c r="D29" s="369" t="s">
        <v>20</v>
      </c>
    </row>
  </sheetData>
  <sheetProtection algorithmName="SHA-512" hashValue="aHzd4Y/gGZ5kQ6tpQA78jXpFAdZIEw8Jtav6Wg4oc3NGXlVZDYFPUCgNK5hcJdhINlkstMAP74bh3xGbr5W0kw==" saltValue="3iAxXsI0ElwVnXpuUr4DPA==" spinCount="100000" sheet="1" autoFilter="0" pivotTables="0"/>
  <phoneticPr fontId="9" type="noConversion"/>
  <hyperlinks>
    <hyperlink ref="D11" location="'Economic Data'!A287" display="Economic Data" xr:uid="{E224173A-2D07-4243-87AA-3EAA4787413A}"/>
    <hyperlink ref="D12:D29" location="'Economic Data'!A11" display="Economic Data" xr:uid="{CA00065B-C2EF-4856-93BC-55816920113F}"/>
    <hyperlink ref="D12" location="'Economic Data'!A15" display="Economic Data" xr:uid="{B3699C6C-3F58-48F9-B03E-951D83B419D9}"/>
    <hyperlink ref="D13" location="'Economic Data'!A41" display="Economic Data" xr:uid="{9C1C5F8F-B69E-4446-B3F6-9855CF27BF1B}"/>
    <hyperlink ref="D14" location="'Economic Data'!A55" display="Economic Data" xr:uid="{E6037012-1C67-492A-979B-7E8C5C96C2D0}"/>
    <hyperlink ref="D15" location="'Economic Data'!A68" display="Economic Data" xr:uid="{774F567B-9328-4E02-88B6-A8E5170D59FF}"/>
    <hyperlink ref="D16" location="'Economic Data'!A81" display="Economic Data" xr:uid="{FBD4736B-68E7-4C04-9693-5E4E9BA5AB0E}"/>
    <hyperlink ref="D18" location="'Economic Data'!A105" display="Economic Data" xr:uid="{88A58F3F-2CEF-417C-81D2-56A9D73919D8}"/>
    <hyperlink ref="D19" location="'Economic Data'!A118" display="Economic Data" xr:uid="{E630B9A3-C58E-448B-80ED-69B4BC7AACB8}"/>
    <hyperlink ref="D20" location="'Economic Data'!A130" display="Economic Data" xr:uid="{EAA52F49-AFC6-479E-85A5-00AAD05C1D35}"/>
    <hyperlink ref="D21" location="'Economic Data'!A143" display="Economic Data" xr:uid="{B4541F70-AAA6-40E3-A1DA-5B39373CED0B}"/>
    <hyperlink ref="D22" location="'Economic Data'!A178" display="Economic Data" xr:uid="{7B666FCA-CA45-4346-9ACD-75AEA0614C98}"/>
    <hyperlink ref="D23" location="'Economic Data'!A190" display="Economic Data" xr:uid="{300C7E85-D371-4BCB-939C-B635CDED509A}"/>
    <hyperlink ref="D24" location="'Economic Data'!A203" display="Economic Data" xr:uid="{4C45F472-35C5-41B2-8632-9E872D2795ED}"/>
    <hyperlink ref="D25" location="'Economic Data'!A213" display="Economic Data" xr:uid="{827D5B82-92C2-45A4-9EF2-38083601196A}"/>
    <hyperlink ref="D26" location="'Economic Data'!A223" display="Economic Data" xr:uid="{B526B0D0-4CA7-4FD9-9A6A-C82017B04BB7}"/>
    <hyperlink ref="D28" location="'Economic Data'!A258" display="Economic Data" xr:uid="{4858537C-60DB-428E-BD20-EA108DC2F904}"/>
    <hyperlink ref="D29" location="'Economic Data'!A270" display="Economic Data" xr:uid="{32E67050-3F20-4D98-BA1C-FEC6BB8968DD}"/>
    <hyperlink ref="D27" location="'Economic Data'!A235" display="Economic Data" xr:uid="{830090F3-2A7D-46AC-BFBC-41F23BCEBEB2}"/>
    <hyperlink ref="D17" location="'Economic Data'!A93" display="Economic Data" xr:uid="{B24095A2-67D2-4FF8-9F80-9B34CA30DB91}"/>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C7E18-428F-4333-9D60-0011A40DEBA6}">
  <sheetPr codeName="Planilha8">
    <pageSetUpPr fitToPage="1"/>
  </sheetPr>
  <dimension ref="A1:XFC374"/>
  <sheetViews>
    <sheetView showGridLines="0" showRowColHeaders="0" showRuler="0" zoomScale="90" zoomScaleNormal="90" workbookViewId="0">
      <pane ySplit="2" topLeftCell="A3" activePane="bottomLeft" state="frozen"/>
      <selection pane="bottomLeft"/>
    </sheetView>
  </sheetViews>
  <sheetFormatPr defaultColWidth="0" defaultRowHeight="14.4" x14ac:dyDescent="0.3"/>
  <cols>
    <col min="1" max="1" width="8.77734375" customWidth="1"/>
    <col min="2" max="2" width="18.5546875" customWidth="1"/>
    <col min="3" max="3" width="18.77734375" customWidth="1"/>
    <col min="4" max="8" width="18.5546875" customWidth="1"/>
    <col min="9" max="9" width="25.5546875" customWidth="1"/>
    <col min="10" max="10" width="18.5546875" customWidth="1"/>
    <col min="11" max="11" width="18.44140625" bestFit="1" customWidth="1"/>
    <col min="12" max="12" width="18.5546875" customWidth="1"/>
    <col min="13" max="13" width="8.77734375" customWidth="1"/>
    <col min="14" max="14" width="10.77734375" customWidth="1"/>
    <col min="15" max="15" width="4.21875" hidden="1" customWidth="1"/>
    <col min="16" max="16383" width="4.21875" hidden="1"/>
    <col min="16384" max="16384" width="5" hidden="1"/>
  </cols>
  <sheetData>
    <row r="1" spans="1:14" ht="14.1" customHeight="1" x14ac:dyDescent="0.3">
      <c r="A1" s="410"/>
      <c r="C1" s="4"/>
      <c r="D1" s="19"/>
      <c r="E1" s="19"/>
    </row>
    <row r="2" spans="1:14" ht="14.1" customHeight="1" x14ac:dyDescent="0.3">
      <c r="A2" s="442"/>
      <c r="B2" s="421"/>
      <c r="C2" s="422"/>
      <c r="D2" s="423"/>
      <c r="E2" s="423"/>
      <c r="F2" s="421"/>
      <c r="G2" s="421"/>
      <c r="H2" s="421"/>
      <c r="I2" s="421"/>
      <c r="J2" s="421"/>
      <c r="K2" s="421"/>
      <c r="L2" s="421"/>
      <c r="M2" s="421"/>
      <c r="N2" s="421"/>
    </row>
    <row r="3" spans="1:14" ht="14.55" customHeight="1" x14ac:dyDescent="0.3">
      <c r="C3" s="4"/>
      <c r="D3" s="19"/>
      <c r="E3" s="19"/>
    </row>
    <row r="4" spans="1:14" ht="14.55" customHeight="1" x14ac:dyDescent="0.3">
      <c r="C4" s="4"/>
      <c r="E4" s="9"/>
      <c r="I4" s="662" t="s">
        <v>0</v>
      </c>
      <c r="J4" s="9"/>
    </row>
    <row r="5" spans="1:14" ht="14.55" customHeight="1" x14ac:dyDescent="0.3">
      <c r="C5" s="4"/>
      <c r="D5" s="19"/>
      <c r="E5" s="19"/>
    </row>
    <row r="6" spans="1:14" x14ac:dyDescent="0.3">
      <c r="C6" s="4"/>
      <c r="D6" s="19"/>
      <c r="E6" s="19"/>
    </row>
    <row r="7" spans="1:14" x14ac:dyDescent="0.3">
      <c r="C7" s="4"/>
      <c r="D7" s="19"/>
      <c r="E7" s="19"/>
    </row>
    <row r="8" spans="1:14" ht="21" x14ac:dyDescent="0.3">
      <c r="B8" s="443" t="s">
        <v>19</v>
      </c>
      <c r="C8" s="18"/>
      <c r="D8" s="20"/>
      <c r="E8" s="20"/>
    </row>
    <row r="9" spans="1:14" ht="21" x14ac:dyDescent="0.4">
      <c r="B9" s="6"/>
      <c r="C9" s="18"/>
      <c r="D9" s="20"/>
      <c r="E9" s="20"/>
    </row>
    <row r="10" spans="1:14" s="46" customFormat="1" ht="17.399999999999999" x14ac:dyDescent="0.3">
      <c r="B10" s="710" t="s">
        <v>342</v>
      </c>
      <c r="C10" s="710"/>
      <c r="D10" s="45"/>
      <c r="E10" s="45"/>
    </row>
    <row r="11" spans="1:14" ht="21" x14ac:dyDescent="0.4">
      <c r="A11" s="707"/>
      <c r="B11" s="6"/>
      <c r="C11" s="18"/>
      <c r="D11" s="20"/>
      <c r="E11" s="20"/>
    </row>
    <row r="12" spans="1:14" x14ac:dyDescent="0.3">
      <c r="A12" s="707"/>
      <c r="B12" s="708" t="s">
        <v>343</v>
      </c>
      <c r="C12" s="708"/>
      <c r="D12" s="708"/>
      <c r="E12" s="708"/>
      <c r="F12" s="708"/>
      <c r="G12" s="708"/>
      <c r="H12" s="708"/>
      <c r="I12" s="708"/>
    </row>
    <row r="13" spans="1:14" ht="21" x14ac:dyDescent="0.4">
      <c r="A13" s="707"/>
      <c r="B13" s="6"/>
      <c r="C13" s="18"/>
      <c r="D13" s="20"/>
      <c r="E13" s="20"/>
    </row>
    <row r="14" spans="1:14" x14ac:dyDescent="0.3">
      <c r="A14" s="707"/>
      <c r="B14" s="50" t="s">
        <v>344</v>
      </c>
      <c r="C14" s="712" t="s">
        <v>345</v>
      </c>
      <c r="D14" s="712"/>
      <c r="E14" s="712"/>
      <c r="F14" s="712"/>
      <c r="G14" s="712"/>
      <c r="H14" s="712"/>
      <c r="I14" s="49" t="s">
        <v>346</v>
      </c>
    </row>
    <row r="15" spans="1:14" ht="275.10000000000002" customHeight="1" x14ac:dyDescent="0.3">
      <c r="A15" s="707"/>
      <c r="B15" s="51">
        <v>2019</v>
      </c>
      <c r="C15" s="709" t="s">
        <v>347</v>
      </c>
      <c r="D15" s="709"/>
      <c r="E15" s="709"/>
      <c r="F15" s="709"/>
      <c r="G15" s="709"/>
      <c r="H15" s="709"/>
      <c r="I15" s="55" t="s">
        <v>348</v>
      </c>
    </row>
    <row r="16" spans="1:14" ht="256.5" customHeight="1" x14ac:dyDescent="0.3">
      <c r="B16" s="51">
        <v>2020</v>
      </c>
      <c r="C16" s="709" t="s">
        <v>349</v>
      </c>
      <c r="D16" s="709"/>
      <c r="E16" s="709"/>
      <c r="F16" s="709"/>
      <c r="G16" s="709"/>
      <c r="H16" s="709"/>
      <c r="I16" s="55" t="s">
        <v>350</v>
      </c>
    </row>
    <row r="17" spans="2:13" ht="150.6" customHeight="1" x14ac:dyDescent="0.3">
      <c r="B17" s="51">
        <v>2021</v>
      </c>
      <c r="C17" s="709" t="s">
        <v>351</v>
      </c>
      <c r="D17" s="709"/>
      <c r="E17" s="709"/>
      <c r="F17" s="709"/>
      <c r="G17" s="709"/>
      <c r="H17" s="709"/>
      <c r="I17" s="485" t="s">
        <v>6</v>
      </c>
    </row>
    <row r="18" spans="2:13" ht="223.5" customHeight="1" x14ac:dyDescent="0.3">
      <c r="B18" s="51">
        <v>2022</v>
      </c>
      <c r="C18" s="709" t="s">
        <v>352</v>
      </c>
      <c r="D18" s="709"/>
      <c r="E18" s="709"/>
      <c r="F18" s="709"/>
      <c r="G18" s="709"/>
      <c r="H18" s="709"/>
      <c r="I18" s="485" t="s">
        <v>6</v>
      </c>
    </row>
    <row r="19" spans="2:13" ht="242.55" customHeight="1" x14ac:dyDescent="0.3">
      <c r="B19" s="51">
        <v>2023</v>
      </c>
      <c r="C19" s="721" t="s">
        <v>353</v>
      </c>
      <c r="D19" s="722"/>
      <c r="E19" s="722"/>
      <c r="F19" s="722"/>
      <c r="G19" s="722"/>
      <c r="H19" s="722"/>
      <c r="I19" s="485" t="s">
        <v>6</v>
      </c>
    </row>
    <row r="20" spans="2:13" ht="15" customHeight="1" x14ac:dyDescent="0.3">
      <c r="B20" s="672" t="s">
        <v>354</v>
      </c>
      <c r="C20" s="537" t="s">
        <v>355</v>
      </c>
      <c r="D20" s="20"/>
      <c r="E20" s="20"/>
    </row>
    <row r="21" spans="2:13" ht="15" customHeight="1" x14ac:dyDescent="0.4">
      <c r="B21" s="6"/>
      <c r="C21" s="18"/>
      <c r="D21" s="20"/>
      <c r="E21" s="20"/>
    </row>
    <row r="22" spans="2:13" ht="15" customHeight="1" x14ac:dyDescent="0.4">
      <c r="B22" s="6"/>
      <c r="C22" s="18"/>
      <c r="D22" s="20"/>
      <c r="E22" s="20"/>
    </row>
    <row r="23" spans="2:13" ht="15" customHeight="1" x14ac:dyDescent="0.3">
      <c r="B23" s="725" t="s">
        <v>356</v>
      </c>
      <c r="C23" s="725"/>
      <c r="D23" s="725"/>
      <c r="E23" s="725"/>
      <c r="F23" s="725"/>
      <c r="G23" s="725"/>
      <c r="H23" s="725"/>
      <c r="I23" s="725"/>
      <c r="J23" s="725"/>
      <c r="K23" s="725"/>
      <c r="L23" s="725"/>
      <c r="M23" s="725"/>
    </row>
    <row r="24" spans="2:13" ht="52.5" customHeight="1" x14ac:dyDescent="0.3">
      <c r="B24" s="50" t="s">
        <v>357</v>
      </c>
      <c r="C24" s="152" t="s">
        <v>358</v>
      </c>
      <c r="D24" s="152" t="s">
        <v>359</v>
      </c>
      <c r="E24" s="152" t="s">
        <v>360</v>
      </c>
      <c r="F24" s="726" t="s">
        <v>324</v>
      </c>
      <c r="G24" s="726"/>
      <c r="H24" s="152" t="s">
        <v>361</v>
      </c>
      <c r="I24" s="152" t="s">
        <v>362</v>
      </c>
      <c r="J24" s="726" t="s">
        <v>363</v>
      </c>
      <c r="K24" s="726"/>
      <c r="L24" s="726" t="s">
        <v>364</v>
      </c>
      <c r="M24" s="726"/>
    </row>
    <row r="25" spans="2:13" ht="278.10000000000002" customHeight="1" x14ac:dyDescent="0.3">
      <c r="B25" s="486" t="s">
        <v>365</v>
      </c>
      <c r="C25" s="486" t="s">
        <v>366</v>
      </c>
      <c r="D25" s="486" t="s">
        <v>367</v>
      </c>
      <c r="E25" s="486" t="s">
        <v>368</v>
      </c>
      <c r="F25" s="727" t="s">
        <v>369</v>
      </c>
      <c r="G25" s="727"/>
      <c r="H25" s="486" t="s">
        <v>370</v>
      </c>
      <c r="I25" s="487" t="s">
        <v>371</v>
      </c>
      <c r="J25" s="727" t="s">
        <v>372</v>
      </c>
      <c r="K25" s="727"/>
      <c r="L25" s="728" t="s">
        <v>373</v>
      </c>
      <c r="M25" s="728"/>
    </row>
    <row r="26" spans="2:13" ht="176.55" customHeight="1" x14ac:dyDescent="0.3">
      <c r="B26" s="486" t="s">
        <v>374</v>
      </c>
      <c r="C26" s="486" t="s">
        <v>375</v>
      </c>
      <c r="D26" s="486" t="s">
        <v>376</v>
      </c>
      <c r="E26" s="486" t="s">
        <v>377</v>
      </c>
      <c r="F26" s="728" t="s">
        <v>378</v>
      </c>
      <c r="G26" s="728"/>
      <c r="H26" s="486" t="s">
        <v>379</v>
      </c>
      <c r="I26" s="487" t="s">
        <v>380</v>
      </c>
      <c r="J26" s="728" t="s">
        <v>381</v>
      </c>
      <c r="K26" s="728"/>
      <c r="L26" s="728" t="s">
        <v>382</v>
      </c>
      <c r="M26" s="728"/>
    </row>
    <row r="27" spans="2:13" ht="313.05" customHeight="1" x14ac:dyDescent="0.3">
      <c r="B27" s="486" t="s">
        <v>383</v>
      </c>
      <c r="C27" s="486" t="s">
        <v>366</v>
      </c>
      <c r="D27" s="486" t="s">
        <v>384</v>
      </c>
      <c r="E27" s="486" t="s">
        <v>377</v>
      </c>
      <c r="F27" s="727" t="s">
        <v>385</v>
      </c>
      <c r="G27" s="727"/>
      <c r="H27" s="486" t="s">
        <v>370</v>
      </c>
      <c r="I27" s="488" t="s">
        <v>386</v>
      </c>
      <c r="J27" s="727" t="s">
        <v>387</v>
      </c>
      <c r="K27" s="727"/>
      <c r="L27" s="728" t="s">
        <v>388</v>
      </c>
      <c r="M27" s="728"/>
    </row>
    <row r="28" spans="2:13" ht="409.6" customHeight="1" x14ac:dyDescent="0.3">
      <c r="B28" s="486" t="s">
        <v>365</v>
      </c>
      <c r="C28" s="486" t="s">
        <v>366</v>
      </c>
      <c r="D28" s="486" t="s">
        <v>384</v>
      </c>
      <c r="E28" s="486" t="s">
        <v>368</v>
      </c>
      <c r="F28" s="727" t="s">
        <v>389</v>
      </c>
      <c r="G28" s="727"/>
      <c r="H28" s="486" t="s">
        <v>379</v>
      </c>
      <c r="I28" s="487" t="s">
        <v>390</v>
      </c>
      <c r="J28" s="727" t="s">
        <v>391</v>
      </c>
      <c r="K28" s="727"/>
      <c r="L28" s="728" t="s">
        <v>392</v>
      </c>
      <c r="M28" s="728"/>
    </row>
    <row r="29" spans="2:13" ht="152.1" customHeight="1" x14ac:dyDescent="0.3">
      <c r="B29" s="486" t="s">
        <v>365</v>
      </c>
      <c r="C29" s="486" t="s">
        <v>375</v>
      </c>
      <c r="D29" s="486" t="s">
        <v>376</v>
      </c>
      <c r="E29" s="486" t="s">
        <v>368</v>
      </c>
      <c r="F29" s="727" t="s">
        <v>393</v>
      </c>
      <c r="G29" s="727"/>
      <c r="H29" s="486" t="s">
        <v>370</v>
      </c>
      <c r="I29" s="486" t="s">
        <v>394</v>
      </c>
      <c r="J29" s="727" t="s">
        <v>395</v>
      </c>
      <c r="K29" s="727"/>
      <c r="L29" s="728" t="s">
        <v>396</v>
      </c>
      <c r="M29" s="728"/>
    </row>
    <row r="30" spans="2:13" ht="250.5" customHeight="1" x14ac:dyDescent="0.3">
      <c r="B30" s="486" t="s">
        <v>365</v>
      </c>
      <c r="C30" s="486" t="s">
        <v>366</v>
      </c>
      <c r="D30" s="486" t="s">
        <v>367</v>
      </c>
      <c r="E30" s="486" t="s">
        <v>377</v>
      </c>
      <c r="F30" s="727" t="s">
        <v>397</v>
      </c>
      <c r="G30" s="727"/>
      <c r="H30" s="486" t="s">
        <v>379</v>
      </c>
      <c r="I30" s="488" t="s">
        <v>398</v>
      </c>
      <c r="J30" s="727" t="s">
        <v>399</v>
      </c>
      <c r="K30" s="727"/>
      <c r="L30" s="728" t="s">
        <v>400</v>
      </c>
      <c r="M30" s="728"/>
    </row>
    <row r="31" spans="2:13" ht="237.6" customHeight="1" x14ac:dyDescent="0.3">
      <c r="B31" s="486" t="s">
        <v>374</v>
      </c>
      <c r="C31" s="486" t="s">
        <v>375</v>
      </c>
      <c r="D31" s="486" t="s">
        <v>401</v>
      </c>
      <c r="E31" s="486" t="s">
        <v>368</v>
      </c>
      <c r="F31" s="727" t="s">
        <v>402</v>
      </c>
      <c r="G31" s="727"/>
      <c r="H31" s="486" t="s">
        <v>379</v>
      </c>
      <c r="I31" s="486" t="s">
        <v>394</v>
      </c>
      <c r="J31" s="727" t="s">
        <v>403</v>
      </c>
      <c r="K31" s="727"/>
      <c r="L31" s="735" t="s">
        <v>404</v>
      </c>
      <c r="M31" s="735"/>
    </row>
    <row r="32" spans="2:13" ht="287.10000000000002" customHeight="1" x14ac:dyDescent="0.3">
      <c r="B32" s="486" t="s">
        <v>365</v>
      </c>
      <c r="C32" s="486" t="s">
        <v>405</v>
      </c>
      <c r="D32" s="486" t="s">
        <v>406</v>
      </c>
      <c r="E32" s="486" t="s">
        <v>377</v>
      </c>
      <c r="F32" s="727" t="s">
        <v>407</v>
      </c>
      <c r="G32" s="727"/>
      <c r="H32" s="486" t="s">
        <v>370</v>
      </c>
      <c r="I32" s="488" t="s">
        <v>407</v>
      </c>
      <c r="J32" s="727" t="s">
        <v>408</v>
      </c>
      <c r="K32" s="727"/>
      <c r="L32" s="728" t="s">
        <v>409</v>
      </c>
      <c r="M32" s="728"/>
    </row>
    <row r="33" spans="1:9" ht="15" customHeight="1" x14ac:dyDescent="0.4">
      <c r="B33" s="6"/>
      <c r="C33" s="18"/>
      <c r="D33" s="20"/>
      <c r="E33" s="20"/>
    </row>
    <row r="34" spans="1:9" ht="15" customHeight="1" x14ac:dyDescent="0.4">
      <c r="B34" s="6"/>
      <c r="C34" s="18"/>
      <c r="D34" s="20"/>
      <c r="E34" s="20"/>
    </row>
    <row r="35" spans="1:9" ht="15" customHeight="1" x14ac:dyDescent="0.4">
      <c r="B35" s="6"/>
      <c r="C35" s="18"/>
      <c r="D35" s="20"/>
      <c r="E35" s="20"/>
    </row>
    <row r="36" spans="1:9" s="46" customFormat="1" ht="17.399999999999999" x14ac:dyDescent="0.3">
      <c r="B36" s="710" t="s">
        <v>410</v>
      </c>
      <c r="C36" s="710"/>
      <c r="D36" s="45"/>
      <c r="E36" s="45"/>
    </row>
    <row r="37" spans="1:9" ht="21" x14ac:dyDescent="0.4">
      <c r="A37" s="707"/>
      <c r="B37" s="6"/>
      <c r="C37" s="18"/>
      <c r="D37" s="20"/>
      <c r="E37" s="20"/>
    </row>
    <row r="38" spans="1:9" x14ac:dyDescent="0.3">
      <c r="A38" s="707"/>
      <c r="B38" s="708" t="s">
        <v>411</v>
      </c>
      <c r="C38" s="708"/>
      <c r="D38" s="708"/>
      <c r="E38" s="708"/>
      <c r="F38" s="708"/>
      <c r="G38" s="708"/>
      <c r="H38" s="708"/>
      <c r="I38" s="708"/>
    </row>
    <row r="39" spans="1:9" ht="21" x14ac:dyDescent="0.4">
      <c r="A39" s="707"/>
      <c r="B39" s="6"/>
      <c r="C39" s="18"/>
      <c r="D39" s="20"/>
      <c r="E39" s="20"/>
    </row>
    <row r="40" spans="1:9" x14ac:dyDescent="0.3">
      <c r="A40" s="707"/>
      <c r="B40" s="50" t="s">
        <v>344</v>
      </c>
      <c r="C40" s="712" t="s">
        <v>345</v>
      </c>
      <c r="D40" s="712"/>
      <c r="E40" s="712"/>
      <c r="F40" s="712"/>
      <c r="G40" s="712"/>
      <c r="H40" s="712"/>
      <c r="I40" s="49" t="s">
        <v>346</v>
      </c>
    </row>
    <row r="41" spans="1:9" ht="126" customHeight="1" x14ac:dyDescent="0.3">
      <c r="A41" s="707"/>
      <c r="B41" s="51">
        <v>2019</v>
      </c>
      <c r="C41" s="709" t="s">
        <v>412</v>
      </c>
      <c r="D41" s="709"/>
      <c r="E41" s="709"/>
      <c r="F41" s="709"/>
      <c r="G41" s="709"/>
      <c r="H41" s="709"/>
      <c r="I41" s="55" t="s">
        <v>413</v>
      </c>
    </row>
    <row r="42" spans="1:9" ht="145.05000000000001" customHeight="1" x14ac:dyDescent="0.3">
      <c r="A42" s="707"/>
      <c r="B42" s="51">
        <v>2020</v>
      </c>
      <c r="C42" s="709" t="s">
        <v>412</v>
      </c>
      <c r="D42" s="709"/>
      <c r="E42" s="709"/>
      <c r="F42" s="709"/>
      <c r="G42" s="709"/>
      <c r="H42" s="709"/>
      <c r="I42" s="55" t="s">
        <v>413</v>
      </c>
    </row>
    <row r="43" spans="1:9" ht="201" customHeight="1" x14ac:dyDescent="0.3">
      <c r="B43" s="51">
        <v>2021</v>
      </c>
      <c r="C43" s="709" t="s">
        <v>414</v>
      </c>
      <c r="D43" s="709"/>
      <c r="E43" s="709"/>
      <c r="F43" s="709"/>
      <c r="G43" s="709"/>
      <c r="H43" s="709"/>
      <c r="I43" s="55" t="s">
        <v>415</v>
      </c>
    </row>
    <row r="44" spans="1:9" ht="174" customHeight="1" x14ac:dyDescent="0.3">
      <c r="B44" s="51">
        <v>2022</v>
      </c>
      <c r="C44" s="709" t="s">
        <v>412</v>
      </c>
      <c r="D44" s="709"/>
      <c r="E44" s="709"/>
      <c r="F44" s="709"/>
      <c r="G44" s="709"/>
      <c r="H44" s="709"/>
      <c r="I44" s="55" t="s">
        <v>415</v>
      </c>
    </row>
    <row r="45" spans="1:9" ht="159" customHeight="1" x14ac:dyDescent="0.3">
      <c r="B45" s="51">
        <v>2023</v>
      </c>
      <c r="C45" s="723" t="s">
        <v>416</v>
      </c>
      <c r="D45" s="724"/>
      <c r="E45" s="724"/>
      <c r="F45" s="724"/>
      <c r="G45" s="724"/>
      <c r="H45" s="724"/>
      <c r="I45" s="485" t="s">
        <v>6</v>
      </c>
    </row>
    <row r="46" spans="1:9" ht="48.6" customHeight="1" x14ac:dyDescent="0.3">
      <c r="B46" s="729" t="s">
        <v>417</v>
      </c>
      <c r="C46" s="730"/>
      <c r="D46" s="730"/>
      <c r="E46" s="730"/>
      <c r="F46" s="730"/>
      <c r="G46" s="730"/>
      <c r="H46" s="730"/>
      <c r="I46" s="730"/>
    </row>
    <row r="47" spans="1:9" ht="15" customHeight="1" x14ac:dyDescent="0.4">
      <c r="B47" s="6"/>
      <c r="C47" s="18"/>
      <c r="D47" s="20"/>
      <c r="E47" s="20"/>
    </row>
    <row r="48" spans="1:9" ht="15" customHeight="1" x14ac:dyDescent="0.3">
      <c r="B48" s="51" t="s">
        <v>354</v>
      </c>
      <c r="C48" s="734" t="s">
        <v>418</v>
      </c>
      <c r="D48" s="734"/>
      <c r="E48" s="734" t="s">
        <v>10</v>
      </c>
      <c r="F48" s="734"/>
    </row>
    <row r="49" spans="1:11" ht="15" customHeight="1" x14ac:dyDescent="0.4">
      <c r="B49" s="6"/>
      <c r="C49" s="18"/>
      <c r="D49" s="20"/>
      <c r="E49" s="20"/>
    </row>
    <row r="50" spans="1:11" s="46" customFormat="1" ht="17.399999999999999" x14ac:dyDescent="0.3">
      <c r="B50" s="710" t="s">
        <v>419</v>
      </c>
      <c r="C50" s="710"/>
      <c r="D50" s="45"/>
      <c r="E50" s="45"/>
    </row>
    <row r="51" spans="1:11" ht="21" x14ac:dyDescent="0.4">
      <c r="A51" s="707"/>
      <c r="B51" s="6"/>
      <c r="C51" s="18"/>
      <c r="D51" s="20"/>
      <c r="E51" s="20"/>
    </row>
    <row r="52" spans="1:11" x14ac:dyDescent="0.3">
      <c r="A52" s="707"/>
      <c r="B52" s="708" t="s">
        <v>420</v>
      </c>
      <c r="C52" s="708"/>
      <c r="D52" s="708"/>
      <c r="E52" s="708"/>
      <c r="F52" s="708"/>
      <c r="G52" s="708"/>
      <c r="H52" s="708"/>
      <c r="I52" s="708"/>
    </row>
    <row r="53" spans="1:11" ht="21" x14ac:dyDescent="0.4">
      <c r="A53" s="707"/>
      <c r="B53" s="6"/>
      <c r="C53" s="18"/>
      <c r="D53" s="20"/>
      <c r="E53" s="20"/>
    </row>
    <row r="54" spans="1:11" x14ac:dyDescent="0.3">
      <c r="A54" s="707"/>
      <c r="B54" s="50" t="s">
        <v>344</v>
      </c>
      <c r="C54" s="712" t="s">
        <v>345</v>
      </c>
      <c r="D54" s="712"/>
      <c r="E54" s="712"/>
      <c r="F54" s="712"/>
      <c r="G54" s="712"/>
      <c r="H54" s="712"/>
      <c r="I54" s="49" t="s">
        <v>346</v>
      </c>
    </row>
    <row r="55" spans="1:11" ht="50.1" customHeight="1" x14ac:dyDescent="0.3">
      <c r="A55" s="707"/>
      <c r="B55" s="51">
        <v>2019</v>
      </c>
      <c r="C55" s="713" t="s">
        <v>421</v>
      </c>
      <c r="D55" s="713"/>
      <c r="E55" s="713"/>
      <c r="F55" s="713"/>
      <c r="G55" s="713"/>
      <c r="H55" s="713"/>
      <c r="I55" s="485" t="s">
        <v>6</v>
      </c>
      <c r="K55" s="286"/>
    </row>
    <row r="56" spans="1:11" ht="50.1" customHeight="1" x14ac:dyDescent="0.3">
      <c r="A56" s="707"/>
      <c r="B56" s="51">
        <v>2020</v>
      </c>
      <c r="C56" s="713" t="s">
        <v>421</v>
      </c>
      <c r="D56" s="713"/>
      <c r="E56" s="713"/>
      <c r="F56" s="713"/>
      <c r="G56" s="713"/>
      <c r="H56" s="713"/>
      <c r="I56" s="485" t="s">
        <v>6</v>
      </c>
    </row>
    <row r="57" spans="1:11" ht="50.1" customHeight="1" x14ac:dyDescent="0.3">
      <c r="A57" s="707"/>
      <c r="B57" s="51">
        <v>2021</v>
      </c>
      <c r="C57" s="713" t="s">
        <v>421</v>
      </c>
      <c r="D57" s="713"/>
      <c r="E57" s="713"/>
      <c r="F57" s="713"/>
      <c r="G57" s="713"/>
      <c r="H57" s="713"/>
      <c r="I57" s="485" t="s">
        <v>6</v>
      </c>
    </row>
    <row r="58" spans="1:11" ht="50.1" customHeight="1" x14ac:dyDescent="0.3">
      <c r="A58" s="707"/>
      <c r="B58" s="51">
        <v>2022</v>
      </c>
      <c r="C58" s="713" t="s">
        <v>421</v>
      </c>
      <c r="D58" s="713"/>
      <c r="E58" s="713"/>
      <c r="F58" s="713"/>
      <c r="G58" s="713"/>
      <c r="H58" s="713"/>
      <c r="I58" s="485" t="s">
        <v>6</v>
      </c>
    </row>
    <row r="59" spans="1:11" ht="44.1" customHeight="1" x14ac:dyDescent="0.3">
      <c r="A59" s="707"/>
      <c r="B59" s="51">
        <v>2023</v>
      </c>
      <c r="C59" s="713" t="s">
        <v>421</v>
      </c>
      <c r="D59" s="713"/>
      <c r="E59" s="713"/>
      <c r="F59" s="713"/>
      <c r="G59" s="713"/>
      <c r="H59" s="713"/>
      <c r="I59" s="485" t="s">
        <v>6</v>
      </c>
    </row>
    <row r="60" spans="1:11" ht="47.55" customHeight="1" x14ac:dyDescent="0.3">
      <c r="B60" s="709" t="s">
        <v>422</v>
      </c>
      <c r="C60" s="709"/>
      <c r="D60" s="709"/>
      <c r="E60" s="709"/>
      <c r="F60" s="709"/>
      <c r="G60" s="709"/>
      <c r="H60" s="709"/>
      <c r="I60" s="709"/>
    </row>
    <row r="61" spans="1:11" ht="15" customHeight="1" x14ac:dyDescent="0.3">
      <c r="B61" s="281"/>
      <c r="C61" s="281"/>
      <c r="D61" s="281"/>
      <c r="E61" s="281"/>
      <c r="F61" s="281"/>
      <c r="G61" s="281"/>
      <c r="H61" s="281"/>
      <c r="I61" s="281"/>
    </row>
    <row r="62" spans="1:11" ht="15" customHeight="1" x14ac:dyDescent="0.4">
      <c r="B62" s="6"/>
      <c r="C62" s="18"/>
      <c r="D62" s="20"/>
      <c r="E62" s="20"/>
    </row>
    <row r="63" spans="1:11" s="46" customFormat="1" ht="17.399999999999999" x14ac:dyDescent="0.3">
      <c r="B63" s="710" t="s">
        <v>423</v>
      </c>
      <c r="C63" s="710"/>
      <c r="D63" s="45"/>
      <c r="E63" s="45"/>
    </row>
    <row r="64" spans="1:11" ht="21" x14ac:dyDescent="0.4">
      <c r="A64" s="707"/>
      <c r="B64" s="6"/>
      <c r="C64" s="18"/>
      <c r="D64" s="20"/>
      <c r="E64" s="20"/>
    </row>
    <row r="65" spans="1:9" x14ac:dyDescent="0.3">
      <c r="A65" s="707"/>
      <c r="B65" s="708" t="s">
        <v>424</v>
      </c>
      <c r="C65" s="708"/>
      <c r="D65" s="708"/>
      <c r="E65" s="708"/>
      <c r="F65" s="708"/>
      <c r="G65" s="708"/>
      <c r="H65" s="708"/>
      <c r="I65" s="708"/>
    </row>
    <row r="66" spans="1:9" ht="21" x14ac:dyDescent="0.4">
      <c r="A66" s="707"/>
      <c r="B66" s="6"/>
      <c r="C66" s="18"/>
      <c r="D66" s="20"/>
      <c r="E66" s="20"/>
    </row>
    <row r="67" spans="1:9" x14ac:dyDescent="0.3">
      <c r="A67" s="707"/>
      <c r="B67" s="50" t="s">
        <v>344</v>
      </c>
      <c r="C67" s="712" t="s">
        <v>345</v>
      </c>
      <c r="D67" s="712"/>
      <c r="E67" s="712"/>
      <c r="F67" s="712"/>
      <c r="G67" s="712"/>
      <c r="H67" s="712"/>
      <c r="I67" s="49" t="s">
        <v>346</v>
      </c>
    </row>
    <row r="68" spans="1:9" ht="35.1" customHeight="1" x14ac:dyDescent="0.3">
      <c r="A68" s="707"/>
      <c r="B68" s="51">
        <v>2019</v>
      </c>
      <c r="C68" s="709" t="s">
        <v>425</v>
      </c>
      <c r="D68" s="709"/>
      <c r="E68" s="709"/>
      <c r="F68" s="709"/>
      <c r="G68" s="709"/>
      <c r="H68" s="709"/>
      <c r="I68" s="55" t="s">
        <v>348</v>
      </c>
    </row>
    <row r="69" spans="1:9" ht="50.1" customHeight="1" x14ac:dyDescent="0.3">
      <c r="A69" s="707"/>
      <c r="B69" s="51">
        <v>2020</v>
      </c>
      <c r="C69" s="709" t="s">
        <v>426</v>
      </c>
      <c r="D69" s="709"/>
      <c r="E69" s="709"/>
      <c r="F69" s="709"/>
      <c r="G69" s="709"/>
      <c r="H69" s="709"/>
      <c r="I69" s="55" t="s">
        <v>350</v>
      </c>
    </row>
    <row r="70" spans="1:9" ht="50.1" customHeight="1" x14ac:dyDescent="0.3">
      <c r="A70" s="707"/>
      <c r="B70" s="51">
        <v>2021</v>
      </c>
      <c r="C70" s="709" t="s">
        <v>426</v>
      </c>
      <c r="D70" s="709"/>
      <c r="E70" s="709"/>
      <c r="F70" s="709"/>
      <c r="G70" s="709"/>
      <c r="H70" s="709"/>
      <c r="I70" s="485" t="s">
        <v>6</v>
      </c>
    </row>
    <row r="71" spans="1:9" ht="45" customHeight="1" x14ac:dyDescent="0.3">
      <c r="A71" s="707"/>
      <c r="B71" s="51">
        <v>2022</v>
      </c>
      <c r="C71" s="709" t="s">
        <v>427</v>
      </c>
      <c r="D71" s="709"/>
      <c r="E71" s="709"/>
      <c r="F71" s="709"/>
      <c r="G71" s="709"/>
      <c r="H71" s="709"/>
      <c r="I71" s="485" t="s">
        <v>6</v>
      </c>
    </row>
    <row r="72" spans="1:9" ht="45" customHeight="1" x14ac:dyDescent="0.3">
      <c r="A72" s="707"/>
      <c r="B72" s="51">
        <v>2023</v>
      </c>
      <c r="C72" s="709" t="s">
        <v>428</v>
      </c>
      <c r="D72" s="709"/>
      <c r="E72" s="709"/>
      <c r="F72" s="709"/>
      <c r="G72" s="709"/>
      <c r="H72" s="709"/>
      <c r="I72" s="485" t="s">
        <v>6</v>
      </c>
    </row>
    <row r="73" spans="1:9" ht="66" customHeight="1" x14ac:dyDescent="0.3">
      <c r="B73" s="709" t="s">
        <v>429</v>
      </c>
      <c r="C73" s="709"/>
      <c r="D73" s="709"/>
      <c r="E73" s="709"/>
      <c r="F73" s="709"/>
      <c r="G73" s="709"/>
      <c r="H73" s="709"/>
      <c r="I73" s="709"/>
    </row>
    <row r="74" spans="1:9" ht="15" customHeight="1" x14ac:dyDescent="0.4">
      <c r="B74" s="6"/>
      <c r="C74" s="18"/>
      <c r="D74" s="20"/>
      <c r="E74" s="20"/>
    </row>
    <row r="75" spans="1:9" s="46" customFormat="1" ht="17.399999999999999" x14ac:dyDescent="0.3">
      <c r="B75" s="710" t="s">
        <v>430</v>
      </c>
      <c r="C75" s="710"/>
      <c r="D75" s="45"/>
      <c r="E75" s="45"/>
    </row>
    <row r="76" spans="1:9" ht="21" x14ac:dyDescent="0.4">
      <c r="A76" s="707"/>
      <c r="B76" s="6"/>
      <c r="C76" s="18"/>
      <c r="D76" s="20"/>
      <c r="E76" s="20"/>
    </row>
    <row r="77" spans="1:9" x14ac:dyDescent="0.3">
      <c r="A77" s="707"/>
      <c r="B77" s="708" t="s">
        <v>431</v>
      </c>
      <c r="C77" s="708"/>
      <c r="D77" s="708"/>
      <c r="E77" s="708"/>
      <c r="F77" s="708"/>
      <c r="G77" s="708"/>
      <c r="H77" s="708"/>
      <c r="I77" s="708"/>
    </row>
    <row r="78" spans="1:9" ht="21" x14ac:dyDescent="0.4">
      <c r="A78" s="707"/>
      <c r="B78" s="6"/>
      <c r="C78" s="18"/>
      <c r="D78" s="20"/>
      <c r="E78" s="20"/>
    </row>
    <row r="79" spans="1:9" x14ac:dyDescent="0.3">
      <c r="A79" s="707"/>
      <c r="B79" s="50" t="s">
        <v>344</v>
      </c>
      <c r="C79" s="712" t="s">
        <v>345</v>
      </c>
      <c r="D79" s="712"/>
      <c r="E79" s="712"/>
      <c r="F79" s="712"/>
      <c r="G79" s="712"/>
      <c r="H79" s="712"/>
      <c r="I79" s="49" t="s">
        <v>346</v>
      </c>
    </row>
    <row r="80" spans="1:9" ht="50.1" customHeight="1" x14ac:dyDescent="0.3">
      <c r="A80" s="707"/>
      <c r="B80" s="51">
        <v>2019</v>
      </c>
      <c r="C80" s="709" t="s">
        <v>432</v>
      </c>
      <c r="D80" s="709"/>
      <c r="E80" s="709"/>
      <c r="F80" s="709"/>
      <c r="G80" s="709"/>
      <c r="H80" s="709"/>
      <c r="I80" s="55" t="s">
        <v>348</v>
      </c>
    </row>
    <row r="81" spans="1:9" ht="50.1" customHeight="1" x14ac:dyDescent="0.3">
      <c r="A81" s="707"/>
      <c r="B81" s="51">
        <v>2020</v>
      </c>
      <c r="C81" s="709" t="s">
        <v>433</v>
      </c>
      <c r="D81" s="709"/>
      <c r="E81" s="709"/>
      <c r="F81" s="709"/>
      <c r="G81" s="709"/>
      <c r="H81" s="709"/>
      <c r="I81" s="55" t="s">
        <v>350</v>
      </c>
    </row>
    <row r="82" spans="1:9" ht="50.1" customHeight="1" x14ac:dyDescent="0.3">
      <c r="A82" s="707"/>
      <c r="B82" s="51">
        <v>2021</v>
      </c>
      <c r="C82" s="709" t="s">
        <v>434</v>
      </c>
      <c r="D82" s="709"/>
      <c r="E82" s="709"/>
      <c r="F82" s="709"/>
      <c r="G82" s="709"/>
      <c r="H82" s="709"/>
      <c r="I82" s="485" t="s">
        <v>6</v>
      </c>
    </row>
    <row r="83" spans="1:9" ht="50.1" customHeight="1" x14ac:dyDescent="0.3">
      <c r="A83" s="707"/>
      <c r="B83" s="51">
        <v>2022</v>
      </c>
      <c r="C83" s="709" t="s">
        <v>435</v>
      </c>
      <c r="D83" s="709"/>
      <c r="E83" s="709"/>
      <c r="F83" s="709"/>
      <c r="G83" s="709"/>
      <c r="H83" s="709"/>
      <c r="I83" s="485" t="s">
        <v>6</v>
      </c>
    </row>
    <row r="84" spans="1:9" ht="50.1" customHeight="1" x14ac:dyDescent="0.3">
      <c r="A84" s="707"/>
      <c r="B84" s="51">
        <v>2023</v>
      </c>
      <c r="C84" s="709" t="s">
        <v>436</v>
      </c>
      <c r="D84" s="709"/>
      <c r="E84" s="709"/>
      <c r="F84" s="709"/>
      <c r="G84" s="709"/>
      <c r="H84" s="709"/>
      <c r="I84" s="485" t="s">
        <v>6</v>
      </c>
    </row>
    <row r="85" spans="1:9" ht="15" customHeight="1" x14ac:dyDescent="0.4">
      <c r="B85" s="6"/>
      <c r="C85" s="18"/>
      <c r="D85" s="20"/>
      <c r="E85" s="20"/>
    </row>
    <row r="86" spans="1:9" ht="15" customHeight="1" x14ac:dyDescent="0.4">
      <c r="B86" s="6"/>
      <c r="C86" s="18"/>
      <c r="D86" s="20"/>
      <c r="E86" s="20"/>
    </row>
    <row r="87" spans="1:9" s="46" customFormat="1" ht="17.399999999999999" x14ac:dyDescent="0.3">
      <c r="B87" s="710" t="s">
        <v>437</v>
      </c>
      <c r="C87" s="710"/>
      <c r="D87" s="45"/>
      <c r="E87" s="45"/>
    </row>
    <row r="88" spans="1:9" ht="21" x14ac:dyDescent="0.4">
      <c r="A88" s="707"/>
      <c r="B88" s="6"/>
      <c r="C88" s="18"/>
      <c r="D88" s="20"/>
      <c r="E88" s="20"/>
    </row>
    <row r="89" spans="1:9" x14ac:dyDescent="0.3">
      <c r="A89" s="707"/>
      <c r="B89" s="708" t="s">
        <v>438</v>
      </c>
      <c r="C89" s="708"/>
      <c r="D89" s="708"/>
      <c r="E89" s="708"/>
      <c r="F89" s="708"/>
      <c r="G89" s="708"/>
      <c r="H89" s="708"/>
      <c r="I89" s="708"/>
    </row>
    <row r="90" spans="1:9" ht="21" x14ac:dyDescent="0.4">
      <c r="A90" s="707"/>
      <c r="B90" s="6"/>
      <c r="C90" s="18"/>
      <c r="D90" s="20"/>
      <c r="E90" s="20"/>
    </row>
    <row r="91" spans="1:9" x14ac:dyDescent="0.3">
      <c r="A91" s="707"/>
      <c r="B91" s="50" t="s">
        <v>344</v>
      </c>
      <c r="C91" s="712" t="s">
        <v>345</v>
      </c>
      <c r="D91" s="712"/>
      <c r="E91" s="712"/>
      <c r="F91" s="712"/>
      <c r="G91" s="712"/>
      <c r="H91" s="712"/>
      <c r="I91" s="49" t="s">
        <v>346</v>
      </c>
    </row>
    <row r="92" spans="1:9" ht="71.25" customHeight="1" x14ac:dyDescent="0.3">
      <c r="A92" s="707"/>
      <c r="B92" s="51">
        <v>2019</v>
      </c>
      <c r="C92" s="709" t="s">
        <v>439</v>
      </c>
      <c r="D92" s="709"/>
      <c r="E92" s="709"/>
      <c r="F92" s="709"/>
      <c r="G92" s="709"/>
      <c r="H92" s="709"/>
      <c r="I92" s="55" t="s">
        <v>348</v>
      </c>
    </row>
    <row r="93" spans="1:9" ht="75" customHeight="1" x14ac:dyDescent="0.3">
      <c r="A93" s="707"/>
      <c r="B93" s="51">
        <v>2020</v>
      </c>
      <c r="C93" s="709" t="s">
        <v>440</v>
      </c>
      <c r="D93" s="709"/>
      <c r="E93" s="709"/>
      <c r="F93" s="709"/>
      <c r="G93" s="709"/>
      <c r="H93" s="709"/>
      <c r="I93" s="55" t="s">
        <v>350</v>
      </c>
    </row>
    <row r="94" spans="1:9" ht="75" customHeight="1" x14ac:dyDescent="0.3">
      <c r="A94" s="707"/>
      <c r="B94" s="51">
        <v>2021</v>
      </c>
      <c r="C94" s="709" t="s">
        <v>441</v>
      </c>
      <c r="D94" s="709"/>
      <c r="E94" s="709"/>
      <c r="F94" s="709"/>
      <c r="G94" s="709"/>
      <c r="H94" s="709"/>
      <c r="I94" s="55" t="s">
        <v>442</v>
      </c>
    </row>
    <row r="95" spans="1:9" ht="105" customHeight="1" x14ac:dyDescent="0.3">
      <c r="A95" s="707"/>
      <c r="B95" s="51">
        <v>2022</v>
      </c>
      <c r="C95" s="709" t="s">
        <v>443</v>
      </c>
      <c r="D95" s="709"/>
      <c r="E95" s="709"/>
      <c r="F95" s="709"/>
      <c r="G95" s="709"/>
      <c r="H95" s="709"/>
      <c r="I95" s="55" t="s">
        <v>442</v>
      </c>
    </row>
    <row r="96" spans="1:9" ht="103.05" customHeight="1" x14ac:dyDescent="0.3">
      <c r="B96" s="51">
        <v>2023</v>
      </c>
      <c r="C96" s="709" t="s">
        <v>2888</v>
      </c>
      <c r="D96" s="709"/>
      <c r="E96" s="709"/>
      <c r="F96" s="709"/>
      <c r="G96" s="709"/>
      <c r="H96" s="709"/>
      <c r="I96" s="55" t="s">
        <v>442</v>
      </c>
    </row>
    <row r="97" spans="1:9" ht="54" customHeight="1" x14ac:dyDescent="0.3">
      <c r="B97" s="709" t="s">
        <v>444</v>
      </c>
      <c r="C97" s="709"/>
      <c r="D97" s="709"/>
      <c r="E97" s="709"/>
      <c r="F97" s="709"/>
      <c r="G97" s="709"/>
      <c r="H97" s="709"/>
      <c r="I97" s="709"/>
    </row>
    <row r="98" spans="1:9" ht="15" customHeight="1" x14ac:dyDescent="0.4">
      <c r="B98" s="6"/>
      <c r="C98" s="18"/>
      <c r="D98" s="20"/>
      <c r="E98" s="20"/>
    </row>
    <row r="99" spans="1:9" ht="15" customHeight="1" x14ac:dyDescent="0.4">
      <c r="B99" s="6"/>
      <c r="C99" s="18"/>
      <c r="D99" s="20"/>
      <c r="E99" s="20"/>
    </row>
    <row r="100" spans="1:9" s="46" customFormat="1" ht="17.399999999999999" x14ac:dyDescent="0.3">
      <c r="B100" s="710" t="s">
        <v>445</v>
      </c>
      <c r="C100" s="710"/>
      <c r="D100" s="45"/>
      <c r="E100" s="45"/>
    </row>
    <row r="101" spans="1:9" ht="21" x14ac:dyDescent="0.4">
      <c r="A101" s="707"/>
      <c r="B101" s="6"/>
      <c r="C101" s="18"/>
      <c r="D101" s="20"/>
      <c r="E101" s="20"/>
    </row>
    <row r="102" spans="1:9" x14ac:dyDescent="0.3">
      <c r="A102" s="707"/>
      <c r="B102" s="708" t="s">
        <v>446</v>
      </c>
      <c r="C102" s="708"/>
      <c r="D102" s="708"/>
      <c r="E102" s="708"/>
      <c r="F102" s="708"/>
      <c r="G102" s="708"/>
      <c r="H102" s="708"/>
      <c r="I102" s="708"/>
    </row>
    <row r="103" spans="1:9" ht="21" x14ac:dyDescent="0.4">
      <c r="A103" s="707"/>
      <c r="B103" s="6"/>
      <c r="C103" s="18"/>
      <c r="D103" s="20"/>
      <c r="E103" s="20"/>
    </row>
    <row r="104" spans="1:9" x14ac:dyDescent="0.3">
      <c r="A104" s="707"/>
      <c r="B104" s="50" t="s">
        <v>344</v>
      </c>
      <c r="C104" s="712" t="s">
        <v>345</v>
      </c>
      <c r="D104" s="712"/>
      <c r="E104" s="712"/>
      <c r="F104" s="712"/>
      <c r="G104" s="712"/>
      <c r="H104" s="712"/>
      <c r="I104" s="49" t="s">
        <v>346</v>
      </c>
    </row>
    <row r="105" spans="1:9" ht="163.05000000000001" customHeight="1" x14ac:dyDescent="0.3">
      <c r="A105" s="707"/>
      <c r="B105" s="51">
        <v>2019</v>
      </c>
      <c r="C105" s="709" t="s">
        <v>447</v>
      </c>
      <c r="D105" s="709"/>
      <c r="E105" s="709"/>
      <c r="F105" s="709"/>
      <c r="G105" s="709"/>
      <c r="H105" s="709"/>
      <c r="I105" s="55" t="s">
        <v>348</v>
      </c>
    </row>
    <row r="106" spans="1:9" ht="150" customHeight="1" x14ac:dyDescent="0.3">
      <c r="A106" s="707"/>
      <c r="B106" s="51">
        <v>2020</v>
      </c>
      <c r="C106" s="709" t="s">
        <v>448</v>
      </c>
      <c r="D106" s="709"/>
      <c r="E106" s="709"/>
      <c r="F106" s="709"/>
      <c r="G106" s="709"/>
      <c r="H106" s="709"/>
      <c r="I106" s="55" t="s">
        <v>350</v>
      </c>
    </row>
    <row r="107" spans="1:9" ht="190.05" customHeight="1" x14ac:dyDescent="0.3">
      <c r="B107" s="51">
        <v>2021</v>
      </c>
      <c r="C107" s="709" t="s">
        <v>449</v>
      </c>
      <c r="D107" s="709"/>
      <c r="E107" s="709"/>
      <c r="F107" s="709"/>
      <c r="G107" s="709"/>
      <c r="H107" s="709"/>
      <c r="I107" s="485" t="s">
        <v>6</v>
      </c>
    </row>
    <row r="108" spans="1:9" ht="237" customHeight="1" x14ac:dyDescent="0.3">
      <c r="B108" s="51">
        <v>2022</v>
      </c>
      <c r="C108" s="709" t="s">
        <v>450</v>
      </c>
      <c r="D108" s="709"/>
      <c r="E108" s="709"/>
      <c r="F108" s="709"/>
      <c r="G108" s="709"/>
      <c r="H108" s="709"/>
      <c r="I108" s="485" t="s">
        <v>6</v>
      </c>
    </row>
    <row r="109" spans="1:9" ht="241.05" customHeight="1" x14ac:dyDescent="0.3">
      <c r="B109" s="737">
        <v>2023</v>
      </c>
      <c r="C109" s="713" t="s">
        <v>451</v>
      </c>
      <c r="D109" s="713"/>
      <c r="E109" s="713"/>
      <c r="F109" s="713"/>
      <c r="G109" s="713"/>
      <c r="H109" s="713"/>
      <c r="I109" s="485" t="s">
        <v>6</v>
      </c>
    </row>
    <row r="110" spans="1:9" ht="258" customHeight="1" x14ac:dyDescent="0.3">
      <c r="B110" s="737"/>
      <c r="C110" s="713"/>
      <c r="D110" s="713"/>
      <c r="E110" s="713"/>
      <c r="F110" s="713"/>
      <c r="G110" s="713"/>
      <c r="H110" s="713"/>
    </row>
    <row r="111" spans="1:9" ht="15" customHeight="1" x14ac:dyDescent="0.4">
      <c r="B111" s="6"/>
      <c r="C111" s="18"/>
      <c r="D111" s="20"/>
      <c r="E111" s="20"/>
    </row>
    <row r="112" spans="1:9" s="46" customFormat="1" ht="17.399999999999999" x14ac:dyDescent="0.3">
      <c r="B112" s="710" t="s">
        <v>452</v>
      </c>
      <c r="C112" s="710"/>
      <c r="D112" s="45"/>
      <c r="E112" s="45"/>
    </row>
    <row r="113" spans="1:9" ht="21" x14ac:dyDescent="0.4">
      <c r="A113" s="707"/>
      <c r="B113" s="6"/>
      <c r="C113" s="18"/>
      <c r="D113" s="20"/>
      <c r="E113" s="20"/>
    </row>
    <row r="114" spans="1:9" x14ac:dyDescent="0.3">
      <c r="A114" s="707"/>
      <c r="B114" s="708" t="s">
        <v>453</v>
      </c>
      <c r="C114" s="708"/>
      <c r="D114" s="708"/>
      <c r="E114" s="708"/>
      <c r="F114" s="708"/>
      <c r="G114" s="708"/>
      <c r="H114" s="708"/>
      <c r="I114" s="708"/>
    </row>
    <row r="115" spans="1:9" ht="21" x14ac:dyDescent="0.4">
      <c r="A115" s="707"/>
      <c r="B115" s="6"/>
      <c r="C115" s="18"/>
      <c r="D115" s="20"/>
      <c r="E115" s="20"/>
    </row>
    <row r="116" spans="1:9" x14ac:dyDescent="0.3">
      <c r="A116" s="707"/>
      <c r="B116" s="50" t="s">
        <v>344</v>
      </c>
      <c r="C116" s="712" t="s">
        <v>345</v>
      </c>
      <c r="D116" s="712"/>
      <c r="E116" s="712"/>
      <c r="F116" s="712"/>
      <c r="G116" s="712"/>
      <c r="H116" s="712"/>
      <c r="I116" s="49" t="s">
        <v>346</v>
      </c>
    </row>
    <row r="117" spans="1:9" ht="50.1" customHeight="1" x14ac:dyDescent="0.3">
      <c r="A117" s="707"/>
      <c r="B117" s="51">
        <v>2019</v>
      </c>
      <c r="C117" s="709" t="s">
        <v>454</v>
      </c>
      <c r="D117" s="709"/>
      <c r="E117" s="709"/>
      <c r="F117" s="709"/>
      <c r="G117" s="709"/>
      <c r="H117" s="709"/>
      <c r="I117" s="55" t="s">
        <v>455</v>
      </c>
    </row>
    <row r="118" spans="1:9" ht="50.1" customHeight="1" x14ac:dyDescent="0.3">
      <c r="A118" s="707"/>
      <c r="B118" s="51">
        <v>2020</v>
      </c>
      <c r="C118" s="709" t="s">
        <v>456</v>
      </c>
      <c r="D118" s="709"/>
      <c r="E118" s="709"/>
      <c r="F118" s="709"/>
      <c r="G118" s="709"/>
      <c r="H118" s="709"/>
      <c r="I118" s="485" t="s">
        <v>6</v>
      </c>
    </row>
    <row r="119" spans="1:9" ht="50.1" customHeight="1" x14ac:dyDescent="0.3">
      <c r="A119" s="707"/>
      <c r="B119" s="51">
        <v>2021</v>
      </c>
      <c r="C119" s="709" t="s">
        <v>457</v>
      </c>
      <c r="D119" s="709"/>
      <c r="E119" s="709"/>
      <c r="F119" s="709"/>
      <c r="G119" s="709"/>
      <c r="H119" s="709"/>
      <c r="I119" s="485" t="s">
        <v>6</v>
      </c>
    </row>
    <row r="120" spans="1:9" ht="50.1" customHeight="1" x14ac:dyDescent="0.3">
      <c r="A120" s="707"/>
      <c r="B120" s="51">
        <v>2022</v>
      </c>
      <c r="C120" s="709" t="s">
        <v>458</v>
      </c>
      <c r="D120" s="709"/>
      <c r="E120" s="709"/>
      <c r="F120" s="709"/>
      <c r="G120" s="709"/>
      <c r="H120" s="709"/>
      <c r="I120" s="485" t="s">
        <v>6</v>
      </c>
    </row>
    <row r="121" spans="1:9" ht="50.1" customHeight="1" x14ac:dyDescent="0.3">
      <c r="A121" s="707"/>
      <c r="B121" s="51">
        <v>2023</v>
      </c>
      <c r="C121" s="709" t="s">
        <v>459</v>
      </c>
      <c r="D121" s="709"/>
      <c r="E121" s="709"/>
      <c r="F121" s="709"/>
      <c r="G121" s="709"/>
      <c r="H121" s="709"/>
      <c r="I121" s="485" t="s">
        <v>6</v>
      </c>
    </row>
    <row r="122" spans="1:9" ht="28.5" customHeight="1" x14ac:dyDescent="0.3">
      <c r="B122" s="711" t="s">
        <v>460</v>
      </c>
      <c r="C122" s="709"/>
      <c r="D122" s="709"/>
      <c r="E122" s="709"/>
      <c r="F122" s="709"/>
      <c r="G122" s="709"/>
      <c r="H122" s="709"/>
      <c r="I122" s="709"/>
    </row>
    <row r="123" spans="1:9" ht="15" customHeight="1" x14ac:dyDescent="0.4">
      <c r="B123" s="6"/>
      <c r="C123" s="18"/>
      <c r="D123" s="20"/>
      <c r="E123" s="20"/>
    </row>
    <row r="124" spans="1:9" ht="15" customHeight="1" x14ac:dyDescent="0.4">
      <c r="B124" s="6"/>
      <c r="C124" s="18"/>
      <c r="D124" s="20"/>
      <c r="E124" s="20"/>
    </row>
    <row r="125" spans="1:9" s="46" customFormat="1" ht="17.399999999999999" x14ac:dyDescent="0.3">
      <c r="B125" s="710" t="s">
        <v>461</v>
      </c>
      <c r="C125" s="710"/>
      <c r="D125" s="45"/>
      <c r="E125" s="45"/>
    </row>
    <row r="126" spans="1:9" ht="21" x14ac:dyDescent="0.4">
      <c r="A126" s="707"/>
      <c r="B126" s="6"/>
      <c r="C126" s="18"/>
      <c r="D126" s="20"/>
      <c r="E126" s="20"/>
    </row>
    <row r="127" spans="1:9" x14ac:dyDescent="0.3">
      <c r="A127" s="707"/>
      <c r="B127" s="708" t="s">
        <v>462</v>
      </c>
      <c r="C127" s="708"/>
      <c r="D127" s="708"/>
      <c r="E127" s="708"/>
      <c r="F127" s="708"/>
      <c r="G127" s="708"/>
      <c r="H127" s="708"/>
      <c r="I127" s="708"/>
    </row>
    <row r="128" spans="1:9" ht="21" x14ac:dyDescent="0.4">
      <c r="A128" s="707"/>
      <c r="B128" s="6"/>
      <c r="C128" s="18"/>
      <c r="D128" s="20"/>
      <c r="E128" s="20"/>
    </row>
    <row r="129" spans="1:9" x14ac:dyDescent="0.3">
      <c r="A129" s="707"/>
      <c r="B129" s="50" t="s">
        <v>344</v>
      </c>
      <c r="C129" s="712" t="s">
        <v>345</v>
      </c>
      <c r="D129" s="712"/>
      <c r="E129" s="712"/>
      <c r="F129" s="712"/>
      <c r="G129" s="712"/>
      <c r="H129" s="712"/>
      <c r="I129" s="49" t="s">
        <v>346</v>
      </c>
    </row>
    <row r="130" spans="1:9" ht="45" customHeight="1" x14ac:dyDescent="0.3">
      <c r="A130" s="707"/>
      <c r="B130" s="51">
        <v>2019</v>
      </c>
      <c r="C130" s="709" t="s">
        <v>463</v>
      </c>
      <c r="D130" s="709"/>
      <c r="E130" s="709"/>
      <c r="F130" s="709"/>
      <c r="G130" s="709"/>
      <c r="H130" s="709"/>
      <c r="I130" s="55" t="s">
        <v>348</v>
      </c>
    </row>
    <row r="131" spans="1:9" ht="45" customHeight="1" x14ac:dyDescent="0.3">
      <c r="A131" s="707"/>
      <c r="B131" s="51">
        <v>2020</v>
      </c>
      <c r="C131" s="709" t="s">
        <v>464</v>
      </c>
      <c r="D131" s="709"/>
      <c r="E131" s="709"/>
      <c r="F131" s="709"/>
      <c r="G131" s="709"/>
      <c r="H131" s="709"/>
      <c r="I131" s="55" t="s">
        <v>350</v>
      </c>
    </row>
    <row r="132" spans="1:9" ht="75" customHeight="1" x14ac:dyDescent="0.3">
      <c r="A132" s="707"/>
      <c r="B132" s="51">
        <v>2021</v>
      </c>
      <c r="C132" s="709" t="s">
        <v>465</v>
      </c>
      <c r="D132" s="709"/>
      <c r="E132" s="709"/>
      <c r="F132" s="709"/>
      <c r="G132" s="709"/>
      <c r="H132" s="709"/>
      <c r="I132" s="55" t="s">
        <v>442</v>
      </c>
    </row>
    <row r="133" spans="1:9" ht="105" customHeight="1" x14ac:dyDescent="0.3">
      <c r="A133" s="707"/>
      <c r="B133" s="51">
        <v>2022</v>
      </c>
      <c r="C133" s="709" t="s">
        <v>466</v>
      </c>
      <c r="D133" s="709"/>
      <c r="E133" s="709"/>
      <c r="F133" s="709"/>
      <c r="G133" s="709"/>
      <c r="H133" s="709"/>
      <c r="I133" s="55" t="s">
        <v>442</v>
      </c>
    </row>
    <row r="134" spans="1:9" ht="95.1" customHeight="1" x14ac:dyDescent="0.3">
      <c r="B134" s="51">
        <v>2023</v>
      </c>
      <c r="C134" s="709" t="s">
        <v>467</v>
      </c>
      <c r="D134" s="709"/>
      <c r="E134" s="709"/>
      <c r="F134" s="709"/>
      <c r="G134" s="709"/>
      <c r="H134" s="709"/>
      <c r="I134" s="55" t="s">
        <v>442</v>
      </c>
    </row>
    <row r="135" spans="1:9" ht="59.1" customHeight="1" x14ac:dyDescent="0.3">
      <c r="B135" s="709" t="s">
        <v>468</v>
      </c>
      <c r="C135" s="709"/>
      <c r="D135" s="709"/>
      <c r="E135" s="709"/>
      <c r="F135" s="709"/>
      <c r="G135" s="709"/>
      <c r="H135" s="709"/>
      <c r="I135" s="709"/>
    </row>
    <row r="136" spans="1:9" ht="15" customHeight="1" x14ac:dyDescent="0.4">
      <c r="B136" s="6"/>
      <c r="C136" s="18"/>
      <c r="D136" s="20"/>
      <c r="E136" s="20"/>
    </row>
    <row r="137" spans="1:9" ht="15" customHeight="1" x14ac:dyDescent="0.4">
      <c r="B137" s="6"/>
      <c r="C137" s="18"/>
      <c r="D137" s="20"/>
      <c r="E137" s="20"/>
    </row>
    <row r="138" spans="1:9" s="46" customFormat="1" ht="17.399999999999999" x14ac:dyDescent="0.3">
      <c r="B138" s="710" t="s">
        <v>469</v>
      </c>
      <c r="C138" s="710"/>
      <c r="D138" s="45"/>
      <c r="E138" s="45"/>
    </row>
    <row r="139" spans="1:9" ht="21" x14ac:dyDescent="0.4">
      <c r="A139" s="707"/>
      <c r="B139" s="6"/>
      <c r="C139" s="18"/>
      <c r="D139" s="20"/>
      <c r="E139" s="20"/>
    </row>
    <row r="140" spans="1:9" x14ac:dyDescent="0.3">
      <c r="A140" s="707"/>
      <c r="B140" s="708" t="s">
        <v>470</v>
      </c>
      <c r="C140" s="708"/>
      <c r="D140" s="708"/>
      <c r="E140" s="708"/>
      <c r="F140" s="708"/>
      <c r="G140" s="708"/>
      <c r="H140" s="708"/>
      <c r="I140" s="708"/>
    </row>
    <row r="141" spans="1:9" ht="21" x14ac:dyDescent="0.4">
      <c r="A141" s="707"/>
      <c r="B141" s="6"/>
      <c r="C141" s="18"/>
      <c r="D141" s="20"/>
      <c r="E141" s="20"/>
    </row>
    <row r="142" spans="1:9" x14ac:dyDescent="0.3">
      <c r="A142" s="707"/>
      <c r="B142" s="50" t="s">
        <v>344</v>
      </c>
      <c r="C142" s="712" t="s">
        <v>345</v>
      </c>
      <c r="D142" s="712"/>
      <c r="E142" s="712"/>
      <c r="F142" s="712"/>
      <c r="G142" s="712"/>
      <c r="H142" s="712"/>
      <c r="I142" s="49" t="s">
        <v>346</v>
      </c>
    </row>
    <row r="143" spans="1:9" ht="63.6" customHeight="1" x14ac:dyDescent="0.3">
      <c r="A143" s="707"/>
      <c r="B143" s="51">
        <v>2019</v>
      </c>
      <c r="C143" s="709" t="s">
        <v>471</v>
      </c>
      <c r="D143" s="709"/>
      <c r="E143" s="709"/>
      <c r="F143" s="709"/>
      <c r="G143" s="709"/>
      <c r="H143" s="709"/>
      <c r="I143" s="55" t="s">
        <v>348</v>
      </c>
    </row>
    <row r="144" spans="1:9" ht="129" customHeight="1" x14ac:dyDescent="0.3">
      <c r="A144" s="707"/>
      <c r="B144" s="51">
        <v>2020</v>
      </c>
      <c r="C144" s="709" t="s">
        <v>472</v>
      </c>
      <c r="D144" s="709"/>
      <c r="E144" s="709"/>
      <c r="F144" s="709"/>
      <c r="G144" s="709"/>
      <c r="H144" s="709"/>
      <c r="I144" s="55" t="s">
        <v>350</v>
      </c>
    </row>
    <row r="145" spans="1:9" ht="158.25" customHeight="1" x14ac:dyDescent="0.3">
      <c r="A145" s="707"/>
      <c r="B145" s="51">
        <v>2021</v>
      </c>
      <c r="C145" s="709" t="s">
        <v>473</v>
      </c>
      <c r="D145" s="709"/>
      <c r="E145" s="709"/>
      <c r="F145" s="709"/>
      <c r="G145" s="709"/>
      <c r="H145" s="709"/>
      <c r="I145" s="55" t="s">
        <v>442</v>
      </c>
    </row>
    <row r="146" spans="1:9" ht="160.5" customHeight="1" x14ac:dyDescent="0.3">
      <c r="B146" s="51">
        <v>2022</v>
      </c>
      <c r="C146" s="709" t="s">
        <v>474</v>
      </c>
      <c r="D146" s="709"/>
      <c r="E146" s="709"/>
      <c r="F146" s="709"/>
      <c r="G146" s="709"/>
      <c r="H146" s="709"/>
      <c r="I146" s="55" t="s">
        <v>442</v>
      </c>
    </row>
    <row r="147" spans="1:9" ht="190.05" customHeight="1" x14ac:dyDescent="0.3">
      <c r="B147" s="51">
        <v>2023</v>
      </c>
      <c r="C147" s="709" t="s">
        <v>475</v>
      </c>
      <c r="D147" s="709"/>
      <c r="E147" s="709"/>
      <c r="F147" s="709"/>
      <c r="G147" s="709"/>
      <c r="H147" s="709"/>
      <c r="I147" s="55" t="s">
        <v>442</v>
      </c>
    </row>
    <row r="148" spans="1:9" ht="14.55" customHeight="1" x14ac:dyDescent="0.3">
      <c r="B148" s="51"/>
      <c r="C148" s="196"/>
      <c r="D148" s="196"/>
      <c r="E148" s="196"/>
      <c r="F148" s="196"/>
      <c r="G148" s="196"/>
      <c r="H148" s="196"/>
      <c r="I148" s="55"/>
    </row>
    <row r="149" spans="1:9" ht="72" customHeight="1" x14ac:dyDescent="0.3">
      <c r="B149" s="152" t="s">
        <v>476</v>
      </c>
      <c r="C149" s="152" t="s">
        <v>477</v>
      </c>
      <c r="D149" s="152" t="s">
        <v>478</v>
      </c>
      <c r="E149" s="152" t="s">
        <v>479</v>
      </c>
      <c r="F149" s="152" t="s">
        <v>480</v>
      </c>
      <c r="G149" s="152" t="s">
        <v>481</v>
      </c>
      <c r="H149" s="152" t="s">
        <v>482</v>
      </c>
      <c r="I149" s="152" t="s">
        <v>483</v>
      </c>
    </row>
    <row r="150" spans="1:9" ht="20.100000000000001" customHeight="1" x14ac:dyDescent="0.3">
      <c r="B150" s="292" t="s">
        <v>484</v>
      </c>
      <c r="C150" s="565" t="s">
        <v>485</v>
      </c>
      <c r="D150" s="565" t="s">
        <v>486</v>
      </c>
      <c r="E150" s="567" t="s">
        <v>487</v>
      </c>
      <c r="F150" s="565" t="s">
        <v>488</v>
      </c>
      <c r="G150" s="567" t="s">
        <v>489</v>
      </c>
      <c r="H150" s="565">
        <v>1.905</v>
      </c>
      <c r="I150" s="567" t="s">
        <v>490</v>
      </c>
    </row>
    <row r="151" spans="1:9" ht="20.100000000000001" customHeight="1" x14ac:dyDescent="0.3">
      <c r="B151" s="292" t="s">
        <v>491</v>
      </c>
      <c r="C151" s="565">
        <v>1</v>
      </c>
      <c r="D151" s="565">
        <v>1</v>
      </c>
      <c r="E151" s="567" t="s">
        <v>492</v>
      </c>
      <c r="F151" s="565">
        <v>1</v>
      </c>
      <c r="G151" s="567" t="s">
        <v>492</v>
      </c>
      <c r="H151" s="565">
        <v>0</v>
      </c>
      <c r="I151" s="567" t="s">
        <v>493</v>
      </c>
    </row>
    <row r="152" spans="1:9" ht="20.100000000000001" customHeight="1" x14ac:dyDescent="0.3">
      <c r="B152" s="292" t="s">
        <v>494</v>
      </c>
      <c r="C152" s="565">
        <v>13</v>
      </c>
      <c r="D152" s="565">
        <v>13</v>
      </c>
      <c r="E152" s="567" t="s">
        <v>492</v>
      </c>
      <c r="F152" s="565">
        <v>13</v>
      </c>
      <c r="G152" s="567" t="s">
        <v>492</v>
      </c>
      <c r="H152" s="565">
        <v>0</v>
      </c>
      <c r="I152" s="567" t="s">
        <v>493</v>
      </c>
    </row>
    <row r="153" spans="1:9" ht="20.100000000000001" customHeight="1" x14ac:dyDescent="0.3">
      <c r="B153" s="292" t="s">
        <v>495</v>
      </c>
      <c r="C153" s="565" t="s">
        <v>496</v>
      </c>
      <c r="D153" s="565" t="s">
        <v>497</v>
      </c>
      <c r="E153" s="567" t="s">
        <v>489</v>
      </c>
      <c r="F153" s="565" t="s">
        <v>498</v>
      </c>
      <c r="G153" s="567" t="s">
        <v>499</v>
      </c>
      <c r="H153" s="565">
        <v>15</v>
      </c>
      <c r="I153" s="567" t="s">
        <v>500</v>
      </c>
    </row>
    <row r="154" spans="1:9" ht="20.100000000000001" customHeight="1" x14ac:dyDescent="0.3">
      <c r="B154" s="292" t="s">
        <v>501</v>
      </c>
      <c r="C154" s="565">
        <v>14</v>
      </c>
      <c r="D154" s="565">
        <v>14</v>
      </c>
      <c r="E154" s="567" t="s">
        <v>492</v>
      </c>
      <c r="F154" s="565">
        <v>14</v>
      </c>
      <c r="G154" s="567" t="s">
        <v>492</v>
      </c>
      <c r="H154" s="565">
        <v>1</v>
      </c>
      <c r="I154" s="567" t="s">
        <v>502</v>
      </c>
    </row>
    <row r="155" spans="1:9" ht="20.100000000000001" customHeight="1" x14ac:dyDescent="0.3">
      <c r="B155" s="292" t="s">
        <v>503</v>
      </c>
      <c r="C155" s="565">
        <v>140</v>
      </c>
      <c r="D155" s="565">
        <v>136</v>
      </c>
      <c r="E155" s="567" t="s">
        <v>504</v>
      </c>
      <c r="F155" s="565">
        <v>136</v>
      </c>
      <c r="G155" s="294">
        <v>0.97142857142857142</v>
      </c>
      <c r="H155" s="565">
        <v>82</v>
      </c>
      <c r="I155" s="567" t="s">
        <v>505</v>
      </c>
    </row>
    <row r="156" spans="1:9" ht="20.100000000000001" customHeight="1" x14ac:dyDescent="0.3">
      <c r="B156" s="292" t="s">
        <v>506</v>
      </c>
      <c r="C156" s="565">
        <v>3</v>
      </c>
      <c r="D156" s="565">
        <v>3</v>
      </c>
      <c r="E156" s="567" t="s">
        <v>492</v>
      </c>
      <c r="F156" s="565">
        <v>3</v>
      </c>
      <c r="G156" s="567" t="s">
        <v>492</v>
      </c>
      <c r="H156" s="565">
        <v>0</v>
      </c>
      <c r="I156" s="294">
        <v>0</v>
      </c>
    </row>
    <row r="157" spans="1:9" ht="20.100000000000001" customHeight="1" x14ac:dyDescent="0.3">
      <c r="B157" s="292" t="s">
        <v>507</v>
      </c>
      <c r="C157" s="565">
        <v>19</v>
      </c>
      <c r="D157" s="565">
        <v>19</v>
      </c>
      <c r="E157" s="567" t="s">
        <v>492</v>
      </c>
      <c r="F157" s="565">
        <v>19</v>
      </c>
      <c r="G157" s="567" t="s">
        <v>492</v>
      </c>
      <c r="H157" s="565">
        <v>4</v>
      </c>
      <c r="I157" s="567" t="s">
        <v>508</v>
      </c>
    </row>
    <row r="158" spans="1:9" ht="20.100000000000001" customHeight="1" x14ac:dyDescent="0.3">
      <c r="B158" s="292" t="s">
        <v>509</v>
      </c>
      <c r="C158" s="565">
        <v>1</v>
      </c>
      <c r="D158" s="565">
        <v>1</v>
      </c>
      <c r="E158" s="567" t="s">
        <v>492</v>
      </c>
      <c r="F158" s="565">
        <v>0</v>
      </c>
      <c r="G158" s="567" t="s">
        <v>493</v>
      </c>
      <c r="H158" s="565">
        <v>0</v>
      </c>
      <c r="I158" s="567" t="s">
        <v>493</v>
      </c>
    </row>
    <row r="159" spans="1:9" ht="20.100000000000001" customHeight="1" x14ac:dyDescent="0.3">
      <c r="B159" s="292" t="s">
        <v>510</v>
      </c>
      <c r="C159" s="565" t="s">
        <v>511</v>
      </c>
      <c r="D159" s="565" t="s">
        <v>512</v>
      </c>
      <c r="E159" s="567" t="s">
        <v>513</v>
      </c>
      <c r="F159" s="565" t="s">
        <v>514</v>
      </c>
      <c r="G159" s="294">
        <v>0.85660138976626654</v>
      </c>
      <c r="H159" s="565">
        <v>461</v>
      </c>
      <c r="I159" s="567" t="s">
        <v>515</v>
      </c>
    </row>
    <row r="160" spans="1:9" ht="20.100000000000001" customHeight="1" x14ac:dyDescent="0.3">
      <c r="B160" s="292" t="s">
        <v>516</v>
      </c>
      <c r="C160" s="565">
        <v>78</v>
      </c>
      <c r="D160" s="565">
        <v>78</v>
      </c>
      <c r="E160" s="567" t="s">
        <v>492</v>
      </c>
      <c r="F160" s="565">
        <v>77</v>
      </c>
      <c r="G160" s="294">
        <v>0.98717948717948723</v>
      </c>
      <c r="H160" s="565">
        <v>35</v>
      </c>
      <c r="I160" s="567" t="s">
        <v>517</v>
      </c>
    </row>
    <row r="161" spans="1:9" ht="20.100000000000001" customHeight="1" x14ac:dyDescent="0.3">
      <c r="B161" s="292" t="s">
        <v>518</v>
      </c>
      <c r="C161" s="565">
        <v>377</v>
      </c>
      <c r="D161" s="565">
        <v>377</v>
      </c>
      <c r="E161" s="567" t="s">
        <v>492</v>
      </c>
      <c r="F161" s="565">
        <v>376</v>
      </c>
      <c r="G161" s="294">
        <v>0.99734748010610075</v>
      </c>
      <c r="H161" s="565">
        <v>40</v>
      </c>
      <c r="I161" s="567" t="s">
        <v>519</v>
      </c>
    </row>
    <row r="162" spans="1:9" ht="20.100000000000001" customHeight="1" x14ac:dyDescent="0.3">
      <c r="B162" s="292" t="s">
        <v>520</v>
      </c>
      <c r="C162" s="565">
        <v>594</v>
      </c>
      <c r="D162" s="565">
        <v>594</v>
      </c>
      <c r="E162" s="567" t="s">
        <v>492</v>
      </c>
      <c r="F162" s="565">
        <v>574</v>
      </c>
      <c r="G162" s="294">
        <v>0.96632996632996637</v>
      </c>
      <c r="H162" s="565">
        <v>56</v>
      </c>
      <c r="I162" s="567" t="s">
        <v>521</v>
      </c>
    </row>
    <row r="163" spans="1:9" ht="44.55" customHeight="1" x14ac:dyDescent="0.3">
      <c r="B163" s="293" t="s">
        <v>522</v>
      </c>
      <c r="C163" s="565">
        <v>10</v>
      </c>
      <c r="D163" s="565">
        <v>10</v>
      </c>
      <c r="E163" s="567" t="s">
        <v>492</v>
      </c>
      <c r="F163" s="565">
        <v>10</v>
      </c>
      <c r="G163" s="567" t="s">
        <v>492</v>
      </c>
      <c r="H163" s="565">
        <v>8</v>
      </c>
      <c r="I163" s="294" t="s">
        <v>523</v>
      </c>
    </row>
    <row r="164" spans="1:9" ht="20.100000000000001" customHeight="1" x14ac:dyDescent="0.3">
      <c r="B164" s="292" t="s">
        <v>524</v>
      </c>
      <c r="C164" s="565">
        <v>26</v>
      </c>
      <c r="D164" s="565">
        <v>26</v>
      </c>
      <c r="E164" s="567" t="s">
        <v>492</v>
      </c>
      <c r="F164" s="565">
        <v>26</v>
      </c>
      <c r="G164" s="567" t="s">
        <v>492</v>
      </c>
      <c r="H164" s="565">
        <v>1</v>
      </c>
      <c r="I164" s="567" t="s">
        <v>525</v>
      </c>
    </row>
    <row r="165" spans="1:9" ht="20.100000000000001" customHeight="1" x14ac:dyDescent="0.3">
      <c r="B165" s="292" t="s">
        <v>526</v>
      </c>
      <c r="C165" s="565">
        <v>195</v>
      </c>
      <c r="D165" s="565">
        <v>195</v>
      </c>
      <c r="E165" s="567" t="s">
        <v>492</v>
      </c>
      <c r="F165" s="565">
        <v>188</v>
      </c>
      <c r="G165" s="294">
        <v>0.96410256410256412</v>
      </c>
      <c r="H165" s="565">
        <v>0</v>
      </c>
      <c r="I165" s="567" t="s">
        <v>493</v>
      </c>
    </row>
    <row r="166" spans="1:9" ht="20.100000000000001" customHeight="1" x14ac:dyDescent="0.3">
      <c r="B166" s="292" t="s">
        <v>527</v>
      </c>
      <c r="C166" s="565">
        <v>50</v>
      </c>
      <c r="D166" s="565">
        <v>50</v>
      </c>
      <c r="E166" s="567" t="s">
        <v>492</v>
      </c>
      <c r="F166" s="565">
        <v>43</v>
      </c>
      <c r="G166" s="294">
        <v>0.86</v>
      </c>
      <c r="H166" s="565">
        <v>16</v>
      </c>
      <c r="I166" s="567" t="s">
        <v>528</v>
      </c>
    </row>
    <row r="167" spans="1:9" ht="20.100000000000001" customHeight="1" x14ac:dyDescent="0.3">
      <c r="B167" s="292" t="s">
        <v>529</v>
      </c>
      <c r="C167" s="565">
        <v>63</v>
      </c>
      <c r="D167" s="565">
        <v>63</v>
      </c>
      <c r="E167" s="567" t="s">
        <v>492</v>
      </c>
      <c r="F167" s="565">
        <v>56</v>
      </c>
      <c r="G167" s="294">
        <v>0.88888888888888884</v>
      </c>
      <c r="H167" s="565">
        <v>27</v>
      </c>
      <c r="I167" s="567" t="s">
        <v>530</v>
      </c>
    </row>
    <row r="168" spans="1:9" ht="20.100000000000001" customHeight="1" x14ac:dyDescent="0.3">
      <c r="B168" s="458" t="s">
        <v>531</v>
      </c>
      <c r="C168" s="565">
        <v>0</v>
      </c>
      <c r="D168" s="565">
        <v>0</v>
      </c>
      <c r="E168" s="567" t="s">
        <v>493</v>
      </c>
      <c r="F168" s="565">
        <v>0</v>
      </c>
      <c r="G168" s="567" t="s">
        <v>493</v>
      </c>
      <c r="H168" s="565">
        <v>0</v>
      </c>
      <c r="I168" s="567" t="s">
        <v>493</v>
      </c>
    </row>
    <row r="169" spans="1:9" ht="30" customHeight="1" x14ac:dyDescent="0.3">
      <c r="B169" s="343" t="s">
        <v>532</v>
      </c>
      <c r="C169" s="566" t="s">
        <v>533</v>
      </c>
      <c r="D169" s="566" t="s">
        <v>534</v>
      </c>
      <c r="E169" s="302">
        <v>0.98970167796787767</v>
      </c>
      <c r="F169" s="566" t="s">
        <v>535</v>
      </c>
      <c r="G169" s="302">
        <v>0.9570703668777224</v>
      </c>
      <c r="H169" s="568" t="s">
        <v>536</v>
      </c>
      <c r="I169" s="569" t="s">
        <v>537</v>
      </c>
    </row>
    <row r="170" spans="1:9" ht="22.05" customHeight="1" x14ac:dyDescent="0.3">
      <c r="B170" s="709" t="s">
        <v>538</v>
      </c>
      <c r="C170" s="709"/>
      <c r="D170" s="709"/>
      <c r="E170" s="709"/>
      <c r="F170" s="709"/>
      <c r="G170" s="709"/>
      <c r="H170" s="709"/>
      <c r="I170" s="709"/>
    </row>
    <row r="171" spans="1:9" ht="15" customHeight="1" x14ac:dyDescent="0.4">
      <c r="B171" s="6"/>
      <c r="C171" s="18"/>
      <c r="D171" s="20"/>
      <c r="E171" s="20"/>
    </row>
    <row r="172" spans="1:9" ht="15" customHeight="1" x14ac:dyDescent="0.4">
      <c r="B172" s="6"/>
      <c r="C172" s="18"/>
      <c r="D172" s="20"/>
      <c r="E172" s="20"/>
    </row>
    <row r="173" spans="1:9" s="46" customFormat="1" ht="17.399999999999999" x14ac:dyDescent="0.3">
      <c r="B173" s="710" t="s">
        <v>539</v>
      </c>
      <c r="C173" s="710"/>
      <c r="D173" s="45"/>
      <c r="E173" s="45"/>
    </row>
    <row r="174" spans="1:9" ht="21" x14ac:dyDescent="0.4">
      <c r="A174" s="707"/>
      <c r="B174" s="6"/>
      <c r="C174" s="18"/>
      <c r="D174" s="20"/>
      <c r="E174" s="20"/>
    </row>
    <row r="175" spans="1:9" x14ac:dyDescent="0.3">
      <c r="A175" s="707"/>
      <c r="B175" s="708" t="s">
        <v>540</v>
      </c>
      <c r="C175" s="708"/>
      <c r="D175" s="708"/>
      <c r="E175" s="708"/>
      <c r="F175" s="708"/>
      <c r="G175" s="708"/>
      <c r="H175" s="708"/>
      <c r="I175" s="708"/>
    </row>
    <row r="176" spans="1:9" ht="21" x14ac:dyDescent="0.4">
      <c r="A176" s="707"/>
      <c r="B176" s="6"/>
      <c r="C176" s="18"/>
      <c r="D176" s="20"/>
      <c r="E176" s="20"/>
    </row>
    <row r="177" spans="1:9" x14ac:dyDescent="0.3">
      <c r="A177" s="707"/>
      <c r="B177" s="50" t="s">
        <v>344</v>
      </c>
      <c r="C177" s="712" t="s">
        <v>345</v>
      </c>
      <c r="D177" s="712"/>
      <c r="E177" s="712"/>
      <c r="F177" s="712"/>
      <c r="G177" s="712"/>
      <c r="H177" s="712"/>
      <c r="I177" s="49" t="s">
        <v>346</v>
      </c>
    </row>
    <row r="178" spans="1:9" ht="50.1" customHeight="1" x14ac:dyDescent="0.3">
      <c r="A178" s="707"/>
      <c r="B178" s="51">
        <v>2019</v>
      </c>
      <c r="C178" s="709" t="s">
        <v>541</v>
      </c>
      <c r="D178" s="709"/>
      <c r="E178" s="709"/>
      <c r="F178" s="709"/>
      <c r="G178" s="709"/>
      <c r="H178" s="709"/>
      <c r="I178" s="55" t="s">
        <v>348</v>
      </c>
    </row>
    <row r="179" spans="1:9" ht="50.1" customHeight="1" x14ac:dyDescent="0.3">
      <c r="A179" s="707"/>
      <c r="B179" s="51">
        <v>2020</v>
      </c>
      <c r="C179" s="709" t="s">
        <v>542</v>
      </c>
      <c r="D179" s="709"/>
      <c r="E179" s="709"/>
      <c r="F179" s="709"/>
      <c r="G179" s="709"/>
      <c r="H179" s="709"/>
      <c r="I179" s="55" t="s">
        <v>350</v>
      </c>
    </row>
    <row r="180" spans="1:9" ht="60" customHeight="1" x14ac:dyDescent="0.3">
      <c r="A180" s="707"/>
      <c r="B180" s="51">
        <v>2021</v>
      </c>
      <c r="C180" s="709" t="s">
        <v>543</v>
      </c>
      <c r="D180" s="709"/>
      <c r="E180" s="709"/>
      <c r="F180" s="709"/>
      <c r="G180" s="709"/>
      <c r="H180" s="709"/>
      <c r="I180" s="55" t="s">
        <v>442</v>
      </c>
    </row>
    <row r="181" spans="1:9" ht="75" customHeight="1" x14ac:dyDescent="0.3">
      <c r="A181" s="707"/>
      <c r="B181" s="51">
        <v>2022</v>
      </c>
      <c r="C181" s="709" t="s">
        <v>544</v>
      </c>
      <c r="D181" s="709"/>
      <c r="E181" s="709"/>
      <c r="F181" s="709"/>
      <c r="G181" s="709"/>
      <c r="H181" s="709"/>
      <c r="I181" s="55" t="s">
        <v>442</v>
      </c>
    </row>
    <row r="182" spans="1:9" ht="75" customHeight="1" x14ac:dyDescent="0.3">
      <c r="A182" s="707"/>
      <c r="B182" s="51">
        <v>2023</v>
      </c>
      <c r="C182" s="709" t="s">
        <v>545</v>
      </c>
      <c r="D182" s="709"/>
      <c r="E182" s="709"/>
      <c r="F182" s="709"/>
      <c r="G182" s="709"/>
      <c r="H182" s="709"/>
      <c r="I182" s="55" t="s">
        <v>442</v>
      </c>
    </row>
    <row r="183" spans="1:9" ht="15" customHeight="1" x14ac:dyDescent="0.4">
      <c r="B183" s="6"/>
      <c r="C183" s="18"/>
      <c r="D183" s="20"/>
      <c r="E183" s="20"/>
      <c r="I183" s="55"/>
    </row>
    <row r="184" spans="1:9" ht="15" customHeight="1" x14ac:dyDescent="0.4">
      <c r="B184" s="6"/>
      <c r="C184" s="18"/>
      <c r="D184" s="20"/>
      <c r="E184" s="20"/>
    </row>
    <row r="185" spans="1:9" s="46" customFormat="1" ht="17.399999999999999" x14ac:dyDescent="0.3">
      <c r="B185" s="710" t="s">
        <v>546</v>
      </c>
      <c r="C185" s="710"/>
      <c r="D185" s="45"/>
      <c r="E185" s="45"/>
    </row>
    <row r="186" spans="1:9" ht="21" x14ac:dyDescent="0.4">
      <c r="A186" s="707"/>
      <c r="B186" s="6"/>
      <c r="C186" s="18"/>
      <c r="D186" s="20"/>
      <c r="E186" s="20"/>
    </row>
    <row r="187" spans="1:9" x14ac:dyDescent="0.3">
      <c r="A187" s="707"/>
      <c r="B187" s="708" t="s">
        <v>547</v>
      </c>
      <c r="C187" s="708"/>
      <c r="D187" s="708"/>
      <c r="E187" s="708"/>
      <c r="F187" s="708"/>
      <c r="G187" s="708"/>
      <c r="H187" s="708"/>
      <c r="I187" s="708"/>
    </row>
    <row r="188" spans="1:9" ht="21" x14ac:dyDescent="0.4">
      <c r="A188" s="707"/>
      <c r="B188" s="6"/>
      <c r="C188" s="18"/>
      <c r="D188" s="20"/>
      <c r="E188" s="20"/>
    </row>
    <row r="189" spans="1:9" x14ac:dyDescent="0.3">
      <c r="A189" s="707"/>
      <c r="B189" s="50" t="s">
        <v>344</v>
      </c>
      <c r="C189" s="712" t="s">
        <v>345</v>
      </c>
      <c r="D189" s="712"/>
      <c r="E189" s="712"/>
      <c r="F189" s="712"/>
      <c r="G189" s="712"/>
      <c r="H189" s="712"/>
      <c r="I189" s="49" t="s">
        <v>346</v>
      </c>
    </row>
    <row r="190" spans="1:9" ht="55.05" customHeight="1" x14ac:dyDescent="0.3">
      <c r="A190" s="707"/>
      <c r="B190" s="51">
        <v>2019</v>
      </c>
      <c r="C190" s="709" t="s">
        <v>548</v>
      </c>
      <c r="D190" s="709"/>
      <c r="E190" s="709"/>
      <c r="F190" s="709"/>
      <c r="G190" s="709"/>
      <c r="H190" s="709"/>
      <c r="I190" s="55" t="s">
        <v>348</v>
      </c>
    </row>
    <row r="191" spans="1:9" ht="55.05" customHeight="1" x14ac:dyDescent="0.3">
      <c r="A191" s="707"/>
      <c r="B191" s="51">
        <v>2020</v>
      </c>
      <c r="C191" s="709" t="s">
        <v>548</v>
      </c>
      <c r="D191" s="709"/>
      <c r="E191" s="709"/>
      <c r="F191" s="709"/>
      <c r="G191" s="709"/>
      <c r="H191" s="709"/>
      <c r="I191" s="55" t="s">
        <v>350</v>
      </c>
    </row>
    <row r="192" spans="1:9" ht="55.05" customHeight="1" x14ac:dyDescent="0.3">
      <c r="A192" s="707"/>
      <c r="B192" s="51">
        <v>2021</v>
      </c>
      <c r="C192" s="709" t="s">
        <v>548</v>
      </c>
      <c r="D192" s="709"/>
      <c r="E192" s="709"/>
      <c r="F192" s="709"/>
      <c r="G192" s="709"/>
      <c r="H192" s="709"/>
      <c r="I192" s="485" t="s">
        <v>6</v>
      </c>
    </row>
    <row r="193" spans="1:9" ht="55.05" customHeight="1" x14ac:dyDescent="0.3">
      <c r="A193" s="707"/>
      <c r="B193" s="51">
        <v>2022</v>
      </c>
      <c r="C193" s="709" t="s">
        <v>548</v>
      </c>
      <c r="D193" s="709"/>
      <c r="E193" s="709"/>
      <c r="F193" s="709"/>
      <c r="G193" s="709"/>
      <c r="H193" s="709"/>
      <c r="I193" s="485" t="s">
        <v>6</v>
      </c>
    </row>
    <row r="194" spans="1:9" ht="55.05" customHeight="1" x14ac:dyDescent="0.3">
      <c r="A194" s="707"/>
      <c r="B194" s="51">
        <v>2023</v>
      </c>
      <c r="C194" s="709" t="s">
        <v>548</v>
      </c>
      <c r="D194" s="709"/>
      <c r="E194" s="709"/>
      <c r="F194" s="709"/>
      <c r="G194" s="709"/>
      <c r="H194" s="709"/>
      <c r="I194" s="485" t="s">
        <v>6</v>
      </c>
    </row>
    <row r="195" spans="1:9" ht="15" customHeight="1" x14ac:dyDescent="0.4">
      <c r="A195" s="707"/>
      <c r="B195" s="6"/>
      <c r="C195" s="18"/>
      <c r="D195" s="20"/>
      <c r="E195" s="20"/>
    </row>
    <row r="196" spans="1:9" ht="15" customHeight="1" x14ac:dyDescent="0.3">
      <c r="B196" s="51" t="s">
        <v>354</v>
      </c>
      <c r="C196" s="734" t="s">
        <v>10</v>
      </c>
      <c r="D196" s="734"/>
    </row>
    <row r="197" spans="1:9" ht="15" customHeight="1" x14ac:dyDescent="0.4">
      <c r="B197" s="6"/>
      <c r="C197" s="18"/>
      <c r="D197" s="20"/>
      <c r="E197" s="20"/>
    </row>
    <row r="198" spans="1:9" s="46" customFormat="1" ht="20.100000000000001" customHeight="1" x14ac:dyDescent="0.3">
      <c r="B198" s="715" t="s">
        <v>549</v>
      </c>
      <c r="C198" s="715"/>
      <c r="D198" s="45"/>
      <c r="E198" s="45"/>
    </row>
    <row r="199" spans="1:9" ht="15" customHeight="1" x14ac:dyDescent="0.4">
      <c r="A199" s="707"/>
      <c r="B199" s="6"/>
      <c r="C199" s="18"/>
      <c r="D199" s="20"/>
      <c r="E199" s="20"/>
    </row>
    <row r="200" spans="1:9" ht="15" customHeight="1" x14ac:dyDescent="0.3">
      <c r="A200" s="707"/>
      <c r="B200" s="708" t="s">
        <v>550</v>
      </c>
      <c r="C200" s="708"/>
      <c r="D200" s="708"/>
      <c r="E200" s="708"/>
      <c r="F200" s="708"/>
      <c r="G200" s="708"/>
      <c r="H200" s="708"/>
      <c r="I200" s="708"/>
    </row>
    <row r="201" spans="1:9" ht="15" customHeight="1" x14ac:dyDescent="0.3">
      <c r="A201" s="707"/>
      <c r="B201" s="48"/>
      <c r="C201" s="300"/>
      <c r="D201" s="301"/>
      <c r="E201" s="301"/>
      <c r="F201" s="178"/>
      <c r="G201" s="178"/>
      <c r="H201" s="178"/>
    </row>
    <row r="202" spans="1:9" ht="15" customHeight="1" x14ac:dyDescent="0.3">
      <c r="A202" s="707"/>
      <c r="B202" s="50" t="s">
        <v>344</v>
      </c>
      <c r="C202" s="712" t="s">
        <v>345</v>
      </c>
      <c r="D202" s="712"/>
      <c r="E202" s="712"/>
      <c r="F202" s="712"/>
      <c r="G202" s="712"/>
      <c r="H202" s="712"/>
      <c r="I202" s="49" t="s">
        <v>346</v>
      </c>
    </row>
    <row r="203" spans="1:9" ht="93" customHeight="1" x14ac:dyDescent="0.3">
      <c r="A203" s="707"/>
      <c r="B203" s="51">
        <v>2022</v>
      </c>
      <c r="C203" s="709" t="s">
        <v>551</v>
      </c>
      <c r="D203" s="709"/>
      <c r="E203" s="709"/>
      <c r="F203" s="709"/>
      <c r="G203" s="709"/>
      <c r="H203" s="709"/>
      <c r="I203" s="485" t="s">
        <v>6</v>
      </c>
    </row>
    <row r="204" spans="1:9" ht="93" customHeight="1" x14ac:dyDescent="0.3">
      <c r="A204" s="707"/>
      <c r="B204" s="51">
        <v>2023</v>
      </c>
      <c r="C204" s="732" t="s">
        <v>552</v>
      </c>
      <c r="D204" s="732"/>
      <c r="E204" s="732"/>
      <c r="F204" s="732"/>
      <c r="G204" s="732"/>
      <c r="H204" s="732"/>
      <c r="I204" s="485" t="s">
        <v>6</v>
      </c>
    </row>
    <row r="205" spans="1:9" ht="15" customHeight="1" x14ac:dyDescent="0.3">
      <c r="A205" s="707"/>
      <c r="B205" s="48"/>
      <c r="C205" s="18"/>
      <c r="D205" s="20"/>
      <c r="E205" s="20"/>
    </row>
    <row r="206" spans="1:9" ht="15" customHeight="1" x14ac:dyDescent="0.3">
      <c r="A206" s="707"/>
      <c r="B206" s="51" t="s">
        <v>354</v>
      </c>
      <c r="C206" s="540" t="s">
        <v>553</v>
      </c>
      <c r="D206" s="540"/>
      <c r="E206" s="736" t="s">
        <v>554</v>
      </c>
      <c r="F206" s="736"/>
    </row>
    <row r="207" spans="1:9" ht="15" customHeight="1" x14ac:dyDescent="0.4">
      <c r="B207" s="6"/>
      <c r="C207" s="18"/>
      <c r="D207" s="20"/>
      <c r="E207" s="20"/>
    </row>
    <row r="208" spans="1:9" s="46" customFormat="1" ht="17.399999999999999" x14ac:dyDescent="0.3">
      <c r="B208" s="710" t="s">
        <v>555</v>
      </c>
      <c r="C208" s="710"/>
      <c r="D208" s="45"/>
      <c r="E208" s="45"/>
    </row>
    <row r="209" spans="1:9" ht="15" customHeight="1" x14ac:dyDescent="0.4">
      <c r="A209" s="707"/>
      <c r="B209" s="6"/>
      <c r="C209" s="18"/>
      <c r="D209" s="20"/>
      <c r="E209" s="20"/>
    </row>
    <row r="210" spans="1:9" ht="15" customHeight="1" x14ac:dyDescent="0.3">
      <c r="A210" s="707"/>
      <c r="B210" s="48" t="s">
        <v>556</v>
      </c>
      <c r="C210" s="300"/>
      <c r="D210" s="301"/>
      <c r="E210" s="301"/>
      <c r="F210" s="178"/>
      <c r="G210" s="178"/>
      <c r="H210" s="178"/>
    </row>
    <row r="211" spans="1:9" ht="15" customHeight="1" x14ac:dyDescent="0.3">
      <c r="A211" s="707"/>
      <c r="B211" s="48"/>
      <c r="C211" s="300"/>
      <c r="D211" s="301"/>
      <c r="E211" s="301"/>
      <c r="F211" s="178"/>
      <c r="G211" s="178"/>
      <c r="H211" s="178"/>
    </row>
    <row r="212" spans="1:9" ht="15" customHeight="1" x14ac:dyDescent="0.3">
      <c r="A212" s="707"/>
      <c r="B212" s="50" t="s">
        <v>344</v>
      </c>
      <c r="C212" s="712" t="s">
        <v>345</v>
      </c>
      <c r="D212" s="712"/>
      <c r="E212" s="712"/>
      <c r="F212" s="712"/>
      <c r="G212" s="712"/>
      <c r="H212" s="712"/>
      <c r="I212" s="49" t="s">
        <v>346</v>
      </c>
    </row>
    <row r="213" spans="1:9" ht="97.5" customHeight="1" x14ac:dyDescent="0.3">
      <c r="A213" s="707"/>
      <c r="B213" s="51">
        <v>2022</v>
      </c>
      <c r="C213" s="709" t="s">
        <v>551</v>
      </c>
      <c r="D213" s="709"/>
      <c r="E213" s="709"/>
      <c r="F213" s="709"/>
      <c r="G213" s="709"/>
      <c r="H213" s="709"/>
      <c r="I213" s="485" t="s">
        <v>6</v>
      </c>
    </row>
    <row r="214" spans="1:9" ht="97.5" customHeight="1" x14ac:dyDescent="0.3">
      <c r="A214" s="707"/>
      <c r="B214" s="51">
        <v>2023</v>
      </c>
      <c r="C214" s="732" t="s">
        <v>552</v>
      </c>
      <c r="D214" s="732"/>
      <c r="E214" s="732"/>
      <c r="F214" s="732"/>
      <c r="G214" s="732"/>
      <c r="H214" s="732"/>
      <c r="I214" s="485" t="s">
        <v>6</v>
      </c>
    </row>
    <row r="215" spans="1:9" ht="15" customHeight="1" x14ac:dyDescent="0.3">
      <c r="A215" s="707"/>
      <c r="B215" s="48"/>
      <c r="C215" s="18"/>
      <c r="D215" s="20"/>
      <c r="E215" s="20"/>
    </row>
    <row r="216" spans="1:9" ht="15" customHeight="1" x14ac:dyDescent="0.3">
      <c r="A216" s="707"/>
      <c r="B216" s="51" t="s">
        <v>354</v>
      </c>
      <c r="C216" s="539" t="s">
        <v>553</v>
      </c>
      <c r="D216" s="540"/>
      <c r="E216" s="734" t="s">
        <v>554</v>
      </c>
      <c r="F216" s="734"/>
    </row>
    <row r="217" spans="1:9" ht="15" customHeight="1" x14ac:dyDescent="0.4">
      <c r="B217" s="6"/>
      <c r="C217" s="18"/>
      <c r="D217" s="20"/>
      <c r="E217" s="20"/>
    </row>
    <row r="218" spans="1:9" s="46" customFormat="1" ht="18" customHeight="1" x14ac:dyDescent="0.3">
      <c r="B218" s="715" t="s">
        <v>557</v>
      </c>
      <c r="C218" s="715"/>
      <c r="D218" s="45"/>
      <c r="E218" s="45"/>
    </row>
    <row r="219" spans="1:9" ht="15" customHeight="1" x14ac:dyDescent="0.4">
      <c r="A219" s="707"/>
      <c r="B219" s="6"/>
      <c r="C219" s="18"/>
      <c r="D219" s="20"/>
      <c r="E219" s="20"/>
    </row>
    <row r="220" spans="1:9" ht="15" customHeight="1" x14ac:dyDescent="0.3">
      <c r="A220" s="707"/>
      <c r="B220" s="708" t="s">
        <v>558</v>
      </c>
      <c r="C220" s="708"/>
      <c r="D220" s="708"/>
      <c r="E220" s="708"/>
      <c r="F220" s="708"/>
      <c r="G220" s="708"/>
      <c r="H220" s="708"/>
      <c r="I220" s="708"/>
    </row>
    <row r="221" spans="1:9" ht="15" customHeight="1" x14ac:dyDescent="0.3">
      <c r="A221" s="707"/>
      <c r="B221" s="48"/>
      <c r="C221" s="300"/>
      <c r="D221" s="301"/>
      <c r="E221" s="301"/>
      <c r="F221" s="178"/>
      <c r="G221" s="178"/>
      <c r="H221" s="178"/>
      <c r="I221" s="178"/>
    </row>
    <row r="222" spans="1:9" ht="15" customHeight="1" x14ac:dyDescent="0.3">
      <c r="A222" s="707"/>
      <c r="B222" s="50" t="s">
        <v>344</v>
      </c>
      <c r="C222" s="712" t="s">
        <v>345</v>
      </c>
      <c r="D222" s="712"/>
      <c r="E222" s="712"/>
      <c r="F222" s="712"/>
      <c r="G222" s="712"/>
      <c r="H222" s="712"/>
      <c r="I222" s="49" t="s">
        <v>346</v>
      </c>
    </row>
    <row r="223" spans="1:9" ht="96" customHeight="1" x14ac:dyDescent="0.3">
      <c r="A223" s="707"/>
      <c r="B223" s="51">
        <v>2022</v>
      </c>
      <c r="C223" s="709" t="s">
        <v>551</v>
      </c>
      <c r="D223" s="709"/>
      <c r="E223" s="709"/>
      <c r="F223" s="709"/>
      <c r="G223" s="709"/>
      <c r="H223" s="709"/>
      <c r="I223" s="485" t="s">
        <v>6</v>
      </c>
    </row>
    <row r="224" spans="1:9" ht="96" customHeight="1" x14ac:dyDescent="0.3">
      <c r="A224" s="707"/>
      <c r="B224" s="51">
        <v>2023</v>
      </c>
      <c r="C224" s="732" t="s">
        <v>552</v>
      </c>
      <c r="D224" s="732"/>
      <c r="E224" s="732"/>
      <c r="F224" s="732"/>
      <c r="G224" s="732"/>
      <c r="H224" s="732"/>
      <c r="I224" s="485" t="s">
        <v>6</v>
      </c>
    </row>
    <row r="225" spans="1:12" ht="15" customHeight="1" x14ac:dyDescent="0.3">
      <c r="A225" s="707"/>
      <c r="B225" s="48"/>
      <c r="C225" s="18"/>
      <c r="D225" s="20"/>
      <c r="E225" s="20"/>
    </row>
    <row r="226" spans="1:12" ht="15" customHeight="1" x14ac:dyDescent="0.3">
      <c r="A226" s="707"/>
      <c r="B226" s="51" t="s">
        <v>354</v>
      </c>
      <c r="C226" s="539" t="s">
        <v>553</v>
      </c>
      <c r="D226" s="539"/>
      <c r="E226" s="734" t="s">
        <v>554</v>
      </c>
      <c r="F226" s="734"/>
    </row>
    <row r="227" spans="1:12" ht="15" customHeight="1" x14ac:dyDescent="0.4">
      <c r="B227" s="6"/>
      <c r="C227" s="18"/>
      <c r="D227" s="20"/>
      <c r="E227" s="20"/>
    </row>
    <row r="228" spans="1:12" s="46" customFormat="1" ht="17.399999999999999" x14ac:dyDescent="0.3">
      <c r="B228" s="715" t="s">
        <v>559</v>
      </c>
      <c r="C228" s="715"/>
      <c r="D228" s="45"/>
      <c r="E228" s="45"/>
    </row>
    <row r="229" spans="1:12" ht="20.100000000000001" customHeight="1" x14ac:dyDescent="0.4">
      <c r="A229" s="707"/>
      <c r="B229" s="6"/>
      <c r="C229" s="18"/>
      <c r="D229" s="20"/>
      <c r="E229" s="20"/>
    </row>
    <row r="230" spans="1:12" x14ac:dyDescent="0.3">
      <c r="A230" s="707"/>
      <c r="B230" s="708" t="s">
        <v>560</v>
      </c>
      <c r="C230" s="708"/>
      <c r="D230" s="708"/>
      <c r="E230" s="708"/>
      <c r="F230" s="708"/>
      <c r="G230" s="708"/>
      <c r="H230" s="708"/>
      <c r="I230" s="708"/>
    </row>
    <row r="231" spans="1:12" ht="48" customHeight="1" x14ac:dyDescent="0.3">
      <c r="A231" s="707"/>
      <c r="B231" s="709" t="s">
        <v>561</v>
      </c>
      <c r="C231" s="709"/>
      <c r="D231" s="709"/>
      <c r="E231" s="709"/>
      <c r="F231" s="709"/>
      <c r="G231" s="709"/>
      <c r="H231" s="709"/>
      <c r="I231" s="709"/>
      <c r="J231" s="178"/>
    </row>
    <row r="232" spans="1:12" ht="18" customHeight="1" x14ac:dyDescent="0.3">
      <c r="A232" s="707"/>
      <c r="B232" s="725" t="s">
        <v>562</v>
      </c>
      <c r="C232" s="712" t="s">
        <v>345</v>
      </c>
      <c r="D232" s="712"/>
      <c r="E232" s="712"/>
      <c r="F232" s="712"/>
      <c r="G232" s="712"/>
      <c r="H232" s="712"/>
      <c r="I232" s="712"/>
      <c r="J232" s="712"/>
      <c r="K232" s="712"/>
      <c r="L232" s="712"/>
    </row>
    <row r="233" spans="1:12" ht="23.1" customHeight="1" x14ac:dyDescent="0.3">
      <c r="A233" s="707"/>
      <c r="B233" s="725"/>
      <c r="C233" s="733" t="s">
        <v>563</v>
      </c>
      <c r="D233" s="733"/>
      <c r="E233" s="733"/>
      <c r="F233" s="733"/>
      <c r="G233" s="733"/>
      <c r="H233" s="733"/>
      <c r="I233" s="733"/>
      <c r="J233" s="733"/>
      <c r="K233" s="733"/>
      <c r="L233" s="733"/>
    </row>
    <row r="234" spans="1:12" ht="16.2" x14ac:dyDescent="0.3">
      <c r="A234" s="707"/>
      <c r="B234" s="725"/>
      <c r="C234" s="731" t="s">
        <v>564</v>
      </c>
      <c r="D234" s="731"/>
      <c r="E234" s="731" t="s">
        <v>24</v>
      </c>
      <c r="F234" s="731"/>
      <c r="G234" s="731" t="s">
        <v>565</v>
      </c>
      <c r="H234" s="731"/>
      <c r="I234" s="720" t="s">
        <v>566</v>
      </c>
      <c r="J234" s="720"/>
      <c r="K234" s="731" t="s">
        <v>567</v>
      </c>
      <c r="L234" s="731"/>
    </row>
    <row r="235" spans="1:12" ht="26.4" x14ac:dyDescent="0.3">
      <c r="A235" s="707"/>
      <c r="B235" s="725"/>
      <c r="C235" s="350" t="s">
        <v>568</v>
      </c>
      <c r="D235" s="351" t="s">
        <v>569</v>
      </c>
      <c r="E235" s="350" t="s">
        <v>568</v>
      </c>
      <c r="F235" s="351" t="s">
        <v>569</v>
      </c>
      <c r="G235" s="350" t="s">
        <v>568</v>
      </c>
      <c r="H235" s="351" t="s">
        <v>569</v>
      </c>
      <c r="I235" s="350" t="s">
        <v>568</v>
      </c>
      <c r="J235" s="351" t="s">
        <v>569</v>
      </c>
      <c r="K235" s="350" t="s">
        <v>568</v>
      </c>
      <c r="L235" s="351" t="s">
        <v>569</v>
      </c>
    </row>
    <row r="236" spans="1:12" x14ac:dyDescent="0.3">
      <c r="A236" s="707"/>
      <c r="B236" s="356" t="s">
        <v>570</v>
      </c>
      <c r="C236" s="352">
        <v>0</v>
      </c>
      <c r="D236" s="353">
        <v>12</v>
      </c>
      <c r="E236" s="352" t="s">
        <v>571</v>
      </c>
      <c r="F236" s="353">
        <v>1</v>
      </c>
      <c r="G236" s="352">
        <v>28</v>
      </c>
      <c r="H236" s="353">
        <v>0</v>
      </c>
      <c r="I236" s="73">
        <v>0</v>
      </c>
      <c r="J236" s="73">
        <v>0</v>
      </c>
      <c r="K236" s="352">
        <v>0</v>
      </c>
      <c r="L236" s="353">
        <v>1</v>
      </c>
    </row>
    <row r="237" spans="1:12" x14ac:dyDescent="0.3">
      <c r="A237" s="707"/>
      <c r="B237" s="357" t="s">
        <v>572</v>
      </c>
      <c r="C237" s="352">
        <v>0</v>
      </c>
      <c r="D237" s="353">
        <v>0</v>
      </c>
      <c r="E237" s="352">
        <v>0</v>
      </c>
      <c r="F237" s="353">
        <v>0</v>
      </c>
      <c r="G237" s="352">
        <v>0</v>
      </c>
      <c r="H237" s="353">
        <v>0</v>
      </c>
      <c r="I237" s="73">
        <v>0</v>
      </c>
      <c r="J237" s="73">
        <v>1</v>
      </c>
      <c r="K237" s="352">
        <v>0</v>
      </c>
      <c r="L237" s="353">
        <v>0</v>
      </c>
    </row>
    <row r="238" spans="1:12" x14ac:dyDescent="0.3">
      <c r="A238" s="707"/>
      <c r="B238" s="357" t="s">
        <v>573</v>
      </c>
      <c r="C238" s="352">
        <v>0</v>
      </c>
      <c r="D238" s="353">
        <v>0</v>
      </c>
      <c r="E238" s="352">
        <v>0</v>
      </c>
      <c r="F238" s="353">
        <v>0</v>
      </c>
      <c r="G238" s="352">
        <v>0</v>
      </c>
      <c r="H238" s="353">
        <v>0</v>
      </c>
      <c r="I238" s="73">
        <v>0</v>
      </c>
      <c r="J238" s="73">
        <v>0</v>
      </c>
      <c r="K238" s="352">
        <v>0</v>
      </c>
      <c r="L238" s="353">
        <v>0</v>
      </c>
    </row>
    <row r="239" spans="1:12" x14ac:dyDescent="0.3">
      <c r="A239" s="707"/>
      <c r="B239" s="358" t="s">
        <v>574</v>
      </c>
      <c r="C239" s="354">
        <v>0</v>
      </c>
      <c r="D239" s="355">
        <v>0</v>
      </c>
      <c r="E239" s="354">
        <v>0</v>
      </c>
      <c r="F239" s="355">
        <v>0</v>
      </c>
      <c r="G239" s="354">
        <v>0</v>
      </c>
      <c r="H239" s="355">
        <v>0</v>
      </c>
      <c r="I239" s="489">
        <v>0</v>
      </c>
      <c r="J239" s="489">
        <v>0</v>
      </c>
      <c r="K239" s="354">
        <v>0</v>
      </c>
      <c r="L239" s="355">
        <v>0</v>
      </c>
    </row>
    <row r="240" spans="1:12" ht="96" customHeight="1" x14ac:dyDescent="0.3">
      <c r="A240" s="707"/>
      <c r="B240" s="738" t="s">
        <v>575</v>
      </c>
      <c r="C240" s="738"/>
      <c r="D240" s="738"/>
      <c r="E240" s="738"/>
      <c r="F240" s="738"/>
      <c r="G240" s="738"/>
      <c r="H240" s="738"/>
      <c r="I240" s="738"/>
      <c r="J240" s="738"/>
      <c r="K240" s="738"/>
      <c r="L240" s="738"/>
    </row>
    <row r="241" spans="1:12" ht="12.75" customHeight="1" x14ac:dyDescent="0.3">
      <c r="A241" s="707"/>
      <c r="B241" s="179"/>
      <c r="C241" s="73"/>
      <c r="D241" s="73"/>
      <c r="E241" s="73"/>
      <c r="F241" s="73"/>
      <c r="G241" s="73"/>
      <c r="H241" s="73"/>
      <c r="I241" s="73"/>
      <c r="J241" s="73"/>
    </row>
    <row r="242" spans="1:12" ht="14.55" customHeight="1" x14ac:dyDescent="0.3">
      <c r="A242" s="707"/>
      <c r="B242" s="179"/>
      <c r="C242" s="73"/>
      <c r="D242" s="73"/>
      <c r="E242" s="73"/>
      <c r="F242" s="73"/>
      <c r="G242" s="73"/>
      <c r="H242" s="73"/>
      <c r="I242" s="73"/>
      <c r="J242" s="73"/>
    </row>
    <row r="243" spans="1:12" ht="18" customHeight="1" x14ac:dyDescent="0.3">
      <c r="A243" s="707"/>
      <c r="B243" s="726" t="s">
        <v>562</v>
      </c>
      <c r="C243" s="712" t="s">
        <v>345</v>
      </c>
      <c r="D243" s="712"/>
      <c r="E243" s="712"/>
      <c r="F243" s="712"/>
      <c r="G243" s="712"/>
      <c r="H243" s="712"/>
      <c r="I243" s="712"/>
      <c r="J243" s="712"/>
      <c r="K243" s="712"/>
      <c r="L243" s="712"/>
    </row>
    <row r="244" spans="1:12" ht="24" customHeight="1" x14ac:dyDescent="0.3">
      <c r="A244" s="707"/>
      <c r="B244" s="726"/>
      <c r="C244" s="719" t="s">
        <v>576</v>
      </c>
      <c r="D244" s="719"/>
      <c r="E244" s="719"/>
      <c r="F244" s="719"/>
      <c r="G244" s="719"/>
      <c r="H244" s="719" t="s">
        <v>577</v>
      </c>
      <c r="I244" s="719"/>
      <c r="J244" s="719"/>
      <c r="K244" s="719"/>
      <c r="L244" s="719"/>
    </row>
    <row r="245" spans="1:12" ht="42" customHeight="1" x14ac:dyDescent="0.3">
      <c r="A245" s="707"/>
      <c r="B245" s="726"/>
      <c r="C245" s="350" t="s">
        <v>564</v>
      </c>
      <c r="D245" s="359" t="s">
        <v>24</v>
      </c>
      <c r="E245" s="359" t="s">
        <v>565</v>
      </c>
      <c r="F245" s="359" t="s">
        <v>566</v>
      </c>
      <c r="G245" s="351" t="s">
        <v>578</v>
      </c>
      <c r="H245" s="350" t="s">
        <v>564</v>
      </c>
      <c r="I245" s="359" t="s">
        <v>24</v>
      </c>
      <c r="J245" s="359" t="s">
        <v>565</v>
      </c>
      <c r="K245" s="359" t="s">
        <v>566</v>
      </c>
      <c r="L245" s="351" t="s">
        <v>578</v>
      </c>
    </row>
    <row r="246" spans="1:12" x14ac:dyDescent="0.3">
      <c r="B246" s="356" t="s">
        <v>570</v>
      </c>
      <c r="C246" s="360">
        <v>9</v>
      </c>
      <c r="D246" s="176" t="s">
        <v>579</v>
      </c>
      <c r="E246" s="176">
        <v>10</v>
      </c>
      <c r="F246" s="176">
        <v>76</v>
      </c>
      <c r="G246" s="361">
        <v>29</v>
      </c>
      <c r="H246" s="570" t="s">
        <v>580</v>
      </c>
      <c r="I246" s="571" t="s">
        <v>581</v>
      </c>
      <c r="J246" s="571" t="s">
        <v>582</v>
      </c>
      <c r="K246" s="571" t="s">
        <v>583</v>
      </c>
      <c r="L246" s="572" t="s">
        <v>584</v>
      </c>
    </row>
    <row r="247" spans="1:12" x14ac:dyDescent="0.3">
      <c r="B247" s="357" t="s">
        <v>572</v>
      </c>
      <c r="C247" s="360">
        <v>0</v>
      </c>
      <c r="D247" s="176">
        <v>0</v>
      </c>
      <c r="E247" s="176">
        <v>0</v>
      </c>
      <c r="F247" s="176">
        <v>1</v>
      </c>
      <c r="G247" s="361">
        <v>0</v>
      </c>
      <c r="H247" s="360">
        <v>0</v>
      </c>
      <c r="I247" s="177">
        <v>0</v>
      </c>
      <c r="J247" s="177">
        <v>0</v>
      </c>
      <c r="K247" s="571" t="s">
        <v>585</v>
      </c>
      <c r="L247" s="365">
        <v>0</v>
      </c>
    </row>
    <row r="248" spans="1:12" x14ac:dyDescent="0.3">
      <c r="B248" s="357" t="s">
        <v>573</v>
      </c>
      <c r="C248" s="360">
        <v>0</v>
      </c>
      <c r="D248" s="176">
        <v>0</v>
      </c>
      <c r="E248" s="176">
        <v>0</v>
      </c>
      <c r="F248" s="176">
        <v>0</v>
      </c>
      <c r="G248" s="361">
        <v>0</v>
      </c>
      <c r="H248" s="360">
        <v>0</v>
      </c>
      <c r="I248" s="177">
        <v>0</v>
      </c>
      <c r="J248" s="177">
        <v>0</v>
      </c>
      <c r="K248" s="177">
        <v>0</v>
      </c>
      <c r="L248" s="365">
        <v>0</v>
      </c>
    </row>
    <row r="249" spans="1:12" x14ac:dyDescent="0.3">
      <c r="B249" s="358" t="s">
        <v>574</v>
      </c>
      <c r="C249" s="362">
        <v>0</v>
      </c>
      <c r="D249" s="363">
        <v>0</v>
      </c>
      <c r="E249" s="363">
        <v>0</v>
      </c>
      <c r="F249" s="363">
        <v>0</v>
      </c>
      <c r="G249" s="364">
        <v>0</v>
      </c>
      <c r="H249" s="362">
        <v>0</v>
      </c>
      <c r="I249" s="366">
        <v>0</v>
      </c>
      <c r="J249" s="366">
        <v>0</v>
      </c>
      <c r="K249" s="366">
        <v>0</v>
      </c>
      <c r="L249" s="367">
        <v>0</v>
      </c>
    </row>
    <row r="250" spans="1:12" ht="44.25" customHeight="1" x14ac:dyDescent="0.3">
      <c r="B250" s="738" t="s">
        <v>586</v>
      </c>
      <c r="C250" s="738"/>
      <c r="D250" s="738"/>
      <c r="E250" s="738"/>
      <c r="F250" s="738"/>
      <c r="G250" s="738"/>
      <c r="H250" s="738"/>
      <c r="I250" s="738"/>
      <c r="J250" s="738"/>
      <c r="K250" s="738"/>
      <c r="L250" s="738"/>
    </row>
    <row r="251" spans="1:12" ht="14.55" customHeight="1" x14ac:dyDescent="0.3">
      <c r="B251" s="180"/>
      <c r="C251" s="176"/>
      <c r="D251" s="176"/>
      <c r="E251" s="176"/>
      <c r="F251" s="176"/>
      <c r="G251" s="176"/>
      <c r="H251" s="177"/>
      <c r="I251" s="177"/>
      <c r="J251" s="177"/>
    </row>
    <row r="252" spans="1:12" ht="14.55" customHeight="1" x14ac:dyDescent="0.4">
      <c r="B252" s="6"/>
      <c r="C252" s="18"/>
      <c r="D252" s="20"/>
      <c r="E252" s="20"/>
    </row>
    <row r="253" spans="1:12" s="46" customFormat="1" ht="17.399999999999999" x14ac:dyDescent="0.3">
      <c r="B253" s="710" t="s">
        <v>587</v>
      </c>
      <c r="C253" s="710"/>
      <c r="D253" s="45"/>
      <c r="E253" s="45"/>
    </row>
    <row r="254" spans="1:12" ht="21" x14ac:dyDescent="0.4">
      <c r="A254" s="707"/>
      <c r="B254" s="6"/>
      <c r="C254" s="18"/>
      <c r="D254" s="20"/>
      <c r="E254" s="20"/>
    </row>
    <row r="255" spans="1:12" ht="14.55" customHeight="1" x14ac:dyDescent="0.3">
      <c r="A255" s="707"/>
      <c r="B255" s="708" t="s">
        <v>588</v>
      </c>
      <c r="C255" s="708"/>
      <c r="D255" s="708"/>
      <c r="E255" s="708"/>
      <c r="F255" s="708"/>
      <c r="G255" s="708"/>
      <c r="H255" s="708"/>
      <c r="I255" s="708"/>
    </row>
    <row r="256" spans="1:12" ht="21" x14ac:dyDescent="0.4">
      <c r="A256" s="707"/>
      <c r="B256" s="6"/>
      <c r="C256" s="18"/>
      <c r="D256" s="20"/>
      <c r="E256" s="20"/>
    </row>
    <row r="257" spans="1:9" x14ac:dyDescent="0.3">
      <c r="A257" s="707"/>
      <c r="B257" s="50" t="s">
        <v>344</v>
      </c>
      <c r="C257" s="712" t="s">
        <v>345</v>
      </c>
      <c r="D257" s="712"/>
      <c r="E257" s="712"/>
      <c r="F257" s="712"/>
      <c r="G257" s="712"/>
      <c r="H257" s="712"/>
      <c r="I257" s="49" t="s">
        <v>346</v>
      </c>
    </row>
    <row r="258" spans="1:9" ht="85.05" customHeight="1" x14ac:dyDescent="0.3">
      <c r="A258" s="707"/>
      <c r="B258" s="51">
        <v>2019</v>
      </c>
      <c r="C258" s="709" t="s">
        <v>589</v>
      </c>
      <c r="D258" s="709"/>
      <c r="E258" s="709"/>
      <c r="F258" s="709"/>
      <c r="G258" s="709"/>
      <c r="H258" s="709"/>
      <c r="I258" s="485" t="s">
        <v>6</v>
      </c>
    </row>
    <row r="259" spans="1:9" ht="120" customHeight="1" x14ac:dyDescent="0.3">
      <c r="A259" s="707"/>
      <c r="B259" s="51">
        <v>2020</v>
      </c>
      <c r="C259" s="709" t="s">
        <v>590</v>
      </c>
      <c r="D259" s="709"/>
      <c r="E259" s="709"/>
      <c r="F259" s="709"/>
      <c r="G259" s="709"/>
      <c r="H259" s="709"/>
      <c r="I259" s="485" t="s">
        <v>6</v>
      </c>
    </row>
    <row r="260" spans="1:9" ht="120" customHeight="1" x14ac:dyDescent="0.3">
      <c r="A260" s="707"/>
      <c r="B260" s="51">
        <v>2021</v>
      </c>
      <c r="C260" s="709" t="s">
        <v>591</v>
      </c>
      <c r="D260" s="709"/>
      <c r="E260" s="709"/>
      <c r="F260" s="709"/>
      <c r="G260" s="709"/>
      <c r="H260" s="709"/>
      <c r="I260" s="485" t="s">
        <v>6</v>
      </c>
    </row>
    <row r="261" spans="1:9" ht="109.05" customHeight="1" x14ac:dyDescent="0.3">
      <c r="B261" s="51">
        <v>2022</v>
      </c>
      <c r="C261" s="709" t="s">
        <v>592</v>
      </c>
      <c r="D261" s="709"/>
      <c r="E261" s="709"/>
      <c r="F261" s="709"/>
      <c r="G261" s="709"/>
      <c r="H261" s="709"/>
      <c r="I261" s="485" t="s">
        <v>6</v>
      </c>
    </row>
    <row r="262" spans="1:9" ht="99" customHeight="1" x14ac:dyDescent="0.3">
      <c r="B262" s="51">
        <v>2023</v>
      </c>
      <c r="C262" s="709" t="s">
        <v>593</v>
      </c>
      <c r="D262" s="709"/>
      <c r="E262" s="709"/>
      <c r="F262" s="709"/>
      <c r="G262" s="709"/>
      <c r="H262" s="709"/>
      <c r="I262" s="485" t="s">
        <v>6</v>
      </c>
    </row>
    <row r="265" spans="1:9" s="46" customFormat="1" ht="17.399999999999999" x14ac:dyDescent="0.3">
      <c r="B265" s="710" t="s">
        <v>594</v>
      </c>
      <c r="C265" s="710"/>
      <c r="D265" s="45"/>
      <c r="E265" s="45"/>
    </row>
    <row r="266" spans="1:9" ht="21" x14ac:dyDescent="0.4">
      <c r="A266" s="707"/>
      <c r="B266" s="6"/>
      <c r="C266" s="18"/>
      <c r="D266" s="20"/>
      <c r="E266" s="20"/>
    </row>
    <row r="267" spans="1:9" ht="14.55" customHeight="1" x14ac:dyDescent="0.3">
      <c r="A267" s="707"/>
      <c r="B267" s="708" t="s">
        <v>595</v>
      </c>
      <c r="C267" s="708"/>
      <c r="D267" s="708"/>
      <c r="E267" s="708"/>
      <c r="F267" s="708"/>
      <c r="G267" s="708"/>
      <c r="H267" s="708"/>
      <c r="I267" s="708"/>
    </row>
    <row r="268" spans="1:9" ht="21" x14ac:dyDescent="0.4">
      <c r="A268" s="707"/>
      <c r="B268" s="6"/>
      <c r="C268" s="18"/>
      <c r="D268" s="20"/>
      <c r="E268" s="20"/>
    </row>
    <row r="269" spans="1:9" ht="15" customHeight="1" x14ac:dyDescent="0.3">
      <c r="A269" s="707"/>
      <c r="B269" s="50" t="s">
        <v>344</v>
      </c>
      <c r="C269" s="712" t="s">
        <v>345</v>
      </c>
      <c r="D269" s="712"/>
      <c r="E269" s="712"/>
      <c r="F269" s="712"/>
      <c r="G269" s="712"/>
      <c r="H269" s="712"/>
      <c r="I269" s="49" t="s">
        <v>346</v>
      </c>
    </row>
    <row r="270" spans="1:9" ht="24.75" customHeight="1" x14ac:dyDescent="0.3">
      <c r="A270" s="707"/>
      <c r="B270" s="51">
        <v>2019</v>
      </c>
      <c r="C270" s="713" t="s">
        <v>596</v>
      </c>
      <c r="D270" s="713"/>
      <c r="E270" s="713"/>
      <c r="F270" s="713"/>
      <c r="G270" s="713"/>
      <c r="H270" s="713"/>
      <c r="I270" s="485" t="s">
        <v>6</v>
      </c>
    </row>
    <row r="271" spans="1:9" ht="24.75" customHeight="1" x14ac:dyDescent="0.3">
      <c r="A271" s="707"/>
      <c r="B271" s="51">
        <v>2020</v>
      </c>
      <c r="C271" s="713" t="s">
        <v>596</v>
      </c>
      <c r="D271" s="713"/>
      <c r="E271" s="713"/>
      <c r="F271" s="713"/>
      <c r="G271" s="713"/>
      <c r="H271" s="713"/>
      <c r="I271" s="485" t="s">
        <v>6</v>
      </c>
    </row>
    <row r="272" spans="1:9" ht="24.75" customHeight="1" x14ac:dyDescent="0.3">
      <c r="A272" s="707"/>
      <c r="B272" s="51">
        <v>2021</v>
      </c>
      <c r="C272" s="713" t="s">
        <v>596</v>
      </c>
      <c r="D272" s="713"/>
      <c r="E272" s="713"/>
      <c r="F272" s="713"/>
      <c r="G272" s="713"/>
      <c r="H272" s="713"/>
      <c r="I272" s="485" t="s">
        <v>6</v>
      </c>
    </row>
    <row r="273" spans="1:12" ht="24.75" customHeight="1" x14ac:dyDescent="0.3">
      <c r="A273" s="707"/>
      <c r="B273" s="51">
        <v>2022</v>
      </c>
      <c r="C273" s="713" t="s">
        <v>596</v>
      </c>
      <c r="D273" s="713"/>
      <c r="E273" s="713"/>
      <c r="F273" s="713"/>
      <c r="G273" s="713"/>
      <c r="H273" s="713"/>
      <c r="I273" s="485" t="s">
        <v>6</v>
      </c>
    </row>
    <row r="274" spans="1:12" ht="24.75" customHeight="1" x14ac:dyDescent="0.3">
      <c r="A274" s="707"/>
      <c r="B274" s="51">
        <v>2023</v>
      </c>
      <c r="C274" s="713" t="s">
        <v>596</v>
      </c>
      <c r="D274" s="713"/>
      <c r="E274" s="713"/>
      <c r="F274" s="713"/>
      <c r="G274" s="713"/>
      <c r="H274" s="713"/>
      <c r="I274" s="485" t="s">
        <v>6</v>
      </c>
    </row>
    <row r="277" spans="1:12" s="46" customFormat="1" ht="17.399999999999999" x14ac:dyDescent="0.3">
      <c r="B277" s="710" t="s">
        <v>597</v>
      </c>
      <c r="C277" s="710"/>
      <c r="D277" s="45"/>
      <c r="E277" s="45"/>
    </row>
    <row r="278" spans="1:12" ht="21" x14ac:dyDescent="0.4">
      <c r="A278" s="707"/>
      <c r="B278" s="6"/>
      <c r="C278" s="18"/>
      <c r="D278" s="20"/>
      <c r="E278" s="20"/>
    </row>
    <row r="279" spans="1:12" x14ac:dyDescent="0.3">
      <c r="A279" s="707"/>
      <c r="B279" s="708" t="s">
        <v>598</v>
      </c>
      <c r="C279" s="708"/>
      <c r="D279" s="708"/>
      <c r="E279" s="708"/>
      <c r="F279" s="708"/>
      <c r="G279" s="708"/>
      <c r="H279" s="708"/>
      <c r="I279" s="708"/>
    </row>
    <row r="280" spans="1:12" ht="21" x14ac:dyDescent="0.4">
      <c r="A280" s="707"/>
      <c r="B280" s="6"/>
      <c r="C280" s="18"/>
      <c r="D280" s="20"/>
      <c r="E280" s="20"/>
    </row>
    <row r="281" spans="1:12" ht="23.55" customHeight="1" x14ac:dyDescent="0.3">
      <c r="A281" s="707"/>
      <c r="B281" s="714" t="s">
        <v>599</v>
      </c>
      <c r="C281" s="714"/>
      <c r="D281" s="714"/>
      <c r="E281" s="714"/>
      <c r="F281" s="714"/>
      <c r="G281" s="714"/>
      <c r="H281" s="714"/>
      <c r="I281" s="714"/>
    </row>
    <row r="282" spans="1:12" ht="15" customHeight="1" x14ac:dyDescent="0.45">
      <c r="A282" s="707"/>
      <c r="B282" s="82">
        <v>2023</v>
      </c>
      <c r="C282" s="87"/>
      <c r="D282" s="88"/>
      <c r="E282" s="89"/>
      <c r="F282" s="41"/>
      <c r="G282" s="41"/>
      <c r="H282" s="41"/>
      <c r="I282" s="41"/>
      <c r="J282" s="41"/>
      <c r="K282" s="41"/>
    </row>
    <row r="283" spans="1:12" ht="15" customHeight="1" x14ac:dyDescent="0.3">
      <c r="A283" s="707"/>
      <c r="B283" s="718" t="s">
        <v>600</v>
      </c>
      <c r="C283" s="718"/>
      <c r="D283" s="718"/>
      <c r="E283" s="92"/>
      <c r="F283" s="93"/>
      <c r="G283" s="93"/>
      <c r="H283" s="93"/>
      <c r="I283" s="93"/>
      <c r="J283" s="93"/>
      <c r="K283" s="94"/>
      <c r="L283" s="510"/>
    </row>
    <row r="284" spans="1:12" x14ac:dyDescent="0.3">
      <c r="A284" s="707"/>
      <c r="B284" s="510"/>
      <c r="C284" s="510"/>
      <c r="D284" s="510"/>
      <c r="E284" s="510"/>
      <c r="F284" s="510"/>
      <c r="G284" s="510"/>
      <c r="H284" s="510"/>
      <c r="I284" s="510"/>
      <c r="J284" s="510"/>
      <c r="K284" s="510"/>
      <c r="L284" s="510"/>
    </row>
    <row r="285" spans="1:12" ht="27.6" thickBot="1" x14ac:dyDescent="0.35">
      <c r="A285" s="707"/>
      <c r="B285" s="95"/>
      <c r="C285" s="508" t="s">
        <v>601</v>
      </c>
      <c r="D285" s="508" t="s">
        <v>495</v>
      </c>
      <c r="E285" s="508" t="s">
        <v>602</v>
      </c>
      <c r="F285" s="508" t="s">
        <v>484</v>
      </c>
      <c r="G285" s="508" t="s">
        <v>573</v>
      </c>
      <c r="H285" s="508" t="s">
        <v>603</v>
      </c>
      <c r="I285" s="508" t="s">
        <v>604</v>
      </c>
      <c r="J285" s="508" t="s">
        <v>574</v>
      </c>
      <c r="K285" s="508" t="s">
        <v>605</v>
      </c>
      <c r="L285" s="508" t="s">
        <v>606</v>
      </c>
    </row>
    <row r="286" spans="1:12" ht="18" customHeight="1" thickTop="1" x14ac:dyDescent="0.3">
      <c r="A286" s="707"/>
      <c r="B286" s="237" t="s">
        <v>607</v>
      </c>
      <c r="C286" s="240">
        <v>0</v>
      </c>
      <c r="D286" s="240">
        <v>2099.3548148317891</v>
      </c>
      <c r="E286" s="240">
        <v>0</v>
      </c>
      <c r="F286" s="240">
        <v>3870.7849638674325</v>
      </c>
      <c r="G286" s="240">
        <v>32578.827384021464</v>
      </c>
      <c r="H286" s="240"/>
      <c r="I286" s="509">
        <v>4.1909515857696534E-15</v>
      </c>
      <c r="J286" s="240">
        <v>3235.4135435631124</v>
      </c>
      <c r="K286" s="240">
        <v>0</v>
      </c>
      <c r="L286" s="260">
        <f>SUM(C286:K286)</f>
        <v>41784.380706283795</v>
      </c>
    </row>
    <row r="287" spans="1:12" ht="43.5" customHeight="1" x14ac:dyDescent="0.3">
      <c r="A287" s="707"/>
      <c r="B287" s="511" t="s">
        <v>608</v>
      </c>
      <c r="C287" s="512">
        <v>0</v>
      </c>
      <c r="D287" s="512">
        <v>2099.3548148317891</v>
      </c>
      <c r="E287" s="512">
        <v>0</v>
      </c>
      <c r="F287" s="512">
        <v>3870.7849638674325</v>
      </c>
      <c r="G287" s="512">
        <v>32578.827384021464</v>
      </c>
      <c r="H287" s="512">
        <v>0</v>
      </c>
      <c r="I287" s="513"/>
      <c r="J287" s="512">
        <v>3235.4135435631124</v>
      </c>
      <c r="K287" s="512">
        <v>0</v>
      </c>
      <c r="L287" s="514">
        <f>L286</f>
        <v>41784.380706283795</v>
      </c>
    </row>
    <row r="288" spans="1:12" x14ac:dyDescent="0.3">
      <c r="A288" s="707"/>
      <c r="B288" s="515"/>
      <c r="C288" s="516"/>
      <c r="D288" s="516"/>
      <c r="E288" s="516"/>
      <c r="F288" s="516"/>
      <c r="G288" s="516"/>
      <c r="H288" s="516"/>
      <c r="I288" s="516"/>
      <c r="J288" s="516"/>
      <c r="K288" s="516"/>
      <c r="L288" s="517"/>
    </row>
    <row r="289" spans="1:12" ht="27.6" customHeight="1" x14ac:dyDescent="0.3">
      <c r="A289" s="707"/>
      <c r="B289" s="115" t="s">
        <v>609</v>
      </c>
      <c r="C289" s="240">
        <v>0</v>
      </c>
      <c r="D289" s="240">
        <v>2718.5701187895102</v>
      </c>
      <c r="E289" s="240">
        <v>9.7000000000000003E-2</v>
      </c>
      <c r="F289" s="240">
        <v>12063.842735636777</v>
      </c>
      <c r="G289" s="240">
        <v>4791.4492026626685</v>
      </c>
      <c r="H289" s="232"/>
      <c r="I289" s="240">
        <v>272.78076871961764</v>
      </c>
      <c r="J289" s="240">
        <v>1311.4872299019189</v>
      </c>
      <c r="K289" s="240">
        <v>0</v>
      </c>
      <c r="L289" s="260">
        <f t="shared" ref="L289:L295" si="0">SUM(C289:K289)</f>
        <v>21158.227055710493</v>
      </c>
    </row>
    <row r="290" spans="1:12" ht="38.549999999999997" customHeight="1" x14ac:dyDescent="0.3">
      <c r="A290" s="707"/>
      <c r="B290" s="115" t="s">
        <v>610</v>
      </c>
      <c r="C290" s="240">
        <v>0</v>
      </c>
      <c r="D290" s="240">
        <v>657.67188201630097</v>
      </c>
      <c r="E290" s="240">
        <v>0</v>
      </c>
      <c r="F290" s="240">
        <v>2426.8439796996199</v>
      </c>
      <c r="G290" s="240">
        <v>36.205051522158897</v>
      </c>
      <c r="H290" s="232"/>
      <c r="I290" s="240">
        <v>49.623085708326073</v>
      </c>
      <c r="J290" s="240">
        <v>150.59144334291301</v>
      </c>
      <c r="K290" s="240">
        <v>0</v>
      </c>
      <c r="L290" s="260">
        <f t="shared" si="0"/>
        <v>3320.9354422893189</v>
      </c>
    </row>
    <row r="291" spans="1:12" ht="35.549999999999997" customHeight="1" x14ac:dyDescent="0.3">
      <c r="A291" s="707"/>
      <c r="B291" s="115" t="s">
        <v>611</v>
      </c>
      <c r="C291" s="240">
        <v>0</v>
      </c>
      <c r="D291" s="240">
        <v>167.13972206337459</v>
      </c>
      <c r="E291" s="240">
        <v>16.616397685496906</v>
      </c>
      <c r="F291" s="240">
        <v>416.09858635151517</v>
      </c>
      <c r="G291" s="240">
        <v>6.6862831944885714</v>
      </c>
      <c r="H291" s="240"/>
      <c r="I291" s="240">
        <v>0</v>
      </c>
      <c r="J291" s="241">
        <v>112.00567294000001</v>
      </c>
      <c r="K291" s="240">
        <v>3.9419300369918622</v>
      </c>
      <c r="L291" s="260">
        <f t="shared" si="0"/>
        <v>722.48859227186722</v>
      </c>
    </row>
    <row r="292" spans="1:12" ht="34.049999999999997" customHeight="1" x14ac:dyDescent="0.3">
      <c r="A292" s="707"/>
      <c r="B292" s="115" t="s">
        <v>612</v>
      </c>
      <c r="C292" s="240">
        <v>385.31762500000002</v>
      </c>
      <c r="D292" s="240">
        <v>23.254793610551438</v>
      </c>
      <c r="E292" s="240">
        <v>0</v>
      </c>
      <c r="F292" s="240">
        <v>5713.8289248394494</v>
      </c>
      <c r="G292" s="240">
        <v>133.59865655000002</v>
      </c>
      <c r="H292" s="240"/>
      <c r="I292" s="240">
        <v>0</v>
      </c>
      <c r="J292" s="240">
        <v>0</v>
      </c>
      <c r="K292" s="240">
        <v>0</v>
      </c>
      <c r="L292" s="260">
        <f t="shared" si="0"/>
        <v>6256.0000000000009</v>
      </c>
    </row>
    <row r="293" spans="1:12" ht="38.549999999999997" customHeight="1" x14ac:dyDescent="0.3">
      <c r="A293" s="707"/>
      <c r="B293" s="115" t="s">
        <v>613</v>
      </c>
      <c r="C293" s="530">
        <v>6.68</v>
      </c>
      <c r="D293" s="531">
        <v>-254.51</v>
      </c>
      <c r="E293" s="532">
        <v>2.17</v>
      </c>
      <c r="F293" s="661">
        <v>5123</v>
      </c>
      <c r="G293" s="531">
        <v>-19.45</v>
      </c>
      <c r="H293" s="232">
        <v>0</v>
      </c>
      <c r="I293" s="532">
        <v>15.47</v>
      </c>
      <c r="J293" s="532">
        <v>141.28</v>
      </c>
      <c r="K293" s="532">
        <v>0.83</v>
      </c>
      <c r="L293" s="534">
        <f t="shared" ref="L293" si="1">SUM(C293:K293)</f>
        <v>5015.47</v>
      </c>
    </row>
    <row r="294" spans="1:12" ht="32.1" customHeight="1" x14ac:dyDescent="0.3">
      <c r="A294" s="83"/>
      <c r="B294" s="115" t="s">
        <v>614</v>
      </c>
      <c r="C294" s="232">
        <v>0</v>
      </c>
      <c r="D294" s="232">
        <v>93.755439629469436</v>
      </c>
      <c r="E294" s="232">
        <v>0.90342279000000014</v>
      </c>
      <c r="F294" s="533">
        <v>800.6522400874876</v>
      </c>
      <c r="G294" s="232">
        <v>3.7176309231654693E-2</v>
      </c>
      <c r="H294" s="232">
        <v>0</v>
      </c>
      <c r="I294" s="232">
        <v>1.7495823300000002</v>
      </c>
      <c r="J294" s="232">
        <v>16.809999999999999</v>
      </c>
      <c r="K294" s="232">
        <v>0</v>
      </c>
      <c r="L294" s="260">
        <f t="shared" si="0"/>
        <v>913.90786114618857</v>
      </c>
    </row>
    <row r="295" spans="1:12" ht="33.6" customHeight="1" x14ac:dyDescent="0.3">
      <c r="A295" s="83"/>
      <c r="B295" s="115" t="s">
        <v>615</v>
      </c>
      <c r="C295" s="232">
        <v>0.102497532082922</v>
      </c>
      <c r="D295" s="232">
        <v>3.4591441854269531</v>
      </c>
      <c r="E295" s="232">
        <v>0.14385000000000001</v>
      </c>
      <c r="F295" s="533">
        <v>660.68</v>
      </c>
      <c r="G295" s="232">
        <v>0</v>
      </c>
      <c r="H295" s="232">
        <v>0</v>
      </c>
      <c r="I295" s="232">
        <v>1.6938700299999998</v>
      </c>
      <c r="J295" s="232">
        <v>11.2</v>
      </c>
      <c r="K295" s="232">
        <v>0</v>
      </c>
      <c r="L295" s="260">
        <f t="shared" si="0"/>
        <v>677.27936174750982</v>
      </c>
    </row>
    <row r="296" spans="1:12" ht="50.25" customHeight="1" x14ac:dyDescent="0.3">
      <c r="A296" s="83"/>
      <c r="B296" s="518" t="s">
        <v>616</v>
      </c>
      <c r="C296" s="519">
        <f>SUM(C289:C295)</f>
        <v>392.10012253208293</v>
      </c>
      <c r="D296" s="519">
        <f>SUM(D289:D295)</f>
        <v>3409.3411002946332</v>
      </c>
      <c r="E296" s="519">
        <f t="shared" ref="E296:J296" si="2">SUM(E289:E295)</f>
        <v>19.93067047549691</v>
      </c>
      <c r="F296" s="519">
        <f t="shared" si="2"/>
        <v>27204.946466614849</v>
      </c>
      <c r="G296" s="519">
        <f t="shared" si="2"/>
        <v>4948.5263702385473</v>
      </c>
      <c r="H296" s="519">
        <f t="shared" si="2"/>
        <v>0</v>
      </c>
      <c r="I296" s="519">
        <f t="shared" si="2"/>
        <v>341.31730678794378</v>
      </c>
      <c r="J296" s="519">
        <f t="shared" si="2"/>
        <v>1743.3743461848319</v>
      </c>
      <c r="K296" s="519">
        <f>SUM(K289:K295)</f>
        <v>4.7719300369918622</v>
      </c>
      <c r="L296" s="520">
        <f>SUM(C296:K296)</f>
        <v>38064.308313165384</v>
      </c>
    </row>
    <row r="297" spans="1:12" ht="44.25" customHeight="1" thickBot="1" x14ac:dyDescent="0.35">
      <c r="A297" s="83"/>
      <c r="B297" s="521" t="s">
        <v>617</v>
      </c>
      <c r="C297" s="522">
        <f t="shared" ref="C297:L297" si="3">C286-C296</f>
        <v>-392.10012253208293</v>
      </c>
      <c r="D297" s="522">
        <f t="shared" si="3"/>
        <v>-1309.9862854628441</v>
      </c>
      <c r="E297" s="522">
        <f t="shared" si="3"/>
        <v>-19.93067047549691</v>
      </c>
      <c r="F297" s="522">
        <f t="shared" si="3"/>
        <v>-23334.161502747418</v>
      </c>
      <c r="G297" s="523">
        <f t="shared" si="3"/>
        <v>27630.301013782919</v>
      </c>
      <c r="H297" s="522">
        <f t="shared" si="3"/>
        <v>0</v>
      </c>
      <c r="I297" s="522">
        <f t="shared" si="3"/>
        <v>-341.31730678794378</v>
      </c>
      <c r="J297" s="523">
        <f t="shared" si="3"/>
        <v>1492.0391973782805</v>
      </c>
      <c r="K297" s="522">
        <f t="shared" si="3"/>
        <v>-4.7719300369918622</v>
      </c>
      <c r="L297" s="524">
        <f t="shared" si="3"/>
        <v>3720.0723931184111</v>
      </c>
    </row>
    <row r="298" spans="1:12" ht="45" customHeight="1" thickTop="1" x14ac:dyDescent="0.45">
      <c r="A298" s="83"/>
      <c r="B298" s="459"/>
      <c r="C298" s="81"/>
      <c r="D298" s="460"/>
      <c r="E298" s="3"/>
    </row>
    <row r="299" spans="1:12" ht="15" customHeight="1" x14ac:dyDescent="0.45">
      <c r="A299" s="83"/>
      <c r="B299" s="82">
        <v>2022</v>
      </c>
      <c r="C299" s="81"/>
      <c r="D299" s="460"/>
      <c r="E299" s="3"/>
    </row>
    <row r="300" spans="1:12" ht="29.1" customHeight="1" x14ac:dyDescent="0.3">
      <c r="B300" s="718" t="s">
        <v>618</v>
      </c>
      <c r="C300" s="718"/>
      <c r="D300" s="718"/>
      <c r="E300" s="92"/>
      <c r="F300" s="93"/>
      <c r="G300" s="93"/>
      <c r="H300" s="93"/>
      <c r="I300" s="93"/>
      <c r="J300" s="93"/>
      <c r="K300" s="94"/>
    </row>
    <row r="302" spans="1:12" ht="27.6" thickBot="1" x14ac:dyDescent="0.35">
      <c r="B302" s="95"/>
      <c r="C302" s="96" t="s">
        <v>601</v>
      </c>
      <c r="D302" s="96" t="s">
        <v>495</v>
      </c>
      <c r="E302" s="96" t="s">
        <v>602</v>
      </c>
      <c r="F302" s="96" t="s">
        <v>484</v>
      </c>
      <c r="G302" s="96" t="s">
        <v>573</v>
      </c>
      <c r="H302" s="96" t="s">
        <v>603</v>
      </c>
      <c r="I302" s="96" t="s">
        <v>604</v>
      </c>
      <c r="J302" s="96" t="s">
        <v>574</v>
      </c>
      <c r="K302" s="96" t="s">
        <v>605</v>
      </c>
      <c r="L302" s="96" t="s">
        <v>606</v>
      </c>
    </row>
    <row r="303" spans="1:12" ht="24.6" customHeight="1" thickTop="1" x14ac:dyDescent="0.3">
      <c r="B303" s="237" t="s">
        <v>607</v>
      </c>
      <c r="C303" s="238">
        <v>0</v>
      </c>
      <c r="D303" s="238">
        <v>2151.3632792459925</v>
      </c>
      <c r="E303" s="238">
        <v>2.4239999999999999</v>
      </c>
      <c r="F303" s="238">
        <v>4296.5593915001218</v>
      </c>
      <c r="G303" s="238">
        <v>33691.663145523577</v>
      </c>
      <c r="H303" s="238">
        <v>0</v>
      </c>
      <c r="I303" s="239">
        <v>-7.1013346314430234E-14</v>
      </c>
      <c r="J303" s="238">
        <v>3697.4507309031069</v>
      </c>
      <c r="K303" s="238">
        <v>0</v>
      </c>
      <c r="L303" s="247">
        <f>SUM(C303:K303)</f>
        <v>43839.460547172799</v>
      </c>
    </row>
    <row r="304" spans="1:12" ht="27" customHeight="1" x14ac:dyDescent="0.3">
      <c r="B304" s="255" t="s">
        <v>608</v>
      </c>
      <c r="C304" s="262">
        <f t="shared" ref="C304" si="4">C303</f>
        <v>0</v>
      </c>
      <c r="D304" s="262">
        <f>D303</f>
        <v>2151.3632792459925</v>
      </c>
      <c r="E304" s="262">
        <f t="shared" ref="E304:K304" si="5">E303</f>
        <v>2.4239999999999999</v>
      </c>
      <c r="F304" s="262">
        <f t="shared" si="5"/>
        <v>4296.5593915001218</v>
      </c>
      <c r="G304" s="262">
        <f t="shared" si="5"/>
        <v>33691.663145523577</v>
      </c>
      <c r="H304" s="262">
        <f t="shared" si="5"/>
        <v>0</v>
      </c>
      <c r="I304" s="263"/>
      <c r="J304" s="262">
        <f t="shared" si="5"/>
        <v>3697.4507309031069</v>
      </c>
      <c r="K304" s="262">
        <f t="shared" si="5"/>
        <v>0</v>
      </c>
      <c r="L304" s="264">
        <f>L303</f>
        <v>43839.460547172799</v>
      </c>
    </row>
    <row r="305" spans="2:12" ht="14.55" customHeight="1" x14ac:dyDescent="0.3">
      <c r="B305" s="114"/>
      <c r="C305" s="248"/>
      <c r="D305" s="248"/>
      <c r="E305" s="248"/>
      <c r="F305" s="248"/>
      <c r="G305" s="248"/>
      <c r="H305" s="248"/>
      <c r="I305" s="248"/>
      <c r="J305" s="248"/>
      <c r="K305" s="248"/>
      <c r="L305" s="261"/>
    </row>
    <row r="306" spans="2:12" ht="25.05" customHeight="1" x14ac:dyDescent="0.3">
      <c r="B306" s="115" t="s">
        <v>609</v>
      </c>
      <c r="C306" s="240">
        <v>0</v>
      </c>
      <c r="D306" s="240">
        <v>2964.042379517371</v>
      </c>
      <c r="E306" s="240">
        <v>7.4189999999999996</v>
      </c>
      <c r="F306" s="240">
        <v>11725.618817743489</v>
      </c>
      <c r="G306" s="240">
        <v>6010.7691389899428</v>
      </c>
      <c r="H306" s="240">
        <v>0</v>
      </c>
      <c r="I306" s="240">
        <v>302.89375562608041</v>
      </c>
      <c r="J306" s="240">
        <v>1201.4540389687652</v>
      </c>
      <c r="K306" s="240">
        <v>0.181367000000002</v>
      </c>
      <c r="L306" s="260">
        <f>SUM(C306:K306)</f>
        <v>22212.378497845646</v>
      </c>
    </row>
    <row r="307" spans="2:12" ht="25.05" customHeight="1" x14ac:dyDescent="0.3">
      <c r="B307" s="115" t="s">
        <v>610</v>
      </c>
      <c r="C307" s="240">
        <v>0</v>
      </c>
      <c r="D307" s="240">
        <v>521.90976354059922</v>
      </c>
      <c r="E307" s="240">
        <v>3.1259999999999999</v>
      </c>
      <c r="F307" s="240">
        <v>1292.1956360904283</v>
      </c>
      <c r="G307" s="240">
        <v>26.743802601231344</v>
      </c>
      <c r="H307" s="240">
        <v>0</v>
      </c>
      <c r="I307" s="240">
        <v>35.538844381006911</v>
      </c>
      <c r="J307" s="241">
        <v>121.2659651253761</v>
      </c>
      <c r="K307" s="240">
        <v>0.75586991000000103</v>
      </c>
      <c r="L307" s="260">
        <f t="shared" ref="L307:L308" si="6">SUM(C307:K307)</f>
        <v>2001.5358816486419</v>
      </c>
    </row>
    <row r="308" spans="2:12" ht="25.05" customHeight="1" x14ac:dyDescent="0.3">
      <c r="B308" s="115" t="s">
        <v>611</v>
      </c>
      <c r="C308" s="240">
        <v>0</v>
      </c>
      <c r="D308" s="240">
        <v>163.7436397747399</v>
      </c>
      <c r="E308" s="240">
        <v>28.3378452156226</v>
      </c>
      <c r="F308" s="240">
        <v>356.16927881612543</v>
      </c>
      <c r="G308" s="240">
        <v>5.8002254714231114</v>
      </c>
      <c r="H308" s="240">
        <v>0</v>
      </c>
      <c r="I308" s="240">
        <v>0</v>
      </c>
      <c r="J308" s="241">
        <v>101.51754781999999</v>
      </c>
      <c r="K308" s="240">
        <v>4.3670358696450995</v>
      </c>
      <c r="L308" s="260">
        <f t="shared" si="6"/>
        <v>659.93557296755614</v>
      </c>
    </row>
    <row r="309" spans="2:12" ht="25.05" customHeight="1" x14ac:dyDescent="0.3">
      <c r="B309" s="115" t="s">
        <v>612</v>
      </c>
      <c r="C309" s="240">
        <v>515.24900000000002</v>
      </c>
      <c r="D309" s="240">
        <v>242.340991314674</v>
      </c>
      <c r="E309" s="240">
        <v>0</v>
      </c>
      <c r="F309" s="240">
        <v>6583.7487531753259</v>
      </c>
      <c r="G309" s="240">
        <v>46.661255509999997</v>
      </c>
      <c r="H309" s="240">
        <v>0</v>
      </c>
      <c r="I309" s="240">
        <v>0</v>
      </c>
      <c r="J309" s="240">
        <v>0</v>
      </c>
      <c r="K309" s="240">
        <v>0</v>
      </c>
      <c r="L309" s="260">
        <f>SUM(C309:K309)</f>
        <v>7388</v>
      </c>
    </row>
    <row r="310" spans="2:12" ht="25.05" customHeight="1" x14ac:dyDescent="0.3">
      <c r="B310" s="115" t="s">
        <v>619</v>
      </c>
      <c r="C310" s="228">
        <v>24.3</v>
      </c>
      <c r="D310" s="229">
        <v>-246</v>
      </c>
      <c r="E310" s="230">
        <v>3.4</v>
      </c>
      <c r="F310" s="231">
        <v>7995.7</v>
      </c>
      <c r="G310" s="229">
        <v>-27</v>
      </c>
      <c r="H310" s="230">
        <v>22.3</v>
      </c>
      <c r="I310" s="230">
        <v>13.6</v>
      </c>
      <c r="J310" s="230">
        <v>144.6</v>
      </c>
      <c r="K310" s="230">
        <v>0.7</v>
      </c>
      <c r="L310" s="260">
        <f>SUM(C310:K310)</f>
        <v>7931.6</v>
      </c>
    </row>
    <row r="311" spans="2:12" ht="25.05" customHeight="1" x14ac:dyDescent="0.3">
      <c r="B311" s="115" t="s">
        <v>614</v>
      </c>
      <c r="C311" s="232">
        <v>0</v>
      </c>
      <c r="D311" s="232">
        <v>33.169621669135317</v>
      </c>
      <c r="E311" s="232">
        <v>0.99462831999999979</v>
      </c>
      <c r="F311" s="419">
        <v>712.27300000000002</v>
      </c>
      <c r="G311" s="232">
        <v>0.78658822150352148</v>
      </c>
      <c r="H311" s="232">
        <v>0</v>
      </c>
      <c r="I311" s="232">
        <v>2.2764720899999999</v>
      </c>
      <c r="J311" s="232">
        <v>1.3241924808491161</v>
      </c>
      <c r="K311" s="242">
        <v>16.027669326406176</v>
      </c>
      <c r="L311" s="260">
        <f>SUM(C311:K311)</f>
        <v>766.85217210789415</v>
      </c>
    </row>
    <row r="312" spans="2:12" ht="25.05" customHeight="1" x14ac:dyDescent="0.3">
      <c r="B312" s="115" t="s">
        <v>620</v>
      </c>
      <c r="C312" s="232">
        <v>0</v>
      </c>
      <c r="D312" s="232">
        <v>6.0615107798466337</v>
      </c>
      <c r="E312" s="232">
        <v>0.18340079999999997</v>
      </c>
      <c r="F312" s="232">
        <v>1590.0125478590376</v>
      </c>
      <c r="G312" s="232">
        <v>1.1450971238299701</v>
      </c>
      <c r="H312" s="232">
        <v>0</v>
      </c>
      <c r="I312" s="232">
        <v>1.9112508200000002</v>
      </c>
      <c r="J312" s="232">
        <v>5.9698972944907842</v>
      </c>
      <c r="K312" s="232">
        <v>4.0567568457357366</v>
      </c>
      <c r="L312" s="260">
        <f>SUM(C312:K312)</f>
        <v>1609.3404615229406</v>
      </c>
    </row>
    <row r="313" spans="2:12" ht="26.4" x14ac:dyDescent="0.3">
      <c r="B313" s="250" t="s">
        <v>616</v>
      </c>
      <c r="C313" s="243">
        <f>SUM(C306:C312)</f>
        <v>539.54899999999998</v>
      </c>
      <c r="D313" s="243">
        <f>SUM(D306:D312)</f>
        <v>3685.2679065963662</v>
      </c>
      <c r="E313" s="243">
        <f t="shared" ref="E313:J313" si="7">SUM(E306:E312)</f>
        <v>43.460874335622599</v>
      </c>
      <c r="F313" s="243">
        <f t="shared" si="7"/>
        <v>30255.718033684407</v>
      </c>
      <c r="G313" s="243">
        <f t="shared" si="7"/>
        <v>6064.906107917931</v>
      </c>
      <c r="H313" s="243">
        <f t="shared" si="7"/>
        <v>22.3</v>
      </c>
      <c r="I313" s="243">
        <f t="shared" si="7"/>
        <v>356.2203229170874</v>
      </c>
      <c r="J313" s="243">
        <f t="shared" si="7"/>
        <v>1576.1316416894811</v>
      </c>
      <c r="K313" s="243">
        <f>SUM(K306:K312)</f>
        <v>26.088698951787016</v>
      </c>
      <c r="L313" s="246">
        <f>SUM(C313:K313)</f>
        <v>42569.64258609269</v>
      </c>
    </row>
    <row r="314" spans="2:12" ht="27" thickBot="1" x14ac:dyDescent="0.35">
      <c r="B314" s="251" t="s">
        <v>617</v>
      </c>
      <c r="C314" s="244">
        <f t="shared" ref="C314:L314" si="8">C303-C313</f>
        <v>-539.54899999999998</v>
      </c>
      <c r="D314" s="244">
        <f t="shared" si="8"/>
        <v>-1533.9046273503736</v>
      </c>
      <c r="E314" s="244">
        <f t="shared" si="8"/>
        <v>-41.036874335622599</v>
      </c>
      <c r="F314" s="244">
        <f t="shared" si="8"/>
        <v>-25959.158642184284</v>
      </c>
      <c r="G314" s="245">
        <f t="shared" si="8"/>
        <v>27626.757037605646</v>
      </c>
      <c r="H314" s="244">
        <f t="shared" si="8"/>
        <v>-22.3</v>
      </c>
      <c r="I314" s="244">
        <f t="shared" si="8"/>
        <v>-356.22032291708746</v>
      </c>
      <c r="J314" s="245">
        <f t="shared" si="8"/>
        <v>2121.3190892136258</v>
      </c>
      <c r="K314" s="244">
        <f t="shared" si="8"/>
        <v>-26.088698951787016</v>
      </c>
      <c r="L314" s="249">
        <f t="shared" si="8"/>
        <v>1269.8179610801089</v>
      </c>
    </row>
    <row r="315" spans="2:12" ht="15" thickTop="1" x14ac:dyDescent="0.3">
      <c r="C315" s="18"/>
      <c r="D315" s="20"/>
      <c r="E315" s="20"/>
    </row>
    <row r="316" spans="2:12" ht="15" customHeight="1" x14ac:dyDescent="0.4">
      <c r="B316" s="6"/>
      <c r="C316" s="18"/>
      <c r="D316" s="20"/>
      <c r="E316" s="20"/>
    </row>
    <row r="317" spans="2:12" ht="15" customHeight="1" x14ac:dyDescent="0.45">
      <c r="B317" s="82">
        <v>2021</v>
      </c>
      <c r="C317" s="87"/>
      <c r="D317" s="88"/>
      <c r="E317" s="89"/>
      <c r="F317" s="41"/>
      <c r="G317" s="41"/>
      <c r="H317" s="41"/>
      <c r="I317" s="41"/>
      <c r="J317" s="41"/>
      <c r="K317" s="41"/>
    </row>
    <row r="318" spans="2:12" ht="20.100000000000001" customHeight="1" x14ac:dyDescent="0.3">
      <c r="B318" s="718" t="s">
        <v>618</v>
      </c>
      <c r="C318" s="718"/>
      <c r="D318" s="718"/>
      <c r="E318" s="92"/>
      <c r="F318" s="93"/>
      <c r="G318" s="93"/>
      <c r="H318" s="93"/>
      <c r="I318" s="93"/>
      <c r="J318" s="93"/>
      <c r="K318" s="94"/>
    </row>
    <row r="319" spans="2:12" x14ac:dyDescent="0.3">
      <c r="B319" s="716"/>
      <c r="C319" s="717"/>
      <c r="D319" s="717"/>
      <c r="E319" s="92"/>
      <c r="F319" s="93"/>
      <c r="G319" s="93"/>
      <c r="H319" s="93"/>
      <c r="I319" s="93"/>
      <c r="J319" s="93"/>
      <c r="K319" s="94"/>
    </row>
    <row r="320" spans="2:12" x14ac:dyDescent="0.3">
      <c r="B320" s="91"/>
      <c r="C320" s="91"/>
      <c r="D320" s="91"/>
      <c r="E320" s="92"/>
      <c r="F320" s="93"/>
      <c r="G320" s="93"/>
      <c r="H320" s="93"/>
      <c r="I320" s="93"/>
      <c r="J320" s="93"/>
      <c r="K320" s="94"/>
    </row>
    <row r="321" spans="2:11" ht="27.6" thickBot="1" x14ac:dyDescent="0.35">
      <c r="B321" s="95"/>
      <c r="C321" s="96" t="s">
        <v>601</v>
      </c>
      <c r="D321" s="96" t="s">
        <v>495</v>
      </c>
      <c r="E321" s="96" t="s">
        <v>602</v>
      </c>
      <c r="F321" s="96" t="s">
        <v>484</v>
      </c>
      <c r="G321" s="96" t="s">
        <v>573</v>
      </c>
      <c r="H321" s="96" t="s">
        <v>603</v>
      </c>
      <c r="I321" s="96" t="s">
        <v>621</v>
      </c>
      <c r="J321" s="96" t="s">
        <v>604</v>
      </c>
      <c r="K321" s="96" t="s">
        <v>606</v>
      </c>
    </row>
    <row r="322" spans="2:11" ht="24" thickTop="1" x14ac:dyDescent="0.3">
      <c r="B322" s="237" t="s">
        <v>607</v>
      </c>
      <c r="C322" s="97" t="s">
        <v>622</v>
      </c>
      <c r="D322" s="98" t="s">
        <v>623</v>
      </c>
      <c r="E322" s="98" t="s">
        <v>624</v>
      </c>
      <c r="F322" s="98" t="s">
        <v>625</v>
      </c>
      <c r="G322" s="98" t="s">
        <v>626</v>
      </c>
      <c r="H322" s="98" t="s">
        <v>622</v>
      </c>
      <c r="I322" s="98" t="s">
        <v>627</v>
      </c>
      <c r="J322" s="99" t="s">
        <v>628</v>
      </c>
      <c r="K322" s="100" t="s">
        <v>629</v>
      </c>
    </row>
    <row r="323" spans="2:11" ht="26.4" x14ac:dyDescent="0.3">
      <c r="B323" s="255" t="s">
        <v>608</v>
      </c>
      <c r="C323" s="256" t="s">
        <v>622</v>
      </c>
      <c r="D323" s="257" t="s">
        <v>623</v>
      </c>
      <c r="E323" s="257" t="s">
        <v>624</v>
      </c>
      <c r="F323" s="257" t="s">
        <v>625</v>
      </c>
      <c r="G323" s="257" t="s">
        <v>630</v>
      </c>
      <c r="H323" s="257" t="s">
        <v>622</v>
      </c>
      <c r="I323" s="257" t="s">
        <v>627</v>
      </c>
      <c r="J323" s="257" t="s">
        <v>628</v>
      </c>
      <c r="K323" s="257" t="s">
        <v>629</v>
      </c>
    </row>
    <row r="324" spans="2:11" ht="14.55" customHeight="1" x14ac:dyDescent="0.3">
      <c r="B324" s="114"/>
      <c r="C324" s="102"/>
      <c r="D324" s="103"/>
      <c r="E324" s="103"/>
      <c r="F324" s="102"/>
      <c r="G324" s="102"/>
      <c r="H324" s="103"/>
      <c r="I324" s="102"/>
      <c r="J324" s="102"/>
      <c r="K324" s="104"/>
    </row>
    <row r="325" spans="2:11" ht="25.05" customHeight="1" x14ac:dyDescent="0.3">
      <c r="B325" s="115" t="s">
        <v>609</v>
      </c>
      <c r="C325" s="105" t="s">
        <v>622</v>
      </c>
      <c r="D325" s="98" t="s">
        <v>631</v>
      </c>
      <c r="E325" s="98" t="s">
        <v>632</v>
      </c>
      <c r="F325" s="98" t="s">
        <v>633</v>
      </c>
      <c r="G325" s="98" t="s">
        <v>634</v>
      </c>
      <c r="H325" s="105" t="s">
        <v>622</v>
      </c>
      <c r="I325" s="98" t="s">
        <v>635</v>
      </c>
      <c r="J325" s="98" t="s">
        <v>636</v>
      </c>
      <c r="K325" s="100" t="s">
        <v>637</v>
      </c>
    </row>
    <row r="326" spans="2:11" ht="25.05" customHeight="1" x14ac:dyDescent="0.3">
      <c r="B326" s="115" t="s">
        <v>610</v>
      </c>
      <c r="C326" s="105" t="s">
        <v>622</v>
      </c>
      <c r="D326" s="98" t="s">
        <v>638</v>
      </c>
      <c r="E326" s="98" t="s">
        <v>639</v>
      </c>
      <c r="F326" s="98" t="s">
        <v>640</v>
      </c>
      <c r="G326" s="98" t="s">
        <v>641</v>
      </c>
      <c r="H326" s="105" t="s">
        <v>622</v>
      </c>
      <c r="I326" s="98" t="s">
        <v>642</v>
      </c>
      <c r="J326" s="98" t="s">
        <v>643</v>
      </c>
      <c r="K326" s="100" t="s">
        <v>644</v>
      </c>
    </row>
    <row r="327" spans="2:11" ht="25.05" customHeight="1" x14ac:dyDescent="0.3">
      <c r="B327" s="115" t="s">
        <v>611</v>
      </c>
      <c r="C327" s="105" t="s">
        <v>622</v>
      </c>
      <c r="D327" s="98" t="s">
        <v>645</v>
      </c>
      <c r="E327" s="106" t="s">
        <v>646</v>
      </c>
      <c r="F327" s="98" t="s">
        <v>647</v>
      </c>
      <c r="G327" s="98" t="s">
        <v>648</v>
      </c>
      <c r="H327" s="105" t="s">
        <v>622</v>
      </c>
      <c r="I327" s="98" t="s">
        <v>649</v>
      </c>
      <c r="J327" s="105" t="s">
        <v>622</v>
      </c>
      <c r="K327" s="100" t="s">
        <v>650</v>
      </c>
    </row>
    <row r="328" spans="2:11" ht="25.05" customHeight="1" x14ac:dyDescent="0.3">
      <c r="B328" s="115" t="s">
        <v>612</v>
      </c>
      <c r="C328" s="98" t="s">
        <v>651</v>
      </c>
      <c r="D328" s="98" t="s">
        <v>652</v>
      </c>
      <c r="E328" s="107" t="s">
        <v>622</v>
      </c>
      <c r="F328" s="98" t="s">
        <v>653</v>
      </c>
      <c r="G328" s="98" t="s">
        <v>654</v>
      </c>
      <c r="H328" s="105" t="s">
        <v>622</v>
      </c>
      <c r="I328" s="105" t="s">
        <v>622</v>
      </c>
      <c r="J328" s="105" t="s">
        <v>622</v>
      </c>
      <c r="K328" s="100" t="s">
        <v>655</v>
      </c>
    </row>
    <row r="329" spans="2:11" ht="25.05" customHeight="1" x14ac:dyDescent="0.3">
      <c r="B329" s="115" t="s">
        <v>619</v>
      </c>
      <c r="C329" s="98" t="s">
        <v>656</v>
      </c>
      <c r="D329" s="98" t="s">
        <v>657</v>
      </c>
      <c r="E329" s="98" t="s">
        <v>658</v>
      </c>
      <c r="F329" s="98" t="s">
        <v>659</v>
      </c>
      <c r="G329" s="108" t="s">
        <v>660</v>
      </c>
      <c r="H329" s="98" t="s">
        <v>661</v>
      </c>
      <c r="I329" s="98" t="s">
        <v>662</v>
      </c>
      <c r="J329" s="116" t="s">
        <v>663</v>
      </c>
      <c r="K329" s="109" t="s">
        <v>664</v>
      </c>
    </row>
    <row r="330" spans="2:11" ht="25.05" customHeight="1" x14ac:dyDescent="0.3">
      <c r="B330" s="115" t="s">
        <v>614</v>
      </c>
      <c r="C330" s="233"/>
      <c r="D330" s="233" t="s">
        <v>665</v>
      </c>
      <c r="E330" s="233" t="s">
        <v>666</v>
      </c>
      <c r="F330" s="233" t="s">
        <v>667</v>
      </c>
      <c r="G330" s="233" t="s">
        <v>668</v>
      </c>
      <c r="H330" s="233" t="s">
        <v>669</v>
      </c>
      <c r="I330" s="233" t="s">
        <v>670</v>
      </c>
      <c r="J330" s="234" t="s">
        <v>663</v>
      </c>
      <c r="K330" s="235" t="s">
        <v>671</v>
      </c>
    </row>
    <row r="331" spans="2:11" ht="25.05" customHeight="1" x14ac:dyDescent="0.3">
      <c r="B331" s="115" t="s">
        <v>620</v>
      </c>
      <c r="C331" s="233"/>
      <c r="D331" s="233" t="s">
        <v>672</v>
      </c>
      <c r="E331" s="233" t="s">
        <v>673</v>
      </c>
      <c r="F331" s="233" t="s">
        <v>674</v>
      </c>
      <c r="G331" s="233" t="s">
        <v>675</v>
      </c>
      <c r="H331" s="233" t="s">
        <v>676</v>
      </c>
      <c r="I331" s="233" t="s">
        <v>677</v>
      </c>
      <c r="J331" s="233" t="s">
        <v>678</v>
      </c>
      <c r="K331" s="235" t="s">
        <v>679</v>
      </c>
    </row>
    <row r="332" spans="2:11" ht="27" customHeight="1" x14ac:dyDescent="0.3">
      <c r="B332" s="250" t="s">
        <v>616</v>
      </c>
      <c r="C332" s="252" t="s">
        <v>680</v>
      </c>
      <c r="D332" s="252" t="s">
        <v>681</v>
      </c>
      <c r="E332" s="252" t="s">
        <v>682</v>
      </c>
      <c r="F332" s="252" t="s">
        <v>683</v>
      </c>
      <c r="G332" s="252" t="s">
        <v>684</v>
      </c>
      <c r="H332" s="252" t="s">
        <v>685</v>
      </c>
      <c r="I332" s="252" t="s">
        <v>686</v>
      </c>
      <c r="J332" s="252" t="s">
        <v>687</v>
      </c>
      <c r="K332" s="252" t="s">
        <v>688</v>
      </c>
    </row>
    <row r="333" spans="2:11" ht="27" customHeight="1" thickBot="1" x14ac:dyDescent="0.35">
      <c r="B333" s="251" t="s">
        <v>617</v>
      </c>
      <c r="C333" s="253" t="s">
        <v>680</v>
      </c>
      <c r="D333" s="253" t="s">
        <v>689</v>
      </c>
      <c r="E333" s="253" t="s">
        <v>690</v>
      </c>
      <c r="F333" s="253" t="s">
        <v>691</v>
      </c>
      <c r="G333" s="254" t="s">
        <v>692</v>
      </c>
      <c r="H333" s="253" t="s">
        <v>693</v>
      </c>
      <c r="I333" s="254" t="s">
        <v>694</v>
      </c>
      <c r="J333" s="253" t="s">
        <v>695</v>
      </c>
      <c r="K333" s="254" t="s">
        <v>696</v>
      </c>
    </row>
    <row r="334" spans="2:11" ht="15" thickTop="1" x14ac:dyDescent="0.3">
      <c r="B334" s="90"/>
      <c r="C334" s="81"/>
      <c r="D334" s="86"/>
      <c r="E334" s="3"/>
      <c r="K334" s="110"/>
    </row>
    <row r="335" spans="2:11" x14ac:dyDescent="0.3">
      <c r="B335" s="90"/>
      <c r="C335" s="81"/>
      <c r="D335" s="86"/>
      <c r="E335" s="3"/>
    </row>
    <row r="336" spans="2:11" ht="17.399999999999999" x14ac:dyDescent="0.45">
      <c r="B336" s="82">
        <v>2020</v>
      </c>
      <c r="C336" s="87"/>
      <c r="D336" s="88"/>
      <c r="E336" s="89"/>
      <c r="F336" s="41"/>
      <c r="G336" s="41"/>
      <c r="H336" s="41"/>
      <c r="I336" s="41"/>
      <c r="J336" s="41"/>
      <c r="K336" s="41"/>
    </row>
    <row r="337" spans="2:11" ht="20.100000000000001" customHeight="1" x14ac:dyDescent="0.3">
      <c r="B337" s="718" t="s">
        <v>618</v>
      </c>
      <c r="C337" s="718"/>
      <c r="D337" s="718"/>
      <c r="E337" s="92"/>
      <c r="F337" s="93"/>
      <c r="G337" s="93"/>
      <c r="H337" s="93"/>
      <c r="I337" s="93"/>
      <c r="J337" s="93"/>
      <c r="K337" s="94"/>
    </row>
    <row r="338" spans="2:11" x14ac:dyDescent="0.3">
      <c r="B338" s="91"/>
      <c r="C338" s="91"/>
      <c r="D338" s="91"/>
      <c r="E338" s="92"/>
      <c r="F338" s="93"/>
      <c r="G338" s="93"/>
      <c r="H338" s="93"/>
      <c r="I338" s="93"/>
      <c r="J338" s="93"/>
      <c r="K338" s="94"/>
    </row>
    <row r="339" spans="2:11" ht="27.6" thickBot="1" x14ac:dyDescent="0.35">
      <c r="B339" s="95"/>
      <c r="C339" s="96" t="s">
        <v>601</v>
      </c>
      <c r="D339" s="96" t="s">
        <v>495</v>
      </c>
      <c r="E339" s="96" t="s">
        <v>602</v>
      </c>
      <c r="F339" s="96" t="s">
        <v>484</v>
      </c>
      <c r="G339" s="96" t="s">
        <v>573</v>
      </c>
      <c r="H339" s="96" t="s">
        <v>603</v>
      </c>
      <c r="I339" s="96" t="s">
        <v>621</v>
      </c>
      <c r="J339" s="96" t="s">
        <v>604</v>
      </c>
      <c r="K339" s="96" t="s">
        <v>606</v>
      </c>
    </row>
    <row r="340" spans="2:11" ht="24" thickTop="1" x14ac:dyDescent="0.3">
      <c r="B340" s="237" t="s">
        <v>607</v>
      </c>
      <c r="C340" s="97" t="s">
        <v>622</v>
      </c>
      <c r="D340" s="98" t="s">
        <v>697</v>
      </c>
      <c r="E340" s="98" t="s">
        <v>698</v>
      </c>
      <c r="F340" s="98" t="s">
        <v>699</v>
      </c>
      <c r="G340" s="98" t="s">
        <v>700</v>
      </c>
      <c r="H340" s="101" t="s">
        <v>622</v>
      </c>
      <c r="I340" s="98" t="s">
        <v>701</v>
      </c>
      <c r="J340" s="101" t="s">
        <v>622</v>
      </c>
      <c r="K340" s="100" t="s">
        <v>702</v>
      </c>
    </row>
    <row r="341" spans="2:11" ht="26.4" x14ac:dyDescent="0.3">
      <c r="B341" s="255" t="s">
        <v>608</v>
      </c>
      <c r="C341" s="256" t="s">
        <v>622</v>
      </c>
      <c r="D341" s="257" t="s">
        <v>697</v>
      </c>
      <c r="E341" s="257" t="s">
        <v>698</v>
      </c>
      <c r="F341" s="257" t="s">
        <v>699</v>
      </c>
      <c r="G341" s="257" t="s">
        <v>700</v>
      </c>
      <c r="H341" s="256" t="s">
        <v>622</v>
      </c>
      <c r="I341" s="257" t="s">
        <v>701</v>
      </c>
      <c r="J341" s="256" t="s">
        <v>622</v>
      </c>
      <c r="K341" s="257" t="s">
        <v>702</v>
      </c>
    </row>
    <row r="342" spans="2:11" ht="14.55" customHeight="1" x14ac:dyDescent="0.3">
      <c r="B342" s="114"/>
      <c r="C342" s="102"/>
      <c r="D342" s="103"/>
      <c r="E342" s="103"/>
      <c r="F342" s="102"/>
      <c r="G342" s="102"/>
      <c r="H342" s="103"/>
      <c r="I342" s="102"/>
      <c r="J342" s="102"/>
      <c r="K342" s="104"/>
    </row>
    <row r="343" spans="2:11" ht="25.05" customHeight="1" x14ac:dyDescent="0.3">
      <c r="B343" s="115" t="s">
        <v>609</v>
      </c>
      <c r="C343" s="105" t="s">
        <v>622</v>
      </c>
      <c r="D343" s="98" t="s">
        <v>703</v>
      </c>
      <c r="E343" s="106" t="s">
        <v>704</v>
      </c>
      <c r="F343" s="98" t="s">
        <v>705</v>
      </c>
      <c r="G343" s="98" t="s">
        <v>706</v>
      </c>
      <c r="H343" s="98" t="s">
        <v>707</v>
      </c>
      <c r="I343" s="98">
        <v>836.5</v>
      </c>
      <c r="J343" s="98">
        <v>239.7</v>
      </c>
      <c r="K343" s="100" t="s">
        <v>708</v>
      </c>
    </row>
    <row r="344" spans="2:11" ht="25.05" customHeight="1" x14ac:dyDescent="0.3">
      <c r="B344" s="115" t="s">
        <v>610</v>
      </c>
      <c r="C344" s="105" t="s">
        <v>622</v>
      </c>
      <c r="D344" s="98" t="s">
        <v>709</v>
      </c>
      <c r="E344" s="106" t="s">
        <v>710</v>
      </c>
      <c r="F344" s="98" t="s">
        <v>711</v>
      </c>
      <c r="G344" s="98">
        <v>9.1</v>
      </c>
      <c r="H344" s="98" t="s">
        <v>712</v>
      </c>
      <c r="I344" s="98">
        <v>111.7</v>
      </c>
      <c r="J344" s="98" t="s">
        <v>713</v>
      </c>
      <c r="K344" s="100" t="s">
        <v>714</v>
      </c>
    </row>
    <row r="345" spans="2:11" ht="25.05" customHeight="1" x14ac:dyDescent="0.3">
      <c r="B345" s="115" t="s">
        <v>611</v>
      </c>
      <c r="C345" s="105" t="s">
        <v>622</v>
      </c>
      <c r="D345" s="98">
        <v>92.2</v>
      </c>
      <c r="E345" s="106" t="s">
        <v>715</v>
      </c>
      <c r="F345" s="98" t="s">
        <v>716</v>
      </c>
      <c r="G345" s="98">
        <v>3.7</v>
      </c>
      <c r="H345" s="98" t="s">
        <v>717</v>
      </c>
      <c r="I345" s="98">
        <v>60.2</v>
      </c>
      <c r="J345" s="98">
        <v>0.1</v>
      </c>
      <c r="K345" s="100" t="s">
        <v>718</v>
      </c>
    </row>
    <row r="346" spans="2:11" ht="25.05" customHeight="1" x14ac:dyDescent="0.3">
      <c r="B346" s="115" t="s">
        <v>612</v>
      </c>
      <c r="C346" s="98" t="s">
        <v>719</v>
      </c>
      <c r="D346" s="98" t="s">
        <v>720</v>
      </c>
      <c r="E346" s="107" t="s">
        <v>622</v>
      </c>
      <c r="F346" s="98" t="s">
        <v>721</v>
      </c>
      <c r="G346" s="108" t="s">
        <v>722</v>
      </c>
      <c r="H346" s="105" t="s">
        <v>622</v>
      </c>
      <c r="I346" s="105" t="s">
        <v>622</v>
      </c>
      <c r="J346" s="105" t="s">
        <v>622</v>
      </c>
      <c r="K346" s="100" t="s">
        <v>723</v>
      </c>
    </row>
    <row r="347" spans="2:11" ht="25.05" customHeight="1" x14ac:dyDescent="0.3">
      <c r="B347" s="115" t="s">
        <v>619</v>
      </c>
      <c r="C347" s="98" t="s">
        <v>724</v>
      </c>
      <c r="D347" s="98" t="s">
        <v>725</v>
      </c>
      <c r="E347" s="98" t="s">
        <v>726</v>
      </c>
      <c r="F347" s="98" t="s">
        <v>727</v>
      </c>
      <c r="G347" s="108" t="s">
        <v>728</v>
      </c>
      <c r="H347" s="98" t="s">
        <v>710</v>
      </c>
      <c r="I347" s="98" t="s">
        <v>729</v>
      </c>
      <c r="J347" s="116" t="s">
        <v>730</v>
      </c>
      <c r="K347" s="100" t="s">
        <v>731</v>
      </c>
    </row>
    <row r="348" spans="2:11" ht="25.05" customHeight="1" x14ac:dyDescent="0.3">
      <c r="B348" s="115" t="s">
        <v>614</v>
      </c>
      <c r="C348" s="236" t="s">
        <v>622</v>
      </c>
      <c r="D348" s="233">
        <v>166.6</v>
      </c>
      <c r="E348" s="233" t="s">
        <v>732</v>
      </c>
      <c r="F348" s="233" t="s">
        <v>733</v>
      </c>
      <c r="G348" s="233" t="s">
        <v>734</v>
      </c>
      <c r="H348" s="233" t="s">
        <v>735</v>
      </c>
      <c r="I348" s="233">
        <v>49.7</v>
      </c>
      <c r="J348" s="234" t="s">
        <v>736</v>
      </c>
      <c r="K348" s="235" t="s">
        <v>737</v>
      </c>
    </row>
    <row r="349" spans="2:11" ht="25.05" customHeight="1" x14ac:dyDescent="0.3">
      <c r="B349" s="115" t="s">
        <v>620</v>
      </c>
      <c r="C349" s="236" t="s">
        <v>622</v>
      </c>
      <c r="D349" s="233">
        <v>2.8</v>
      </c>
      <c r="E349" s="233" t="s">
        <v>738</v>
      </c>
      <c r="F349" s="233">
        <v>370.4</v>
      </c>
      <c r="G349" s="233" t="s">
        <v>739</v>
      </c>
      <c r="H349" s="233">
        <v>4.7</v>
      </c>
      <c r="I349" s="233">
        <v>7.3</v>
      </c>
      <c r="J349" s="233">
        <v>2.8</v>
      </c>
      <c r="K349" s="235" t="s">
        <v>740</v>
      </c>
    </row>
    <row r="350" spans="2:11" ht="26.4" x14ac:dyDescent="0.3">
      <c r="B350" s="250" t="s">
        <v>616</v>
      </c>
      <c r="C350" s="252" t="s">
        <v>741</v>
      </c>
      <c r="D350" s="252" t="s">
        <v>742</v>
      </c>
      <c r="E350" s="252" t="s">
        <v>743</v>
      </c>
      <c r="F350" s="252" t="s">
        <v>744</v>
      </c>
      <c r="G350" s="252" t="s">
        <v>745</v>
      </c>
      <c r="H350" s="252" t="s">
        <v>746</v>
      </c>
      <c r="I350" s="252" t="s">
        <v>747</v>
      </c>
      <c r="J350" s="252" t="s">
        <v>748</v>
      </c>
      <c r="K350" s="252" t="s">
        <v>749</v>
      </c>
    </row>
    <row r="351" spans="2:11" ht="27" thickBot="1" x14ac:dyDescent="0.35">
      <c r="B351" s="251" t="s">
        <v>617</v>
      </c>
      <c r="C351" s="253" t="s">
        <v>750</v>
      </c>
      <c r="D351" s="253" t="s">
        <v>751</v>
      </c>
      <c r="E351" s="253" t="s">
        <v>752</v>
      </c>
      <c r="F351" s="253" t="s">
        <v>753</v>
      </c>
      <c r="G351" s="254" t="s">
        <v>754</v>
      </c>
      <c r="H351" s="253" t="s">
        <v>755</v>
      </c>
      <c r="I351" s="254" t="s">
        <v>756</v>
      </c>
      <c r="J351" s="253" t="s">
        <v>757</v>
      </c>
      <c r="K351" s="254" t="s">
        <v>758</v>
      </c>
    </row>
    <row r="352" spans="2:11" ht="15" thickTop="1" x14ac:dyDescent="0.3">
      <c r="B352" s="111"/>
      <c r="C352" s="112"/>
      <c r="D352" s="111"/>
      <c r="E352" s="111"/>
      <c r="F352" s="111"/>
      <c r="G352" s="111"/>
      <c r="H352" s="111"/>
      <c r="I352" s="111"/>
      <c r="J352" s="111"/>
      <c r="K352" s="111"/>
    </row>
    <row r="353" spans="2:11" x14ac:dyDescent="0.3">
      <c r="B353" s="90"/>
      <c r="C353" s="81"/>
      <c r="D353" s="86"/>
      <c r="E353" s="3"/>
    </row>
    <row r="354" spans="2:11" ht="17.399999999999999" x14ac:dyDescent="0.45">
      <c r="B354" s="82">
        <v>2019</v>
      </c>
      <c r="C354" s="87"/>
      <c r="D354" s="88"/>
      <c r="E354" s="89"/>
      <c r="F354" s="41"/>
      <c r="G354" s="41"/>
      <c r="H354" s="41"/>
      <c r="I354" s="41"/>
      <c r="J354" s="41"/>
      <c r="K354" s="41"/>
    </row>
    <row r="355" spans="2:11" ht="20.100000000000001" customHeight="1" x14ac:dyDescent="0.3">
      <c r="B355" s="718" t="s">
        <v>618</v>
      </c>
      <c r="C355" s="718"/>
      <c r="D355" s="718"/>
      <c r="E355" s="92"/>
      <c r="F355" s="93"/>
      <c r="G355" s="93"/>
      <c r="H355" s="93"/>
      <c r="I355" s="93"/>
      <c r="J355" s="93"/>
      <c r="K355" s="94"/>
    </row>
    <row r="356" spans="2:11" x14ac:dyDescent="0.3">
      <c r="B356" s="91"/>
      <c r="C356" s="91"/>
      <c r="D356" s="91"/>
      <c r="E356" s="92"/>
      <c r="F356" s="93"/>
      <c r="G356" s="93"/>
      <c r="H356" s="93"/>
      <c r="I356" s="93"/>
      <c r="J356" s="93"/>
      <c r="K356" s="94"/>
    </row>
    <row r="357" spans="2:11" ht="27.6" thickBot="1" x14ac:dyDescent="0.35">
      <c r="B357" s="95"/>
      <c r="C357" s="96" t="s">
        <v>601</v>
      </c>
      <c r="D357" s="96" t="s">
        <v>495</v>
      </c>
      <c r="E357" s="96" t="s">
        <v>602</v>
      </c>
      <c r="F357" s="96" t="s">
        <v>484</v>
      </c>
      <c r="G357" s="96" t="s">
        <v>573</v>
      </c>
      <c r="H357" s="96" t="s">
        <v>603</v>
      </c>
      <c r="I357" s="96" t="s">
        <v>621</v>
      </c>
      <c r="J357" s="96" t="s">
        <v>604</v>
      </c>
      <c r="K357" s="96" t="s">
        <v>606</v>
      </c>
    </row>
    <row r="358" spans="2:11" ht="24" thickTop="1" x14ac:dyDescent="0.3">
      <c r="B358" s="237" t="s">
        <v>607</v>
      </c>
      <c r="C358" s="113" t="s">
        <v>622</v>
      </c>
      <c r="D358" s="98" t="s">
        <v>759</v>
      </c>
      <c r="E358" s="98" t="s">
        <v>760</v>
      </c>
      <c r="F358" s="98" t="s">
        <v>761</v>
      </c>
      <c r="G358" s="98" t="s">
        <v>762</v>
      </c>
      <c r="H358" s="98" t="s">
        <v>622</v>
      </c>
      <c r="I358" s="98" t="s">
        <v>763</v>
      </c>
      <c r="J358" s="98" t="s">
        <v>622</v>
      </c>
      <c r="K358" s="100" t="s">
        <v>764</v>
      </c>
    </row>
    <row r="359" spans="2:11" ht="26.4" x14ac:dyDescent="0.3">
      <c r="B359" s="255" t="s">
        <v>608</v>
      </c>
      <c r="C359" s="258" t="s">
        <v>622</v>
      </c>
      <c r="D359" s="257" t="s">
        <v>759</v>
      </c>
      <c r="E359" s="257" t="s">
        <v>760</v>
      </c>
      <c r="F359" s="257" t="s">
        <v>761</v>
      </c>
      <c r="G359" s="257" t="s">
        <v>762</v>
      </c>
      <c r="H359" s="257" t="s">
        <v>622</v>
      </c>
      <c r="I359" s="257" t="s">
        <v>763</v>
      </c>
      <c r="J359" s="257" t="s">
        <v>622</v>
      </c>
      <c r="K359" s="257" t="s">
        <v>764</v>
      </c>
    </row>
    <row r="360" spans="2:11" ht="14.55" customHeight="1" x14ac:dyDescent="0.3">
      <c r="B360" s="114"/>
      <c r="C360" s="105"/>
      <c r="D360" s="102"/>
      <c r="E360" s="102"/>
      <c r="F360" s="102"/>
      <c r="G360" s="102"/>
      <c r="H360" s="102"/>
      <c r="I360" s="102"/>
      <c r="J360" s="102"/>
      <c r="K360" s="104"/>
    </row>
    <row r="361" spans="2:11" ht="25.05" customHeight="1" x14ac:dyDescent="0.3">
      <c r="B361" s="115" t="s">
        <v>609</v>
      </c>
      <c r="C361" s="105" t="s">
        <v>622</v>
      </c>
      <c r="D361" s="98" t="s">
        <v>765</v>
      </c>
      <c r="E361" s="98" t="s">
        <v>643</v>
      </c>
      <c r="F361" s="98" t="s">
        <v>766</v>
      </c>
      <c r="G361" s="98" t="s">
        <v>767</v>
      </c>
      <c r="H361" s="98" t="s">
        <v>768</v>
      </c>
      <c r="I361" s="98" t="s">
        <v>769</v>
      </c>
      <c r="J361" s="98" t="s">
        <v>770</v>
      </c>
      <c r="K361" s="100" t="s">
        <v>771</v>
      </c>
    </row>
    <row r="362" spans="2:11" ht="25.05" customHeight="1" x14ac:dyDescent="0.3">
      <c r="B362" s="115" t="s">
        <v>610</v>
      </c>
      <c r="C362" s="105" t="s">
        <v>622</v>
      </c>
      <c r="D362" s="98" t="s">
        <v>772</v>
      </c>
      <c r="E362" s="98" t="s">
        <v>773</v>
      </c>
      <c r="F362" s="98" t="s">
        <v>774</v>
      </c>
      <c r="G362" s="98" t="s">
        <v>775</v>
      </c>
      <c r="H362" s="98" t="s">
        <v>776</v>
      </c>
      <c r="I362" s="98" t="s">
        <v>777</v>
      </c>
      <c r="J362" s="98" t="s">
        <v>713</v>
      </c>
      <c r="K362" s="100" t="s">
        <v>778</v>
      </c>
    </row>
    <row r="363" spans="2:11" ht="25.05" customHeight="1" x14ac:dyDescent="0.3">
      <c r="B363" s="115" t="s">
        <v>611</v>
      </c>
      <c r="C363" s="105" t="s">
        <v>622</v>
      </c>
      <c r="D363" s="98" t="s">
        <v>779</v>
      </c>
      <c r="E363" s="98" t="s">
        <v>780</v>
      </c>
      <c r="F363" s="98" t="s">
        <v>652</v>
      </c>
      <c r="G363" s="98" t="s">
        <v>781</v>
      </c>
      <c r="H363" s="98" t="s">
        <v>782</v>
      </c>
      <c r="I363" s="98" t="s">
        <v>783</v>
      </c>
      <c r="J363" s="105" t="s">
        <v>622</v>
      </c>
      <c r="K363" s="100" t="s">
        <v>784</v>
      </c>
    </row>
    <row r="364" spans="2:11" ht="25.05" customHeight="1" x14ac:dyDescent="0.3">
      <c r="B364" s="115" t="s">
        <v>612</v>
      </c>
      <c r="C364" s="105" t="s">
        <v>622</v>
      </c>
      <c r="D364" s="105" t="s">
        <v>622</v>
      </c>
      <c r="E364" s="105" t="s">
        <v>622</v>
      </c>
      <c r="F364" s="98" t="s">
        <v>785</v>
      </c>
      <c r="G364" s="105" t="s">
        <v>622</v>
      </c>
      <c r="H364" s="105" t="s">
        <v>622</v>
      </c>
      <c r="I364" s="105" t="s">
        <v>622</v>
      </c>
      <c r="J364" s="105" t="s">
        <v>622</v>
      </c>
      <c r="K364" s="100" t="s">
        <v>785</v>
      </c>
    </row>
    <row r="365" spans="2:11" ht="25.05" customHeight="1" x14ac:dyDescent="0.3">
      <c r="B365" s="115" t="s">
        <v>619</v>
      </c>
      <c r="C365" s="98" t="s">
        <v>670</v>
      </c>
      <c r="D365" s="98" t="s">
        <v>786</v>
      </c>
      <c r="E365" s="98" t="s">
        <v>787</v>
      </c>
      <c r="F365" s="98" t="s">
        <v>788</v>
      </c>
      <c r="G365" s="98" t="s">
        <v>789</v>
      </c>
      <c r="H365" s="98" t="s">
        <v>790</v>
      </c>
      <c r="I365" s="98" t="s">
        <v>791</v>
      </c>
      <c r="J365" s="116" t="s">
        <v>792</v>
      </c>
      <c r="K365" s="100" t="s">
        <v>793</v>
      </c>
    </row>
    <row r="366" spans="2:11" ht="25.05" customHeight="1" x14ac:dyDescent="0.3">
      <c r="B366" s="115" t="s">
        <v>614</v>
      </c>
      <c r="C366" s="236" t="s">
        <v>622</v>
      </c>
      <c r="D366" s="233" t="s">
        <v>794</v>
      </c>
      <c r="E366" s="233" t="s">
        <v>666</v>
      </c>
      <c r="F366" s="233" t="s">
        <v>795</v>
      </c>
      <c r="G366" s="233" t="s">
        <v>796</v>
      </c>
      <c r="H366" s="233" t="s">
        <v>797</v>
      </c>
      <c r="I366" s="233" t="s">
        <v>798</v>
      </c>
      <c r="J366" s="234" t="s">
        <v>796</v>
      </c>
      <c r="K366" s="235" t="s">
        <v>799</v>
      </c>
    </row>
    <row r="367" spans="2:11" ht="25.05" customHeight="1" x14ac:dyDescent="0.3">
      <c r="B367" s="115" t="s">
        <v>620</v>
      </c>
      <c r="C367" s="236" t="s">
        <v>622</v>
      </c>
      <c r="D367" s="233" t="s">
        <v>800</v>
      </c>
      <c r="E367" s="233" t="s">
        <v>738</v>
      </c>
      <c r="F367" s="233" t="s">
        <v>801</v>
      </c>
      <c r="G367" s="233" t="s">
        <v>622</v>
      </c>
      <c r="H367" s="233" t="s">
        <v>773</v>
      </c>
      <c r="I367" s="233" t="s">
        <v>802</v>
      </c>
      <c r="J367" s="233" t="s">
        <v>803</v>
      </c>
      <c r="K367" s="235" t="s">
        <v>804</v>
      </c>
    </row>
    <row r="368" spans="2:11" ht="27" customHeight="1" x14ac:dyDescent="0.3">
      <c r="B368" s="250" t="s">
        <v>616</v>
      </c>
      <c r="C368" s="259" t="s">
        <v>670</v>
      </c>
      <c r="D368" s="252" t="s">
        <v>805</v>
      </c>
      <c r="E368" s="252" t="s">
        <v>806</v>
      </c>
      <c r="F368" s="252" t="s">
        <v>807</v>
      </c>
      <c r="G368" s="252" t="s">
        <v>808</v>
      </c>
      <c r="H368" s="252" t="s">
        <v>809</v>
      </c>
      <c r="I368" s="252" t="s">
        <v>810</v>
      </c>
      <c r="J368" s="252" t="s">
        <v>811</v>
      </c>
      <c r="K368" s="252" t="s">
        <v>812</v>
      </c>
    </row>
    <row r="369" spans="2:11" ht="27" customHeight="1" thickBot="1" x14ac:dyDescent="0.35">
      <c r="B369" s="251" t="s">
        <v>617</v>
      </c>
      <c r="C369" s="254" t="s">
        <v>813</v>
      </c>
      <c r="D369" s="254" t="s">
        <v>814</v>
      </c>
      <c r="E369" s="254" t="s">
        <v>815</v>
      </c>
      <c r="F369" s="254" t="s">
        <v>816</v>
      </c>
      <c r="G369" s="254" t="s">
        <v>817</v>
      </c>
      <c r="H369" s="254" t="s">
        <v>818</v>
      </c>
      <c r="I369" s="254" t="s">
        <v>819</v>
      </c>
      <c r="J369" s="254" t="s">
        <v>820</v>
      </c>
      <c r="K369" s="254" t="s">
        <v>821</v>
      </c>
    </row>
    <row r="370" spans="2:11" ht="15" thickTop="1" x14ac:dyDescent="0.3">
      <c r="B370" s="84"/>
      <c r="C370" s="85"/>
      <c r="D370" s="86"/>
      <c r="E370" s="3"/>
      <c r="F370" s="83"/>
      <c r="G370" s="83"/>
    </row>
    <row r="371" spans="2:11" x14ac:dyDescent="0.3">
      <c r="B371" s="84"/>
      <c r="C371" s="85"/>
      <c r="D371" s="86"/>
      <c r="E371" s="3"/>
      <c r="F371" s="83"/>
      <c r="G371" s="83"/>
    </row>
    <row r="374" spans="2:11" x14ac:dyDescent="0.3">
      <c r="B374" s="714"/>
      <c r="C374" s="714"/>
      <c r="D374" s="714"/>
      <c r="E374" s="714"/>
      <c r="F374" s="714"/>
      <c r="G374" s="714"/>
      <c r="H374" s="714"/>
      <c r="I374" s="714"/>
    </row>
  </sheetData>
  <sheetProtection algorithmName="SHA-512" hashValue="nrUwUcpeNafpQwXsNgn4+FfXnY03o+O6ck14qaLSZAPa3LoIncK7HwZJahHwPGUbiTleZqfTqx8OHAT4gEQZEQ==" saltValue="CvaxrSAbdTu5a34W7vCenQ==" spinCount="100000" sheet="1" objects="1" autoFilter="0" pivotTables="0"/>
  <mergeCells count="214">
    <mergeCell ref="C48:D48"/>
    <mergeCell ref="E48:F48"/>
    <mergeCell ref="C196:D196"/>
    <mergeCell ref="E206:F206"/>
    <mergeCell ref="E216:F216"/>
    <mergeCell ref="B73:I73"/>
    <mergeCell ref="C109:H110"/>
    <mergeCell ref="B109:B110"/>
    <mergeCell ref="B283:D283"/>
    <mergeCell ref="C273:H273"/>
    <mergeCell ref="B267:I267"/>
    <mergeCell ref="C269:H269"/>
    <mergeCell ref="B277:C277"/>
    <mergeCell ref="C194:H194"/>
    <mergeCell ref="C191:H191"/>
    <mergeCell ref="C192:H192"/>
    <mergeCell ref="C261:H261"/>
    <mergeCell ref="C259:H259"/>
    <mergeCell ref="C260:H260"/>
    <mergeCell ref="B243:B245"/>
    <mergeCell ref="C262:H262"/>
    <mergeCell ref="C274:H274"/>
    <mergeCell ref="B250:L250"/>
    <mergeCell ref="B240:L240"/>
    <mergeCell ref="F30:G30"/>
    <mergeCell ref="J30:K30"/>
    <mergeCell ref="L30:M30"/>
    <mergeCell ref="F31:G31"/>
    <mergeCell ref="J31:K31"/>
    <mergeCell ref="L31:M31"/>
    <mergeCell ref="F32:G32"/>
    <mergeCell ref="J32:K32"/>
    <mergeCell ref="L32:M32"/>
    <mergeCell ref="L26:M26"/>
    <mergeCell ref="F27:G27"/>
    <mergeCell ref="J27:K27"/>
    <mergeCell ref="L27:M27"/>
    <mergeCell ref="F28:G28"/>
    <mergeCell ref="J28:K28"/>
    <mergeCell ref="L28:M28"/>
    <mergeCell ref="F29:G29"/>
    <mergeCell ref="J29:K29"/>
    <mergeCell ref="L29:M29"/>
    <mergeCell ref="K234:L234"/>
    <mergeCell ref="B200:I200"/>
    <mergeCell ref="B230:I230"/>
    <mergeCell ref="B231:I231"/>
    <mergeCell ref="C193:H193"/>
    <mergeCell ref="C204:H204"/>
    <mergeCell ref="C214:H214"/>
    <mergeCell ref="C224:H224"/>
    <mergeCell ref="C232:L232"/>
    <mergeCell ref="C233:L233"/>
    <mergeCell ref="E226:F226"/>
    <mergeCell ref="B187:I187"/>
    <mergeCell ref="C146:H146"/>
    <mergeCell ref="C181:H181"/>
    <mergeCell ref="C190:H190"/>
    <mergeCell ref="B228:C228"/>
    <mergeCell ref="B232:B235"/>
    <mergeCell ref="C234:D234"/>
    <mergeCell ref="E234:F234"/>
    <mergeCell ref="G234:H234"/>
    <mergeCell ref="C57:H57"/>
    <mergeCell ref="C58:H58"/>
    <mergeCell ref="B46:I46"/>
    <mergeCell ref="C59:H59"/>
    <mergeCell ref="C145:H145"/>
    <mergeCell ref="C147:H147"/>
    <mergeCell ref="C178:H178"/>
    <mergeCell ref="C179:H179"/>
    <mergeCell ref="C70:H70"/>
    <mergeCell ref="C72:H72"/>
    <mergeCell ref="B60:I60"/>
    <mergeCell ref="C106:H106"/>
    <mergeCell ref="C107:H107"/>
    <mergeCell ref="B97:I97"/>
    <mergeCell ref="B75:C75"/>
    <mergeCell ref="C80:H80"/>
    <mergeCell ref="C71:H71"/>
    <mergeCell ref="B140:I140"/>
    <mergeCell ref="C133:H133"/>
    <mergeCell ref="C81:H81"/>
    <mergeCell ref="C82:H82"/>
    <mergeCell ref="C79:H79"/>
    <mergeCell ref="C84:H84"/>
    <mergeCell ref="B87:C87"/>
    <mergeCell ref="B10:C10"/>
    <mergeCell ref="C14:H14"/>
    <mergeCell ref="B36:C36"/>
    <mergeCell ref="C15:H15"/>
    <mergeCell ref="C16:H16"/>
    <mergeCell ref="C17:H17"/>
    <mergeCell ref="C18:H18"/>
    <mergeCell ref="C40:H40"/>
    <mergeCell ref="B50:C50"/>
    <mergeCell ref="C19:H19"/>
    <mergeCell ref="C45:H45"/>
    <mergeCell ref="C44:H44"/>
    <mergeCell ref="C41:H41"/>
    <mergeCell ref="C42:H42"/>
    <mergeCell ref="C43:H43"/>
    <mergeCell ref="B23:M23"/>
    <mergeCell ref="F24:G24"/>
    <mergeCell ref="J24:K24"/>
    <mergeCell ref="L24:M24"/>
    <mergeCell ref="F25:G25"/>
    <mergeCell ref="J25:K25"/>
    <mergeCell ref="L25:M25"/>
    <mergeCell ref="F26:G26"/>
    <mergeCell ref="J26:K26"/>
    <mergeCell ref="B100:C100"/>
    <mergeCell ref="C104:H104"/>
    <mergeCell ref="C94:H94"/>
    <mergeCell ref="C96:H96"/>
    <mergeCell ref="C83:H83"/>
    <mergeCell ref="C95:H95"/>
    <mergeCell ref="C108:H108"/>
    <mergeCell ref="C120:H120"/>
    <mergeCell ref="C93:H93"/>
    <mergeCell ref="C116:H116"/>
    <mergeCell ref="C117:H117"/>
    <mergeCell ref="C118:H118"/>
    <mergeCell ref="C129:H129"/>
    <mergeCell ref="B318:D318"/>
    <mergeCell ref="B300:D300"/>
    <mergeCell ref="C271:H271"/>
    <mergeCell ref="C131:H131"/>
    <mergeCell ref="C132:H132"/>
    <mergeCell ref="C134:H134"/>
    <mergeCell ref="B135:I135"/>
    <mergeCell ref="C142:H142"/>
    <mergeCell ref="B138:C138"/>
    <mergeCell ref="C143:H143"/>
    <mergeCell ref="C144:H144"/>
    <mergeCell ref="B170:I170"/>
    <mergeCell ref="C130:H130"/>
    <mergeCell ref="C244:G244"/>
    <mergeCell ref="H244:L244"/>
    <mergeCell ref="I234:J234"/>
    <mergeCell ref="C180:H180"/>
    <mergeCell ref="C182:H182"/>
    <mergeCell ref="C189:H189"/>
    <mergeCell ref="B185:C185"/>
    <mergeCell ref="B173:C173"/>
    <mergeCell ref="C177:H177"/>
    <mergeCell ref="B175:I175"/>
    <mergeCell ref="B374:I374"/>
    <mergeCell ref="B198:C198"/>
    <mergeCell ref="C202:H202"/>
    <mergeCell ref="C203:H203"/>
    <mergeCell ref="B208:C208"/>
    <mergeCell ref="C212:H212"/>
    <mergeCell ref="C213:H213"/>
    <mergeCell ref="B218:C218"/>
    <mergeCell ref="C222:H222"/>
    <mergeCell ref="C223:H223"/>
    <mergeCell ref="B220:I220"/>
    <mergeCell ref="B319:D319"/>
    <mergeCell ref="B337:D337"/>
    <mergeCell ref="B355:D355"/>
    <mergeCell ref="B253:C253"/>
    <mergeCell ref="B255:I255"/>
    <mergeCell ref="B279:I279"/>
    <mergeCell ref="B281:I281"/>
    <mergeCell ref="B265:C265"/>
    <mergeCell ref="C257:H257"/>
    <mergeCell ref="C270:H270"/>
    <mergeCell ref="C258:H258"/>
    <mergeCell ref="C243:L243"/>
    <mergeCell ref="C272:H272"/>
    <mergeCell ref="B12:I12"/>
    <mergeCell ref="B38:I38"/>
    <mergeCell ref="B52:I52"/>
    <mergeCell ref="B65:I65"/>
    <mergeCell ref="B77:I77"/>
    <mergeCell ref="B89:I89"/>
    <mergeCell ref="B102:I102"/>
    <mergeCell ref="B114:I114"/>
    <mergeCell ref="B127:I127"/>
    <mergeCell ref="C105:H105"/>
    <mergeCell ref="C68:H68"/>
    <mergeCell ref="C69:H69"/>
    <mergeCell ref="B112:C112"/>
    <mergeCell ref="C92:H92"/>
    <mergeCell ref="C119:H119"/>
    <mergeCell ref="C121:H121"/>
    <mergeCell ref="B122:I122"/>
    <mergeCell ref="C54:H54"/>
    <mergeCell ref="B63:C63"/>
    <mergeCell ref="C67:H67"/>
    <mergeCell ref="C55:H55"/>
    <mergeCell ref="C56:H56"/>
    <mergeCell ref="B125:C125"/>
    <mergeCell ref="C91:H91"/>
    <mergeCell ref="A278:A293"/>
    <mergeCell ref="A11:A15"/>
    <mergeCell ref="A37:A42"/>
    <mergeCell ref="A51:A59"/>
    <mergeCell ref="A64:A72"/>
    <mergeCell ref="A76:A84"/>
    <mergeCell ref="A88:A95"/>
    <mergeCell ref="A101:A106"/>
    <mergeCell ref="A113:A121"/>
    <mergeCell ref="A126:A133"/>
    <mergeCell ref="A139:A145"/>
    <mergeCell ref="A174:A182"/>
    <mergeCell ref="A186:A195"/>
    <mergeCell ref="A199:A206"/>
    <mergeCell ref="A209:A216"/>
    <mergeCell ref="A219:A226"/>
    <mergeCell ref="A229:A245"/>
    <mergeCell ref="A254:A260"/>
    <mergeCell ref="A266:A274"/>
  </mergeCells>
  <dataValidations count="1">
    <dataValidation type="decimal" operator="greaterThanOrEqual" allowBlank="1" showInputMessage="1" showErrorMessage="1" sqref="D303:J303 C303:C304 C312:J312 D304:K304 L303:L304 C306:J309 C313:L314 L306:L312 D286:J286 C286:C287 C295:J295 D287:K287 L286:L287 L289:L295 C296:L297 C291:J292 C289:G290 I289:J290" xr:uid="{E4CBAEAB-1345-4C62-A272-4105B62667F6}">
      <formula1>0</formula1>
    </dataValidation>
  </dataValidations>
  <hyperlinks>
    <hyperlink ref="C20" r:id="rId1" display="Link 1" xr:uid="{78443A67-1A40-498A-90ED-63FA6841AA1A}"/>
    <hyperlink ref="C48" r:id="rId2" display="Link 1" xr:uid="{44B9F169-288F-45DB-BF0D-E9945DB74AE0}"/>
    <hyperlink ref="E48" r:id="rId3" display="Link 2" xr:uid="{0AC48582-1994-46B2-B2AC-083B243B0AF7}"/>
    <hyperlink ref="C48:D48" r:id="rId4" display="Financial Statements" xr:uid="{26DC0B1A-7FC0-4B09-9A43-C16B49076AA5}"/>
    <hyperlink ref="E48:F48" r:id="rId5" display="Reference Form" xr:uid="{D87FB043-CC87-44E8-AD7E-1B36CB237AD4}"/>
    <hyperlink ref="C196" r:id="rId6" display="Link 2" xr:uid="{FDD45BEA-0473-44EF-AAF4-AD63C41AED14}"/>
    <hyperlink ref="C196:D196" r:id="rId7" display="Reference Form" xr:uid="{767B0DC4-4881-493B-9B4E-E8B5EBA2EF91}"/>
    <hyperlink ref="C206" r:id="rId8" display="Link 1" xr:uid="{99D3CB00-2E4E-41B2-B14E-87505150F4D8}"/>
    <hyperlink ref="E206" r:id="rId9" display="Link 1" xr:uid="{F9461286-844B-457D-939C-3942CCB7559A}"/>
    <hyperlink ref="C206:D206" r:id="rId10" display="Política de Conformidade Fiscal - POL-0046-G" xr:uid="{A492F05C-6ED4-4DA4-95EE-EC476AFF4CFF}"/>
    <hyperlink ref="C216" r:id="rId11" display="Link 1" xr:uid="{56702796-10A7-485E-A167-D54CBE9D7D89}"/>
    <hyperlink ref="E216" r:id="rId12" display="Link 1" xr:uid="{13623B84-AE84-484A-8977-AA38E7FFBEBA}"/>
    <hyperlink ref="C216:D216" r:id="rId13" display="Política de Conformidade Fiscal - POL-0046-G" xr:uid="{7D18F957-41AF-428E-A916-77E4D6CCA912}"/>
    <hyperlink ref="C226" r:id="rId14" display="Link 1" xr:uid="{2F90D5DE-DC24-4241-8932-5A2F436541B3}"/>
    <hyperlink ref="E226" r:id="rId15" display="Link 1" xr:uid="{59A9131D-43CA-48B0-80E9-99D9739A8325}"/>
    <hyperlink ref="C226:D226" r:id="rId16" display="Política de Conformidade Fiscal - POL-0046-G" xr:uid="{FADA0809-DE6F-4A9C-A9CA-7620260C75C7}"/>
  </hyperlinks>
  <pageMargins left="0.70866141732283472" right="0.70866141732283472" top="0.74803149606299213" bottom="0.74803149606299213" header="0.31496062992125984" footer="0.31496062992125984"/>
  <pageSetup paperSize="9" scale="44" fitToHeight="0" orientation="portrait" horizontalDpi="300" r:id="rId17"/>
  <headerFooter>
    <oddHeader xml:space="preserve">&amp;C </oddHeader>
  </headerFooter>
  <drawing r:id="rId1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72D2-0B88-4817-B735-8D0185B7AB0F}">
  <sheetPr codeName="Planilha9">
    <tabColor rgb="FFECB11F"/>
    <pageSetUpPr fitToPage="1"/>
  </sheetPr>
  <dimension ref="A1:XFC60"/>
  <sheetViews>
    <sheetView showGridLines="0" showRowColHeaders="0" showRuler="0" zoomScaleNormal="100" workbookViewId="0">
      <pane ySplit="2" topLeftCell="A3" activePane="bottomLeft" state="frozen"/>
      <selection pane="bottomLeft"/>
    </sheetView>
  </sheetViews>
  <sheetFormatPr defaultColWidth="0" defaultRowHeight="14.4" x14ac:dyDescent="0.3"/>
  <cols>
    <col min="1" max="1" width="8.77734375" customWidth="1"/>
    <col min="2" max="2" width="30.5546875" customWidth="1"/>
    <col min="3" max="3" width="70.5546875" customWidth="1"/>
    <col min="4" max="4" width="41.77734375" customWidth="1"/>
    <col min="5" max="5" width="8.77734375" customWidth="1"/>
    <col min="6" max="6" width="8.77734375" hidden="1" customWidth="1"/>
    <col min="7" max="16383" width="8.77734375" hidden="1"/>
    <col min="16384" max="16384" width="4.77734375" hidden="1"/>
  </cols>
  <sheetData>
    <row r="1" spans="1:4" ht="14.1" customHeight="1" x14ac:dyDescent="0.3">
      <c r="A1" s="446"/>
      <c r="C1" s="4"/>
      <c r="D1" s="19"/>
    </row>
    <row r="2" spans="1:4" s="421" customFormat="1" ht="14.1" customHeight="1" x14ac:dyDescent="0.3">
      <c r="A2" s="447"/>
      <c r="C2" s="422"/>
      <c r="D2" s="423"/>
    </row>
    <row r="3" spans="1:4" ht="14.55" customHeight="1" x14ac:dyDescent="0.3">
      <c r="C3" s="4"/>
      <c r="D3" s="19"/>
    </row>
    <row r="4" spans="1:4" ht="14.55" customHeight="1" x14ac:dyDescent="0.3">
      <c r="C4" s="4"/>
      <c r="D4" s="9" t="s">
        <v>0</v>
      </c>
    </row>
    <row r="5" spans="1:4" ht="14.55" customHeight="1" x14ac:dyDescent="0.3">
      <c r="C5" s="4"/>
      <c r="D5" s="19"/>
    </row>
    <row r="6" spans="1:4" x14ac:dyDescent="0.3">
      <c r="C6" s="4"/>
      <c r="D6" s="19"/>
    </row>
    <row r="7" spans="1:4" x14ac:dyDescent="0.3">
      <c r="C7" s="4"/>
      <c r="D7" s="19"/>
    </row>
    <row r="8" spans="1:4" ht="21" x14ac:dyDescent="0.4">
      <c r="B8" s="441" t="s">
        <v>22</v>
      </c>
      <c r="C8" s="18"/>
      <c r="D8" s="20"/>
    </row>
    <row r="9" spans="1:4" ht="21" x14ac:dyDescent="0.4">
      <c r="B9" s="6"/>
      <c r="C9" s="18"/>
      <c r="D9" s="20"/>
    </row>
    <row r="10" spans="1:4" ht="12" customHeight="1" thickBot="1" x14ac:dyDescent="0.35">
      <c r="B10" s="26" t="s">
        <v>323</v>
      </c>
      <c r="C10" s="26" t="s">
        <v>324</v>
      </c>
      <c r="D10" s="27" t="s">
        <v>325</v>
      </c>
    </row>
    <row r="11" spans="1:4" ht="20.100000000000001" customHeight="1" thickTop="1" x14ac:dyDescent="0.3">
      <c r="B11" s="11" t="s">
        <v>192</v>
      </c>
      <c r="C11" s="11" t="s">
        <v>193</v>
      </c>
      <c r="D11" s="369" t="s">
        <v>125</v>
      </c>
    </row>
    <row r="12" spans="1:4" ht="20.100000000000001" customHeight="1" x14ac:dyDescent="0.3">
      <c r="B12" s="11" t="s">
        <v>194</v>
      </c>
      <c r="C12" s="11" t="s">
        <v>195</v>
      </c>
      <c r="D12" s="369" t="s">
        <v>125</v>
      </c>
    </row>
    <row r="13" spans="1:4" ht="20.100000000000001" customHeight="1" x14ac:dyDescent="0.3">
      <c r="B13" s="11" t="s">
        <v>196</v>
      </c>
      <c r="C13" s="11" t="s">
        <v>197</v>
      </c>
      <c r="D13" s="369" t="s">
        <v>125</v>
      </c>
    </row>
    <row r="14" spans="1:4" ht="20.100000000000001" customHeight="1" x14ac:dyDescent="0.3">
      <c r="B14" s="11" t="s">
        <v>198</v>
      </c>
      <c r="C14" s="11" t="s">
        <v>199</v>
      </c>
      <c r="D14" s="369" t="s">
        <v>125</v>
      </c>
    </row>
    <row r="15" spans="1:4" ht="20.100000000000001" customHeight="1" x14ac:dyDescent="0.3">
      <c r="B15" s="11" t="s">
        <v>166</v>
      </c>
      <c r="C15" s="11" t="s">
        <v>167</v>
      </c>
      <c r="D15" s="369" t="s">
        <v>125</v>
      </c>
    </row>
    <row r="16" spans="1:4" ht="20.100000000000001" customHeight="1" x14ac:dyDescent="0.3">
      <c r="B16" s="11" t="s">
        <v>168</v>
      </c>
      <c r="C16" s="11" t="s">
        <v>169</v>
      </c>
      <c r="D16" s="369" t="s">
        <v>125</v>
      </c>
    </row>
    <row r="17" spans="2:4" ht="20.100000000000001" customHeight="1" x14ac:dyDescent="0.3">
      <c r="B17" s="11" t="s">
        <v>170</v>
      </c>
      <c r="C17" s="11" t="s">
        <v>171</v>
      </c>
      <c r="D17" s="369" t="s">
        <v>125</v>
      </c>
    </row>
    <row r="18" spans="2:4" ht="20.100000000000001" customHeight="1" x14ac:dyDescent="0.3">
      <c r="B18" s="11" t="s">
        <v>172</v>
      </c>
      <c r="C18" s="11" t="s">
        <v>173</v>
      </c>
      <c r="D18" s="369" t="s">
        <v>125</v>
      </c>
    </row>
    <row r="19" spans="2:4" ht="20.100000000000001" customHeight="1" x14ac:dyDescent="0.3">
      <c r="B19" s="11" t="s">
        <v>174</v>
      </c>
      <c r="C19" s="11" t="s">
        <v>175</v>
      </c>
      <c r="D19" s="369" t="s">
        <v>125</v>
      </c>
    </row>
    <row r="20" spans="2:4" ht="22.8" x14ac:dyDescent="0.3">
      <c r="B20" s="11" t="s">
        <v>147</v>
      </c>
      <c r="C20" s="11" t="s">
        <v>148</v>
      </c>
      <c r="D20" s="369" t="s">
        <v>125</v>
      </c>
    </row>
    <row r="21" spans="2:4" ht="20.100000000000001" customHeight="1" x14ac:dyDescent="0.3">
      <c r="B21" s="11" t="s">
        <v>149</v>
      </c>
      <c r="C21" s="11" t="s">
        <v>150</v>
      </c>
      <c r="D21" s="369" t="s">
        <v>125</v>
      </c>
    </row>
    <row r="22" spans="2:4" ht="20.100000000000001" customHeight="1" x14ac:dyDescent="0.3">
      <c r="B22" s="11" t="s">
        <v>151</v>
      </c>
      <c r="C22" s="11" t="s">
        <v>152</v>
      </c>
      <c r="D22" s="369" t="s">
        <v>125</v>
      </c>
    </row>
    <row r="23" spans="2:4" ht="30" customHeight="1" x14ac:dyDescent="0.3">
      <c r="B23" s="11" t="s">
        <v>153</v>
      </c>
      <c r="C23" s="11" t="s">
        <v>154</v>
      </c>
      <c r="D23" s="369" t="s">
        <v>125</v>
      </c>
    </row>
    <row r="24" spans="2:4" ht="20.100000000000001" customHeight="1" x14ac:dyDescent="0.3">
      <c r="B24" s="11" t="s">
        <v>200</v>
      </c>
      <c r="C24" s="11" t="s">
        <v>201</v>
      </c>
      <c r="D24" s="369" t="s">
        <v>125</v>
      </c>
    </row>
    <row r="25" spans="2:4" ht="20.100000000000001" customHeight="1" x14ac:dyDescent="0.3">
      <c r="B25" s="11" t="s">
        <v>202</v>
      </c>
      <c r="C25" s="11" t="s">
        <v>203</v>
      </c>
      <c r="D25" s="369" t="s">
        <v>125</v>
      </c>
    </row>
    <row r="26" spans="2:4" ht="20.100000000000001" customHeight="1" x14ac:dyDescent="0.3">
      <c r="B26" s="11" t="s">
        <v>204</v>
      </c>
      <c r="C26" s="11" t="s">
        <v>205</v>
      </c>
      <c r="D26" s="369" t="s">
        <v>125</v>
      </c>
    </row>
    <row r="27" spans="2:4" ht="20.100000000000001" customHeight="1" x14ac:dyDescent="0.3">
      <c r="B27" s="11" t="s">
        <v>206</v>
      </c>
      <c r="C27" s="11" t="s">
        <v>207</v>
      </c>
      <c r="D27" s="369" t="s">
        <v>125</v>
      </c>
    </row>
    <row r="28" spans="2:4" ht="20.100000000000001" customHeight="1" x14ac:dyDescent="0.3">
      <c r="B28" s="11" t="s">
        <v>208</v>
      </c>
      <c r="C28" s="11" t="s">
        <v>209</v>
      </c>
      <c r="D28" s="369" t="s">
        <v>125</v>
      </c>
    </row>
    <row r="29" spans="2:4" ht="20.100000000000001" customHeight="1" x14ac:dyDescent="0.3">
      <c r="B29" s="11" t="s">
        <v>176</v>
      </c>
      <c r="C29" s="11" t="s">
        <v>177</v>
      </c>
      <c r="D29" s="369" t="s">
        <v>125</v>
      </c>
    </row>
    <row r="30" spans="2:4" ht="20.100000000000001" customHeight="1" x14ac:dyDescent="0.3">
      <c r="B30" s="11" t="s">
        <v>178</v>
      </c>
      <c r="C30" s="11" t="s">
        <v>179</v>
      </c>
      <c r="D30" s="369" t="s">
        <v>125</v>
      </c>
    </row>
    <row r="31" spans="2:4" ht="20.100000000000001" customHeight="1" x14ac:dyDescent="0.3">
      <c r="B31" s="11" t="s">
        <v>822</v>
      </c>
      <c r="C31" s="11" t="s">
        <v>823</v>
      </c>
      <c r="D31" s="369" t="s">
        <v>125</v>
      </c>
    </row>
    <row r="32" spans="2:4" ht="20.100000000000001" customHeight="1" x14ac:dyDescent="0.3">
      <c r="B32" s="11" t="s">
        <v>824</v>
      </c>
      <c r="C32" s="11" t="s">
        <v>825</v>
      </c>
      <c r="D32" s="369" t="s">
        <v>125</v>
      </c>
    </row>
    <row r="33" spans="2:4" ht="20.100000000000001" customHeight="1" x14ac:dyDescent="0.3">
      <c r="B33" s="11" t="s">
        <v>826</v>
      </c>
      <c r="C33" s="11" t="s">
        <v>827</v>
      </c>
      <c r="D33" s="369" t="s">
        <v>125</v>
      </c>
    </row>
    <row r="34" spans="2:4" ht="20.100000000000001" customHeight="1" x14ac:dyDescent="0.3">
      <c r="B34" s="11" t="s">
        <v>828</v>
      </c>
      <c r="C34" s="11" t="s">
        <v>829</v>
      </c>
      <c r="D34" s="369" t="s">
        <v>125</v>
      </c>
    </row>
    <row r="35" spans="2:4" ht="20.100000000000001" customHeight="1" x14ac:dyDescent="0.3">
      <c r="B35" s="11" t="s">
        <v>830</v>
      </c>
      <c r="C35" s="11" t="s">
        <v>831</v>
      </c>
      <c r="D35" s="369" t="s">
        <v>125</v>
      </c>
    </row>
    <row r="36" spans="2:4" ht="20.100000000000001" customHeight="1" x14ac:dyDescent="0.3">
      <c r="B36" s="11" t="s">
        <v>832</v>
      </c>
      <c r="C36" s="11" t="s">
        <v>833</v>
      </c>
      <c r="D36" s="369" t="s">
        <v>125</v>
      </c>
    </row>
    <row r="37" spans="2:4" ht="20.100000000000001" customHeight="1" x14ac:dyDescent="0.3">
      <c r="B37" s="11" t="s">
        <v>834</v>
      </c>
      <c r="C37" s="11" t="s">
        <v>835</v>
      </c>
      <c r="D37" s="369" t="s">
        <v>125</v>
      </c>
    </row>
    <row r="38" spans="2:4" ht="27" customHeight="1" x14ac:dyDescent="0.3">
      <c r="B38" s="11" t="s">
        <v>155</v>
      </c>
      <c r="C38" s="11" t="s">
        <v>156</v>
      </c>
      <c r="D38" s="369" t="s">
        <v>125</v>
      </c>
    </row>
    <row r="39" spans="2:4" ht="43.5" customHeight="1" x14ac:dyDescent="0.3">
      <c r="B39" s="11" t="s">
        <v>157</v>
      </c>
      <c r="C39" s="11" t="s">
        <v>158</v>
      </c>
      <c r="D39" s="369" t="s">
        <v>125</v>
      </c>
    </row>
    <row r="40" spans="2:4" ht="20.100000000000001" customHeight="1" x14ac:dyDescent="0.3">
      <c r="B40" s="11" t="s">
        <v>123</v>
      </c>
      <c r="C40" s="11" t="s">
        <v>124</v>
      </c>
      <c r="D40" s="369" t="s">
        <v>125</v>
      </c>
    </row>
    <row r="41" spans="2:4" ht="20.100000000000001" customHeight="1" x14ac:dyDescent="0.3">
      <c r="B41" s="11" t="s">
        <v>187</v>
      </c>
      <c r="C41" s="11" t="s">
        <v>188</v>
      </c>
      <c r="D41" s="369" t="s">
        <v>125</v>
      </c>
    </row>
    <row r="42" spans="2:4" ht="20.100000000000001" customHeight="1" x14ac:dyDescent="0.3">
      <c r="B42" s="11" t="s">
        <v>210</v>
      </c>
      <c r="C42" s="11" t="s">
        <v>211</v>
      </c>
      <c r="D42" s="369" t="s">
        <v>125</v>
      </c>
    </row>
    <row r="43" spans="2:4" ht="38.25" customHeight="1" x14ac:dyDescent="0.3">
      <c r="B43" s="11" t="s">
        <v>212</v>
      </c>
      <c r="C43" s="11" t="s">
        <v>213</v>
      </c>
      <c r="D43" s="369" t="s">
        <v>125</v>
      </c>
    </row>
    <row r="44" spans="2:4" ht="43.5" customHeight="1" x14ac:dyDescent="0.3">
      <c r="B44" s="11" t="s">
        <v>180</v>
      </c>
      <c r="C44" s="11" t="s">
        <v>181</v>
      </c>
      <c r="D44" s="369" t="s">
        <v>125</v>
      </c>
    </row>
    <row r="45" spans="2:4" ht="26.25" customHeight="1" x14ac:dyDescent="0.3">
      <c r="B45" s="11" t="s">
        <v>214</v>
      </c>
      <c r="C45" s="11" t="s">
        <v>215</v>
      </c>
      <c r="D45" s="369" t="s">
        <v>125</v>
      </c>
    </row>
    <row r="46" spans="2:4" ht="30" customHeight="1" x14ac:dyDescent="0.3">
      <c r="B46" s="11" t="s">
        <v>182</v>
      </c>
      <c r="C46" s="11" t="s">
        <v>183</v>
      </c>
      <c r="D46" s="369" t="s">
        <v>125</v>
      </c>
    </row>
    <row r="47" spans="2:4" ht="28.5" customHeight="1" x14ac:dyDescent="0.3">
      <c r="B47" s="11" t="s">
        <v>184</v>
      </c>
      <c r="C47" s="11" t="s">
        <v>185</v>
      </c>
      <c r="D47" s="369" t="s">
        <v>125</v>
      </c>
    </row>
    <row r="48" spans="2:4" ht="20.100000000000001" customHeight="1" x14ac:dyDescent="0.3">
      <c r="B48" s="11" t="s">
        <v>836</v>
      </c>
      <c r="C48" s="11" t="s">
        <v>837</v>
      </c>
      <c r="D48" s="369" t="s">
        <v>125</v>
      </c>
    </row>
    <row r="49" spans="2:4" ht="20.100000000000001" customHeight="1" x14ac:dyDescent="0.3">
      <c r="B49" s="11" t="s">
        <v>126</v>
      </c>
      <c r="C49" s="11" t="s">
        <v>838</v>
      </c>
      <c r="D49" s="369" t="s">
        <v>125</v>
      </c>
    </row>
    <row r="50" spans="2:4" ht="20.100000000000001" customHeight="1" x14ac:dyDescent="0.3">
      <c r="B50" s="11" t="s">
        <v>128</v>
      </c>
      <c r="C50" s="11" t="s">
        <v>839</v>
      </c>
      <c r="D50" s="369" t="s">
        <v>125</v>
      </c>
    </row>
    <row r="51" spans="2:4" ht="20.100000000000001" customHeight="1" x14ac:dyDescent="0.3">
      <c r="B51" s="11" t="s">
        <v>130</v>
      </c>
      <c r="C51" s="11" t="s">
        <v>131</v>
      </c>
      <c r="D51" s="369" t="s">
        <v>125</v>
      </c>
    </row>
    <row r="52" spans="2:4" ht="20.100000000000001" customHeight="1" x14ac:dyDescent="0.3">
      <c r="B52" s="11" t="s">
        <v>132</v>
      </c>
      <c r="C52" s="11" t="s">
        <v>133</v>
      </c>
      <c r="D52" s="369" t="s">
        <v>125</v>
      </c>
    </row>
    <row r="53" spans="2:4" ht="28.5" customHeight="1" x14ac:dyDescent="0.3">
      <c r="B53" s="11" t="s">
        <v>134</v>
      </c>
      <c r="C53" s="11" t="s">
        <v>135</v>
      </c>
      <c r="D53" s="369" t="s">
        <v>125</v>
      </c>
    </row>
    <row r="54" spans="2:4" ht="28.5" customHeight="1" x14ac:dyDescent="0.3">
      <c r="B54" s="11" t="s">
        <v>136</v>
      </c>
      <c r="C54" s="11" t="s">
        <v>137</v>
      </c>
      <c r="D54" s="369" t="s">
        <v>125</v>
      </c>
    </row>
    <row r="55" spans="2:4" ht="20.100000000000001" customHeight="1" x14ac:dyDescent="0.3">
      <c r="B55" s="11" t="s">
        <v>159</v>
      </c>
      <c r="C55" s="11" t="s">
        <v>160</v>
      </c>
      <c r="D55" s="369" t="s">
        <v>125</v>
      </c>
    </row>
    <row r="56" spans="2:4" ht="27" customHeight="1" x14ac:dyDescent="0.3">
      <c r="B56" s="11" t="s">
        <v>161</v>
      </c>
      <c r="C56" s="11" t="s">
        <v>162</v>
      </c>
      <c r="D56" s="369" t="s">
        <v>125</v>
      </c>
    </row>
    <row r="57" spans="2:4" ht="29.25" customHeight="1" x14ac:dyDescent="0.3">
      <c r="B57" s="11" t="s">
        <v>163</v>
      </c>
      <c r="C57" s="11" t="s">
        <v>164</v>
      </c>
      <c r="D57" s="369" t="s">
        <v>125</v>
      </c>
    </row>
    <row r="58" spans="2:4" ht="65.25" customHeight="1" x14ac:dyDescent="0.3">
      <c r="B58" s="11" t="s">
        <v>138</v>
      </c>
      <c r="C58" s="11" t="s">
        <v>139</v>
      </c>
      <c r="D58" s="369" t="s">
        <v>125</v>
      </c>
    </row>
    <row r="59" spans="2:4" ht="27" customHeight="1" x14ac:dyDescent="0.3">
      <c r="B59" s="11" t="s">
        <v>140</v>
      </c>
      <c r="C59" s="11" t="s">
        <v>141</v>
      </c>
      <c r="D59" s="369" t="s">
        <v>125</v>
      </c>
    </row>
    <row r="60" spans="2:4" ht="25.5" customHeight="1" x14ac:dyDescent="0.3">
      <c r="B60" s="11" t="s">
        <v>142</v>
      </c>
      <c r="C60" s="11" t="s">
        <v>840</v>
      </c>
      <c r="D60" s="369" t="s">
        <v>125</v>
      </c>
    </row>
  </sheetData>
  <sheetProtection algorithmName="SHA-512" hashValue="wUnovvSIAFrepf7jTkd00mvmc600LtJwn/YT9ckZDQMx7aCiseUNWBOrbIb8lINyY7w/j5jhGwr7PfPoflsgTA==" saltValue="ni52Z7OmvQp7rhKyzHHlEA==" spinCount="100000" sheet="1" objects="1" autoFilter="0" pivotTables="0"/>
  <hyperlinks>
    <hyperlink ref="D11" location="'Environmental Data'!A17" display="Environmental data" xr:uid="{50DCED89-B30F-4A4B-971C-FE58C87A54F3}"/>
    <hyperlink ref="D12" location="'Environmental Data'!A96" display="Environmental data" xr:uid="{D27DD4EA-FE9B-4DDB-BC39-C8C9DB0F64F3}"/>
    <hyperlink ref="D13" location="'Environmental Data'!A110" display="Environmental data" xr:uid="{02088CB1-1957-4ED9-9659-280C70962D4F}"/>
    <hyperlink ref="D14" location="'Environmental Data'!A122" display="Environmental data" xr:uid="{191F904C-F146-4A2A-9637-75809FAA2366}"/>
    <hyperlink ref="D15" location="'Environmental Data'!A135" display="Environmental data" xr:uid="{B9C5875A-54A1-483D-8B89-547D1FDDAAB3}"/>
    <hyperlink ref="D16" location="'Environmental Data'!A147" display="Environmental data" xr:uid="{EC2E05C2-D6E4-4BAD-A0A7-0F43487C5A32}"/>
    <hyperlink ref="D17" location="'Environmental Data'!A157" display="Environmental data" xr:uid="{41BFFAAF-B035-4214-A861-429A2A188646}"/>
    <hyperlink ref="D18" location="'Environmental Data'!A168" display="Environmental data" xr:uid="{1F7C4C26-D214-4F87-8BE9-13650A15B3F9}"/>
    <hyperlink ref="D19" location="'Environmental Data'!A180" display="Environmental data" xr:uid="{53E3F2BB-8AD7-4BA4-B859-56084DE6435C}"/>
    <hyperlink ref="D20" location="'Environmental Data'!A193" display="Environmental data" xr:uid="{B5ABDE6D-C674-4276-B98F-526E0C9119D1}"/>
    <hyperlink ref="D21" location="'Environmental Data'!A361" display="Environmental data" xr:uid="{19E0FE34-530C-491F-9524-0166225B1EC8}"/>
    <hyperlink ref="D22" location="'Environmental Data'!A375" display="Environmental data" xr:uid="{6E5BDCBC-8BB5-4F63-8E31-25D3C6398300}"/>
    <hyperlink ref="D23" location="'Environmental Data'!A422" display="Environmental data" xr:uid="{24F21E4F-6341-44A2-AFC8-8EB835700760}"/>
    <hyperlink ref="D24" location="'Environmental Data'!A448" display="Environmental data" xr:uid="{1FFF48BD-BAF0-43FD-B0ED-CCC9415F27FD}"/>
    <hyperlink ref="D25" location="'Environmental Data'!A464" display="Environmental data" xr:uid="{8820BD22-A7C4-48AB-93AB-965DC48CA68D}"/>
    <hyperlink ref="D26" location="'Environmental Data'!A478" display="Environmental data" xr:uid="{5B6D9700-3A18-4FCE-9458-389D2441AC5C}"/>
    <hyperlink ref="D27" location="'Environmental Data'!A493" display="Environmental data" xr:uid="{0549A663-5F27-4106-B723-1CA563F493F3}"/>
    <hyperlink ref="D28" location="'Environmental Data'!A505" display="Environmental data" xr:uid="{D9C1797A-7F67-4105-A328-50ACE687D47C}"/>
    <hyperlink ref="D29" location="'Environmental Data'!A518" display="Environmental data" xr:uid="{AB6B7265-7C86-4F0D-A3EA-DEF59FBB335F}"/>
    <hyperlink ref="D30" location="'Environmental Data'!A535" display="Environmental data" xr:uid="{54072A20-A857-4CEA-A1B9-BBA36A56475E}"/>
    <hyperlink ref="D31" location="'Environmental Data'!A644" display="Environmental data" xr:uid="{F82D2187-189D-488A-9A7E-5652511E6CCD}"/>
    <hyperlink ref="D32" location="'Environmental Data'!A653" display="Environmental data" xr:uid="{DB9BA0DE-D96A-46BC-B532-AAB8C6339BBE}"/>
    <hyperlink ref="D33" location="'Environmental Data'!A664" display="Environmental data" xr:uid="{A567D0B7-5C87-4A7B-BBE3-F7E8E39E2ED7}"/>
    <hyperlink ref="D34" location="'Environmental Data'!A702" display="Environmental data" xr:uid="{FCCE1A8F-D35A-4558-8C84-F32748BF8362}"/>
    <hyperlink ref="D36" location="'Environmental Data'!A744" display="Environmental data" xr:uid="{D071A4AC-9505-411B-AB55-41C3921E0D31}"/>
    <hyperlink ref="D37" location="'Environmental Data'!A757" display="Environmental data" xr:uid="{F8055633-0591-4496-BBF8-A343D6F41A48}"/>
    <hyperlink ref="D38" location="'Environmental Data'!A770" display="Environmental data" xr:uid="{5960C84C-3192-4646-B736-85DA1F003CAA}"/>
    <hyperlink ref="D39" location="'Environmental Data'!A783" display="Environmental data" xr:uid="{99C3C08F-8035-463C-B688-EFE7F9271BAE}"/>
    <hyperlink ref="D40" location="'Environmental Data'!A794" display="Environmental data" xr:uid="{75FAD681-73A4-4C7C-A278-53C3DA0B7BB1}"/>
    <hyperlink ref="D41" location="'Environmental Data'!A828" display="Environmental data" xr:uid="{E04D2730-83DC-45C0-BE22-7829EA008357}"/>
    <hyperlink ref="D43" location="'Environmental Data'!A842" display="Environmental data" xr:uid="{42D8A775-9C39-48BC-91B6-8F9E0C4297B1}"/>
    <hyperlink ref="D45" location="'Environmental Data'!A853" display="Environmental data" xr:uid="{78AF05E7-8955-4D16-86AA-D98FF940C688}"/>
    <hyperlink ref="D46" location="'Environmental Data'!A865" display="Environmental data" xr:uid="{4F6B25AF-236E-4E51-87FF-A49C398E7F4F}"/>
    <hyperlink ref="D47" location="'Environmental Data'!A878" display="Environmental data" xr:uid="{A396AECA-8809-4E03-9E51-F97762CE888E}"/>
    <hyperlink ref="D48" location="'Environmental Data'!A888" display="Environmental data" xr:uid="{699FC2F0-C17B-40F1-A0D7-2CFFDFDBE31D}"/>
    <hyperlink ref="D49" location="'Environmental Data'!A896" display="Environmental data" xr:uid="{56FDF05D-2D15-4878-B572-7CAC9B5C0614}"/>
    <hyperlink ref="D50" location="'Environmental Data'!A906" display="Environmental data" xr:uid="{A210B9F6-9910-4CAE-9C79-AF6CEC8EDBF3}"/>
    <hyperlink ref="D51" location="'Environmental Data'!A915" display="Environmental data" xr:uid="{55AB42F9-EEE4-4CD6-A005-02D865814E45}"/>
    <hyperlink ref="D52" location="'Environmental Data'!A924" display="Environmental data" xr:uid="{FA117D02-3B80-4D8D-AE11-2BC54A1C144E}"/>
    <hyperlink ref="D53" location="'Environmental Data'!A933" display="Environmental data" xr:uid="{CBCD7815-06DA-489A-A2CF-1AAB083D87E9}"/>
    <hyperlink ref="D54" location="'Environmental Data'!A941" display="Environmental data" xr:uid="{7D6319D7-54B2-46DB-9B10-F6EDBB0F8E73}"/>
    <hyperlink ref="D55" location="'Environmental Data'!A951" display="Environmental data" xr:uid="{A4D54C9B-5FCE-4A2F-A63F-BC6F9A21FEA3}"/>
    <hyperlink ref="D56" location="'Environmental Data'!A964" display="Environmental data" xr:uid="{6C0B9C42-B318-4737-ABD5-5FE4754DDCCE}"/>
    <hyperlink ref="D58" location="'Environmental Data'!A975" display="Environmental data" xr:uid="{4C2B7EAC-B439-4565-868A-26836A46A2FF}"/>
    <hyperlink ref="D59" location="'Environmental Data'!A985" display="Environmental data" xr:uid="{89A69A9F-A16A-49BC-B1D4-DE013FC1CA3D}"/>
    <hyperlink ref="D60" location="'Environmental Data'!A995" display="Environmental data" xr:uid="{89A10C33-C237-49BC-A6AE-95F1BACBE4E0}"/>
    <hyperlink ref="D57" location="'Environmental Data'!A193" display="Environmental data" xr:uid="{985891FD-2411-4ED3-8117-5ACF987C5E78}"/>
    <hyperlink ref="D42" location="'Environmental Data'!A448" display="Environmental data" xr:uid="{DF200109-FBA6-4FE3-9868-368C9269DF0B}"/>
    <hyperlink ref="D44" location="'Environmental Data'!A535" display="Environmental data" xr:uid="{9CD0710D-B982-4EBC-BA58-E4F08EB30E53}"/>
    <hyperlink ref="D35" location="'Environmental Data'!A702" display="Environmental data" xr:uid="{922CF52C-D77E-4F8C-BA2F-D05BD395B40E}"/>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7951-DE3A-436A-82EA-1CE974D0CD9A}">
  <sheetPr codeName="Planilha10">
    <pageSetUpPr fitToPage="1"/>
  </sheetPr>
  <dimension ref="A1:XFC998"/>
  <sheetViews>
    <sheetView showGridLines="0" showRowColHeaders="0" tabSelected="1" showRuler="0" zoomScale="97" zoomScaleNormal="100" workbookViewId="0">
      <pane ySplit="2" topLeftCell="A792" activePane="bottomLeft" state="frozen"/>
      <selection pane="bottomLeft"/>
    </sheetView>
  </sheetViews>
  <sheetFormatPr defaultColWidth="0" defaultRowHeight="14.4" x14ac:dyDescent="0.3"/>
  <cols>
    <col min="1" max="1" width="8.77734375" customWidth="1"/>
    <col min="2" max="2" width="18.5546875" customWidth="1"/>
    <col min="3" max="8" width="18.5546875" style="75" customWidth="1"/>
    <col min="9" max="9" width="25.5546875" style="35" customWidth="1"/>
    <col min="10" max="10" width="8.77734375" customWidth="1"/>
    <col min="11" max="11" width="18.77734375" customWidth="1"/>
    <col min="12" max="12" width="8.77734375" customWidth="1"/>
    <col min="13" max="16" width="10.77734375" hidden="1" customWidth="1"/>
    <col min="17" max="16383" width="10.77734375" hidden="1"/>
    <col min="16384" max="16384" width="4.5546875" hidden="1"/>
  </cols>
  <sheetData>
    <row r="1" spans="1:12" ht="14.1" customHeight="1" x14ac:dyDescent="0.3">
      <c r="A1" s="46"/>
      <c r="C1" s="7"/>
      <c r="D1" s="7"/>
      <c r="E1" s="7"/>
    </row>
    <row r="2" spans="1:12" ht="14.1" customHeight="1" x14ac:dyDescent="0.3">
      <c r="A2" s="445"/>
      <c r="B2" s="421"/>
      <c r="C2" s="430"/>
      <c r="D2" s="430"/>
      <c r="E2" s="430"/>
      <c r="F2" s="431"/>
      <c r="G2" s="431"/>
      <c r="H2" s="431"/>
      <c r="I2" s="432"/>
      <c r="J2" s="421"/>
      <c r="K2" s="421"/>
      <c r="L2" s="421"/>
    </row>
    <row r="3" spans="1:12" ht="14.55" customHeight="1" x14ac:dyDescent="0.3">
      <c r="C3" s="7"/>
      <c r="D3" s="7"/>
      <c r="E3" s="7"/>
    </row>
    <row r="4" spans="1:12" ht="14.55" customHeight="1" x14ac:dyDescent="0.3">
      <c r="C4" s="7"/>
      <c r="E4" s="9"/>
      <c r="I4" s="9" t="s">
        <v>0</v>
      </c>
    </row>
    <row r="5" spans="1:12" ht="14.55" customHeight="1" x14ac:dyDescent="0.3">
      <c r="C5" s="7"/>
      <c r="D5" s="7"/>
      <c r="E5" s="7"/>
    </row>
    <row r="6" spans="1:12" x14ac:dyDescent="0.3">
      <c r="C6" s="7"/>
      <c r="D6" s="7"/>
      <c r="E6" s="7"/>
    </row>
    <row r="7" spans="1:12" x14ac:dyDescent="0.3">
      <c r="C7" s="7"/>
      <c r="D7" s="7"/>
      <c r="E7" s="7"/>
    </row>
    <row r="8" spans="1:12" ht="21" x14ac:dyDescent="0.3">
      <c r="B8" s="443" t="s">
        <v>22</v>
      </c>
      <c r="C8" s="76"/>
      <c r="D8" s="76"/>
      <c r="E8" s="76"/>
    </row>
    <row r="9" spans="1:12" ht="21" x14ac:dyDescent="0.4">
      <c r="B9" s="6"/>
      <c r="C9" s="76"/>
      <c r="D9" s="76"/>
      <c r="E9" s="76"/>
    </row>
    <row r="10" spans="1:12" s="46" customFormat="1" ht="17.399999999999999" x14ac:dyDescent="0.3">
      <c r="B10" s="710" t="s">
        <v>841</v>
      </c>
      <c r="C10" s="710"/>
      <c r="D10" s="64"/>
      <c r="E10" s="64"/>
      <c r="F10" s="63"/>
      <c r="G10" s="63"/>
      <c r="H10" s="63"/>
      <c r="I10" s="69"/>
    </row>
    <row r="11" spans="1:12" ht="21" x14ac:dyDescent="0.4">
      <c r="A11" s="707"/>
      <c r="B11" s="6"/>
      <c r="C11" s="76"/>
      <c r="D11" s="76"/>
      <c r="E11" s="76"/>
    </row>
    <row r="12" spans="1:12" ht="18" customHeight="1" x14ac:dyDescent="0.3">
      <c r="A12" s="707"/>
      <c r="B12" s="763" t="s">
        <v>842</v>
      </c>
      <c r="C12" s="763"/>
      <c r="D12" s="763"/>
      <c r="E12" s="763"/>
      <c r="F12" s="763"/>
      <c r="G12" s="763"/>
      <c r="H12" s="763"/>
      <c r="I12" s="763"/>
      <c r="K12" s="1"/>
    </row>
    <row r="13" spans="1:12" ht="21" x14ac:dyDescent="0.4">
      <c r="A13" s="707"/>
      <c r="B13" s="6"/>
      <c r="C13" s="76"/>
      <c r="D13" s="76"/>
      <c r="E13" s="76"/>
    </row>
    <row r="14" spans="1:12" x14ac:dyDescent="0.3">
      <c r="A14" s="707"/>
      <c r="B14" s="725" t="s">
        <v>344</v>
      </c>
      <c r="C14" s="725" t="s">
        <v>843</v>
      </c>
      <c r="D14" s="725"/>
      <c r="E14" s="725"/>
      <c r="F14" s="725"/>
      <c r="G14" s="725"/>
      <c r="H14" s="725"/>
      <c r="I14" s="725" t="s">
        <v>346</v>
      </c>
    </row>
    <row r="15" spans="1:12" ht="20.100000000000001" customHeight="1" x14ac:dyDescent="0.3">
      <c r="A15" s="707"/>
      <c r="B15" s="725"/>
      <c r="C15" s="725" t="s">
        <v>844</v>
      </c>
      <c r="D15" s="725"/>
      <c r="E15" s="725"/>
      <c r="F15" s="725" t="s">
        <v>845</v>
      </c>
      <c r="G15" s="725"/>
      <c r="H15" s="725"/>
      <c r="I15" s="725"/>
    </row>
    <row r="16" spans="1:12" ht="40.049999999999997" customHeight="1" x14ac:dyDescent="0.3">
      <c r="A16" s="707"/>
      <c r="B16" s="725"/>
      <c r="C16" s="60" t="s">
        <v>846</v>
      </c>
      <c r="D16" s="60" t="s">
        <v>847</v>
      </c>
      <c r="E16" s="60" t="s">
        <v>848</v>
      </c>
      <c r="F16" s="747" t="s">
        <v>849</v>
      </c>
      <c r="G16" s="747"/>
      <c r="H16" s="61" t="s">
        <v>850</v>
      </c>
      <c r="I16" s="725"/>
    </row>
    <row r="17" spans="1:12" ht="45" customHeight="1" x14ac:dyDescent="0.3">
      <c r="A17" s="707"/>
      <c r="B17" s="51">
        <v>2019</v>
      </c>
      <c r="C17" s="73" t="s">
        <v>851</v>
      </c>
      <c r="D17" s="73" t="s">
        <v>852</v>
      </c>
      <c r="E17" s="73" t="s">
        <v>853</v>
      </c>
      <c r="F17" s="744" t="s">
        <v>6</v>
      </c>
      <c r="G17" s="744"/>
      <c r="H17" s="342" t="s">
        <v>6</v>
      </c>
      <c r="I17" s="56" t="s">
        <v>348</v>
      </c>
      <c r="J17" s="74"/>
      <c r="K17" s="74"/>
      <c r="L17" s="74"/>
    </row>
    <row r="18" spans="1:12" ht="45" customHeight="1" x14ac:dyDescent="0.3">
      <c r="A18" s="707"/>
      <c r="B18" s="51">
        <v>2020</v>
      </c>
      <c r="C18" s="73" t="s">
        <v>854</v>
      </c>
      <c r="D18" s="73" t="s">
        <v>855</v>
      </c>
      <c r="E18" s="73" t="s">
        <v>856</v>
      </c>
      <c r="F18" s="744" t="s">
        <v>6</v>
      </c>
      <c r="G18" s="744"/>
      <c r="H18" s="342" t="s">
        <v>6</v>
      </c>
      <c r="I18" s="56" t="s">
        <v>350</v>
      </c>
      <c r="J18" s="74"/>
      <c r="K18" s="74"/>
      <c r="L18" s="74"/>
    </row>
    <row r="19" spans="1:12" ht="45" customHeight="1" x14ac:dyDescent="0.3">
      <c r="A19" s="707"/>
      <c r="B19" s="51">
        <v>2021</v>
      </c>
      <c r="C19" s="73" t="s">
        <v>857</v>
      </c>
      <c r="D19" s="73" t="s">
        <v>858</v>
      </c>
      <c r="E19" s="73" t="s">
        <v>859</v>
      </c>
      <c r="F19" s="757" t="s">
        <v>860</v>
      </c>
      <c r="G19" s="757"/>
      <c r="H19" s="73" t="s">
        <v>861</v>
      </c>
      <c r="I19" s="56" t="s">
        <v>442</v>
      </c>
      <c r="J19" s="74"/>
      <c r="K19" s="74"/>
      <c r="L19" s="74"/>
    </row>
    <row r="20" spans="1:12" ht="53.25" customHeight="1" x14ac:dyDescent="0.3">
      <c r="A20" s="707"/>
      <c r="B20" s="51">
        <v>2022</v>
      </c>
      <c r="C20" s="73" t="s">
        <v>862</v>
      </c>
      <c r="D20" s="73" t="s">
        <v>863</v>
      </c>
      <c r="E20" s="73" t="s">
        <v>864</v>
      </c>
      <c r="F20" s="757" t="s">
        <v>865</v>
      </c>
      <c r="G20" s="757"/>
      <c r="H20" s="73" t="s">
        <v>866</v>
      </c>
      <c r="I20" s="56" t="s">
        <v>442</v>
      </c>
      <c r="J20" s="74"/>
      <c r="K20" s="74"/>
      <c r="L20" s="74"/>
    </row>
    <row r="21" spans="1:12" ht="53.25" customHeight="1" x14ac:dyDescent="0.3">
      <c r="A21" s="707"/>
      <c r="B21" s="51">
        <v>2023</v>
      </c>
      <c r="C21" s="73" t="s">
        <v>857</v>
      </c>
      <c r="D21" s="73" t="s">
        <v>867</v>
      </c>
      <c r="E21" s="73" t="s">
        <v>868</v>
      </c>
      <c r="F21" s="757" t="s">
        <v>869</v>
      </c>
      <c r="G21" s="757"/>
      <c r="H21" s="73" t="s">
        <v>870</v>
      </c>
      <c r="I21" s="56" t="s">
        <v>442</v>
      </c>
    </row>
    <row r="22" spans="1:12" ht="20.100000000000001" hidden="1" customHeight="1" x14ac:dyDescent="0.3">
      <c r="B22" s="51" t="s">
        <v>871</v>
      </c>
      <c r="C22" s="73"/>
      <c r="D22" s="73"/>
      <c r="E22" s="73"/>
      <c r="G22"/>
      <c r="H22"/>
      <c r="I22" s="5"/>
    </row>
    <row r="23" spans="1:12" ht="20.100000000000001" customHeight="1" x14ac:dyDescent="0.3">
      <c r="B23" s="51"/>
      <c r="C23" s="73"/>
      <c r="D23" s="73"/>
      <c r="E23" s="73"/>
      <c r="G23"/>
      <c r="H23"/>
      <c r="I23" s="5"/>
    </row>
    <row r="24" spans="1:12" x14ac:dyDescent="0.3">
      <c r="B24" s="51"/>
      <c r="C24" s="51"/>
      <c r="E24" s="73"/>
      <c r="H24" s="74"/>
    </row>
    <row r="25" spans="1:12" x14ac:dyDescent="0.3">
      <c r="B25" s="51"/>
      <c r="C25" s="73"/>
      <c r="E25" s="73"/>
      <c r="H25" s="74"/>
    </row>
    <row r="26" spans="1:12" x14ac:dyDescent="0.3">
      <c r="C26" s="73"/>
      <c r="E26" s="73"/>
      <c r="H26" s="74"/>
    </row>
    <row r="27" spans="1:12" x14ac:dyDescent="0.3">
      <c r="B27" s="51"/>
      <c r="C27" s="73"/>
      <c r="E27" s="73"/>
      <c r="H27" s="74"/>
    </row>
    <row r="28" spans="1:12" x14ac:dyDescent="0.3">
      <c r="B28" s="51"/>
      <c r="C28" s="73"/>
      <c r="E28" s="73"/>
      <c r="H28" s="74"/>
    </row>
    <row r="29" spans="1:12" x14ac:dyDescent="0.3">
      <c r="B29" s="51"/>
      <c r="C29" s="73"/>
      <c r="E29" s="73"/>
      <c r="H29" s="74"/>
    </row>
    <row r="30" spans="1:12" x14ac:dyDescent="0.3">
      <c r="B30" s="51"/>
      <c r="C30" s="73"/>
      <c r="E30" s="73"/>
      <c r="H30" s="74"/>
    </row>
    <row r="31" spans="1:12" x14ac:dyDescent="0.3">
      <c r="B31" s="51"/>
      <c r="C31" s="73"/>
      <c r="E31" s="73"/>
      <c r="H31" s="74"/>
    </row>
    <row r="32" spans="1:12" x14ac:dyDescent="0.3">
      <c r="B32" s="51"/>
      <c r="C32" s="73"/>
      <c r="E32" s="73"/>
      <c r="H32" s="74"/>
    </row>
    <row r="33" spans="2:8" x14ac:dyDescent="0.3">
      <c r="B33" s="51"/>
      <c r="C33" s="73"/>
      <c r="E33" s="73"/>
      <c r="H33" s="74"/>
    </row>
    <row r="34" spans="2:8" x14ac:dyDescent="0.3">
      <c r="B34" s="51"/>
      <c r="C34" s="73"/>
      <c r="E34" s="73"/>
      <c r="H34" s="74"/>
    </row>
    <row r="35" spans="2:8" x14ac:dyDescent="0.3">
      <c r="B35" s="51"/>
      <c r="C35" s="73"/>
      <c r="E35" s="73"/>
      <c r="H35" s="74"/>
    </row>
    <row r="36" spans="2:8" x14ac:dyDescent="0.3">
      <c r="B36" s="51"/>
      <c r="C36" s="73"/>
      <c r="E36" s="73"/>
      <c r="H36" s="74"/>
    </row>
    <row r="37" spans="2:8" x14ac:dyDescent="0.3">
      <c r="B37" s="51"/>
      <c r="C37" s="73"/>
      <c r="E37" s="73"/>
      <c r="H37" s="74"/>
    </row>
    <row r="38" spans="2:8" x14ac:dyDescent="0.3">
      <c r="B38" s="51"/>
      <c r="C38" s="73"/>
      <c r="E38" s="73"/>
      <c r="H38" s="74"/>
    </row>
    <row r="39" spans="2:8" x14ac:dyDescent="0.3">
      <c r="B39" s="51"/>
      <c r="C39" s="73"/>
      <c r="E39" s="73"/>
      <c r="H39" s="74"/>
    </row>
    <row r="40" spans="2:8" x14ac:dyDescent="0.3">
      <c r="B40" s="51"/>
      <c r="C40" s="73"/>
      <c r="E40" s="73"/>
      <c r="H40" s="74"/>
    </row>
    <row r="41" spans="2:8" x14ac:dyDescent="0.3">
      <c r="B41" s="51"/>
      <c r="C41" s="73"/>
      <c r="E41" s="73"/>
      <c r="H41" s="74"/>
    </row>
    <row r="42" spans="2:8" x14ac:dyDescent="0.3">
      <c r="B42" s="51"/>
      <c r="C42" s="73"/>
      <c r="E42" s="73"/>
      <c r="H42" s="74"/>
    </row>
    <row r="43" spans="2:8" x14ac:dyDescent="0.3">
      <c r="C43"/>
      <c r="D43"/>
      <c r="E43"/>
      <c r="H43" s="74"/>
    </row>
    <row r="44" spans="2:8" x14ac:dyDescent="0.3">
      <c r="H44" s="74"/>
    </row>
    <row r="45" spans="2:8" x14ac:dyDescent="0.3">
      <c r="H45" s="74"/>
    </row>
    <row r="46" spans="2:8" x14ac:dyDescent="0.3">
      <c r="H46" s="74"/>
    </row>
    <row r="47" spans="2:8" x14ac:dyDescent="0.3">
      <c r="H47" s="74"/>
    </row>
    <row r="48" spans="2:8" x14ac:dyDescent="0.3">
      <c r="H48" s="74"/>
    </row>
    <row r="49" spans="3:9" x14ac:dyDescent="0.3">
      <c r="H49" s="74"/>
    </row>
    <row r="55" spans="3:9" x14ac:dyDescent="0.3">
      <c r="C55"/>
      <c r="D55"/>
      <c r="E55"/>
      <c r="F55"/>
      <c r="G55"/>
      <c r="H55"/>
      <c r="I55"/>
    </row>
    <row r="56" spans="3:9" x14ac:dyDescent="0.3">
      <c r="C56"/>
      <c r="D56"/>
      <c r="E56"/>
      <c r="F56"/>
      <c r="G56"/>
      <c r="H56"/>
      <c r="I56"/>
    </row>
    <row r="57" spans="3:9" x14ac:dyDescent="0.3">
      <c r="C57"/>
      <c r="D57"/>
      <c r="E57"/>
      <c r="F57"/>
      <c r="G57"/>
      <c r="H57"/>
      <c r="I57"/>
    </row>
    <row r="58" spans="3:9" x14ac:dyDescent="0.3">
      <c r="C58"/>
      <c r="D58"/>
      <c r="E58"/>
      <c r="F58"/>
      <c r="G58"/>
      <c r="H58"/>
      <c r="I58"/>
    </row>
    <row r="59" spans="3:9" x14ac:dyDescent="0.3">
      <c r="C59"/>
      <c r="D59"/>
      <c r="E59"/>
      <c r="F59"/>
      <c r="G59"/>
      <c r="H59"/>
      <c r="I59"/>
    </row>
    <row r="60" spans="3:9" x14ac:dyDescent="0.3">
      <c r="C60"/>
      <c r="D60"/>
      <c r="E60"/>
      <c r="F60"/>
      <c r="G60"/>
      <c r="H60"/>
      <c r="I60"/>
    </row>
    <row r="61" spans="3:9" x14ac:dyDescent="0.3">
      <c r="C61"/>
      <c r="D61"/>
      <c r="E61"/>
      <c r="F61"/>
      <c r="G61"/>
      <c r="H61"/>
      <c r="I61"/>
    </row>
    <row r="62" spans="3:9" x14ac:dyDescent="0.3">
      <c r="C62"/>
      <c r="D62"/>
      <c r="E62"/>
      <c r="F62"/>
      <c r="G62"/>
      <c r="H62"/>
      <c r="I62"/>
    </row>
    <row r="63" spans="3:9" x14ac:dyDescent="0.3">
      <c r="C63"/>
      <c r="D63"/>
      <c r="E63"/>
      <c r="F63"/>
      <c r="G63"/>
      <c r="H63"/>
      <c r="I63"/>
    </row>
    <row r="64" spans="3:9" hidden="1" x14ac:dyDescent="0.3">
      <c r="C64"/>
      <c r="D64"/>
      <c r="E64"/>
      <c r="F64"/>
      <c r="G64"/>
      <c r="H64"/>
      <c r="I64"/>
    </row>
    <row r="65" spans="2:11" hidden="1" x14ac:dyDescent="0.3">
      <c r="B65" s="770" t="s">
        <v>872</v>
      </c>
      <c r="C65" s="770"/>
      <c r="D65" s="770"/>
      <c r="E65" s="770"/>
      <c r="H65" s="74"/>
    </row>
    <row r="66" spans="2:11" hidden="1" x14ac:dyDescent="0.3">
      <c r="B66" s="138" t="s">
        <v>344</v>
      </c>
      <c r="C66" s="137" t="s">
        <v>846</v>
      </c>
      <c r="D66" s="137" t="s">
        <v>847</v>
      </c>
      <c r="E66" s="137" t="s">
        <v>848</v>
      </c>
      <c r="H66" s="74"/>
    </row>
    <row r="67" spans="2:11" hidden="1" x14ac:dyDescent="0.3">
      <c r="B67" s="139">
        <v>2018</v>
      </c>
      <c r="C67" s="170">
        <v>50</v>
      </c>
      <c r="D67" s="170">
        <v>141</v>
      </c>
      <c r="E67" s="170">
        <v>191</v>
      </c>
      <c r="H67" s="74"/>
    </row>
    <row r="68" spans="2:11" hidden="1" x14ac:dyDescent="0.3">
      <c r="B68" s="139">
        <v>2019</v>
      </c>
      <c r="C68" s="170">
        <v>47</v>
      </c>
      <c r="D68" s="170">
        <v>117</v>
      </c>
      <c r="E68" s="170">
        <v>164</v>
      </c>
      <c r="H68" s="74"/>
    </row>
    <row r="69" spans="2:11" hidden="1" x14ac:dyDescent="0.3">
      <c r="B69" s="139">
        <v>2020</v>
      </c>
      <c r="C69" s="170">
        <v>44</v>
      </c>
      <c r="D69" s="170">
        <v>99</v>
      </c>
      <c r="E69" s="170">
        <v>143</v>
      </c>
      <c r="H69" s="74"/>
    </row>
    <row r="70" spans="2:11" hidden="1" x14ac:dyDescent="0.3">
      <c r="B70" s="139">
        <v>2021</v>
      </c>
      <c r="C70" s="170">
        <v>45</v>
      </c>
      <c r="D70" s="170">
        <v>101</v>
      </c>
      <c r="E70" s="170">
        <v>146</v>
      </c>
      <c r="H70" s="74"/>
    </row>
    <row r="71" spans="2:11" hidden="1" x14ac:dyDescent="0.3">
      <c r="B71" s="139">
        <v>2022</v>
      </c>
      <c r="C71" s="371">
        <v>40</v>
      </c>
      <c r="D71" s="371">
        <v>97</v>
      </c>
      <c r="E71" s="371">
        <v>137</v>
      </c>
      <c r="H71" s="74"/>
    </row>
    <row r="72" spans="2:11" hidden="1" x14ac:dyDescent="0.3">
      <c r="C72"/>
      <c r="D72"/>
      <c r="E72"/>
      <c r="F72"/>
      <c r="G72"/>
      <c r="H72" s="74"/>
      <c r="I72"/>
    </row>
    <row r="73" spans="2:11" hidden="1" x14ac:dyDescent="0.3">
      <c r="B73" s="760" t="s">
        <v>873</v>
      </c>
      <c r="C73" s="760"/>
      <c r="D73" s="760"/>
      <c r="E73" s="760"/>
      <c r="F73" s="760"/>
      <c r="G73" s="760"/>
      <c r="H73" s="760"/>
      <c r="I73" s="760"/>
      <c r="J73" s="760"/>
      <c r="K73" s="760"/>
    </row>
    <row r="74" spans="2:11" ht="26.4" hidden="1" x14ac:dyDescent="0.3">
      <c r="B74" s="161" t="s">
        <v>344</v>
      </c>
      <c r="C74" s="162" t="s">
        <v>874</v>
      </c>
      <c r="D74" s="162" t="s">
        <v>875</v>
      </c>
      <c r="E74" s="162" t="s">
        <v>876</v>
      </c>
      <c r="F74" s="162" t="s">
        <v>877</v>
      </c>
      <c r="G74" s="162" t="s">
        <v>878</v>
      </c>
      <c r="H74" s="162" t="s">
        <v>879</v>
      </c>
      <c r="I74" s="162" t="s">
        <v>880</v>
      </c>
      <c r="J74" s="161" t="s">
        <v>881</v>
      </c>
      <c r="K74" s="162" t="s">
        <v>882</v>
      </c>
    </row>
    <row r="75" spans="2:11" hidden="1" x14ac:dyDescent="0.3">
      <c r="B75" s="51">
        <v>2018</v>
      </c>
      <c r="C75" s="344">
        <v>0.30542404834458231</v>
      </c>
      <c r="D75" s="344">
        <v>0.23599033988270193</v>
      </c>
      <c r="E75" s="344">
        <v>0.16825330436726715</v>
      </c>
      <c r="F75" s="344">
        <v>0.18800082619917588</v>
      </c>
      <c r="G75" s="344">
        <v>5.8857306466623897E-2</v>
      </c>
      <c r="H75" s="344">
        <v>2.5727462265909724E-2</v>
      </c>
      <c r="I75" s="344">
        <v>9.5613594945132621E-3</v>
      </c>
      <c r="J75" s="344">
        <v>7.0765154350774561E-3</v>
      </c>
      <c r="K75" s="344">
        <v>1.1086467335059693E-3</v>
      </c>
    </row>
    <row r="76" spans="2:11" hidden="1" x14ac:dyDescent="0.3">
      <c r="B76" s="51">
        <v>2019</v>
      </c>
      <c r="C76" s="344">
        <v>0.2974313500021844</v>
      </c>
      <c r="D76" s="344">
        <v>0.26400000000000001</v>
      </c>
      <c r="E76" s="344">
        <v>0.154</v>
      </c>
      <c r="F76" s="344">
        <v>0.16</v>
      </c>
      <c r="G76" s="344">
        <v>8.2000000000000003E-2</v>
      </c>
      <c r="H76" s="344">
        <v>3.1E-2</v>
      </c>
      <c r="I76" s="344">
        <v>5.0000000000000001E-3</v>
      </c>
      <c r="J76" s="344">
        <v>5.0000000000000001E-3</v>
      </c>
      <c r="K76" s="344">
        <v>1.503082420515255E-3</v>
      </c>
    </row>
    <row r="77" spans="2:11" hidden="1" x14ac:dyDescent="0.3">
      <c r="B77" s="51">
        <v>2020</v>
      </c>
      <c r="C77" s="344">
        <v>0.30813176232815137</v>
      </c>
      <c r="D77" s="344">
        <v>0.27800000000000002</v>
      </c>
      <c r="E77" s="344">
        <v>0.128</v>
      </c>
      <c r="F77" s="344">
        <v>0.156</v>
      </c>
      <c r="G77" s="344">
        <v>8.5000000000000006E-2</v>
      </c>
      <c r="H77" s="344">
        <v>3.7999999999999999E-2</v>
      </c>
      <c r="I77" s="344">
        <v>1E-3</v>
      </c>
      <c r="J77" s="344">
        <v>4.6880440990244784E-3</v>
      </c>
      <c r="K77" s="344">
        <v>1.402787144250555E-3</v>
      </c>
    </row>
    <row r="78" spans="2:11" hidden="1" x14ac:dyDescent="0.3">
      <c r="B78" s="51">
        <v>2021</v>
      </c>
      <c r="C78" s="344">
        <v>0.29566960975791562</v>
      </c>
      <c r="D78" s="344">
        <v>0.30299999999999999</v>
      </c>
      <c r="E78" s="344">
        <v>0.13600000000000001</v>
      </c>
      <c r="F78" s="344">
        <v>0.14799999999999999</v>
      </c>
      <c r="G78" s="344">
        <v>7.0999999999999994E-2</v>
      </c>
      <c r="H78" s="344">
        <v>4.2999999999999997E-2</v>
      </c>
      <c r="I78" s="344">
        <v>1E-3</v>
      </c>
      <c r="J78" s="344">
        <v>1E-3</v>
      </c>
      <c r="K78" s="344">
        <v>1.2318746984912505E-3</v>
      </c>
    </row>
    <row r="79" spans="2:11" hidden="1" x14ac:dyDescent="0.3">
      <c r="B79" s="51">
        <v>2022</v>
      </c>
      <c r="C79" s="345">
        <v>0.3021692629063259</v>
      </c>
      <c r="D79" s="345">
        <v>0.28221982183229388</v>
      </c>
      <c r="E79" s="345">
        <v>0.15954921976936934</v>
      </c>
      <c r="F79" s="346">
        <v>0.14131402183760253</v>
      </c>
      <c r="G79" s="346">
        <v>8.2046109379648638E-2</v>
      </c>
      <c r="H79" s="346">
        <v>2.9551923601516237E-2</v>
      </c>
      <c r="I79" s="346">
        <v>6.1227382312174262E-4</v>
      </c>
      <c r="J79" s="346">
        <v>1.1982464981268133E-3</v>
      </c>
      <c r="K79" s="344">
        <v>1.3391203519949259E-3</v>
      </c>
    </row>
    <row r="80" spans="2:11" hidden="1" x14ac:dyDescent="0.3">
      <c r="B80" s="51">
        <v>2023</v>
      </c>
      <c r="C80" s="603">
        <v>0.30599999999999999</v>
      </c>
      <c r="D80" s="345">
        <v>0.25900000000000001</v>
      </c>
      <c r="E80" s="345">
        <v>0.16300000000000001</v>
      </c>
      <c r="F80" s="346">
        <v>0.151</v>
      </c>
      <c r="G80" s="346">
        <v>8.4000000000000005E-2</v>
      </c>
      <c r="H80" s="346">
        <v>3.4000000000000002E-2</v>
      </c>
      <c r="I80" s="346">
        <v>1E-3</v>
      </c>
      <c r="J80" s="346">
        <v>1E-3</v>
      </c>
      <c r="K80" s="344">
        <v>1E-3</v>
      </c>
    </row>
    <row r="81" spans="1:11" hidden="1" x14ac:dyDescent="0.3">
      <c r="A81" t="s">
        <v>883</v>
      </c>
      <c r="B81" s="167">
        <v>5</v>
      </c>
      <c r="C81" s="164"/>
      <c r="D81" s="164"/>
      <c r="E81" s="164"/>
      <c r="F81" s="164"/>
      <c r="G81" s="164"/>
      <c r="H81" s="164"/>
      <c r="I81" s="164"/>
      <c r="J81" s="164"/>
    </row>
    <row r="82" spans="1:11" hidden="1" x14ac:dyDescent="0.3">
      <c r="A82" t="s">
        <v>884</v>
      </c>
      <c r="B82" s="169" cm="1">
        <f t="array" ref="B82">INDEX(B76:B80,B81)</f>
        <v>2023</v>
      </c>
      <c r="C82"/>
      <c r="D82"/>
      <c r="E82"/>
      <c r="F82"/>
      <c r="G82"/>
      <c r="H82"/>
      <c r="I82"/>
    </row>
    <row r="83" spans="1:11" hidden="1" x14ac:dyDescent="0.3">
      <c r="C83" s="77"/>
      <c r="D83" s="77"/>
      <c r="E83" s="77"/>
      <c r="H83" s="74"/>
    </row>
    <row r="84" spans="1:11" hidden="1" x14ac:dyDescent="0.3">
      <c r="C84" s="77"/>
      <c r="D84" s="77"/>
      <c r="E84" s="77"/>
      <c r="H84" s="74"/>
    </row>
    <row r="85" spans="1:11" ht="26.4" hidden="1" x14ac:dyDescent="0.3">
      <c r="B85" s="52"/>
      <c r="C85" s="162" t="s">
        <v>874</v>
      </c>
      <c r="D85" s="162" t="s">
        <v>875</v>
      </c>
      <c r="E85" s="162" t="s">
        <v>876</v>
      </c>
      <c r="F85" s="162" t="s">
        <v>877</v>
      </c>
      <c r="G85" s="162" t="s">
        <v>878</v>
      </c>
      <c r="H85" s="162" t="s">
        <v>879</v>
      </c>
      <c r="I85" s="162" t="s">
        <v>880</v>
      </c>
      <c r="J85" s="161" t="s">
        <v>881</v>
      </c>
      <c r="K85" s="162" t="s">
        <v>882</v>
      </c>
    </row>
    <row r="86" spans="1:11" hidden="1" x14ac:dyDescent="0.3">
      <c r="B86" s="168">
        <f>B82</f>
        <v>2023</v>
      </c>
      <c r="C86" s="345">
        <f t="shared" ref="C86:K86" si="0">IF($B$86=$B$76,C76,IF($B$86=$B$77,C77,IF($B$86=$B$78,C78,IF($B$86=$B$79,C79,IF($B$86=$B$80,C80)))))</f>
        <v>0.30599999999999999</v>
      </c>
      <c r="D86" s="345">
        <f t="shared" si="0"/>
        <v>0.25900000000000001</v>
      </c>
      <c r="E86" s="345">
        <f t="shared" si="0"/>
        <v>0.16300000000000001</v>
      </c>
      <c r="F86" s="345">
        <f t="shared" si="0"/>
        <v>0.151</v>
      </c>
      <c r="G86" s="345">
        <f t="shared" si="0"/>
        <v>8.4000000000000005E-2</v>
      </c>
      <c r="H86" s="345">
        <f t="shared" si="0"/>
        <v>3.4000000000000002E-2</v>
      </c>
      <c r="I86" s="345">
        <f t="shared" si="0"/>
        <v>1E-3</v>
      </c>
      <c r="J86" s="345">
        <f t="shared" si="0"/>
        <v>1E-3</v>
      </c>
      <c r="K86" s="345">
        <f t="shared" si="0"/>
        <v>1E-3</v>
      </c>
    </row>
    <row r="87" spans="1:11" hidden="1" x14ac:dyDescent="0.3">
      <c r="C87" s="77"/>
      <c r="D87" s="77"/>
      <c r="E87" s="77"/>
      <c r="H87" s="74"/>
    </row>
    <row r="88" spans="1:11" ht="40.049999999999997" customHeight="1" x14ac:dyDescent="0.3">
      <c r="B88" s="739" t="s">
        <v>885</v>
      </c>
      <c r="C88" s="761"/>
      <c r="D88" s="761"/>
      <c r="E88" s="761"/>
      <c r="F88" s="761"/>
      <c r="G88" s="761"/>
      <c r="H88" s="761"/>
      <c r="I88" s="761"/>
    </row>
    <row r="89" spans="1:11" x14ac:dyDescent="0.3">
      <c r="C89" s="77"/>
      <c r="D89" s="77"/>
      <c r="E89" s="77"/>
      <c r="H89" s="74"/>
    </row>
    <row r="90" spans="1:11" ht="21" x14ac:dyDescent="0.4">
      <c r="B90" s="6"/>
      <c r="C90" s="76"/>
      <c r="D90" s="76"/>
      <c r="E90" s="76"/>
    </row>
    <row r="91" spans="1:11" s="46" customFormat="1" ht="17.399999999999999" x14ac:dyDescent="0.3">
      <c r="B91" s="710" t="s">
        <v>886</v>
      </c>
      <c r="C91" s="710"/>
      <c r="D91" s="64"/>
      <c r="E91" s="64"/>
      <c r="F91" s="63"/>
      <c r="G91" s="63"/>
      <c r="H91" s="63"/>
      <c r="I91" s="69"/>
    </row>
    <row r="92" spans="1:11" ht="21" x14ac:dyDescent="0.4">
      <c r="A92" s="707"/>
      <c r="B92" s="6"/>
      <c r="C92" s="76"/>
      <c r="D92" s="76"/>
      <c r="E92" s="76"/>
    </row>
    <row r="93" spans="1:11" ht="18" customHeight="1" x14ac:dyDescent="0.3">
      <c r="A93" s="707"/>
      <c r="B93" s="763" t="s">
        <v>887</v>
      </c>
      <c r="C93" s="763"/>
      <c r="D93" s="763"/>
      <c r="E93" s="763"/>
      <c r="F93" s="763"/>
      <c r="G93" s="763"/>
      <c r="H93" s="763"/>
      <c r="I93" s="763"/>
      <c r="K93" s="1"/>
    </row>
    <row r="94" spans="1:11" ht="21" x14ac:dyDescent="0.4">
      <c r="A94" s="707"/>
      <c r="B94" s="6"/>
      <c r="C94" s="76"/>
      <c r="D94" s="76"/>
      <c r="E94" s="76"/>
    </row>
    <row r="95" spans="1:11" x14ac:dyDescent="0.3">
      <c r="A95" s="707"/>
      <c r="B95" s="50" t="s">
        <v>344</v>
      </c>
      <c r="C95" s="725" t="s">
        <v>843</v>
      </c>
      <c r="D95" s="725"/>
      <c r="E95" s="725"/>
      <c r="F95" s="725"/>
      <c r="G95" s="725"/>
      <c r="H95" s="725"/>
      <c r="I95" s="50" t="s">
        <v>346</v>
      </c>
    </row>
    <row r="96" spans="1:11" ht="45" customHeight="1" x14ac:dyDescent="0.3">
      <c r="A96" s="707"/>
      <c r="B96" s="51">
        <v>2019</v>
      </c>
      <c r="C96" s="745" t="s">
        <v>888</v>
      </c>
      <c r="D96" s="745"/>
      <c r="E96" s="745"/>
      <c r="F96" s="745"/>
      <c r="G96" s="745"/>
      <c r="H96" s="745"/>
      <c r="I96" s="56" t="s">
        <v>348</v>
      </c>
    </row>
    <row r="97" spans="1:11" ht="45" customHeight="1" x14ac:dyDescent="0.3">
      <c r="A97" s="707"/>
      <c r="B97" s="51">
        <v>2020</v>
      </c>
      <c r="C97" s="745" t="s">
        <v>889</v>
      </c>
      <c r="D97" s="745"/>
      <c r="E97" s="745"/>
      <c r="F97" s="745"/>
      <c r="G97" s="745"/>
      <c r="H97" s="745"/>
      <c r="I97" s="56" t="s">
        <v>350</v>
      </c>
    </row>
    <row r="98" spans="1:11" ht="45" customHeight="1" x14ac:dyDescent="0.3">
      <c r="A98" s="707"/>
      <c r="B98" s="51">
        <v>2021</v>
      </c>
      <c r="C98" s="745" t="s">
        <v>890</v>
      </c>
      <c r="D98" s="745"/>
      <c r="E98" s="745"/>
      <c r="F98" s="745"/>
      <c r="G98" s="745"/>
      <c r="H98" s="745"/>
      <c r="I98" s="485" t="s">
        <v>6</v>
      </c>
    </row>
    <row r="99" spans="1:11" ht="45" customHeight="1" x14ac:dyDescent="0.3">
      <c r="A99" s="707"/>
      <c r="B99" s="51">
        <v>2022</v>
      </c>
      <c r="C99" s="745" t="s">
        <v>891</v>
      </c>
      <c r="D99" s="745"/>
      <c r="E99" s="745"/>
      <c r="F99" s="745"/>
      <c r="G99" s="745"/>
      <c r="H99" s="745"/>
      <c r="I99" s="485" t="s">
        <v>6</v>
      </c>
    </row>
    <row r="100" spans="1:11" ht="45" customHeight="1" x14ac:dyDescent="0.3">
      <c r="A100" s="707"/>
      <c r="B100" s="51">
        <v>2023</v>
      </c>
      <c r="C100" s="745" t="s">
        <v>892</v>
      </c>
      <c r="D100" s="745"/>
      <c r="E100" s="745"/>
      <c r="F100" s="745"/>
      <c r="G100" s="745"/>
      <c r="H100" s="745"/>
      <c r="I100" s="485" t="s">
        <v>6</v>
      </c>
    </row>
    <row r="101" spans="1:11" ht="15.6" hidden="1" customHeight="1" x14ac:dyDescent="0.3">
      <c r="B101" s="370" t="s">
        <v>871</v>
      </c>
      <c r="C101" s="66"/>
      <c r="D101" s="66"/>
      <c r="E101" s="66"/>
      <c r="F101" s="66"/>
      <c r="G101" s="66"/>
      <c r="H101" s="66"/>
      <c r="I101" s="67"/>
    </row>
    <row r="102" spans="1:11" ht="15.6" customHeight="1" x14ac:dyDescent="0.3">
      <c r="B102" s="68"/>
      <c r="C102" s="66"/>
      <c r="D102" s="66"/>
      <c r="E102" s="66"/>
      <c r="F102" s="66"/>
      <c r="G102" s="66"/>
      <c r="H102" s="66"/>
      <c r="I102" s="67"/>
    </row>
    <row r="103" spans="1:11" ht="15" customHeight="1" x14ac:dyDescent="0.4">
      <c r="B103" s="6"/>
      <c r="C103" s="76"/>
      <c r="D103" s="76"/>
      <c r="E103" s="76"/>
    </row>
    <row r="104" spans="1:11" s="46" customFormat="1" ht="17.399999999999999" x14ac:dyDescent="0.3">
      <c r="B104" s="710" t="s">
        <v>893</v>
      </c>
      <c r="C104" s="710"/>
      <c r="D104" s="64"/>
      <c r="E104" s="64"/>
      <c r="F104" s="63"/>
      <c r="G104" s="63"/>
      <c r="H104" s="63"/>
      <c r="I104" s="69"/>
    </row>
    <row r="105" spans="1:11" ht="21" x14ac:dyDescent="0.4">
      <c r="A105" s="707"/>
      <c r="B105" s="6"/>
      <c r="C105" s="76"/>
      <c r="D105" s="76"/>
      <c r="E105" s="76"/>
    </row>
    <row r="106" spans="1:11" ht="18" customHeight="1" x14ac:dyDescent="0.3">
      <c r="A106" s="707"/>
      <c r="B106" s="763" t="s">
        <v>894</v>
      </c>
      <c r="C106" s="763"/>
      <c r="D106" s="763"/>
      <c r="E106" s="763"/>
      <c r="F106" s="763"/>
      <c r="G106" s="763"/>
      <c r="H106" s="763"/>
      <c r="I106" s="763"/>
      <c r="K106" s="1"/>
    </row>
    <row r="107" spans="1:11" ht="21" x14ac:dyDescent="0.4">
      <c r="A107" s="707"/>
      <c r="B107" s="6"/>
      <c r="C107" s="76"/>
      <c r="D107" s="76"/>
      <c r="E107" s="76"/>
    </row>
    <row r="108" spans="1:11" x14ac:dyDescent="0.3">
      <c r="A108" s="707"/>
      <c r="B108" s="50" t="s">
        <v>344</v>
      </c>
      <c r="C108" s="725" t="s">
        <v>843</v>
      </c>
      <c r="D108" s="725"/>
      <c r="E108" s="725"/>
      <c r="F108" s="725"/>
      <c r="G108" s="725"/>
      <c r="H108" s="725"/>
      <c r="I108" s="50" t="s">
        <v>346</v>
      </c>
    </row>
    <row r="109" spans="1:11" ht="45" customHeight="1" x14ac:dyDescent="0.3">
      <c r="A109" s="707"/>
      <c r="B109" s="51">
        <v>2019</v>
      </c>
      <c r="C109" s="713" t="s">
        <v>895</v>
      </c>
      <c r="D109" s="745"/>
      <c r="E109" s="745"/>
      <c r="F109" s="745"/>
      <c r="G109" s="745"/>
      <c r="H109" s="745"/>
      <c r="I109" s="56" t="s">
        <v>348</v>
      </c>
    </row>
    <row r="110" spans="1:11" ht="45" customHeight="1" x14ac:dyDescent="0.3">
      <c r="A110" s="707"/>
      <c r="B110" s="51">
        <v>2020</v>
      </c>
      <c r="C110" s="713" t="s">
        <v>896</v>
      </c>
      <c r="D110" s="745"/>
      <c r="E110" s="745"/>
      <c r="F110" s="745"/>
      <c r="G110" s="745"/>
      <c r="H110" s="745"/>
      <c r="I110" s="56" t="s">
        <v>350</v>
      </c>
    </row>
    <row r="111" spans="1:11" ht="61.5" customHeight="1" x14ac:dyDescent="0.3">
      <c r="A111" s="707"/>
      <c r="B111" s="51">
        <v>2021</v>
      </c>
      <c r="C111" s="713" t="s">
        <v>897</v>
      </c>
      <c r="D111" s="745"/>
      <c r="E111" s="745"/>
      <c r="F111" s="745"/>
      <c r="G111" s="745"/>
      <c r="H111" s="745"/>
      <c r="I111" s="56" t="s">
        <v>442</v>
      </c>
    </row>
    <row r="112" spans="1:11" ht="60" customHeight="1" x14ac:dyDescent="0.3">
      <c r="A112" s="707"/>
      <c r="B112" s="51">
        <v>2022</v>
      </c>
      <c r="C112" s="713" t="s">
        <v>898</v>
      </c>
      <c r="D112" s="745"/>
      <c r="E112" s="745"/>
      <c r="F112" s="745"/>
      <c r="G112" s="745"/>
      <c r="H112" s="745"/>
      <c r="I112" s="485" t="s">
        <v>6</v>
      </c>
    </row>
    <row r="113" spans="1:11" ht="54" customHeight="1" x14ac:dyDescent="0.3">
      <c r="A113" s="707"/>
      <c r="B113" s="51">
        <v>2023</v>
      </c>
      <c r="C113" s="713" t="s">
        <v>2889</v>
      </c>
      <c r="D113" s="745"/>
      <c r="E113" s="745"/>
      <c r="F113" s="745"/>
      <c r="G113" s="745"/>
      <c r="H113" s="745"/>
      <c r="I113" s="485" t="s">
        <v>6</v>
      </c>
    </row>
    <row r="114" spans="1:11" ht="30" customHeight="1" x14ac:dyDescent="0.3">
      <c r="A114" s="707"/>
      <c r="B114" s="771" t="s">
        <v>899</v>
      </c>
      <c r="C114" s="771"/>
      <c r="D114" s="771"/>
      <c r="E114" s="771"/>
      <c r="F114" s="771"/>
      <c r="G114" s="771"/>
      <c r="H114" s="771"/>
      <c r="I114" s="771"/>
    </row>
    <row r="115" spans="1:11" ht="25.5" customHeight="1" x14ac:dyDescent="0.3"/>
    <row r="116" spans="1:11" ht="14.55" customHeight="1" x14ac:dyDescent="0.4">
      <c r="B116" s="6"/>
      <c r="C116" s="76"/>
      <c r="D116" s="76"/>
      <c r="E116" s="76"/>
    </row>
    <row r="117" spans="1:11" s="46" customFormat="1" ht="17.399999999999999" x14ac:dyDescent="0.3">
      <c r="B117" s="710" t="s">
        <v>900</v>
      </c>
      <c r="C117" s="710"/>
      <c r="D117" s="64"/>
      <c r="E117" s="64"/>
      <c r="F117" s="63"/>
      <c r="G117" s="63"/>
      <c r="H117" s="63"/>
      <c r="I117" s="69"/>
    </row>
    <row r="118" spans="1:11" ht="21" x14ac:dyDescent="0.4">
      <c r="A118" s="707"/>
      <c r="B118" s="6"/>
      <c r="C118" s="76"/>
      <c r="D118" s="76"/>
      <c r="E118" s="76"/>
    </row>
    <row r="119" spans="1:11" ht="18" customHeight="1" x14ac:dyDescent="0.3">
      <c r="A119" s="707"/>
      <c r="B119" s="763" t="s">
        <v>901</v>
      </c>
      <c r="C119" s="763"/>
      <c r="D119" s="763"/>
      <c r="E119" s="763"/>
      <c r="F119" s="763"/>
      <c r="G119" s="763"/>
      <c r="H119" s="763"/>
      <c r="I119" s="763"/>
      <c r="K119" s="1"/>
    </row>
    <row r="120" spans="1:11" ht="21" x14ac:dyDescent="0.4">
      <c r="A120" s="707"/>
      <c r="B120" s="6"/>
      <c r="C120" s="76"/>
      <c r="D120" s="76"/>
      <c r="E120" s="76"/>
    </row>
    <row r="121" spans="1:11" x14ac:dyDescent="0.3">
      <c r="A121" s="707"/>
      <c r="B121" s="50" t="s">
        <v>344</v>
      </c>
      <c r="C121" s="725" t="s">
        <v>843</v>
      </c>
      <c r="D121" s="725"/>
      <c r="E121" s="725"/>
      <c r="F121" s="725"/>
      <c r="G121" s="725"/>
      <c r="H121" s="725"/>
      <c r="I121" s="50" t="s">
        <v>346</v>
      </c>
    </row>
    <row r="122" spans="1:11" ht="45" customHeight="1" x14ac:dyDescent="0.3">
      <c r="A122" s="707"/>
      <c r="B122" s="51">
        <v>2019</v>
      </c>
      <c r="C122" s="745" t="s">
        <v>902</v>
      </c>
      <c r="D122" s="745"/>
      <c r="E122" s="745"/>
      <c r="F122" s="745"/>
      <c r="G122" s="745"/>
      <c r="H122" s="745"/>
      <c r="I122" s="56" t="s">
        <v>348</v>
      </c>
    </row>
    <row r="123" spans="1:11" ht="45" customHeight="1" x14ac:dyDescent="0.3">
      <c r="A123" s="707"/>
      <c r="B123" s="51">
        <v>2020</v>
      </c>
      <c r="C123" s="745" t="s">
        <v>903</v>
      </c>
      <c r="D123" s="745"/>
      <c r="E123" s="745"/>
      <c r="F123" s="745"/>
      <c r="G123" s="745"/>
      <c r="H123" s="745"/>
      <c r="I123" s="56" t="s">
        <v>350</v>
      </c>
    </row>
    <row r="124" spans="1:11" ht="45" customHeight="1" x14ac:dyDescent="0.3">
      <c r="A124" s="707"/>
      <c r="B124" s="51">
        <v>2021</v>
      </c>
      <c r="C124" s="745" t="s">
        <v>904</v>
      </c>
      <c r="D124" s="745"/>
      <c r="E124" s="745"/>
      <c r="F124" s="745"/>
      <c r="G124" s="745"/>
      <c r="H124" s="745"/>
      <c r="I124" s="485" t="s">
        <v>6</v>
      </c>
      <c r="J124" s="62"/>
    </row>
    <row r="125" spans="1:11" ht="45" customHeight="1" x14ac:dyDescent="0.3">
      <c r="A125" s="707"/>
      <c r="B125" s="51">
        <v>2022</v>
      </c>
      <c r="C125" s="745" t="s">
        <v>905</v>
      </c>
      <c r="D125" s="745"/>
      <c r="E125" s="745"/>
      <c r="F125" s="745"/>
      <c r="G125" s="745"/>
      <c r="H125" s="745"/>
      <c r="I125" s="485" t="s">
        <v>6</v>
      </c>
    </row>
    <row r="126" spans="1:11" ht="45" customHeight="1" x14ac:dyDescent="0.3">
      <c r="A126" s="707"/>
      <c r="B126" s="51">
        <v>2023</v>
      </c>
      <c r="C126" s="745" t="s">
        <v>906</v>
      </c>
      <c r="D126" s="745"/>
      <c r="E126" s="745"/>
      <c r="F126" s="745"/>
      <c r="G126" s="745"/>
      <c r="H126" s="745"/>
      <c r="I126" s="485" t="s">
        <v>6</v>
      </c>
    </row>
    <row r="127" spans="1:11" ht="15" hidden="1" customHeight="1" x14ac:dyDescent="0.3">
      <c r="B127" s="370" t="s">
        <v>871</v>
      </c>
      <c r="C127" s="76"/>
      <c r="D127" s="76"/>
      <c r="E127" s="76"/>
    </row>
    <row r="128" spans="1:11" ht="14.55" customHeight="1" x14ac:dyDescent="0.4">
      <c r="B128" s="6"/>
      <c r="C128" s="76"/>
      <c r="D128" s="76"/>
      <c r="E128" s="76"/>
    </row>
    <row r="129" spans="1:11" ht="14.55" customHeight="1" x14ac:dyDescent="0.4">
      <c r="B129" s="6"/>
      <c r="C129" s="76"/>
      <c r="D129" s="76"/>
      <c r="E129" s="76"/>
    </row>
    <row r="130" spans="1:11" s="46" customFormat="1" ht="17.399999999999999" x14ac:dyDescent="0.3">
      <c r="B130" s="710" t="s">
        <v>907</v>
      </c>
      <c r="C130" s="710"/>
      <c r="D130" s="64"/>
      <c r="E130" s="64"/>
      <c r="F130" s="63"/>
      <c r="G130" s="63"/>
      <c r="H130" s="63"/>
      <c r="I130" s="69"/>
    </row>
    <row r="131" spans="1:11" ht="21" x14ac:dyDescent="0.4">
      <c r="A131" s="707"/>
      <c r="B131" s="6"/>
      <c r="C131" s="76"/>
      <c r="D131" s="76"/>
      <c r="E131" s="76"/>
    </row>
    <row r="132" spans="1:11" ht="18" customHeight="1" x14ac:dyDescent="0.3">
      <c r="A132" s="707"/>
      <c r="B132" s="763" t="s">
        <v>908</v>
      </c>
      <c r="C132" s="763"/>
      <c r="D132" s="763"/>
      <c r="E132" s="763"/>
      <c r="F132" s="763"/>
      <c r="G132" s="763"/>
      <c r="H132" s="763"/>
      <c r="I132" s="763"/>
      <c r="K132" s="1"/>
    </row>
    <row r="133" spans="1:11" ht="21" x14ac:dyDescent="0.4">
      <c r="A133" s="707"/>
      <c r="B133" s="6"/>
      <c r="C133" s="76"/>
      <c r="D133" s="76"/>
      <c r="E133" s="76"/>
    </row>
    <row r="134" spans="1:11" x14ac:dyDescent="0.3">
      <c r="A134" s="707"/>
      <c r="B134" s="50" t="s">
        <v>344</v>
      </c>
      <c r="C134" s="725" t="s">
        <v>843</v>
      </c>
      <c r="D134" s="725"/>
      <c r="E134" s="725"/>
      <c r="F134" s="725"/>
      <c r="G134" s="725"/>
      <c r="H134" s="725"/>
      <c r="I134" s="50" t="s">
        <v>346</v>
      </c>
    </row>
    <row r="135" spans="1:11" ht="141.6" customHeight="1" x14ac:dyDescent="0.3">
      <c r="A135" s="707"/>
      <c r="B135" s="51">
        <v>2020</v>
      </c>
      <c r="C135" s="709" t="s">
        <v>909</v>
      </c>
      <c r="D135" s="709"/>
      <c r="E135" s="709"/>
      <c r="F135" s="709"/>
      <c r="G135" s="709"/>
      <c r="H135" s="709"/>
      <c r="I135" s="56" t="s">
        <v>350</v>
      </c>
    </row>
    <row r="136" spans="1:11" ht="160.05000000000001" customHeight="1" x14ac:dyDescent="0.3">
      <c r="A136" s="707"/>
      <c r="B136" s="51">
        <v>2021</v>
      </c>
      <c r="C136" s="709" t="s">
        <v>910</v>
      </c>
      <c r="D136" s="709"/>
      <c r="E136" s="709"/>
      <c r="F136" s="709"/>
      <c r="G136" s="709"/>
      <c r="H136" s="709"/>
      <c r="I136" s="485" t="s">
        <v>6</v>
      </c>
    </row>
    <row r="137" spans="1:11" ht="211.5" customHeight="1" x14ac:dyDescent="0.3">
      <c r="B137" s="51">
        <v>2022</v>
      </c>
      <c r="C137" s="713" t="s">
        <v>911</v>
      </c>
      <c r="D137" s="713"/>
      <c r="E137" s="713"/>
      <c r="F137" s="713"/>
      <c r="G137" s="713"/>
      <c r="H137" s="713"/>
      <c r="I137" s="485" t="s">
        <v>6</v>
      </c>
    </row>
    <row r="138" spans="1:11" ht="226.05" customHeight="1" x14ac:dyDescent="0.3">
      <c r="B138" s="51">
        <v>2023</v>
      </c>
      <c r="C138" s="732" t="s">
        <v>912</v>
      </c>
      <c r="D138" s="732"/>
      <c r="E138" s="732"/>
      <c r="F138" s="732"/>
      <c r="G138" s="732"/>
      <c r="H138" s="732"/>
      <c r="I138" s="485" t="s">
        <v>6</v>
      </c>
    </row>
    <row r="139" spans="1:11" ht="15" customHeight="1" x14ac:dyDescent="0.4">
      <c r="B139" s="6"/>
      <c r="C139" s="76"/>
      <c r="D139" s="76"/>
      <c r="E139" s="76"/>
    </row>
    <row r="140" spans="1:11" ht="14.55" customHeight="1" x14ac:dyDescent="0.4">
      <c r="B140" s="6"/>
      <c r="C140" s="76"/>
      <c r="D140" s="76"/>
      <c r="E140" s="76"/>
    </row>
    <row r="141" spans="1:11" s="46" customFormat="1" ht="17.399999999999999" x14ac:dyDescent="0.3">
      <c r="B141" s="710" t="s">
        <v>913</v>
      </c>
      <c r="C141" s="710"/>
      <c r="D141" s="64"/>
      <c r="E141" s="64"/>
      <c r="F141" s="63"/>
      <c r="G141" s="63"/>
      <c r="H141" s="63"/>
      <c r="I141" s="69"/>
    </row>
    <row r="142" spans="1:11" ht="21" x14ac:dyDescent="0.4">
      <c r="A142" s="707"/>
      <c r="B142" s="6"/>
      <c r="C142" s="76"/>
      <c r="D142" s="76"/>
      <c r="E142" s="76"/>
    </row>
    <row r="143" spans="1:11" ht="18" customHeight="1" x14ac:dyDescent="0.3">
      <c r="A143" s="707"/>
      <c r="B143" s="763" t="s">
        <v>914</v>
      </c>
      <c r="C143" s="763"/>
      <c r="D143" s="763"/>
      <c r="E143" s="763"/>
      <c r="F143" s="763"/>
      <c r="G143" s="763"/>
      <c r="H143" s="763"/>
      <c r="I143" s="763"/>
      <c r="K143" s="1"/>
    </row>
    <row r="144" spans="1:11" ht="21" x14ac:dyDescent="0.4">
      <c r="A144" s="707"/>
      <c r="B144" s="6"/>
      <c r="C144" s="76"/>
      <c r="D144" s="76"/>
      <c r="E144" s="76"/>
      <c r="H144" s="560"/>
      <c r="I144" s="561"/>
    </row>
    <row r="145" spans="1:11" x14ac:dyDescent="0.3">
      <c r="A145" s="707"/>
      <c r="B145" s="50" t="s">
        <v>344</v>
      </c>
      <c r="C145" s="725" t="s">
        <v>843</v>
      </c>
      <c r="D145" s="725"/>
      <c r="E145" s="725"/>
      <c r="F145" s="725"/>
      <c r="G145" s="725"/>
      <c r="H145" s="725"/>
      <c r="I145" s="50" t="s">
        <v>346</v>
      </c>
    </row>
    <row r="146" spans="1:11" ht="56.1" customHeight="1" x14ac:dyDescent="0.3">
      <c r="A146" s="707"/>
      <c r="B146" s="51">
        <v>2020</v>
      </c>
      <c r="C146" s="709" t="s">
        <v>915</v>
      </c>
      <c r="D146" s="709"/>
      <c r="E146" s="709"/>
      <c r="F146" s="709"/>
      <c r="G146" s="709"/>
      <c r="H146" s="709"/>
      <c r="I146" s="56" t="s">
        <v>350</v>
      </c>
    </row>
    <row r="147" spans="1:11" ht="90.6" customHeight="1" x14ac:dyDescent="0.3">
      <c r="A147" s="707"/>
      <c r="B147" s="51">
        <v>2021</v>
      </c>
      <c r="C147" s="709" t="s">
        <v>916</v>
      </c>
      <c r="D147" s="709"/>
      <c r="E147" s="709"/>
      <c r="F147" s="709"/>
      <c r="G147" s="709"/>
      <c r="H147" s="709"/>
      <c r="I147" s="485" t="s">
        <v>6</v>
      </c>
    </row>
    <row r="148" spans="1:11" ht="180.6" customHeight="1" x14ac:dyDescent="0.3">
      <c r="A148" s="707"/>
      <c r="B148" s="51">
        <v>2022</v>
      </c>
      <c r="C148" s="713" t="s">
        <v>917</v>
      </c>
      <c r="D148" s="713"/>
      <c r="E148" s="713"/>
      <c r="F148" s="713"/>
      <c r="G148" s="713"/>
      <c r="H148" s="713"/>
      <c r="I148" s="485" t="s">
        <v>6</v>
      </c>
    </row>
    <row r="149" spans="1:11" ht="172.5" customHeight="1" x14ac:dyDescent="0.3">
      <c r="B149" s="51">
        <v>2023</v>
      </c>
      <c r="C149" s="732" t="s">
        <v>918</v>
      </c>
      <c r="D149" s="732"/>
      <c r="E149" s="732"/>
      <c r="F149" s="732"/>
      <c r="G149" s="732"/>
      <c r="H149" s="732"/>
      <c r="I149" s="485" t="s">
        <v>6</v>
      </c>
    </row>
    <row r="150" spans="1:11" ht="15" customHeight="1" x14ac:dyDescent="0.4">
      <c r="B150" s="6"/>
      <c r="C150" s="76"/>
      <c r="D150" s="76"/>
      <c r="E150" s="76"/>
    </row>
    <row r="151" spans="1:11" ht="14.55" customHeight="1" x14ac:dyDescent="0.4">
      <c r="B151" s="6"/>
      <c r="C151" s="76"/>
      <c r="D151" s="76"/>
      <c r="E151" s="76"/>
    </row>
    <row r="152" spans="1:11" s="46" customFormat="1" ht="17.399999999999999" x14ac:dyDescent="0.3">
      <c r="B152" s="710" t="s">
        <v>919</v>
      </c>
      <c r="C152" s="710"/>
      <c r="D152" s="64"/>
      <c r="E152" s="64"/>
      <c r="F152" s="63"/>
      <c r="G152" s="63"/>
      <c r="H152" s="63"/>
      <c r="I152" s="69"/>
    </row>
    <row r="153" spans="1:11" ht="21" x14ac:dyDescent="0.4">
      <c r="A153" s="707"/>
      <c r="B153" s="6"/>
      <c r="C153" s="76"/>
      <c r="D153" s="76"/>
      <c r="E153" s="76"/>
    </row>
    <row r="154" spans="1:11" ht="18" customHeight="1" x14ac:dyDescent="0.3">
      <c r="A154" s="707"/>
      <c r="B154" s="763" t="s">
        <v>920</v>
      </c>
      <c r="C154" s="763"/>
      <c r="D154" s="763"/>
      <c r="E154" s="763"/>
      <c r="F154" s="763"/>
      <c r="G154" s="763"/>
      <c r="H154" s="763"/>
      <c r="I154" s="763"/>
      <c r="K154" s="1"/>
    </row>
    <row r="155" spans="1:11" ht="21" x14ac:dyDescent="0.4">
      <c r="A155" s="707"/>
      <c r="B155" s="6"/>
      <c r="C155" s="76"/>
      <c r="D155" s="76"/>
      <c r="E155" s="76"/>
    </row>
    <row r="156" spans="1:11" x14ac:dyDescent="0.3">
      <c r="A156" s="707"/>
      <c r="B156" s="50" t="s">
        <v>344</v>
      </c>
      <c r="C156" s="725" t="s">
        <v>843</v>
      </c>
      <c r="D156" s="725"/>
      <c r="E156" s="725"/>
      <c r="F156" s="725"/>
      <c r="G156" s="725"/>
      <c r="H156" s="725"/>
      <c r="I156" s="50" t="s">
        <v>346</v>
      </c>
    </row>
    <row r="157" spans="1:11" ht="160.05000000000001" customHeight="1" x14ac:dyDescent="0.3">
      <c r="A157" s="707"/>
      <c r="B157" s="51">
        <v>2020</v>
      </c>
      <c r="C157" s="713" t="s">
        <v>921</v>
      </c>
      <c r="D157" s="713"/>
      <c r="E157" s="713"/>
      <c r="F157" s="713"/>
      <c r="G157" s="713"/>
      <c r="H157" s="713"/>
      <c r="I157" s="56" t="s">
        <v>350</v>
      </c>
    </row>
    <row r="158" spans="1:11" ht="292.5" customHeight="1" x14ac:dyDescent="0.3">
      <c r="A158" s="707"/>
      <c r="B158" s="51">
        <v>2021</v>
      </c>
      <c r="C158" s="713" t="s">
        <v>922</v>
      </c>
      <c r="D158" s="713"/>
      <c r="E158" s="713"/>
      <c r="F158" s="713"/>
      <c r="G158" s="713"/>
      <c r="H158" s="713"/>
      <c r="I158" s="56" t="s">
        <v>442</v>
      </c>
    </row>
    <row r="159" spans="1:11" ht="409.5" customHeight="1" x14ac:dyDescent="0.3">
      <c r="B159" s="51">
        <v>2022</v>
      </c>
      <c r="C159" s="713" t="s">
        <v>923</v>
      </c>
      <c r="D159" s="713"/>
      <c r="E159" s="713"/>
      <c r="F159" s="713"/>
      <c r="G159" s="713"/>
      <c r="H159" s="713"/>
      <c r="I159" s="56" t="s">
        <v>442</v>
      </c>
    </row>
    <row r="160" spans="1:11" ht="409.5" customHeight="1" x14ac:dyDescent="0.3">
      <c r="B160" s="51">
        <v>2023</v>
      </c>
      <c r="C160" s="713" t="s">
        <v>924</v>
      </c>
      <c r="D160" s="713"/>
      <c r="E160" s="713"/>
      <c r="F160" s="713"/>
      <c r="G160" s="713"/>
      <c r="H160" s="713"/>
      <c r="I160" s="56" t="s">
        <v>442</v>
      </c>
    </row>
    <row r="161" spans="1:11" ht="140.1" customHeight="1" x14ac:dyDescent="0.3">
      <c r="B161" s="713" t="s">
        <v>925</v>
      </c>
      <c r="C161" s="713"/>
      <c r="D161" s="713"/>
      <c r="E161" s="713"/>
      <c r="F161" s="713"/>
      <c r="G161" s="713"/>
      <c r="H161" s="713"/>
      <c r="I161" s="713"/>
    </row>
    <row r="162" spans="1:11" ht="17.55" customHeight="1" x14ac:dyDescent="0.4">
      <c r="B162" s="6"/>
      <c r="C162" s="76"/>
      <c r="D162" s="76"/>
      <c r="E162" s="76"/>
    </row>
    <row r="163" spans="1:11" s="46" customFormat="1" ht="17.399999999999999" x14ac:dyDescent="0.3">
      <c r="B163" s="710" t="s">
        <v>926</v>
      </c>
      <c r="C163" s="710"/>
      <c r="D163" s="64"/>
      <c r="E163" s="64"/>
      <c r="F163" s="63"/>
      <c r="G163" s="63"/>
      <c r="H163" s="63"/>
      <c r="I163" s="69"/>
    </row>
    <row r="164" spans="1:11" ht="21" x14ac:dyDescent="0.4">
      <c r="A164" s="707"/>
      <c r="B164" s="6"/>
      <c r="C164" s="76"/>
      <c r="D164" s="76"/>
      <c r="E164" s="76"/>
    </row>
    <row r="165" spans="1:11" ht="18" customHeight="1" x14ac:dyDescent="0.3">
      <c r="A165" s="707"/>
      <c r="B165" s="763" t="s">
        <v>927</v>
      </c>
      <c r="C165" s="763"/>
      <c r="D165" s="763"/>
      <c r="E165" s="763"/>
      <c r="F165" s="763"/>
      <c r="G165" s="763"/>
      <c r="H165" s="763"/>
      <c r="I165" s="763"/>
      <c r="K165" s="1"/>
    </row>
    <row r="166" spans="1:11" ht="21" x14ac:dyDescent="0.4">
      <c r="A166" s="707"/>
      <c r="B166" s="6"/>
      <c r="C166" s="76"/>
      <c r="D166" s="76"/>
      <c r="E166" s="76"/>
    </row>
    <row r="167" spans="1:11" x14ac:dyDescent="0.3">
      <c r="A167" s="707"/>
      <c r="B167" s="50" t="s">
        <v>344</v>
      </c>
      <c r="C167" s="725" t="s">
        <v>843</v>
      </c>
      <c r="D167" s="725"/>
      <c r="E167" s="725"/>
      <c r="F167" s="725"/>
      <c r="G167" s="725"/>
      <c r="H167" s="725"/>
      <c r="I167" s="50" t="s">
        <v>346</v>
      </c>
    </row>
    <row r="168" spans="1:11" ht="148.5" customHeight="1" x14ac:dyDescent="0.3">
      <c r="A168" s="707"/>
      <c r="B168" s="51">
        <v>2020</v>
      </c>
      <c r="C168" s="713" t="s">
        <v>928</v>
      </c>
      <c r="D168" s="713"/>
      <c r="E168" s="713"/>
      <c r="F168" s="713"/>
      <c r="G168" s="713"/>
      <c r="H168" s="713"/>
      <c r="I168" s="56" t="s">
        <v>350</v>
      </c>
    </row>
    <row r="169" spans="1:11" ht="132" customHeight="1" x14ac:dyDescent="0.3">
      <c r="A169" s="707"/>
      <c r="B169" s="51">
        <v>2021</v>
      </c>
      <c r="C169" s="713" t="s">
        <v>929</v>
      </c>
      <c r="D169" s="713"/>
      <c r="E169" s="713"/>
      <c r="F169" s="713"/>
      <c r="G169" s="713"/>
      <c r="H169" s="713"/>
      <c r="I169" s="56" t="s">
        <v>442</v>
      </c>
    </row>
    <row r="170" spans="1:11" ht="347.55" customHeight="1" x14ac:dyDescent="0.3">
      <c r="B170" s="51">
        <v>2022</v>
      </c>
      <c r="C170" s="713" t="s">
        <v>930</v>
      </c>
      <c r="D170" s="713"/>
      <c r="E170" s="713"/>
      <c r="F170" s="713"/>
      <c r="G170" s="713"/>
      <c r="H170" s="713"/>
      <c r="I170" s="56" t="s">
        <v>442</v>
      </c>
    </row>
    <row r="171" spans="1:11" ht="363.6" customHeight="1" x14ac:dyDescent="0.3">
      <c r="B171" s="51">
        <v>2023</v>
      </c>
      <c r="C171" s="713" t="s">
        <v>931</v>
      </c>
      <c r="D171" s="713"/>
      <c r="E171" s="713"/>
      <c r="F171" s="713"/>
      <c r="G171" s="713"/>
      <c r="H171" s="713"/>
      <c r="I171" s="56" t="s">
        <v>442</v>
      </c>
    </row>
    <row r="172" spans="1:11" s="75" customFormat="1" ht="169.5" customHeight="1" x14ac:dyDescent="0.3">
      <c r="B172" s="713" t="s">
        <v>932</v>
      </c>
      <c r="C172" s="713"/>
      <c r="D172" s="713"/>
      <c r="E172" s="713"/>
      <c r="F172" s="713"/>
      <c r="G172" s="713"/>
      <c r="H172" s="713"/>
      <c r="I172" s="713"/>
    </row>
    <row r="173" spans="1:11" ht="24.6" customHeight="1" x14ac:dyDescent="0.4">
      <c r="B173" s="6"/>
      <c r="C173" s="76"/>
      <c r="D173" s="76"/>
      <c r="E173" s="76"/>
    </row>
    <row r="174" spans="1:11" s="46" customFormat="1" ht="17.399999999999999" x14ac:dyDescent="0.3">
      <c r="B174" s="710" t="s">
        <v>933</v>
      </c>
      <c r="C174" s="710"/>
      <c r="D174" s="64"/>
      <c r="E174" s="64"/>
      <c r="F174" s="63"/>
      <c r="G174" s="63"/>
      <c r="H174" s="63"/>
      <c r="I174" s="69"/>
    </row>
    <row r="175" spans="1:11" ht="21" x14ac:dyDescent="0.4">
      <c r="A175" s="707"/>
      <c r="B175" s="6"/>
      <c r="C175" s="76"/>
      <c r="D175" s="76"/>
      <c r="E175" s="76"/>
    </row>
    <row r="176" spans="1:11" ht="18" customHeight="1" x14ac:dyDescent="0.3">
      <c r="A176" s="707"/>
      <c r="B176" s="763" t="s">
        <v>934</v>
      </c>
      <c r="C176" s="763"/>
      <c r="D176" s="763"/>
      <c r="E176" s="763"/>
      <c r="F176" s="763"/>
      <c r="G176" s="763"/>
      <c r="H176" s="763"/>
      <c r="I176" s="763"/>
      <c r="K176" s="1"/>
    </row>
    <row r="177" spans="1:11" ht="21" x14ac:dyDescent="0.4">
      <c r="A177" s="707"/>
      <c r="B177" s="6"/>
      <c r="C177" s="76"/>
      <c r="D177" s="76"/>
      <c r="E177" s="76"/>
    </row>
    <row r="178" spans="1:11" x14ac:dyDescent="0.3">
      <c r="A178" s="707"/>
      <c r="B178" s="50" t="s">
        <v>344</v>
      </c>
      <c r="C178" s="725" t="s">
        <v>843</v>
      </c>
      <c r="D178" s="725"/>
      <c r="E178" s="725"/>
      <c r="F178" s="725"/>
      <c r="G178" s="725"/>
      <c r="H178" s="725"/>
      <c r="I178" s="50" t="s">
        <v>346</v>
      </c>
    </row>
    <row r="179" spans="1:11" ht="40.049999999999997" customHeight="1" x14ac:dyDescent="0.3">
      <c r="A179" s="707"/>
      <c r="B179" s="51">
        <v>2020</v>
      </c>
      <c r="C179" s="713" t="s">
        <v>935</v>
      </c>
      <c r="D179" s="713"/>
      <c r="E179" s="713"/>
      <c r="F179" s="713"/>
      <c r="G179" s="713"/>
      <c r="H179" s="713"/>
      <c r="I179" s="56" t="s">
        <v>350</v>
      </c>
    </row>
    <row r="180" spans="1:11" ht="147.6" customHeight="1" x14ac:dyDescent="0.3">
      <c r="A180" s="707"/>
      <c r="B180" s="51">
        <v>2021</v>
      </c>
      <c r="C180" s="713" t="s">
        <v>936</v>
      </c>
      <c r="D180" s="713"/>
      <c r="E180" s="713"/>
      <c r="F180" s="713"/>
      <c r="G180" s="713"/>
      <c r="H180" s="713"/>
      <c r="I180" s="56" t="s">
        <v>442</v>
      </c>
    </row>
    <row r="181" spans="1:11" ht="166.5" customHeight="1" x14ac:dyDescent="0.3">
      <c r="A181" s="707"/>
      <c r="B181" s="51">
        <v>2022</v>
      </c>
      <c r="C181" s="713" t="s">
        <v>937</v>
      </c>
      <c r="D181" s="713"/>
      <c r="E181" s="713"/>
      <c r="F181" s="713"/>
      <c r="G181" s="713"/>
      <c r="H181" s="713"/>
      <c r="I181" s="56" t="s">
        <v>442</v>
      </c>
    </row>
    <row r="182" spans="1:11" ht="166.5" customHeight="1" x14ac:dyDescent="0.3">
      <c r="B182" s="51">
        <v>2023</v>
      </c>
      <c r="C182" s="713" t="s">
        <v>938</v>
      </c>
      <c r="D182" s="713"/>
      <c r="E182" s="713"/>
      <c r="F182" s="713"/>
      <c r="G182" s="713"/>
      <c r="H182" s="713"/>
      <c r="I182" s="56" t="s">
        <v>442</v>
      </c>
    </row>
    <row r="183" spans="1:11" ht="65.55" customHeight="1" x14ac:dyDescent="0.3">
      <c r="B183" s="771" t="s">
        <v>939</v>
      </c>
      <c r="C183" s="771"/>
      <c r="D183" s="771"/>
      <c r="E183" s="771"/>
      <c r="F183" s="771"/>
      <c r="G183" s="771"/>
      <c r="H183" s="771"/>
      <c r="I183" s="525"/>
    </row>
    <row r="184" spans="1:11" ht="19.05" customHeight="1" x14ac:dyDescent="0.3"/>
    <row r="185" spans="1:11" ht="20.100000000000001" customHeight="1" x14ac:dyDescent="0.4">
      <c r="B185" s="6"/>
      <c r="C185" s="76"/>
      <c r="D185" s="76"/>
      <c r="E185" s="76"/>
    </row>
    <row r="186" spans="1:11" s="46" customFormat="1" ht="20.100000000000001" customHeight="1" x14ac:dyDescent="0.3">
      <c r="B186" s="710" t="s">
        <v>940</v>
      </c>
      <c r="C186" s="710"/>
      <c r="D186" s="710"/>
      <c r="E186" s="64"/>
      <c r="F186" s="63"/>
      <c r="G186" s="63"/>
      <c r="H186" s="63"/>
      <c r="I186" s="69"/>
    </row>
    <row r="187" spans="1:11" ht="21" x14ac:dyDescent="0.4">
      <c r="A187" s="707"/>
      <c r="B187" s="6"/>
      <c r="C187" s="76"/>
      <c r="D187" s="76"/>
      <c r="E187" s="76"/>
    </row>
    <row r="188" spans="1:11" ht="31.05" customHeight="1" x14ac:dyDescent="0.3">
      <c r="A188" s="707"/>
      <c r="B188" s="739" t="s">
        <v>941</v>
      </c>
      <c r="C188" s="739"/>
      <c r="D188" s="739"/>
      <c r="E188" s="739"/>
      <c r="F188" s="739"/>
      <c r="G188" s="739"/>
      <c r="H188" s="739"/>
      <c r="I188" s="739"/>
    </row>
    <row r="189" spans="1:11" ht="20.100000000000001" customHeight="1" x14ac:dyDescent="0.3">
      <c r="A189" s="707"/>
      <c r="B189" s="739" t="s">
        <v>942</v>
      </c>
      <c r="C189" s="739"/>
      <c r="D189" s="739"/>
      <c r="E189" s="739"/>
      <c r="F189" s="739"/>
      <c r="G189" s="739"/>
      <c r="H189" s="739"/>
      <c r="I189" s="739"/>
    </row>
    <row r="190" spans="1:11" ht="21" x14ac:dyDescent="0.4">
      <c r="A190" s="707"/>
      <c r="B190" s="6"/>
      <c r="C190" s="76"/>
      <c r="D190" s="65"/>
      <c r="E190" s="76"/>
    </row>
    <row r="191" spans="1:11" ht="20.100000000000001" customHeight="1" x14ac:dyDescent="0.3">
      <c r="A191" s="707"/>
      <c r="B191" s="725" t="s">
        <v>344</v>
      </c>
      <c r="C191" s="725" t="s">
        <v>843</v>
      </c>
      <c r="D191" s="725"/>
      <c r="E191" s="725"/>
      <c r="F191" s="725"/>
      <c r="G191" s="725"/>
      <c r="H191" s="725"/>
      <c r="I191" s="725"/>
      <c r="J191" s="725" t="s">
        <v>346</v>
      </c>
      <c r="K191" s="725"/>
    </row>
    <row r="192" spans="1:11" ht="20.100000000000001" customHeight="1" x14ac:dyDescent="0.3">
      <c r="A192" s="707"/>
      <c r="B192" s="725"/>
      <c r="C192" s="725" t="s">
        <v>943</v>
      </c>
      <c r="D192" s="725"/>
      <c r="E192" s="725"/>
      <c r="F192" s="725"/>
      <c r="G192" s="725"/>
      <c r="H192" s="725"/>
      <c r="I192" s="725"/>
      <c r="J192" s="725"/>
      <c r="K192" s="725"/>
    </row>
    <row r="193" spans="1:11" ht="63.6" customHeight="1" x14ac:dyDescent="0.3">
      <c r="A193" s="707"/>
      <c r="B193" s="725"/>
      <c r="C193" s="52" t="s">
        <v>848</v>
      </c>
      <c r="D193" s="52" t="s">
        <v>944</v>
      </c>
      <c r="E193" s="52" t="s">
        <v>945</v>
      </c>
      <c r="F193" s="52" t="s">
        <v>946</v>
      </c>
      <c r="G193" s="52" t="s">
        <v>947</v>
      </c>
      <c r="H193" s="52" t="s">
        <v>948</v>
      </c>
      <c r="I193" s="52" t="s">
        <v>949</v>
      </c>
      <c r="J193" s="725"/>
      <c r="K193" s="725"/>
    </row>
    <row r="194" spans="1:11" ht="49.05" customHeight="1" x14ac:dyDescent="0.3">
      <c r="A194" s="707"/>
      <c r="B194" s="51">
        <v>2019</v>
      </c>
      <c r="C194" s="573" t="s">
        <v>950</v>
      </c>
      <c r="D194" s="573" t="s">
        <v>951</v>
      </c>
      <c r="E194" s="574" t="s">
        <v>952</v>
      </c>
      <c r="F194" s="574" t="s">
        <v>953</v>
      </c>
      <c r="G194" s="574" t="s">
        <v>954</v>
      </c>
      <c r="H194" s="574" t="s">
        <v>955</v>
      </c>
      <c r="I194" s="574" t="s">
        <v>956</v>
      </c>
      <c r="J194" s="730" t="s">
        <v>348</v>
      </c>
      <c r="K194" s="730"/>
    </row>
    <row r="195" spans="1:11" ht="33.75" customHeight="1" x14ac:dyDescent="0.3">
      <c r="A195" s="707"/>
      <c r="B195" s="51">
        <v>2020</v>
      </c>
      <c r="C195" s="573" t="s">
        <v>957</v>
      </c>
      <c r="D195" s="573" t="s">
        <v>958</v>
      </c>
      <c r="E195" s="574" t="s">
        <v>959</v>
      </c>
      <c r="F195" s="574" t="s">
        <v>960</v>
      </c>
      <c r="G195" s="574" t="s">
        <v>961</v>
      </c>
      <c r="H195" s="574" t="s">
        <v>962</v>
      </c>
      <c r="I195" s="574" t="s">
        <v>963</v>
      </c>
      <c r="J195" s="730" t="s">
        <v>350</v>
      </c>
      <c r="K195" s="730"/>
    </row>
    <row r="196" spans="1:11" ht="57" customHeight="1" x14ac:dyDescent="0.3">
      <c r="A196" s="707"/>
      <c r="B196" s="51">
        <v>2021</v>
      </c>
      <c r="C196" s="573" t="s">
        <v>964</v>
      </c>
      <c r="D196" s="574" t="s">
        <v>965</v>
      </c>
      <c r="E196" s="574" t="s">
        <v>966</v>
      </c>
      <c r="F196" s="574" t="s">
        <v>967</v>
      </c>
      <c r="G196" s="574" t="s">
        <v>968</v>
      </c>
      <c r="H196" s="574" t="s">
        <v>969</v>
      </c>
      <c r="I196" s="574" t="s">
        <v>963</v>
      </c>
      <c r="J196" s="730" t="s">
        <v>442</v>
      </c>
      <c r="K196" s="730"/>
    </row>
    <row r="197" spans="1:11" ht="48.75" customHeight="1" x14ac:dyDescent="0.3">
      <c r="A197" s="707"/>
      <c r="B197" s="51">
        <v>2022</v>
      </c>
      <c r="C197" s="573" t="s">
        <v>970</v>
      </c>
      <c r="D197" s="574" t="s">
        <v>971</v>
      </c>
      <c r="E197" s="574" t="s">
        <v>972</v>
      </c>
      <c r="F197" s="574" t="s">
        <v>973</v>
      </c>
      <c r="G197" s="574" t="s">
        <v>974</v>
      </c>
      <c r="H197" s="574" t="s">
        <v>975</v>
      </c>
      <c r="I197" s="574" t="s">
        <v>976</v>
      </c>
      <c r="J197" s="730" t="s">
        <v>442</v>
      </c>
      <c r="K197" s="730"/>
    </row>
    <row r="198" spans="1:11" ht="38.25" customHeight="1" x14ac:dyDescent="0.3">
      <c r="A198" s="707"/>
      <c r="B198" s="51">
        <v>2023</v>
      </c>
      <c r="C198" s="573" t="s">
        <v>977</v>
      </c>
      <c r="D198" s="574" t="s">
        <v>978</v>
      </c>
      <c r="E198" s="574" t="s">
        <v>979</v>
      </c>
      <c r="F198" s="574" t="s">
        <v>980</v>
      </c>
      <c r="G198" s="574" t="s">
        <v>981</v>
      </c>
      <c r="H198" s="574" t="s">
        <v>982</v>
      </c>
      <c r="I198" s="574" t="s">
        <v>983</v>
      </c>
      <c r="J198" s="730" t="s">
        <v>442</v>
      </c>
      <c r="K198" s="730"/>
    </row>
    <row r="199" spans="1:11" ht="28.5" customHeight="1" x14ac:dyDescent="0.4">
      <c r="B199" s="6"/>
      <c r="C199" s="76"/>
      <c r="D199" s="65"/>
      <c r="E199" s="76"/>
    </row>
    <row r="200" spans="1:11" ht="20.100000000000001" customHeight="1" x14ac:dyDescent="0.3">
      <c r="B200" s="725" t="s">
        <v>344</v>
      </c>
      <c r="C200" s="725" t="s">
        <v>843</v>
      </c>
      <c r="D200" s="725"/>
      <c r="E200" s="725"/>
      <c r="F200" s="725"/>
      <c r="G200" s="725"/>
      <c r="H200" s="725"/>
      <c r="I200" s="725"/>
      <c r="J200" s="725" t="s">
        <v>346</v>
      </c>
      <c r="K200" s="725"/>
    </row>
    <row r="201" spans="1:11" ht="20.100000000000001" customHeight="1" x14ac:dyDescent="0.3">
      <c r="B201" s="725"/>
      <c r="C201" s="725" t="s">
        <v>984</v>
      </c>
      <c r="D201" s="725"/>
      <c r="E201" s="725"/>
      <c r="F201" s="725"/>
      <c r="G201" s="725"/>
      <c r="H201" s="725"/>
      <c r="I201" s="725"/>
      <c r="J201" s="725"/>
      <c r="K201" s="725"/>
    </row>
    <row r="202" spans="1:11" ht="51" customHeight="1" x14ac:dyDescent="0.3">
      <c r="B202" s="725"/>
      <c r="C202" s="52" t="s">
        <v>848</v>
      </c>
      <c r="D202" s="52" t="s">
        <v>944</v>
      </c>
      <c r="E202" s="52" t="s">
        <v>945</v>
      </c>
      <c r="F202" s="52" t="s">
        <v>946</v>
      </c>
      <c r="G202" s="52" t="s">
        <v>947</v>
      </c>
      <c r="H202" s="52" t="s">
        <v>948</v>
      </c>
      <c r="I202" s="52" t="s">
        <v>949</v>
      </c>
      <c r="J202" s="725"/>
      <c r="K202" s="725"/>
    </row>
    <row r="203" spans="1:11" ht="33.75" customHeight="1" x14ac:dyDescent="0.3">
      <c r="B203" s="51">
        <v>2019</v>
      </c>
      <c r="C203" s="575" t="s">
        <v>985</v>
      </c>
      <c r="D203" s="575" t="s">
        <v>986</v>
      </c>
      <c r="E203" s="575" t="s">
        <v>987</v>
      </c>
      <c r="F203" s="575" t="s">
        <v>988</v>
      </c>
      <c r="G203" s="575" t="s">
        <v>989</v>
      </c>
      <c r="H203" s="575" t="s">
        <v>990</v>
      </c>
      <c r="I203" s="575" t="s">
        <v>991</v>
      </c>
      <c r="J203" s="713" t="s">
        <v>348</v>
      </c>
      <c r="K203" s="713"/>
    </row>
    <row r="204" spans="1:11" ht="52.05" customHeight="1" x14ac:dyDescent="0.3">
      <c r="B204" s="51">
        <v>2020</v>
      </c>
      <c r="C204" s="575" t="s">
        <v>992</v>
      </c>
      <c r="D204" s="575" t="s">
        <v>993</v>
      </c>
      <c r="E204" s="575" t="s">
        <v>994</v>
      </c>
      <c r="F204" s="575" t="s">
        <v>995</v>
      </c>
      <c r="G204" s="575" t="s">
        <v>996</v>
      </c>
      <c r="H204" s="575" t="s">
        <v>997</v>
      </c>
      <c r="I204" s="575" t="s">
        <v>998</v>
      </c>
      <c r="J204" s="713" t="s">
        <v>350</v>
      </c>
      <c r="K204" s="713"/>
    </row>
    <row r="205" spans="1:11" ht="42" customHeight="1" x14ac:dyDescent="0.3">
      <c r="B205" s="51">
        <v>2021</v>
      </c>
      <c r="C205" s="575" t="s">
        <v>999</v>
      </c>
      <c r="D205" s="575" t="s">
        <v>1000</v>
      </c>
      <c r="E205" s="575" t="s">
        <v>1001</v>
      </c>
      <c r="F205" s="575" t="s">
        <v>1002</v>
      </c>
      <c r="G205" s="575" t="s">
        <v>1003</v>
      </c>
      <c r="H205" s="575" t="s">
        <v>1004</v>
      </c>
      <c r="I205" s="575" t="s">
        <v>998</v>
      </c>
      <c r="J205" s="730" t="s">
        <v>442</v>
      </c>
      <c r="K205" s="730"/>
    </row>
    <row r="206" spans="1:11" ht="48" customHeight="1" x14ac:dyDescent="0.3">
      <c r="B206" s="51">
        <v>2022</v>
      </c>
      <c r="C206" s="575" t="s">
        <v>1005</v>
      </c>
      <c r="D206" s="575" t="s">
        <v>1006</v>
      </c>
      <c r="E206" s="575" t="s">
        <v>1007</v>
      </c>
      <c r="F206" s="575" t="s">
        <v>1008</v>
      </c>
      <c r="G206" s="575" t="s">
        <v>1009</v>
      </c>
      <c r="H206" s="575" t="s">
        <v>1010</v>
      </c>
      <c r="I206" s="575" t="s">
        <v>1011</v>
      </c>
      <c r="J206" s="730" t="s">
        <v>442</v>
      </c>
      <c r="K206" s="730"/>
    </row>
    <row r="207" spans="1:11" ht="45.75" customHeight="1" x14ac:dyDescent="0.3">
      <c r="B207" s="51">
        <v>2023</v>
      </c>
      <c r="C207" s="575" t="s">
        <v>1012</v>
      </c>
      <c r="D207" s="575" t="s">
        <v>1013</v>
      </c>
      <c r="E207" s="575" t="s">
        <v>1014</v>
      </c>
      <c r="F207" s="575" t="s">
        <v>1015</v>
      </c>
      <c r="G207" s="575" t="s">
        <v>1016</v>
      </c>
      <c r="H207" s="575" t="s">
        <v>1017</v>
      </c>
      <c r="I207" s="575" t="s">
        <v>1018</v>
      </c>
      <c r="J207" s="730" t="s">
        <v>442</v>
      </c>
      <c r="K207" s="730"/>
    </row>
    <row r="208" spans="1:11" ht="79.5" customHeight="1" x14ac:dyDescent="0.3">
      <c r="B208" s="739" t="s">
        <v>1019</v>
      </c>
      <c r="C208" s="739"/>
      <c r="D208" s="739"/>
      <c r="E208" s="739"/>
      <c r="F208" s="739"/>
      <c r="G208" s="739"/>
      <c r="H208" s="739"/>
      <c r="I208" s="739"/>
      <c r="J208" s="373"/>
      <c r="K208" s="373"/>
    </row>
    <row r="209" spans="2:9" ht="20.100000000000001" customHeight="1" x14ac:dyDescent="0.3">
      <c r="B209" s="51"/>
      <c r="C209" s="72"/>
      <c r="D209" s="72"/>
      <c r="E209" s="72"/>
      <c r="F209" s="72"/>
      <c r="G209" s="72"/>
      <c r="H209" s="72"/>
      <c r="I209" s="72"/>
    </row>
    <row r="211" spans="2:9" ht="52.8" hidden="1" x14ac:dyDescent="0.3">
      <c r="B211" s="137" t="s">
        <v>344</v>
      </c>
      <c r="C211" s="138" t="s">
        <v>848</v>
      </c>
      <c r="D211" s="138" t="s">
        <v>1020</v>
      </c>
      <c r="E211" s="138" t="s">
        <v>1021</v>
      </c>
      <c r="F211" s="138" t="s">
        <v>946</v>
      </c>
      <c r="G211" s="138" t="s">
        <v>947</v>
      </c>
      <c r="H211" s="138" t="s">
        <v>948</v>
      </c>
      <c r="I211" s="138" t="s">
        <v>949</v>
      </c>
    </row>
    <row r="212" spans="2:9" hidden="1" x14ac:dyDescent="0.3">
      <c r="B212" s="139">
        <v>2019</v>
      </c>
      <c r="C212" s="141">
        <v>1389.23</v>
      </c>
      <c r="D212" s="141">
        <v>918.04</v>
      </c>
      <c r="E212" s="141">
        <v>361.21</v>
      </c>
      <c r="F212" s="141">
        <v>245.49</v>
      </c>
      <c r="G212" s="141">
        <v>427.21</v>
      </c>
      <c r="H212" s="141">
        <v>108.54</v>
      </c>
      <c r="I212" s="141">
        <v>168.8</v>
      </c>
    </row>
    <row r="213" spans="2:9" hidden="1" x14ac:dyDescent="0.3">
      <c r="B213" s="139">
        <v>2020</v>
      </c>
      <c r="C213" s="141">
        <v>818.39</v>
      </c>
      <c r="D213" s="141">
        <v>324.82</v>
      </c>
      <c r="E213" s="141">
        <v>381.77</v>
      </c>
      <c r="F213" s="141">
        <v>260.24</v>
      </c>
      <c r="G213" s="141">
        <v>384.19</v>
      </c>
      <c r="H213" s="141">
        <v>103.89</v>
      </c>
      <c r="I213" s="141">
        <v>156.36000000000001</v>
      </c>
    </row>
    <row r="214" spans="2:9" hidden="1" x14ac:dyDescent="0.3">
      <c r="B214" s="139">
        <v>2021</v>
      </c>
      <c r="C214" s="141">
        <v>814.57</v>
      </c>
      <c r="D214" s="141">
        <v>325.10000000000002</v>
      </c>
      <c r="E214" s="141">
        <v>372.46</v>
      </c>
      <c r="F214" s="141">
        <v>255.43</v>
      </c>
      <c r="G214" s="141">
        <v>396.28</v>
      </c>
      <c r="H214" s="141">
        <v>103.41</v>
      </c>
      <c r="I214" s="141">
        <v>156.36000000000001</v>
      </c>
    </row>
    <row r="215" spans="2:9" hidden="1" x14ac:dyDescent="0.3">
      <c r="B215" s="139">
        <v>2022</v>
      </c>
      <c r="C215" s="141">
        <v>877.31</v>
      </c>
      <c r="D215" s="141">
        <v>434.87</v>
      </c>
      <c r="E215" s="141">
        <v>356.99</v>
      </c>
      <c r="F215" s="141">
        <v>300.52999999999997</v>
      </c>
      <c r="G215" s="141">
        <v>397.22</v>
      </c>
      <c r="H215" s="141">
        <v>96.23</v>
      </c>
      <c r="I215" s="141">
        <v>95.95</v>
      </c>
    </row>
    <row r="216" spans="2:9" hidden="1" x14ac:dyDescent="0.3">
      <c r="B216" s="139">
        <v>2023</v>
      </c>
      <c r="C216" s="141">
        <v>893.43</v>
      </c>
      <c r="D216" s="141">
        <v>437.19</v>
      </c>
      <c r="E216" s="141">
        <v>370.73</v>
      </c>
      <c r="F216" s="141">
        <v>301.13</v>
      </c>
      <c r="G216" s="141">
        <v>401.95</v>
      </c>
      <c r="H216" s="141">
        <v>232.49</v>
      </c>
      <c r="I216" s="141">
        <v>76.83</v>
      </c>
    </row>
    <row r="218" spans="2:9" ht="20.100000000000001" customHeight="1" x14ac:dyDescent="0.3"/>
    <row r="219" spans="2:9" ht="20.100000000000001" customHeight="1" x14ac:dyDescent="0.3"/>
    <row r="220" spans="2:9" ht="20.100000000000001" customHeight="1" x14ac:dyDescent="0.3"/>
    <row r="221" spans="2:9" ht="20.100000000000001" customHeight="1" x14ac:dyDescent="0.3"/>
    <row r="222" spans="2:9" ht="20.100000000000001" customHeight="1" x14ac:dyDescent="0.3"/>
    <row r="223" spans="2:9" ht="20.100000000000001" customHeight="1" x14ac:dyDescent="0.3"/>
    <row r="224" spans="2:9" ht="20.100000000000001" customHeight="1" x14ac:dyDescent="0.3"/>
    <row r="225" ht="20.100000000000001" customHeight="1" x14ac:dyDescent="0.3"/>
    <row r="226" ht="20.100000000000001" customHeight="1" x14ac:dyDescent="0.3"/>
    <row r="227" ht="20.100000000000001" customHeight="1" x14ac:dyDescent="0.3"/>
    <row r="228" ht="20.100000000000001" customHeight="1" x14ac:dyDescent="0.3"/>
    <row r="229" ht="20.100000000000001" customHeight="1" x14ac:dyDescent="0.3"/>
    <row r="230" ht="20.100000000000001" customHeight="1" x14ac:dyDescent="0.3"/>
    <row r="231" ht="20.100000000000001" customHeight="1" x14ac:dyDescent="0.3"/>
    <row r="232" ht="20.100000000000001" customHeight="1" x14ac:dyDescent="0.3"/>
    <row r="233" ht="20.100000000000001" customHeight="1" x14ac:dyDescent="0.3"/>
    <row r="234" ht="20.100000000000001" customHeight="1" x14ac:dyDescent="0.3"/>
    <row r="235" ht="20.100000000000001" customHeight="1" x14ac:dyDescent="0.3"/>
    <row r="236" ht="20.100000000000001" customHeight="1" x14ac:dyDescent="0.3"/>
    <row r="237" ht="20.100000000000001" customHeight="1" x14ac:dyDescent="0.3"/>
    <row r="238" ht="20.100000000000001" customHeight="1" x14ac:dyDescent="0.3"/>
    <row r="239" ht="20.100000000000001" customHeight="1" x14ac:dyDescent="0.3"/>
    <row r="240" ht="20.100000000000001" customHeight="1" x14ac:dyDescent="0.3"/>
    <row r="241" spans="2:7" ht="20.100000000000001" customHeight="1" x14ac:dyDescent="0.3"/>
    <row r="242" spans="2:7" ht="20.100000000000001" customHeight="1" x14ac:dyDescent="0.3"/>
    <row r="243" spans="2:7" ht="20.100000000000001" customHeight="1" x14ac:dyDescent="0.3"/>
    <row r="244" spans="2:7" ht="20.100000000000001" customHeight="1" x14ac:dyDescent="0.3"/>
    <row r="245" spans="2:7" ht="20.100000000000001" customHeight="1" x14ac:dyDescent="0.3"/>
    <row r="246" spans="2:7" ht="20.100000000000001" customHeight="1" x14ac:dyDescent="0.3"/>
    <row r="247" spans="2:7" ht="20.100000000000001" customHeight="1" x14ac:dyDescent="0.3"/>
    <row r="248" spans="2:7" ht="20.100000000000001" customHeight="1" x14ac:dyDescent="0.3"/>
    <row r="249" spans="2:7" ht="20.100000000000001" customHeight="1" x14ac:dyDescent="0.3"/>
    <row r="250" spans="2:7" ht="20.100000000000001" customHeight="1" x14ac:dyDescent="0.3"/>
    <row r="251" spans="2:7" ht="20.100000000000001" customHeight="1" x14ac:dyDescent="0.3"/>
    <row r="252" spans="2:7" ht="20.100000000000001" customHeight="1" x14ac:dyDescent="0.3"/>
    <row r="253" spans="2:7" ht="20.100000000000001" customHeight="1" x14ac:dyDescent="0.3"/>
    <row r="254" spans="2:7" ht="20.100000000000001" customHeight="1" x14ac:dyDescent="0.3"/>
    <row r="255" spans="2:7" ht="20.100000000000001" customHeight="1" x14ac:dyDescent="0.3">
      <c r="B255" s="751" t="s">
        <v>1022</v>
      </c>
      <c r="C255" s="752"/>
      <c r="D255" s="752"/>
      <c r="E255" s="752"/>
      <c r="F255" s="752"/>
      <c r="G255" s="752"/>
    </row>
    <row r="256" spans="2:7" ht="20.100000000000001" customHeight="1" x14ac:dyDescent="0.3">
      <c r="B256" s="774" t="s">
        <v>1023</v>
      </c>
      <c r="C256" s="775"/>
      <c r="D256" s="768" t="s">
        <v>1024</v>
      </c>
      <c r="E256" s="769"/>
      <c r="F256" s="157" t="s">
        <v>1025</v>
      </c>
      <c r="G256" s="157" t="s">
        <v>1026</v>
      </c>
    </row>
    <row r="257" spans="2:7" ht="20.100000000000001" customHeight="1" x14ac:dyDescent="0.3">
      <c r="B257" s="740" t="s">
        <v>1027</v>
      </c>
      <c r="C257" s="741"/>
      <c r="D257" s="740" t="s">
        <v>1028</v>
      </c>
      <c r="E257" s="741"/>
      <c r="F257" s="576" t="s">
        <v>1029</v>
      </c>
      <c r="G257" s="576" t="s">
        <v>1030</v>
      </c>
    </row>
    <row r="258" spans="2:7" ht="20.100000000000001" customHeight="1" x14ac:dyDescent="0.3">
      <c r="B258" s="740" t="s">
        <v>1027</v>
      </c>
      <c r="C258" s="741"/>
      <c r="D258" s="740" t="s">
        <v>1031</v>
      </c>
      <c r="E258" s="741"/>
      <c r="F258" s="576" t="s">
        <v>1032</v>
      </c>
      <c r="G258" s="576" t="s">
        <v>1033</v>
      </c>
    </row>
    <row r="259" spans="2:7" ht="20.100000000000001" customHeight="1" x14ac:dyDescent="0.3">
      <c r="B259" s="740" t="s">
        <v>1027</v>
      </c>
      <c r="C259" s="741"/>
      <c r="D259" s="740" t="s">
        <v>1034</v>
      </c>
      <c r="E259" s="741"/>
      <c r="F259" s="576" t="s">
        <v>1035</v>
      </c>
      <c r="G259" s="576" t="s">
        <v>1036</v>
      </c>
    </row>
    <row r="260" spans="2:7" ht="20.100000000000001" customHeight="1" x14ac:dyDescent="0.3">
      <c r="B260" s="740" t="s">
        <v>1027</v>
      </c>
      <c r="C260" s="741"/>
      <c r="D260" s="740" t="s">
        <v>1037</v>
      </c>
      <c r="E260" s="741"/>
      <c r="F260" s="576" t="s">
        <v>1038</v>
      </c>
      <c r="G260" s="576" t="s">
        <v>1039</v>
      </c>
    </row>
    <row r="261" spans="2:7" ht="20.100000000000001" customHeight="1" x14ac:dyDescent="0.3">
      <c r="B261" s="740" t="s">
        <v>1027</v>
      </c>
      <c r="C261" s="741"/>
      <c r="D261" s="740" t="s">
        <v>1040</v>
      </c>
      <c r="E261" s="741"/>
      <c r="F261" s="576" t="s">
        <v>1041</v>
      </c>
      <c r="G261" s="576" t="s">
        <v>1042</v>
      </c>
    </row>
    <row r="262" spans="2:7" ht="20.100000000000001" customHeight="1" x14ac:dyDescent="0.3">
      <c r="B262" s="740" t="s">
        <v>1027</v>
      </c>
      <c r="C262" s="741"/>
      <c r="D262" s="740" t="s">
        <v>1043</v>
      </c>
      <c r="E262" s="741"/>
      <c r="F262" s="576" t="s">
        <v>1044</v>
      </c>
      <c r="G262" s="576" t="s">
        <v>1045</v>
      </c>
    </row>
    <row r="263" spans="2:7" ht="20.100000000000001" customHeight="1" x14ac:dyDescent="0.3">
      <c r="B263" s="740" t="s">
        <v>1046</v>
      </c>
      <c r="C263" s="741"/>
      <c r="D263" s="740" t="s">
        <v>1047</v>
      </c>
      <c r="E263" s="741"/>
      <c r="F263" s="576" t="s">
        <v>1048</v>
      </c>
      <c r="G263" s="576" t="s">
        <v>1049</v>
      </c>
    </row>
    <row r="264" spans="2:7" ht="20.100000000000001" customHeight="1" x14ac:dyDescent="0.3">
      <c r="B264" s="740" t="s">
        <v>1046</v>
      </c>
      <c r="C264" s="741"/>
      <c r="D264" s="740" t="s">
        <v>1050</v>
      </c>
      <c r="E264" s="741"/>
      <c r="F264" s="576" t="s">
        <v>1051</v>
      </c>
      <c r="G264" s="576" t="s">
        <v>1052</v>
      </c>
    </row>
    <row r="265" spans="2:7" ht="20.100000000000001" customHeight="1" x14ac:dyDescent="0.3">
      <c r="B265" s="740" t="s">
        <v>1046</v>
      </c>
      <c r="C265" s="741"/>
      <c r="D265" s="740" t="s">
        <v>1053</v>
      </c>
      <c r="E265" s="741"/>
      <c r="F265" s="576" t="s">
        <v>1054</v>
      </c>
      <c r="G265" s="576" t="s">
        <v>1055</v>
      </c>
    </row>
    <row r="266" spans="2:7" ht="20.100000000000001" customHeight="1" x14ac:dyDescent="0.3">
      <c r="B266" s="740" t="s">
        <v>1046</v>
      </c>
      <c r="C266" s="741"/>
      <c r="D266" s="740" t="s">
        <v>1056</v>
      </c>
      <c r="E266" s="741"/>
      <c r="F266" s="576" t="s">
        <v>1057</v>
      </c>
      <c r="G266" s="576" t="s">
        <v>1058</v>
      </c>
    </row>
    <row r="267" spans="2:7" ht="20.100000000000001" customHeight="1" x14ac:dyDescent="0.3">
      <c r="B267" s="740" t="s">
        <v>1046</v>
      </c>
      <c r="C267" s="741"/>
      <c r="D267" s="740" t="s">
        <v>1059</v>
      </c>
      <c r="E267" s="741"/>
      <c r="F267" s="576" t="s">
        <v>1060</v>
      </c>
      <c r="G267" s="576" t="s">
        <v>1061</v>
      </c>
    </row>
    <row r="268" spans="2:7" ht="20.100000000000001" customHeight="1" x14ac:dyDescent="0.3">
      <c r="B268" s="740" t="s">
        <v>1046</v>
      </c>
      <c r="C268" s="741"/>
      <c r="D268" s="740" t="s">
        <v>1062</v>
      </c>
      <c r="E268" s="741"/>
      <c r="F268" s="576" t="s">
        <v>1063</v>
      </c>
      <c r="G268" s="576" t="s">
        <v>1064</v>
      </c>
    </row>
    <row r="269" spans="2:7" ht="20.100000000000001" customHeight="1" x14ac:dyDescent="0.3">
      <c r="B269" s="740" t="s">
        <v>1046</v>
      </c>
      <c r="C269" s="741"/>
      <c r="D269" s="740" t="s">
        <v>1065</v>
      </c>
      <c r="E269" s="741"/>
      <c r="F269" s="576" t="s">
        <v>1066</v>
      </c>
      <c r="G269" s="576" t="s">
        <v>1067</v>
      </c>
    </row>
    <row r="270" spans="2:7" ht="20.100000000000001" customHeight="1" x14ac:dyDescent="0.3">
      <c r="B270" s="740" t="s">
        <v>1046</v>
      </c>
      <c r="C270" s="741"/>
      <c r="D270" s="740" t="s">
        <v>1068</v>
      </c>
      <c r="E270" s="741"/>
      <c r="F270" s="576">
        <v>3797.96</v>
      </c>
      <c r="G270" s="576" t="s">
        <v>1069</v>
      </c>
    </row>
    <row r="271" spans="2:7" ht="20.100000000000001" customHeight="1" x14ac:dyDescent="0.3">
      <c r="B271" s="740" t="s">
        <v>1046</v>
      </c>
      <c r="C271" s="741"/>
      <c r="D271" s="740" t="s">
        <v>1070</v>
      </c>
      <c r="E271" s="741"/>
      <c r="F271" s="576" t="s">
        <v>1071</v>
      </c>
      <c r="G271" s="576" t="s">
        <v>1072</v>
      </c>
    </row>
    <row r="272" spans="2:7" ht="20.100000000000001" customHeight="1" x14ac:dyDescent="0.3">
      <c r="B272" s="740" t="s">
        <v>1046</v>
      </c>
      <c r="C272" s="741"/>
      <c r="D272" s="740" t="s">
        <v>1073</v>
      </c>
      <c r="E272" s="741"/>
      <c r="F272" s="576" t="s">
        <v>1074</v>
      </c>
      <c r="G272" s="576" t="s">
        <v>1075</v>
      </c>
    </row>
    <row r="273" spans="2:7" ht="20.100000000000001" customHeight="1" x14ac:dyDescent="0.3">
      <c r="B273" s="740" t="s">
        <v>1046</v>
      </c>
      <c r="C273" s="741"/>
      <c r="D273" s="740" t="s">
        <v>1076</v>
      </c>
      <c r="E273" s="741"/>
      <c r="F273" s="576" t="s">
        <v>1077</v>
      </c>
      <c r="G273" s="576" t="s">
        <v>1078</v>
      </c>
    </row>
    <row r="274" spans="2:7" ht="20.100000000000001" customHeight="1" x14ac:dyDescent="0.3">
      <c r="B274" s="740" t="s">
        <v>1046</v>
      </c>
      <c r="C274" s="741"/>
      <c r="D274" s="740" t="s">
        <v>1079</v>
      </c>
      <c r="E274" s="741"/>
      <c r="F274" s="576" t="s">
        <v>1080</v>
      </c>
      <c r="G274" s="576" t="s">
        <v>1081</v>
      </c>
    </row>
    <row r="275" spans="2:7" ht="20.100000000000001" customHeight="1" x14ac:dyDescent="0.3">
      <c r="B275" s="740" t="s">
        <v>1046</v>
      </c>
      <c r="C275" s="741"/>
      <c r="D275" s="740" t="s">
        <v>1082</v>
      </c>
      <c r="E275" s="741"/>
      <c r="F275" s="576" t="s">
        <v>1083</v>
      </c>
      <c r="G275" s="576" t="s">
        <v>1084</v>
      </c>
    </row>
    <row r="276" spans="2:7" ht="20.100000000000001" customHeight="1" x14ac:dyDescent="0.3">
      <c r="B276" s="740" t="s">
        <v>1046</v>
      </c>
      <c r="C276" s="741"/>
      <c r="D276" s="740" t="s">
        <v>1085</v>
      </c>
      <c r="E276" s="741"/>
      <c r="F276" s="576" t="s">
        <v>1086</v>
      </c>
      <c r="G276" s="576" t="s">
        <v>1087</v>
      </c>
    </row>
    <row r="277" spans="2:7" ht="20.100000000000001" customHeight="1" x14ac:dyDescent="0.3">
      <c r="B277" s="740" t="s">
        <v>1046</v>
      </c>
      <c r="C277" s="741"/>
      <c r="D277" s="740" t="s">
        <v>1088</v>
      </c>
      <c r="E277" s="741"/>
      <c r="F277" s="576" t="s">
        <v>1089</v>
      </c>
      <c r="G277" s="576" t="s">
        <v>1090</v>
      </c>
    </row>
    <row r="278" spans="2:7" ht="20.100000000000001" customHeight="1" x14ac:dyDescent="0.3">
      <c r="B278" s="740" t="s">
        <v>1046</v>
      </c>
      <c r="C278" s="741"/>
      <c r="D278" s="740" t="s">
        <v>1091</v>
      </c>
      <c r="E278" s="741"/>
      <c r="F278" s="576" t="s">
        <v>1092</v>
      </c>
      <c r="G278" s="576" t="s">
        <v>1093</v>
      </c>
    </row>
    <row r="279" spans="2:7" ht="20.100000000000001" customHeight="1" x14ac:dyDescent="0.3">
      <c r="B279" s="740" t="s">
        <v>1046</v>
      </c>
      <c r="C279" s="741"/>
      <c r="D279" s="740" t="s">
        <v>1094</v>
      </c>
      <c r="E279" s="741"/>
      <c r="F279" s="576" t="s">
        <v>1095</v>
      </c>
      <c r="G279" s="576" t="s">
        <v>1096</v>
      </c>
    </row>
    <row r="280" spans="2:7" ht="20.100000000000001" customHeight="1" x14ac:dyDescent="0.3">
      <c r="B280" s="740" t="s">
        <v>1046</v>
      </c>
      <c r="C280" s="741"/>
      <c r="D280" s="740" t="s">
        <v>1097</v>
      </c>
      <c r="E280" s="741"/>
      <c r="F280" s="576" t="s">
        <v>1098</v>
      </c>
      <c r="G280" s="576" t="s">
        <v>1099</v>
      </c>
    </row>
    <row r="281" spans="2:7" ht="20.100000000000001" customHeight="1" x14ac:dyDescent="0.3">
      <c r="B281" s="740" t="s">
        <v>1046</v>
      </c>
      <c r="C281" s="741"/>
      <c r="D281" s="740" t="s">
        <v>1100</v>
      </c>
      <c r="E281" s="741"/>
      <c r="F281" s="576" t="s">
        <v>1101</v>
      </c>
      <c r="G281" s="576" t="s">
        <v>1087</v>
      </c>
    </row>
    <row r="282" spans="2:7" ht="20.100000000000001" customHeight="1" x14ac:dyDescent="0.3">
      <c r="B282" s="740" t="s">
        <v>1046</v>
      </c>
      <c r="C282" s="741"/>
      <c r="D282" s="740" t="s">
        <v>1102</v>
      </c>
      <c r="E282" s="741"/>
      <c r="F282" s="576" t="s">
        <v>1103</v>
      </c>
      <c r="G282" s="576" t="s">
        <v>1104</v>
      </c>
    </row>
    <row r="283" spans="2:7" ht="20.100000000000001" customHeight="1" x14ac:dyDescent="0.3">
      <c r="B283" s="740" t="s">
        <v>1046</v>
      </c>
      <c r="C283" s="741"/>
      <c r="D283" s="740" t="s">
        <v>1105</v>
      </c>
      <c r="E283" s="741"/>
      <c r="F283" s="576" t="s">
        <v>1106</v>
      </c>
      <c r="G283" s="576" t="s">
        <v>1107</v>
      </c>
    </row>
    <row r="284" spans="2:7" ht="20.100000000000001" customHeight="1" x14ac:dyDescent="0.3">
      <c r="B284" s="740" t="s">
        <v>1046</v>
      </c>
      <c r="C284" s="741"/>
      <c r="D284" s="740" t="s">
        <v>1108</v>
      </c>
      <c r="E284" s="741"/>
      <c r="F284" s="576" t="s">
        <v>1109</v>
      </c>
      <c r="G284" s="576" t="s">
        <v>1110</v>
      </c>
    </row>
    <row r="285" spans="2:7" ht="20.100000000000001" customHeight="1" x14ac:dyDescent="0.3">
      <c r="B285" s="740" t="s">
        <v>1046</v>
      </c>
      <c r="C285" s="741"/>
      <c r="D285" s="740" t="s">
        <v>1111</v>
      </c>
      <c r="E285" s="741"/>
      <c r="F285" s="576" t="s">
        <v>1112</v>
      </c>
      <c r="G285" s="576" t="s">
        <v>1113</v>
      </c>
    </row>
    <row r="286" spans="2:7" ht="20.100000000000001" customHeight="1" x14ac:dyDescent="0.3">
      <c r="B286" s="740" t="s">
        <v>1046</v>
      </c>
      <c r="C286" s="741"/>
      <c r="D286" s="740" t="s">
        <v>1114</v>
      </c>
      <c r="E286" s="741"/>
      <c r="F286" s="576" t="s">
        <v>1115</v>
      </c>
      <c r="G286" s="576" t="s">
        <v>1116</v>
      </c>
    </row>
    <row r="287" spans="2:7" ht="20.100000000000001" customHeight="1" x14ac:dyDescent="0.3">
      <c r="B287" s="740" t="s">
        <v>1046</v>
      </c>
      <c r="C287" s="741"/>
      <c r="D287" s="740" t="s">
        <v>1117</v>
      </c>
      <c r="E287" s="741"/>
      <c r="F287" s="576" t="s">
        <v>1118</v>
      </c>
      <c r="G287" s="576" t="s">
        <v>1119</v>
      </c>
    </row>
    <row r="288" spans="2:7" ht="20.100000000000001" customHeight="1" x14ac:dyDescent="0.3">
      <c r="B288" s="740" t="s">
        <v>1046</v>
      </c>
      <c r="C288" s="741"/>
      <c r="D288" s="740" t="s">
        <v>1120</v>
      </c>
      <c r="E288" s="741"/>
      <c r="F288" s="576" t="s">
        <v>1121</v>
      </c>
      <c r="G288" s="576" t="s">
        <v>1122</v>
      </c>
    </row>
    <row r="289" spans="2:7" ht="20.100000000000001" customHeight="1" x14ac:dyDescent="0.3">
      <c r="B289" s="740" t="s">
        <v>1046</v>
      </c>
      <c r="C289" s="741"/>
      <c r="D289" s="740" t="s">
        <v>1123</v>
      </c>
      <c r="E289" s="741"/>
      <c r="F289" s="576" t="s">
        <v>1124</v>
      </c>
      <c r="G289" s="576" t="s">
        <v>1125</v>
      </c>
    </row>
    <row r="290" spans="2:7" ht="20.100000000000001" customHeight="1" x14ac:dyDescent="0.3">
      <c r="B290" s="740" t="s">
        <v>1046</v>
      </c>
      <c r="C290" s="741"/>
      <c r="D290" s="740" t="s">
        <v>1126</v>
      </c>
      <c r="E290" s="741"/>
      <c r="F290" s="576" t="s">
        <v>1127</v>
      </c>
      <c r="G290" s="576" t="s">
        <v>1128</v>
      </c>
    </row>
    <row r="291" spans="2:7" ht="20.100000000000001" customHeight="1" x14ac:dyDescent="0.3">
      <c r="B291" s="740" t="s">
        <v>1046</v>
      </c>
      <c r="C291" s="741"/>
      <c r="D291" s="740" t="s">
        <v>1129</v>
      </c>
      <c r="E291" s="741"/>
      <c r="F291" s="576" t="s">
        <v>1130</v>
      </c>
      <c r="G291" s="576" t="s">
        <v>1131</v>
      </c>
    </row>
    <row r="292" spans="2:7" ht="20.100000000000001" customHeight="1" x14ac:dyDescent="0.3">
      <c r="B292" s="740" t="s">
        <v>1046</v>
      </c>
      <c r="C292" s="741"/>
      <c r="D292" s="740" t="s">
        <v>1132</v>
      </c>
      <c r="E292" s="741"/>
      <c r="F292" s="576" t="s">
        <v>1133</v>
      </c>
      <c r="G292" s="576" t="s">
        <v>1134</v>
      </c>
    </row>
    <row r="293" spans="2:7" ht="20.100000000000001" customHeight="1" x14ac:dyDescent="0.3">
      <c r="B293" s="740" t="s">
        <v>1135</v>
      </c>
      <c r="C293" s="741"/>
      <c r="D293" s="740" t="s">
        <v>1136</v>
      </c>
      <c r="E293" s="741"/>
      <c r="F293" s="576" t="s">
        <v>1137</v>
      </c>
      <c r="G293" s="576" t="s">
        <v>1138</v>
      </c>
    </row>
    <row r="294" spans="2:7" ht="20.100000000000001" customHeight="1" x14ac:dyDescent="0.3">
      <c r="B294" s="740" t="s">
        <v>1135</v>
      </c>
      <c r="C294" s="741"/>
      <c r="D294" s="740" t="s">
        <v>1139</v>
      </c>
      <c r="E294" s="741"/>
      <c r="F294" s="576" t="s">
        <v>1140</v>
      </c>
      <c r="G294" s="576" t="s">
        <v>1141</v>
      </c>
    </row>
    <row r="295" spans="2:7" ht="20.100000000000001" customHeight="1" x14ac:dyDescent="0.3">
      <c r="B295" s="740" t="s">
        <v>1135</v>
      </c>
      <c r="C295" s="741"/>
      <c r="D295" s="740" t="s">
        <v>1142</v>
      </c>
      <c r="E295" s="741"/>
      <c r="F295" s="576" t="s">
        <v>1143</v>
      </c>
      <c r="G295" s="576" t="s">
        <v>1144</v>
      </c>
    </row>
    <row r="296" spans="2:7" ht="20.100000000000001" customHeight="1" x14ac:dyDescent="0.3">
      <c r="B296" s="740" t="s">
        <v>1135</v>
      </c>
      <c r="C296" s="741"/>
      <c r="D296" s="740" t="s">
        <v>1145</v>
      </c>
      <c r="E296" s="741"/>
      <c r="F296" s="576" t="s">
        <v>1146</v>
      </c>
      <c r="G296" s="576" t="s">
        <v>1147</v>
      </c>
    </row>
    <row r="297" spans="2:7" ht="20.100000000000001" customHeight="1" x14ac:dyDescent="0.3">
      <c r="B297" s="740" t="s">
        <v>1135</v>
      </c>
      <c r="C297" s="741"/>
      <c r="D297" s="740" t="s">
        <v>1148</v>
      </c>
      <c r="E297" s="741"/>
      <c r="F297" s="576" t="s">
        <v>1149</v>
      </c>
      <c r="G297" s="576" t="s">
        <v>1150</v>
      </c>
    </row>
    <row r="298" spans="2:7" ht="20.100000000000001" customHeight="1" x14ac:dyDescent="0.3">
      <c r="B298" s="740" t="s">
        <v>1135</v>
      </c>
      <c r="C298" s="741"/>
      <c r="D298" s="740" t="s">
        <v>1151</v>
      </c>
      <c r="E298" s="741"/>
      <c r="F298" s="576" t="s">
        <v>1152</v>
      </c>
      <c r="G298" s="576" t="s">
        <v>1153</v>
      </c>
    </row>
    <row r="299" spans="2:7" ht="20.100000000000001" customHeight="1" x14ac:dyDescent="0.3">
      <c r="B299" s="740" t="s">
        <v>1135</v>
      </c>
      <c r="C299" s="741"/>
      <c r="D299" s="740" t="s">
        <v>1154</v>
      </c>
      <c r="E299" s="741"/>
      <c r="F299" s="576" t="s">
        <v>1155</v>
      </c>
      <c r="G299" s="576" t="s">
        <v>1156</v>
      </c>
    </row>
    <row r="300" spans="2:7" ht="20.100000000000001" customHeight="1" x14ac:dyDescent="0.3">
      <c r="B300" s="740" t="s">
        <v>1135</v>
      </c>
      <c r="C300" s="741"/>
      <c r="D300" s="740" t="s">
        <v>1157</v>
      </c>
      <c r="E300" s="741"/>
      <c r="F300" s="576" t="s">
        <v>1158</v>
      </c>
      <c r="G300" s="576" t="s">
        <v>1159</v>
      </c>
    </row>
    <row r="301" spans="2:7" ht="20.100000000000001" customHeight="1" x14ac:dyDescent="0.3">
      <c r="B301" s="740" t="s">
        <v>1135</v>
      </c>
      <c r="C301" s="741"/>
      <c r="D301" s="740" t="s">
        <v>1160</v>
      </c>
      <c r="E301" s="741"/>
      <c r="F301" s="576" t="s">
        <v>1161</v>
      </c>
      <c r="G301" s="576" t="s">
        <v>1162</v>
      </c>
    </row>
    <row r="302" spans="2:7" ht="20.100000000000001" customHeight="1" x14ac:dyDescent="0.3">
      <c r="B302" s="740" t="s">
        <v>1135</v>
      </c>
      <c r="C302" s="741"/>
      <c r="D302" s="740" t="s">
        <v>1163</v>
      </c>
      <c r="E302" s="741"/>
      <c r="F302" s="576" t="s">
        <v>1164</v>
      </c>
      <c r="G302" s="576" t="s">
        <v>1165</v>
      </c>
    </row>
    <row r="303" spans="2:7" ht="20.100000000000001" customHeight="1" x14ac:dyDescent="0.3">
      <c r="B303" s="740" t="s">
        <v>1135</v>
      </c>
      <c r="C303" s="741"/>
      <c r="D303" s="740" t="s">
        <v>1166</v>
      </c>
      <c r="E303" s="741"/>
      <c r="F303" s="576" t="s">
        <v>1167</v>
      </c>
      <c r="G303" s="576" t="s">
        <v>1168</v>
      </c>
    </row>
    <row r="304" spans="2:7" ht="20.100000000000001" customHeight="1" x14ac:dyDescent="0.3">
      <c r="B304" s="740" t="s">
        <v>1135</v>
      </c>
      <c r="C304" s="741"/>
      <c r="D304" s="740" t="s">
        <v>1169</v>
      </c>
      <c r="E304" s="741"/>
      <c r="F304" s="576" t="s">
        <v>1170</v>
      </c>
      <c r="G304" s="576" t="s">
        <v>1171</v>
      </c>
    </row>
    <row r="305" spans="2:7" ht="20.100000000000001" customHeight="1" x14ac:dyDescent="0.3">
      <c r="B305" s="740" t="s">
        <v>1135</v>
      </c>
      <c r="C305" s="741"/>
      <c r="D305" s="740" t="s">
        <v>1172</v>
      </c>
      <c r="E305" s="741"/>
      <c r="F305" s="576" t="s">
        <v>1173</v>
      </c>
      <c r="G305" s="576" t="s">
        <v>1174</v>
      </c>
    </row>
    <row r="306" spans="2:7" ht="20.100000000000001" customHeight="1" x14ac:dyDescent="0.3">
      <c r="B306" s="740" t="s">
        <v>1135</v>
      </c>
      <c r="C306" s="741"/>
      <c r="D306" s="740" t="s">
        <v>1175</v>
      </c>
      <c r="E306" s="741"/>
      <c r="F306" s="576" t="s">
        <v>1176</v>
      </c>
      <c r="G306" s="576" t="s">
        <v>1177</v>
      </c>
    </row>
    <row r="307" spans="2:7" ht="20.100000000000001" customHeight="1" x14ac:dyDescent="0.3">
      <c r="B307" s="740" t="s">
        <v>1135</v>
      </c>
      <c r="C307" s="741"/>
      <c r="D307" s="740" t="s">
        <v>1178</v>
      </c>
      <c r="E307" s="741"/>
      <c r="F307" s="576" t="s">
        <v>1179</v>
      </c>
      <c r="G307" s="576" t="s">
        <v>1180</v>
      </c>
    </row>
    <row r="308" spans="2:7" ht="20.100000000000001" customHeight="1" x14ac:dyDescent="0.3">
      <c r="B308" s="740" t="s">
        <v>1135</v>
      </c>
      <c r="C308" s="741"/>
      <c r="D308" s="740" t="s">
        <v>1181</v>
      </c>
      <c r="E308" s="741"/>
      <c r="F308" s="576" t="s">
        <v>1182</v>
      </c>
      <c r="G308" s="576" t="s">
        <v>1165</v>
      </c>
    </row>
    <row r="309" spans="2:7" ht="20.100000000000001" customHeight="1" x14ac:dyDescent="0.3">
      <c r="B309" s="740" t="s">
        <v>1135</v>
      </c>
      <c r="C309" s="741"/>
      <c r="D309" s="740" t="s">
        <v>1183</v>
      </c>
      <c r="E309" s="741"/>
      <c r="F309" s="576" t="s">
        <v>1184</v>
      </c>
      <c r="G309" s="576" t="s">
        <v>1185</v>
      </c>
    </row>
    <row r="310" spans="2:7" ht="20.100000000000001" customHeight="1" x14ac:dyDescent="0.3">
      <c r="B310" s="740" t="s">
        <v>1135</v>
      </c>
      <c r="C310" s="741"/>
      <c r="D310" s="740" t="s">
        <v>1186</v>
      </c>
      <c r="E310" s="741"/>
      <c r="F310" s="576" t="s">
        <v>1187</v>
      </c>
      <c r="G310" s="576" t="s">
        <v>1188</v>
      </c>
    </row>
    <row r="311" spans="2:7" ht="20.100000000000001" customHeight="1" x14ac:dyDescent="0.3">
      <c r="B311" s="740" t="s">
        <v>1135</v>
      </c>
      <c r="C311" s="741"/>
      <c r="D311" s="740" t="s">
        <v>1189</v>
      </c>
      <c r="E311" s="741"/>
      <c r="F311" s="576" t="s">
        <v>1190</v>
      </c>
      <c r="G311" s="576" t="s">
        <v>1191</v>
      </c>
    </row>
    <row r="312" spans="2:7" ht="20.100000000000001" customHeight="1" x14ac:dyDescent="0.3">
      <c r="B312" s="740" t="s">
        <v>1135</v>
      </c>
      <c r="C312" s="741"/>
      <c r="D312" s="740" t="s">
        <v>1192</v>
      </c>
      <c r="E312" s="741"/>
      <c r="F312" s="576" t="s">
        <v>1193</v>
      </c>
      <c r="G312" s="576" t="s">
        <v>1194</v>
      </c>
    </row>
    <row r="313" spans="2:7" ht="20.100000000000001" customHeight="1" x14ac:dyDescent="0.3">
      <c r="B313" s="740" t="s">
        <v>1135</v>
      </c>
      <c r="C313" s="741"/>
      <c r="D313" s="740" t="s">
        <v>1195</v>
      </c>
      <c r="E313" s="741"/>
      <c r="F313" s="576" t="s">
        <v>1196</v>
      </c>
      <c r="G313" s="576" t="s">
        <v>1197</v>
      </c>
    </row>
    <row r="314" spans="2:7" ht="20.100000000000001" customHeight="1" x14ac:dyDescent="0.3">
      <c r="B314" s="740" t="s">
        <v>1135</v>
      </c>
      <c r="C314" s="741"/>
      <c r="D314" s="740" t="s">
        <v>1198</v>
      </c>
      <c r="E314" s="741"/>
      <c r="F314" s="576" t="s">
        <v>1199</v>
      </c>
      <c r="G314" s="576" t="s">
        <v>1200</v>
      </c>
    </row>
    <row r="315" spans="2:7" ht="20.100000000000001" customHeight="1" x14ac:dyDescent="0.3">
      <c r="B315" s="740" t="s">
        <v>1135</v>
      </c>
      <c r="C315" s="741"/>
      <c r="D315" s="740" t="s">
        <v>1201</v>
      </c>
      <c r="E315" s="741"/>
      <c r="F315" s="576" t="s">
        <v>1202</v>
      </c>
      <c r="G315" s="576" t="s">
        <v>1203</v>
      </c>
    </row>
    <row r="316" spans="2:7" ht="20.100000000000001" customHeight="1" x14ac:dyDescent="0.3">
      <c r="B316" s="740" t="s">
        <v>1135</v>
      </c>
      <c r="C316" s="741"/>
      <c r="D316" s="740" t="s">
        <v>1204</v>
      </c>
      <c r="E316" s="741"/>
      <c r="F316" s="576" t="s">
        <v>1205</v>
      </c>
      <c r="G316" s="576" t="s">
        <v>1206</v>
      </c>
    </row>
    <row r="317" spans="2:7" ht="20.100000000000001" customHeight="1" x14ac:dyDescent="0.3">
      <c r="B317" s="740" t="s">
        <v>1207</v>
      </c>
      <c r="C317" s="741"/>
      <c r="D317" s="740" t="s">
        <v>1208</v>
      </c>
      <c r="E317" s="741"/>
      <c r="F317" s="576" t="s">
        <v>1209</v>
      </c>
      <c r="G317" s="576" t="s">
        <v>1210</v>
      </c>
    </row>
    <row r="318" spans="2:7" ht="20.100000000000001" customHeight="1" x14ac:dyDescent="0.3">
      <c r="B318" s="740" t="s">
        <v>1207</v>
      </c>
      <c r="C318" s="741"/>
      <c r="D318" s="740" t="s">
        <v>1211</v>
      </c>
      <c r="E318" s="741"/>
      <c r="F318" s="576" t="s">
        <v>1212</v>
      </c>
      <c r="G318" s="576" t="s">
        <v>1213</v>
      </c>
    </row>
    <row r="319" spans="2:7" ht="20.100000000000001" customHeight="1" x14ac:dyDescent="0.3">
      <c r="B319" s="740" t="s">
        <v>1207</v>
      </c>
      <c r="C319" s="741"/>
      <c r="D319" s="740" t="s">
        <v>1214</v>
      </c>
      <c r="E319" s="741"/>
      <c r="F319" s="576" t="s">
        <v>1215</v>
      </c>
      <c r="G319" s="576" t="s">
        <v>1216</v>
      </c>
    </row>
    <row r="320" spans="2:7" ht="20.100000000000001" customHeight="1" x14ac:dyDescent="0.3">
      <c r="B320" s="740" t="s">
        <v>1207</v>
      </c>
      <c r="C320" s="741"/>
      <c r="D320" s="740" t="s">
        <v>1217</v>
      </c>
      <c r="E320" s="741"/>
      <c r="F320" s="576" t="s">
        <v>1218</v>
      </c>
      <c r="G320" s="576" t="s">
        <v>1219</v>
      </c>
    </row>
    <row r="321" spans="2:7" ht="20.100000000000001" customHeight="1" x14ac:dyDescent="0.3">
      <c r="B321" s="740" t="s">
        <v>1220</v>
      </c>
      <c r="C321" s="741"/>
      <c r="D321" s="740" t="s">
        <v>1221</v>
      </c>
      <c r="E321" s="741"/>
      <c r="F321" s="576" t="s">
        <v>1222</v>
      </c>
      <c r="G321" s="576" t="s">
        <v>1223</v>
      </c>
    </row>
    <row r="322" spans="2:7" ht="20.100000000000001" customHeight="1" x14ac:dyDescent="0.3">
      <c r="B322" s="740" t="s">
        <v>1220</v>
      </c>
      <c r="C322" s="741"/>
      <c r="D322" s="740" t="s">
        <v>1224</v>
      </c>
      <c r="E322" s="741"/>
      <c r="F322" s="576" t="s">
        <v>1225</v>
      </c>
      <c r="G322" s="576" t="s">
        <v>1226</v>
      </c>
    </row>
    <row r="323" spans="2:7" ht="20.100000000000001" customHeight="1" x14ac:dyDescent="0.3">
      <c r="B323" s="740" t="s">
        <v>1220</v>
      </c>
      <c r="C323" s="741"/>
      <c r="D323" s="740" t="s">
        <v>1227</v>
      </c>
      <c r="E323" s="741"/>
      <c r="F323" s="576" t="s">
        <v>1228</v>
      </c>
      <c r="G323" s="576" t="s">
        <v>1229</v>
      </c>
    </row>
    <row r="324" spans="2:7" ht="20.100000000000001" customHeight="1" x14ac:dyDescent="0.3">
      <c r="B324" s="740" t="s">
        <v>1220</v>
      </c>
      <c r="C324" s="741"/>
      <c r="D324" s="740" t="s">
        <v>1230</v>
      </c>
      <c r="E324" s="741"/>
      <c r="F324" s="576" t="s">
        <v>1231</v>
      </c>
      <c r="G324" s="576" t="s">
        <v>1128</v>
      </c>
    </row>
    <row r="325" spans="2:7" ht="20.100000000000001" customHeight="1" x14ac:dyDescent="0.3">
      <c r="B325" s="740" t="s">
        <v>1220</v>
      </c>
      <c r="C325" s="741"/>
      <c r="D325" s="740" t="s">
        <v>1232</v>
      </c>
      <c r="E325" s="741"/>
      <c r="F325" s="576" t="s">
        <v>1233</v>
      </c>
      <c r="G325" s="576" t="s">
        <v>1234</v>
      </c>
    </row>
    <row r="326" spans="2:7" ht="20.100000000000001" customHeight="1" x14ac:dyDescent="0.3">
      <c r="B326" s="740" t="s">
        <v>1220</v>
      </c>
      <c r="C326" s="741"/>
      <c r="D326" s="740" t="s">
        <v>1235</v>
      </c>
      <c r="E326" s="741"/>
      <c r="F326" s="576" t="s">
        <v>1236</v>
      </c>
      <c r="G326" s="576" t="s">
        <v>1237</v>
      </c>
    </row>
    <row r="327" spans="2:7" ht="20.100000000000001" customHeight="1" x14ac:dyDescent="0.3">
      <c r="B327" s="740" t="s">
        <v>1220</v>
      </c>
      <c r="C327" s="741"/>
      <c r="D327" s="740" t="s">
        <v>1238</v>
      </c>
      <c r="E327" s="741"/>
      <c r="F327" s="576" t="s">
        <v>1239</v>
      </c>
      <c r="G327" s="576" t="s">
        <v>1240</v>
      </c>
    </row>
    <row r="328" spans="2:7" ht="20.100000000000001" customHeight="1" x14ac:dyDescent="0.3">
      <c r="B328" s="740" t="s">
        <v>1220</v>
      </c>
      <c r="C328" s="741"/>
      <c r="D328" s="740" t="s">
        <v>1241</v>
      </c>
      <c r="E328" s="741"/>
      <c r="F328" s="576" t="s">
        <v>1242</v>
      </c>
      <c r="G328" s="576" t="s">
        <v>1243</v>
      </c>
    </row>
    <row r="329" spans="2:7" ht="20.100000000000001" customHeight="1" x14ac:dyDescent="0.3">
      <c r="B329" s="740" t="s">
        <v>1220</v>
      </c>
      <c r="C329" s="741"/>
      <c r="D329" s="740" t="s">
        <v>1244</v>
      </c>
      <c r="E329" s="741"/>
      <c r="F329" s="576" t="s">
        <v>1245</v>
      </c>
      <c r="G329" s="576" t="s">
        <v>1090</v>
      </c>
    </row>
    <row r="330" spans="2:7" ht="20.100000000000001" customHeight="1" x14ac:dyDescent="0.3">
      <c r="B330" s="740" t="s">
        <v>1220</v>
      </c>
      <c r="C330" s="741"/>
      <c r="D330" s="740" t="s">
        <v>1246</v>
      </c>
      <c r="E330" s="741"/>
      <c r="F330" s="576" t="s">
        <v>1247</v>
      </c>
      <c r="G330" s="576" t="s">
        <v>1052</v>
      </c>
    </row>
    <row r="331" spans="2:7" ht="20.100000000000001" customHeight="1" x14ac:dyDescent="0.3">
      <c r="B331" s="740" t="s">
        <v>1220</v>
      </c>
      <c r="C331" s="741"/>
      <c r="D331" s="740" t="s">
        <v>1248</v>
      </c>
      <c r="E331" s="741"/>
      <c r="F331" s="576" t="s">
        <v>1249</v>
      </c>
      <c r="G331" s="576" t="s">
        <v>1250</v>
      </c>
    </row>
    <row r="332" spans="2:7" ht="20.100000000000001" customHeight="1" x14ac:dyDescent="0.3">
      <c r="B332" s="740" t="s">
        <v>1220</v>
      </c>
      <c r="C332" s="741"/>
      <c r="D332" s="740" t="s">
        <v>1251</v>
      </c>
      <c r="E332" s="741"/>
      <c r="F332" s="576" t="s">
        <v>1252</v>
      </c>
      <c r="G332" s="576" t="s">
        <v>1253</v>
      </c>
    </row>
    <row r="333" spans="2:7" ht="20.100000000000001" customHeight="1" x14ac:dyDescent="0.3">
      <c r="B333" s="740" t="s">
        <v>1220</v>
      </c>
      <c r="C333" s="741"/>
      <c r="D333" s="740" t="s">
        <v>1254</v>
      </c>
      <c r="E333" s="741"/>
      <c r="F333" s="576" t="s">
        <v>1255</v>
      </c>
      <c r="G333" s="576" t="s">
        <v>1256</v>
      </c>
    </row>
    <row r="334" spans="2:7" ht="20.100000000000001" customHeight="1" x14ac:dyDescent="0.3">
      <c r="B334" s="740" t="s">
        <v>1220</v>
      </c>
      <c r="C334" s="741"/>
      <c r="D334" s="740" t="s">
        <v>1257</v>
      </c>
      <c r="E334" s="741"/>
      <c r="F334" s="576" t="s">
        <v>1258</v>
      </c>
      <c r="G334" s="576" t="s">
        <v>1153</v>
      </c>
    </row>
    <row r="335" spans="2:7" ht="20.100000000000001" customHeight="1" x14ac:dyDescent="0.3">
      <c r="B335" s="740" t="s">
        <v>1220</v>
      </c>
      <c r="C335" s="741"/>
      <c r="D335" s="740" t="s">
        <v>1259</v>
      </c>
      <c r="E335" s="741"/>
      <c r="F335" s="576" t="s">
        <v>1260</v>
      </c>
      <c r="G335" s="576" t="s">
        <v>1261</v>
      </c>
    </row>
    <row r="336" spans="2:7" ht="20.100000000000001" customHeight="1" x14ac:dyDescent="0.3">
      <c r="B336" s="740" t="s">
        <v>1220</v>
      </c>
      <c r="C336" s="741"/>
      <c r="D336" s="740" t="s">
        <v>1262</v>
      </c>
      <c r="E336" s="741"/>
      <c r="F336" s="576" t="s">
        <v>1263</v>
      </c>
      <c r="G336" s="576" t="s">
        <v>1264</v>
      </c>
    </row>
    <row r="337" spans="2:7" ht="20.100000000000001" customHeight="1" x14ac:dyDescent="0.3">
      <c r="B337" s="740" t="s">
        <v>1265</v>
      </c>
      <c r="C337" s="741"/>
      <c r="D337" s="740" t="s">
        <v>1266</v>
      </c>
      <c r="E337" s="741"/>
      <c r="F337" s="576" t="s">
        <v>1267</v>
      </c>
      <c r="G337" s="576" t="s">
        <v>1268</v>
      </c>
    </row>
    <row r="338" spans="2:7" ht="20.100000000000001" customHeight="1" x14ac:dyDescent="0.3">
      <c r="B338" s="740" t="s">
        <v>1265</v>
      </c>
      <c r="C338" s="741"/>
      <c r="D338" s="740" t="s">
        <v>1269</v>
      </c>
      <c r="E338" s="741"/>
      <c r="F338" s="576" t="s">
        <v>1270</v>
      </c>
      <c r="G338" s="576" t="s">
        <v>1271</v>
      </c>
    </row>
    <row r="339" spans="2:7" ht="20.100000000000001" customHeight="1" x14ac:dyDescent="0.3">
      <c r="B339" s="740" t="s">
        <v>1265</v>
      </c>
      <c r="C339" s="741"/>
      <c r="D339" s="740" t="s">
        <v>1272</v>
      </c>
      <c r="E339" s="741"/>
      <c r="F339" s="576" t="s">
        <v>1273</v>
      </c>
      <c r="G339" s="576" t="s">
        <v>1274</v>
      </c>
    </row>
    <row r="340" spans="2:7" ht="20.100000000000001" customHeight="1" x14ac:dyDescent="0.3">
      <c r="B340" s="740" t="s">
        <v>1265</v>
      </c>
      <c r="C340" s="741"/>
      <c r="D340" s="740" t="s">
        <v>1275</v>
      </c>
      <c r="E340" s="741"/>
      <c r="F340" s="576" t="s">
        <v>1276</v>
      </c>
      <c r="G340" s="576" t="s">
        <v>1099</v>
      </c>
    </row>
    <row r="341" spans="2:7" ht="20.100000000000001" customHeight="1" x14ac:dyDescent="0.3">
      <c r="B341" s="740" t="s">
        <v>1265</v>
      </c>
      <c r="C341" s="741"/>
      <c r="D341" s="740" t="s">
        <v>1277</v>
      </c>
      <c r="E341" s="741"/>
      <c r="F341" s="576" t="s">
        <v>1278</v>
      </c>
      <c r="G341" s="576" t="s">
        <v>1279</v>
      </c>
    </row>
    <row r="342" spans="2:7" ht="20.100000000000001" customHeight="1" x14ac:dyDescent="0.3">
      <c r="B342" s="740" t="s">
        <v>1280</v>
      </c>
      <c r="C342" s="741"/>
      <c r="D342" s="740" t="s">
        <v>1281</v>
      </c>
      <c r="E342" s="741"/>
      <c r="F342" s="576" t="s">
        <v>1282</v>
      </c>
      <c r="G342" s="576" t="s">
        <v>1283</v>
      </c>
    </row>
    <row r="343" spans="2:7" ht="20.100000000000001" customHeight="1" x14ac:dyDescent="0.3">
      <c r="B343" s="740" t="s">
        <v>1280</v>
      </c>
      <c r="C343" s="741"/>
      <c r="D343" s="740" t="s">
        <v>1284</v>
      </c>
      <c r="E343" s="741"/>
      <c r="F343" s="576" t="s">
        <v>1285</v>
      </c>
      <c r="G343" s="576" t="s">
        <v>1286</v>
      </c>
    </row>
    <row r="344" spans="2:7" ht="20.100000000000001" customHeight="1" x14ac:dyDescent="0.3">
      <c r="B344" s="740" t="s">
        <v>1287</v>
      </c>
      <c r="C344" s="741"/>
      <c r="D344" s="740" t="s">
        <v>1287</v>
      </c>
      <c r="E344" s="741"/>
      <c r="F344" s="576" t="s">
        <v>1288</v>
      </c>
      <c r="G344" s="576" t="s">
        <v>1289</v>
      </c>
    </row>
    <row r="345" spans="2:7" ht="20.100000000000001" customHeight="1" x14ac:dyDescent="0.3">
      <c r="B345" s="740" t="s">
        <v>1290</v>
      </c>
      <c r="C345" s="741"/>
      <c r="D345" s="740" t="s">
        <v>1291</v>
      </c>
      <c r="E345" s="741"/>
      <c r="F345" s="576" t="s">
        <v>1292</v>
      </c>
      <c r="G345" s="576" t="s">
        <v>1293</v>
      </c>
    </row>
    <row r="346" spans="2:7" ht="20.100000000000001" customHeight="1" x14ac:dyDescent="0.3">
      <c r="B346" s="740" t="s">
        <v>1294</v>
      </c>
      <c r="C346" s="741"/>
      <c r="D346" s="740" t="s">
        <v>1295</v>
      </c>
      <c r="E346" s="741"/>
      <c r="F346" s="576" t="s">
        <v>1296</v>
      </c>
      <c r="G346" s="576" t="s">
        <v>1297</v>
      </c>
    </row>
    <row r="347" spans="2:7" ht="20.100000000000001" customHeight="1" x14ac:dyDescent="0.3">
      <c r="B347" s="740" t="s">
        <v>1298</v>
      </c>
      <c r="C347" s="741"/>
      <c r="D347" s="740" t="s">
        <v>1299</v>
      </c>
      <c r="E347" s="741"/>
      <c r="F347" s="576" t="s">
        <v>1300</v>
      </c>
      <c r="G347" s="576" t="s">
        <v>1301</v>
      </c>
    </row>
    <row r="348" spans="2:7" ht="20.100000000000001" customHeight="1" x14ac:dyDescent="0.3">
      <c r="B348" s="740" t="s">
        <v>1302</v>
      </c>
      <c r="C348" s="741"/>
      <c r="D348" s="740" t="s">
        <v>1303</v>
      </c>
      <c r="E348" s="741"/>
      <c r="F348" s="576" t="s">
        <v>1304</v>
      </c>
      <c r="G348" s="576" t="s">
        <v>1141</v>
      </c>
    </row>
    <row r="349" spans="2:7" ht="20.100000000000001" customHeight="1" x14ac:dyDescent="0.3">
      <c r="B349" s="740" t="s">
        <v>1305</v>
      </c>
      <c r="C349" s="741"/>
      <c r="D349" s="740" t="s">
        <v>1306</v>
      </c>
      <c r="E349" s="741"/>
      <c r="F349" s="576" t="s">
        <v>1307</v>
      </c>
      <c r="G349" s="576" t="s">
        <v>1308</v>
      </c>
    </row>
    <row r="350" spans="2:7" ht="20.100000000000001" customHeight="1" x14ac:dyDescent="0.3">
      <c r="B350" s="740" t="s">
        <v>1309</v>
      </c>
      <c r="C350" s="741"/>
      <c r="D350" s="740" t="s">
        <v>1309</v>
      </c>
      <c r="E350" s="741"/>
      <c r="F350" s="576" t="s">
        <v>1310</v>
      </c>
      <c r="G350" s="576" t="s">
        <v>1311</v>
      </c>
    </row>
    <row r="351" spans="2:7" ht="20.100000000000001" customHeight="1" x14ac:dyDescent="0.3">
      <c r="B351" s="740" t="s">
        <v>1312</v>
      </c>
      <c r="C351" s="741"/>
      <c r="D351" s="740" t="s">
        <v>1313</v>
      </c>
      <c r="E351" s="741"/>
      <c r="F351" s="576" t="s">
        <v>1314</v>
      </c>
      <c r="G351" s="576" t="s">
        <v>1315</v>
      </c>
    </row>
    <row r="352" spans="2:7" ht="20.100000000000001" customHeight="1" x14ac:dyDescent="0.3">
      <c r="B352" s="772" t="s">
        <v>848</v>
      </c>
      <c r="C352" s="773"/>
      <c r="D352" s="777"/>
      <c r="E352" s="778"/>
      <c r="F352" s="526" t="s">
        <v>1316</v>
      </c>
      <c r="G352" s="577" t="s">
        <v>1317</v>
      </c>
    </row>
    <row r="353" spans="1:9" ht="20.100000000000001" customHeight="1" x14ac:dyDescent="0.3">
      <c r="B353" s="155"/>
      <c r="C353" s="155"/>
      <c r="D353" s="155"/>
      <c r="E353" s="155"/>
      <c r="F353" s="372"/>
      <c r="G353" s="372"/>
    </row>
    <row r="354" spans="1:9" ht="20.100000000000001" customHeight="1" x14ac:dyDescent="0.4">
      <c r="B354" s="6"/>
      <c r="C354" s="76"/>
      <c r="D354" s="76"/>
      <c r="E354" s="76"/>
    </row>
    <row r="355" spans="1:9" s="46" customFormat="1" ht="17.399999999999999" x14ac:dyDescent="0.3">
      <c r="B355" s="710" t="s">
        <v>1318</v>
      </c>
      <c r="C355" s="710"/>
      <c r="D355" s="64"/>
      <c r="E355" s="64"/>
      <c r="F355" s="63"/>
      <c r="G355" s="63"/>
      <c r="H355" s="63"/>
      <c r="I355" s="69"/>
    </row>
    <row r="356" spans="1:9" ht="21" x14ac:dyDescent="0.4">
      <c r="A356" s="707"/>
      <c r="B356" s="6"/>
      <c r="C356" s="76"/>
      <c r="D356" s="76"/>
      <c r="E356" s="76"/>
    </row>
    <row r="357" spans="1:9" ht="16.5" customHeight="1" x14ac:dyDescent="0.3">
      <c r="A357" s="707"/>
      <c r="B357" s="763" t="s">
        <v>1319</v>
      </c>
      <c r="C357" s="763"/>
      <c r="D357" s="763"/>
      <c r="E357" s="763"/>
      <c r="F357" s="763"/>
      <c r="G357" s="763"/>
      <c r="H357" s="763"/>
      <c r="I357" s="763"/>
    </row>
    <row r="358" spans="1:9" ht="21" x14ac:dyDescent="0.4">
      <c r="A358" s="707"/>
      <c r="B358" s="6"/>
      <c r="C358" s="76"/>
      <c r="D358" s="76"/>
      <c r="E358" s="76"/>
    </row>
    <row r="359" spans="1:9" x14ac:dyDescent="0.3">
      <c r="A359" s="707"/>
      <c r="B359" s="50" t="s">
        <v>344</v>
      </c>
      <c r="C359" s="725" t="s">
        <v>843</v>
      </c>
      <c r="D359" s="725"/>
      <c r="E359" s="725"/>
      <c r="F359" s="725"/>
      <c r="G359" s="725"/>
      <c r="H359" s="725"/>
      <c r="I359" s="50" t="s">
        <v>346</v>
      </c>
    </row>
    <row r="360" spans="1:9" ht="88.5" customHeight="1" x14ac:dyDescent="0.3">
      <c r="A360" s="707"/>
      <c r="B360" s="51">
        <v>2019</v>
      </c>
      <c r="C360" s="709" t="s">
        <v>1320</v>
      </c>
      <c r="D360" s="709"/>
      <c r="E360" s="709"/>
      <c r="F360" s="709"/>
      <c r="G360" s="709"/>
      <c r="H360" s="709"/>
      <c r="I360" s="56" t="s">
        <v>348</v>
      </c>
    </row>
    <row r="361" spans="1:9" ht="89.55" customHeight="1" x14ac:dyDescent="0.3">
      <c r="A361" s="707"/>
      <c r="B361" s="51">
        <v>2020</v>
      </c>
      <c r="C361" s="709" t="s">
        <v>1321</v>
      </c>
      <c r="D361" s="709"/>
      <c r="E361" s="709"/>
      <c r="F361" s="709"/>
      <c r="G361" s="709"/>
      <c r="H361" s="709"/>
      <c r="I361" s="56" t="s">
        <v>350</v>
      </c>
    </row>
    <row r="362" spans="1:9" ht="75.599999999999994" customHeight="1" x14ac:dyDescent="0.3">
      <c r="A362" s="707"/>
      <c r="B362" s="51">
        <v>2021</v>
      </c>
      <c r="C362" s="709" t="s">
        <v>1322</v>
      </c>
      <c r="D362" s="709"/>
      <c r="E362" s="709"/>
      <c r="F362" s="709"/>
      <c r="G362" s="709"/>
      <c r="H362" s="709"/>
      <c r="I362" s="56" t="s">
        <v>442</v>
      </c>
    </row>
    <row r="363" spans="1:9" ht="87.6" customHeight="1" x14ac:dyDescent="0.3">
      <c r="A363" s="707"/>
      <c r="B363" s="51">
        <v>2022</v>
      </c>
      <c r="C363" s="709" t="s">
        <v>1323</v>
      </c>
      <c r="D363" s="709"/>
      <c r="E363" s="709"/>
      <c r="F363" s="709"/>
      <c r="G363" s="709"/>
      <c r="H363" s="709"/>
      <c r="I363" s="56" t="s">
        <v>442</v>
      </c>
    </row>
    <row r="364" spans="1:9" ht="87.75" customHeight="1" x14ac:dyDescent="0.3">
      <c r="B364" s="51">
        <v>2023</v>
      </c>
      <c r="C364" s="709" t="s">
        <v>1324</v>
      </c>
      <c r="D364" s="709"/>
      <c r="E364" s="709"/>
      <c r="F364" s="709"/>
      <c r="G364" s="709"/>
      <c r="H364" s="709"/>
      <c r="I364" s="485" t="s">
        <v>6</v>
      </c>
    </row>
    <row r="365" spans="1:9" ht="20.100000000000001" customHeight="1" x14ac:dyDescent="0.3">
      <c r="B365" s="745"/>
      <c r="C365" s="745"/>
      <c r="D365" s="745"/>
      <c r="E365" s="745"/>
      <c r="F365" s="745"/>
      <c r="G365" s="745"/>
      <c r="H365" s="745"/>
      <c r="I365" s="745"/>
    </row>
    <row r="366" spans="1:9" ht="14.55" customHeight="1" x14ac:dyDescent="0.3"/>
    <row r="367" spans="1:9" ht="14.55" customHeight="1" x14ac:dyDescent="0.4">
      <c r="B367" s="6"/>
      <c r="C367" s="76"/>
      <c r="D367" s="76"/>
      <c r="E367" s="76"/>
    </row>
    <row r="368" spans="1:9" s="46" customFormat="1" ht="17.399999999999999" x14ac:dyDescent="0.3">
      <c r="B368" s="710" t="s">
        <v>1325</v>
      </c>
      <c r="C368" s="710"/>
      <c r="D368" s="64"/>
      <c r="E368" s="64"/>
      <c r="F368" s="63"/>
      <c r="G368" s="63"/>
      <c r="H368" s="63"/>
      <c r="I368" s="69"/>
    </row>
    <row r="369" spans="1:9" ht="21" x14ac:dyDescent="0.4">
      <c r="A369" s="707"/>
      <c r="B369" s="6"/>
      <c r="C369" s="76"/>
      <c r="D369" s="76"/>
      <c r="E369" s="76"/>
    </row>
    <row r="370" spans="1:9" ht="16.5" customHeight="1" x14ac:dyDescent="0.3">
      <c r="A370" s="707"/>
      <c r="B370" s="763" t="s">
        <v>1326</v>
      </c>
      <c r="C370" s="763"/>
      <c r="D370" s="763"/>
      <c r="E370" s="763"/>
      <c r="F370" s="763"/>
      <c r="G370" s="763"/>
      <c r="H370" s="763"/>
      <c r="I370" s="763"/>
    </row>
    <row r="371" spans="1:9" ht="21" x14ac:dyDescent="0.4">
      <c r="A371" s="707"/>
      <c r="B371" s="6"/>
      <c r="C371" s="76"/>
      <c r="D371" s="76"/>
      <c r="E371" s="76"/>
    </row>
    <row r="372" spans="1:9" x14ac:dyDescent="0.3">
      <c r="A372" s="707"/>
      <c r="B372" s="725" t="s">
        <v>344</v>
      </c>
      <c r="C372" s="725" t="s">
        <v>843</v>
      </c>
      <c r="D372" s="725"/>
      <c r="E372" s="725"/>
      <c r="F372" s="725"/>
      <c r="G372" s="725"/>
      <c r="H372" s="725"/>
      <c r="I372" s="725" t="s">
        <v>346</v>
      </c>
    </row>
    <row r="373" spans="1:9" ht="20.100000000000001" customHeight="1" x14ac:dyDescent="0.3">
      <c r="A373" s="707"/>
      <c r="B373" s="725"/>
      <c r="C373" s="725" t="s">
        <v>1327</v>
      </c>
      <c r="D373" s="725"/>
      <c r="E373" s="725"/>
      <c r="F373" s="725"/>
      <c r="G373" s="725"/>
      <c r="H373" s="725"/>
      <c r="I373" s="725"/>
    </row>
    <row r="374" spans="1:9" ht="40.049999999999997" customHeight="1" x14ac:dyDescent="0.3">
      <c r="A374" s="707"/>
      <c r="B374" s="725"/>
      <c r="C374" s="52" t="s">
        <v>1328</v>
      </c>
      <c r="D374" s="52" t="s">
        <v>1329</v>
      </c>
      <c r="E374" s="52" t="s">
        <v>1330</v>
      </c>
      <c r="F374" s="52" t="s">
        <v>1331</v>
      </c>
      <c r="G374" s="52" t="s">
        <v>1332</v>
      </c>
      <c r="H374" s="52" t="s">
        <v>1333</v>
      </c>
      <c r="I374" s="725"/>
    </row>
    <row r="375" spans="1:9" ht="45" customHeight="1" x14ac:dyDescent="0.3">
      <c r="A375" s="707"/>
      <c r="B375" s="51">
        <v>2019</v>
      </c>
      <c r="C375" s="575" t="s">
        <v>1334</v>
      </c>
      <c r="D375" s="575">
        <v>992</v>
      </c>
      <c r="E375" s="575">
        <v>188</v>
      </c>
      <c r="F375" s="575">
        <v>300</v>
      </c>
      <c r="G375" s="575">
        <v>890</v>
      </c>
      <c r="H375" s="575" t="s">
        <v>1335</v>
      </c>
      <c r="I375" s="56" t="s">
        <v>348</v>
      </c>
    </row>
    <row r="376" spans="1:9" ht="45" customHeight="1" x14ac:dyDescent="0.3">
      <c r="A376" s="707"/>
      <c r="B376" s="51">
        <v>2020</v>
      </c>
      <c r="C376" s="575" t="s">
        <v>1336</v>
      </c>
      <c r="D376" s="575" t="s">
        <v>1337</v>
      </c>
      <c r="E376" s="575">
        <v>220.00000000000003</v>
      </c>
      <c r="F376" s="575">
        <v>360</v>
      </c>
      <c r="G376" s="575">
        <v>1520</v>
      </c>
      <c r="H376" s="575" t="s">
        <v>1338</v>
      </c>
      <c r="I376" s="56" t="s">
        <v>350</v>
      </c>
    </row>
    <row r="377" spans="1:9" ht="61.5" customHeight="1" x14ac:dyDescent="0.3">
      <c r="A377" s="707"/>
      <c r="B377" s="51">
        <v>2021</v>
      </c>
      <c r="C377" s="575" t="s">
        <v>1339</v>
      </c>
      <c r="D377" s="575" t="s">
        <v>1340</v>
      </c>
      <c r="E377" s="575">
        <v>210</v>
      </c>
      <c r="F377" s="575">
        <v>350</v>
      </c>
      <c r="G377" s="575">
        <v>1410</v>
      </c>
      <c r="H377" s="575" t="s">
        <v>1341</v>
      </c>
      <c r="I377" s="56" t="s">
        <v>442</v>
      </c>
    </row>
    <row r="378" spans="1:9" ht="58.5" customHeight="1" x14ac:dyDescent="0.3">
      <c r="A378" s="707"/>
      <c r="B378" s="51">
        <v>2022</v>
      </c>
      <c r="C378" s="575" t="s">
        <v>1342</v>
      </c>
      <c r="D378" s="575" t="s">
        <v>1342</v>
      </c>
      <c r="E378" s="575">
        <v>0</v>
      </c>
      <c r="F378" s="575">
        <v>222.00000000000003</v>
      </c>
      <c r="G378" s="575">
        <v>782</v>
      </c>
      <c r="H378" s="575" t="s">
        <v>1343</v>
      </c>
      <c r="I378" s="56" t="s">
        <v>442</v>
      </c>
    </row>
    <row r="379" spans="1:9" ht="55.5" customHeight="1" x14ac:dyDescent="0.3">
      <c r="A379" s="707"/>
      <c r="B379" s="51">
        <v>2023</v>
      </c>
      <c r="C379" s="575" t="s">
        <v>1344</v>
      </c>
      <c r="D379" s="575">
        <v>816</v>
      </c>
      <c r="E379" s="575">
        <v>284</v>
      </c>
      <c r="F379" s="575">
        <v>155</v>
      </c>
      <c r="G379" s="575">
        <v>913</v>
      </c>
      <c r="H379" s="575" t="s">
        <v>1345</v>
      </c>
      <c r="I379" s="56" t="s">
        <v>442</v>
      </c>
    </row>
    <row r="380" spans="1:9" ht="21" x14ac:dyDescent="0.4">
      <c r="B380" s="6"/>
      <c r="C380" s="304"/>
      <c r="D380" s="304"/>
      <c r="E380" s="304"/>
      <c r="F380" s="304"/>
      <c r="G380" s="304"/>
      <c r="H380" s="304"/>
    </row>
    <row r="381" spans="1:9" x14ac:dyDescent="0.3">
      <c r="B381" s="725" t="s">
        <v>344</v>
      </c>
      <c r="C381" s="725" t="s">
        <v>843</v>
      </c>
      <c r="D381" s="725"/>
      <c r="E381" s="725"/>
      <c r="F381" s="725"/>
      <c r="G381" s="725"/>
      <c r="H381" s="725"/>
      <c r="I381" s="725" t="s">
        <v>346</v>
      </c>
    </row>
    <row r="382" spans="1:9" ht="20.100000000000001" customHeight="1" x14ac:dyDescent="0.3">
      <c r="B382" s="725"/>
      <c r="C382" s="725" t="s">
        <v>1346</v>
      </c>
      <c r="D382" s="725"/>
      <c r="E382" s="725"/>
      <c r="F382" s="725"/>
      <c r="G382" s="725"/>
      <c r="H382" s="725"/>
      <c r="I382" s="725"/>
    </row>
    <row r="383" spans="1:9" ht="40.049999999999997" customHeight="1" x14ac:dyDescent="0.3">
      <c r="B383" s="725"/>
      <c r="C383" s="52" t="s">
        <v>1328</v>
      </c>
      <c r="D383" s="52" t="s">
        <v>1329</v>
      </c>
      <c r="E383" s="52" t="s">
        <v>1330</v>
      </c>
      <c r="F383" s="52" t="s">
        <v>1331</v>
      </c>
      <c r="G383" s="52" t="s">
        <v>1332</v>
      </c>
      <c r="H383" s="52" t="s">
        <v>1333</v>
      </c>
      <c r="I383" s="725"/>
    </row>
    <row r="384" spans="1:9" ht="45" customHeight="1" x14ac:dyDescent="0.3">
      <c r="B384" s="51">
        <v>2019</v>
      </c>
      <c r="C384" s="575" t="s">
        <v>1347</v>
      </c>
      <c r="D384" s="575" t="s">
        <v>1348</v>
      </c>
      <c r="E384" s="575" t="s">
        <v>1349</v>
      </c>
      <c r="F384" s="575" t="s">
        <v>1350</v>
      </c>
      <c r="G384" s="575" t="s">
        <v>1351</v>
      </c>
      <c r="H384" s="575" t="s">
        <v>1352</v>
      </c>
      <c r="I384" s="56" t="s">
        <v>348</v>
      </c>
    </row>
    <row r="385" spans="2:9" ht="45" customHeight="1" x14ac:dyDescent="0.3">
      <c r="B385" s="51">
        <v>2020</v>
      </c>
      <c r="C385" s="575" t="s">
        <v>1353</v>
      </c>
      <c r="D385" s="575" t="s">
        <v>1354</v>
      </c>
      <c r="E385" s="575" t="s">
        <v>1355</v>
      </c>
      <c r="F385" s="575" t="s">
        <v>1356</v>
      </c>
      <c r="G385" s="575" t="s">
        <v>1357</v>
      </c>
      <c r="H385" s="575" t="s">
        <v>1358</v>
      </c>
      <c r="I385" s="56" t="s">
        <v>350</v>
      </c>
    </row>
    <row r="386" spans="2:9" ht="52.5" customHeight="1" x14ac:dyDescent="0.3">
      <c r="B386" s="51">
        <v>2021</v>
      </c>
      <c r="C386" s="575" t="s">
        <v>1359</v>
      </c>
      <c r="D386" s="575" t="s">
        <v>1360</v>
      </c>
      <c r="E386" s="575" t="s">
        <v>1361</v>
      </c>
      <c r="F386" s="575" t="s">
        <v>1362</v>
      </c>
      <c r="G386" s="575" t="s">
        <v>1363</v>
      </c>
      <c r="H386" s="575" t="s">
        <v>1364</v>
      </c>
      <c r="I386" s="56" t="s">
        <v>442</v>
      </c>
    </row>
    <row r="387" spans="2:9" ht="66.599999999999994" customHeight="1" x14ac:dyDescent="0.3">
      <c r="B387" s="51">
        <v>2022</v>
      </c>
      <c r="C387" s="575" t="s">
        <v>1365</v>
      </c>
      <c r="D387" s="575" t="s">
        <v>1365</v>
      </c>
      <c r="E387" s="575" t="s">
        <v>1366</v>
      </c>
      <c r="F387" s="575" t="s">
        <v>1355</v>
      </c>
      <c r="G387" s="575" t="s">
        <v>1367</v>
      </c>
      <c r="H387" s="575" t="s">
        <v>1368</v>
      </c>
      <c r="I387" s="56" t="s">
        <v>442</v>
      </c>
    </row>
    <row r="388" spans="2:9" ht="45" customHeight="1" x14ac:dyDescent="0.3">
      <c r="B388" s="51">
        <v>2023</v>
      </c>
      <c r="C388" s="575" t="s">
        <v>1365</v>
      </c>
      <c r="D388" s="575" t="s">
        <v>1369</v>
      </c>
      <c r="E388" s="575" t="s">
        <v>1370</v>
      </c>
      <c r="F388" s="575" t="s">
        <v>1371</v>
      </c>
      <c r="G388" s="575" t="s">
        <v>1372</v>
      </c>
      <c r="H388" s="574" t="s">
        <v>1373</v>
      </c>
      <c r="I388" s="56" t="s">
        <v>442</v>
      </c>
    </row>
    <row r="389" spans="2:9" ht="20.100000000000001" customHeight="1" x14ac:dyDescent="0.3">
      <c r="B389" s="51"/>
      <c r="C389" s="76"/>
      <c r="D389" s="80"/>
      <c r="E389" s="80"/>
      <c r="F389" s="80"/>
      <c r="G389" s="80"/>
      <c r="H389" s="54"/>
    </row>
    <row r="390" spans="2:9" ht="20.100000000000001" customHeight="1" x14ac:dyDescent="0.3">
      <c r="B390" s="51"/>
      <c r="C390" s="76"/>
      <c r="D390" s="80"/>
      <c r="E390" s="80"/>
      <c r="F390" s="80"/>
      <c r="G390" s="80"/>
      <c r="H390" s="54"/>
    </row>
    <row r="391" spans="2:9" ht="24.6" customHeight="1" x14ac:dyDescent="0.3">
      <c r="B391" s="759" t="s">
        <v>1333</v>
      </c>
      <c r="C391" s="759"/>
      <c r="D391" s="157" t="s">
        <v>325</v>
      </c>
      <c r="E391" s="157" t="s">
        <v>1374</v>
      </c>
      <c r="F391" s="157" t="s">
        <v>1375</v>
      </c>
      <c r="G391" s="159" t="s">
        <v>1376</v>
      </c>
      <c r="H391" s="159" t="s">
        <v>1377</v>
      </c>
      <c r="I391"/>
    </row>
    <row r="392" spans="2:9" ht="20.100000000000001" customHeight="1" x14ac:dyDescent="0.3">
      <c r="B392" s="758" t="s">
        <v>848</v>
      </c>
      <c r="C392" s="758"/>
      <c r="D392" s="755"/>
      <c r="E392" s="756"/>
      <c r="F392" s="756"/>
      <c r="G392" s="578">
        <v>965.32100000000003</v>
      </c>
      <c r="H392" s="578" t="s">
        <v>1378</v>
      </c>
      <c r="I392"/>
    </row>
    <row r="393" spans="2:9" ht="44.55" customHeight="1" x14ac:dyDescent="0.3">
      <c r="B393" s="754" t="s">
        <v>1379</v>
      </c>
      <c r="C393" s="754"/>
      <c r="D393" s="158" t="s">
        <v>1380</v>
      </c>
      <c r="E393" s="195" t="s">
        <v>1381</v>
      </c>
      <c r="F393" s="195" t="s">
        <v>1382</v>
      </c>
      <c r="G393" s="579" t="s">
        <v>1383</v>
      </c>
      <c r="H393" s="579" t="s">
        <v>1384</v>
      </c>
      <c r="I393"/>
    </row>
    <row r="394" spans="2:9" ht="44.55" customHeight="1" x14ac:dyDescent="0.3">
      <c r="B394" s="754" t="s">
        <v>1385</v>
      </c>
      <c r="C394" s="754"/>
      <c r="D394" s="158" t="s">
        <v>1380</v>
      </c>
      <c r="E394" s="156" t="s">
        <v>1381</v>
      </c>
      <c r="F394" s="195" t="s">
        <v>1382</v>
      </c>
      <c r="G394" s="579" t="s">
        <v>1386</v>
      </c>
      <c r="H394" s="580" t="s">
        <v>1387</v>
      </c>
      <c r="I394"/>
    </row>
    <row r="395" spans="2:9" ht="44.55" customHeight="1" x14ac:dyDescent="0.3">
      <c r="B395" s="754" t="s">
        <v>1388</v>
      </c>
      <c r="C395" s="754"/>
      <c r="D395" s="158" t="s">
        <v>1380</v>
      </c>
      <c r="E395" s="156" t="s">
        <v>1381</v>
      </c>
      <c r="F395" s="195" t="s">
        <v>1382</v>
      </c>
      <c r="G395" s="579" t="s">
        <v>1389</v>
      </c>
      <c r="H395" s="580" t="s">
        <v>1390</v>
      </c>
      <c r="I395"/>
    </row>
    <row r="396" spans="2:9" ht="44.55" customHeight="1" x14ac:dyDescent="0.3">
      <c r="B396" s="754" t="s">
        <v>1391</v>
      </c>
      <c r="C396" s="754"/>
      <c r="D396" s="158" t="s">
        <v>1380</v>
      </c>
      <c r="E396" s="156" t="s">
        <v>1381</v>
      </c>
      <c r="F396" s="195" t="s">
        <v>1382</v>
      </c>
      <c r="G396" s="579" t="s">
        <v>1392</v>
      </c>
      <c r="H396" s="580" t="s">
        <v>1393</v>
      </c>
      <c r="I396"/>
    </row>
    <row r="397" spans="2:9" ht="44.55" customHeight="1" x14ac:dyDescent="0.3">
      <c r="B397" s="754" t="s">
        <v>1394</v>
      </c>
      <c r="C397" s="754"/>
      <c r="D397" s="158" t="s">
        <v>1380</v>
      </c>
      <c r="E397" s="156" t="s">
        <v>1381</v>
      </c>
      <c r="F397" s="195" t="s">
        <v>1382</v>
      </c>
      <c r="G397" s="579" t="s">
        <v>1395</v>
      </c>
      <c r="H397" s="580" t="s">
        <v>1396</v>
      </c>
      <c r="I397"/>
    </row>
    <row r="398" spans="2:9" ht="44.55" customHeight="1" x14ac:dyDescent="0.3">
      <c r="B398" s="754" t="s">
        <v>1397</v>
      </c>
      <c r="C398" s="754"/>
      <c r="D398" s="158" t="s">
        <v>1380</v>
      </c>
      <c r="E398" s="156" t="s">
        <v>1381</v>
      </c>
      <c r="F398" s="195" t="s">
        <v>1382</v>
      </c>
      <c r="G398" s="579" t="s">
        <v>1398</v>
      </c>
      <c r="H398" s="580" t="s">
        <v>1399</v>
      </c>
      <c r="I398"/>
    </row>
    <row r="399" spans="2:9" ht="28.05" customHeight="1" x14ac:dyDescent="0.3">
      <c r="B399" s="754" t="s">
        <v>1400</v>
      </c>
      <c r="C399" s="754"/>
      <c r="D399" s="158" t="s">
        <v>1401</v>
      </c>
      <c r="E399" s="156" t="s">
        <v>1402</v>
      </c>
      <c r="F399" s="156" t="s">
        <v>1403</v>
      </c>
      <c r="G399" s="579" t="s">
        <v>1404</v>
      </c>
      <c r="H399" s="580" t="s">
        <v>1405</v>
      </c>
      <c r="I399"/>
    </row>
    <row r="400" spans="2:9" ht="28.05" customHeight="1" x14ac:dyDescent="0.3">
      <c r="B400" s="754" t="s">
        <v>1406</v>
      </c>
      <c r="C400" s="754"/>
      <c r="D400" s="158" t="s">
        <v>1407</v>
      </c>
      <c r="E400" s="156" t="s">
        <v>1402</v>
      </c>
      <c r="F400" s="156" t="s">
        <v>1408</v>
      </c>
      <c r="G400" s="579" t="s">
        <v>1409</v>
      </c>
      <c r="H400" s="580" t="s">
        <v>1410</v>
      </c>
      <c r="I400"/>
    </row>
    <row r="401" spans="2:9" ht="28.05" customHeight="1" x14ac:dyDescent="0.3">
      <c r="B401" s="754" t="s">
        <v>1411</v>
      </c>
      <c r="C401" s="754"/>
      <c r="D401" s="158" t="s">
        <v>1407</v>
      </c>
      <c r="E401" s="156" t="s">
        <v>1402</v>
      </c>
      <c r="F401" s="156" t="s">
        <v>1408</v>
      </c>
      <c r="G401" s="579" t="s">
        <v>1412</v>
      </c>
      <c r="H401" s="580" t="s">
        <v>1413</v>
      </c>
      <c r="I401"/>
    </row>
    <row r="402" spans="2:9" ht="28.05" customHeight="1" x14ac:dyDescent="0.3">
      <c r="B402" s="754" t="s">
        <v>1414</v>
      </c>
      <c r="C402" s="754"/>
      <c r="D402" s="158" t="s">
        <v>1407</v>
      </c>
      <c r="E402" s="156" t="s">
        <v>1402</v>
      </c>
      <c r="F402" s="195" t="s">
        <v>1382</v>
      </c>
      <c r="G402" s="579" t="s">
        <v>1415</v>
      </c>
      <c r="H402" s="580" t="s">
        <v>1416</v>
      </c>
      <c r="I402"/>
    </row>
    <row r="403" spans="2:9" ht="28.05" customHeight="1" x14ac:dyDescent="0.3">
      <c r="B403" s="754" t="s">
        <v>1417</v>
      </c>
      <c r="C403" s="754"/>
      <c r="D403" s="158" t="s">
        <v>1418</v>
      </c>
      <c r="E403" s="156" t="s">
        <v>1381</v>
      </c>
      <c r="F403" s="156" t="s">
        <v>1419</v>
      </c>
      <c r="G403" s="579" t="s">
        <v>1420</v>
      </c>
      <c r="H403" s="580" t="s">
        <v>1421</v>
      </c>
      <c r="I403"/>
    </row>
    <row r="404" spans="2:9" ht="28.05" customHeight="1" x14ac:dyDescent="0.3">
      <c r="B404" s="754" t="s">
        <v>1422</v>
      </c>
      <c r="C404" s="754"/>
      <c r="D404" s="158" t="s">
        <v>1407</v>
      </c>
      <c r="E404" s="156" t="s">
        <v>1402</v>
      </c>
      <c r="F404" s="156" t="s">
        <v>1419</v>
      </c>
      <c r="G404" s="579">
        <v>30</v>
      </c>
      <c r="H404" s="580" t="s">
        <v>1423</v>
      </c>
      <c r="I404"/>
    </row>
    <row r="405" spans="2:9" ht="28.05" customHeight="1" x14ac:dyDescent="0.3">
      <c r="B405" s="754" t="s">
        <v>1424</v>
      </c>
      <c r="C405" s="754"/>
      <c r="D405" s="158" t="s">
        <v>1407</v>
      </c>
      <c r="E405" s="156" t="s">
        <v>1402</v>
      </c>
      <c r="F405" s="156" t="s">
        <v>1419</v>
      </c>
      <c r="G405" s="579" t="s">
        <v>1425</v>
      </c>
      <c r="H405" s="580" t="s">
        <v>1426</v>
      </c>
      <c r="I405"/>
    </row>
    <row r="406" spans="2:9" ht="28.05" customHeight="1" x14ac:dyDescent="0.3">
      <c r="B406" s="754" t="s">
        <v>1427</v>
      </c>
      <c r="C406" s="754"/>
      <c r="D406" s="158" t="s">
        <v>1407</v>
      </c>
      <c r="E406" s="156" t="s">
        <v>1402</v>
      </c>
      <c r="F406" s="195" t="s">
        <v>1382</v>
      </c>
      <c r="G406" s="579" t="s">
        <v>1428</v>
      </c>
      <c r="H406" s="580" t="s">
        <v>1429</v>
      </c>
      <c r="I406"/>
    </row>
    <row r="407" spans="2:9" ht="43.5" customHeight="1" x14ac:dyDescent="0.3">
      <c r="B407" s="754" t="s">
        <v>1430</v>
      </c>
      <c r="C407" s="754"/>
      <c r="D407" s="158" t="s">
        <v>1431</v>
      </c>
      <c r="E407" s="156" t="s">
        <v>1402</v>
      </c>
      <c r="F407" s="156" t="s">
        <v>1419</v>
      </c>
      <c r="G407" s="579" t="s">
        <v>1432</v>
      </c>
      <c r="H407" s="580" t="s">
        <v>1433</v>
      </c>
      <c r="I407"/>
    </row>
    <row r="408" spans="2:9" ht="28.05" customHeight="1" x14ac:dyDescent="0.3">
      <c r="B408" s="754" t="s">
        <v>1434</v>
      </c>
      <c r="C408" s="754"/>
      <c r="D408" s="158" t="s">
        <v>1431</v>
      </c>
      <c r="E408" s="156" t="s">
        <v>1402</v>
      </c>
      <c r="F408" s="156" t="s">
        <v>1419</v>
      </c>
      <c r="G408" s="579">
        <v>330</v>
      </c>
      <c r="H408" s="580" t="s">
        <v>1435</v>
      </c>
      <c r="I408"/>
    </row>
    <row r="409" spans="2:9" ht="28.05" customHeight="1" x14ac:dyDescent="0.3">
      <c r="B409" s="754" t="s">
        <v>1436</v>
      </c>
      <c r="C409" s="754"/>
      <c r="D409" s="158" t="s">
        <v>518</v>
      </c>
      <c r="E409" s="156" t="s">
        <v>1437</v>
      </c>
      <c r="F409" s="156" t="s">
        <v>1419</v>
      </c>
      <c r="G409" s="579">
        <v>289</v>
      </c>
      <c r="H409" s="580" t="s">
        <v>1438</v>
      </c>
      <c r="I409"/>
    </row>
    <row r="410" spans="2:9" ht="28.05" customHeight="1" x14ac:dyDescent="0.3">
      <c r="B410" s="754" t="s">
        <v>1439</v>
      </c>
      <c r="C410" s="754"/>
      <c r="D410" s="158" t="s">
        <v>1407</v>
      </c>
      <c r="E410" s="156" t="s">
        <v>1402</v>
      </c>
      <c r="F410" s="195" t="s">
        <v>1382</v>
      </c>
      <c r="G410" s="579" t="s">
        <v>1440</v>
      </c>
      <c r="H410" s="580" t="s">
        <v>1441</v>
      </c>
      <c r="I410"/>
    </row>
    <row r="411" spans="2:9" ht="28.05" customHeight="1" x14ac:dyDescent="0.3">
      <c r="B411" s="754" t="s">
        <v>1442</v>
      </c>
      <c r="C411" s="754"/>
      <c r="D411" s="158" t="s">
        <v>1401</v>
      </c>
      <c r="E411" s="156" t="s">
        <v>1402</v>
      </c>
      <c r="F411" s="195" t="s">
        <v>1382</v>
      </c>
      <c r="G411" s="579" t="s">
        <v>1443</v>
      </c>
      <c r="H411" s="580" t="s">
        <v>1444</v>
      </c>
      <c r="I411"/>
    </row>
    <row r="412" spans="2:9" ht="28.05" customHeight="1" x14ac:dyDescent="0.3">
      <c r="B412" s="754" t="s">
        <v>1445</v>
      </c>
      <c r="C412" s="754"/>
      <c r="D412" s="158" t="s">
        <v>1431</v>
      </c>
      <c r="E412" s="156" t="s">
        <v>1402</v>
      </c>
      <c r="F412" s="195" t="s">
        <v>1382</v>
      </c>
      <c r="G412" s="579" t="s">
        <v>1446</v>
      </c>
      <c r="H412" s="580" t="s">
        <v>1447</v>
      </c>
      <c r="I412"/>
    </row>
    <row r="413" spans="2:9" ht="59.55" customHeight="1" x14ac:dyDescent="0.3">
      <c r="B413" s="776" t="s">
        <v>1448</v>
      </c>
      <c r="C413" s="776"/>
      <c r="D413" s="776"/>
      <c r="E413" s="776"/>
      <c r="F413" s="776"/>
      <c r="G413" s="776"/>
      <c r="H413" s="776"/>
      <c r="I413" s="54"/>
    </row>
    <row r="414" spans="2:9" ht="14.55" customHeight="1" x14ac:dyDescent="0.3">
      <c r="B414" s="51"/>
      <c r="C414" s="76"/>
      <c r="D414" s="80"/>
      <c r="E414" s="80"/>
      <c r="F414" s="80"/>
      <c r="G414" s="80"/>
      <c r="H414" s="54"/>
    </row>
    <row r="415" spans="2:9" ht="14.55" customHeight="1" x14ac:dyDescent="0.3">
      <c r="B415" s="51"/>
      <c r="C415" s="76"/>
      <c r="D415" s="80"/>
      <c r="E415" s="80"/>
      <c r="F415" s="80"/>
      <c r="G415" s="80"/>
      <c r="H415" s="54"/>
    </row>
    <row r="416" spans="2:9" s="46" customFormat="1" ht="17.399999999999999" x14ac:dyDescent="0.3">
      <c r="B416" s="710" t="s">
        <v>1449</v>
      </c>
      <c r="C416" s="710"/>
      <c r="D416" s="64"/>
      <c r="E416" s="64"/>
      <c r="F416" s="63"/>
      <c r="G416" s="63"/>
      <c r="H416" s="63"/>
      <c r="I416" s="69"/>
    </row>
    <row r="417" spans="1:16" ht="21" x14ac:dyDescent="0.4">
      <c r="A417" s="707"/>
      <c r="B417" s="6"/>
      <c r="C417" s="76"/>
      <c r="D417" s="76"/>
      <c r="E417" s="76"/>
    </row>
    <row r="418" spans="1:16" ht="16.5" customHeight="1" x14ac:dyDescent="0.3">
      <c r="A418" s="707"/>
      <c r="B418" s="763" t="s">
        <v>1450</v>
      </c>
      <c r="C418" s="763"/>
      <c r="D418" s="763"/>
      <c r="E418" s="763"/>
      <c r="F418" s="763"/>
      <c r="G418" s="763"/>
      <c r="H418" s="763"/>
      <c r="I418" s="763"/>
    </row>
    <row r="419" spans="1:16" ht="21" x14ac:dyDescent="0.4">
      <c r="A419" s="707"/>
      <c r="B419" s="6"/>
      <c r="C419" s="76"/>
      <c r="D419" s="65"/>
      <c r="E419" s="76"/>
    </row>
    <row r="420" spans="1:16" ht="16.05" customHeight="1" x14ac:dyDescent="0.3">
      <c r="A420" s="707"/>
      <c r="B420" s="725" t="s">
        <v>344</v>
      </c>
      <c r="C420" s="725" t="s">
        <v>843</v>
      </c>
      <c r="D420" s="725"/>
      <c r="E420" s="725"/>
      <c r="F420" s="725"/>
      <c r="G420" s="725"/>
      <c r="H420" s="725"/>
      <c r="I420" s="725"/>
      <c r="J420" s="725" t="s">
        <v>346</v>
      </c>
      <c r="K420" s="725"/>
    </row>
    <row r="421" spans="1:16" ht="20.100000000000001" customHeight="1" x14ac:dyDescent="0.3">
      <c r="A421" s="707"/>
      <c r="B421" s="725"/>
      <c r="C421" s="725" t="s">
        <v>1451</v>
      </c>
      <c r="D421" s="725"/>
      <c r="E421" s="725"/>
      <c r="F421" s="725"/>
      <c r="G421" s="725"/>
      <c r="H421" s="725"/>
      <c r="I421" s="725"/>
      <c r="J421" s="725"/>
      <c r="K421" s="725"/>
    </row>
    <row r="422" spans="1:16" ht="37.049999999999997" customHeight="1" x14ac:dyDescent="0.3">
      <c r="A422" s="707"/>
      <c r="B422" s="725"/>
      <c r="C422" s="61" t="s">
        <v>1452</v>
      </c>
      <c r="D422" s="61" t="s">
        <v>1453</v>
      </c>
      <c r="E422" s="61" t="s">
        <v>1454</v>
      </c>
      <c r="F422" s="61" t="s">
        <v>1455</v>
      </c>
      <c r="G422" s="61" t="s">
        <v>1456</v>
      </c>
      <c r="H422" s="61" t="s">
        <v>1457</v>
      </c>
      <c r="I422" s="61" t="s">
        <v>1458</v>
      </c>
      <c r="J422" s="725"/>
      <c r="K422" s="725"/>
    </row>
    <row r="423" spans="1:16" ht="40.049999999999997" customHeight="1" x14ac:dyDescent="0.3">
      <c r="A423" s="707"/>
      <c r="B423" s="51">
        <v>2019</v>
      </c>
      <c r="C423" s="575">
        <v>322</v>
      </c>
      <c r="D423" s="575">
        <v>53</v>
      </c>
      <c r="E423" s="575">
        <v>35</v>
      </c>
      <c r="F423" s="575">
        <v>22</v>
      </c>
      <c r="G423" s="575">
        <v>4</v>
      </c>
      <c r="H423" s="575">
        <v>1</v>
      </c>
      <c r="I423" s="575">
        <v>24</v>
      </c>
      <c r="J423" s="749" t="s">
        <v>348</v>
      </c>
      <c r="K423" s="749"/>
      <c r="L423" s="79"/>
      <c r="M423" s="79"/>
      <c r="N423" s="79"/>
      <c r="O423" s="79"/>
      <c r="P423" s="79"/>
    </row>
    <row r="424" spans="1:16" ht="40.049999999999997" customHeight="1" x14ac:dyDescent="0.3">
      <c r="A424" s="707"/>
      <c r="B424" s="51">
        <v>2020</v>
      </c>
      <c r="C424" s="575">
        <v>635</v>
      </c>
      <c r="D424" s="575">
        <v>60</v>
      </c>
      <c r="E424" s="575">
        <v>41</v>
      </c>
      <c r="F424" s="575">
        <v>28</v>
      </c>
      <c r="G424" s="575">
        <v>6</v>
      </c>
      <c r="H424" s="575">
        <v>1</v>
      </c>
      <c r="I424" s="575">
        <v>49</v>
      </c>
      <c r="J424" s="749" t="s">
        <v>350</v>
      </c>
      <c r="K424" s="749"/>
      <c r="L424" s="79"/>
      <c r="M424" s="79"/>
      <c r="N424" s="79"/>
      <c r="O424" s="79"/>
      <c r="P424" s="79"/>
    </row>
    <row r="425" spans="1:16" ht="62.55" customHeight="1" x14ac:dyDescent="0.3">
      <c r="A425" s="707"/>
      <c r="B425" s="51">
        <v>2021</v>
      </c>
      <c r="C425" s="575">
        <v>1198</v>
      </c>
      <c r="D425" s="575">
        <v>60</v>
      </c>
      <c r="E425" s="575">
        <v>42</v>
      </c>
      <c r="F425" s="575">
        <v>26</v>
      </c>
      <c r="G425" s="575">
        <v>7</v>
      </c>
      <c r="H425" s="575">
        <v>1</v>
      </c>
      <c r="I425" s="575">
        <v>29</v>
      </c>
      <c r="J425" s="713" t="s">
        <v>442</v>
      </c>
      <c r="K425" s="713"/>
      <c r="L425" s="79"/>
      <c r="M425" s="79"/>
      <c r="N425" s="79"/>
      <c r="O425" s="79"/>
      <c r="P425" s="79"/>
    </row>
    <row r="426" spans="1:16" ht="49.05" customHeight="1" x14ac:dyDescent="0.3">
      <c r="A426" s="707"/>
      <c r="B426" s="51">
        <v>2022</v>
      </c>
      <c r="C426" s="575">
        <v>523</v>
      </c>
      <c r="D426" s="575">
        <v>53</v>
      </c>
      <c r="E426" s="575">
        <v>36</v>
      </c>
      <c r="F426" s="575">
        <v>20</v>
      </c>
      <c r="G426" s="575">
        <v>5</v>
      </c>
      <c r="H426" s="575">
        <v>0</v>
      </c>
      <c r="I426" s="575">
        <v>26</v>
      </c>
      <c r="J426" s="749" t="s">
        <v>442</v>
      </c>
      <c r="K426" s="749"/>
      <c r="L426" s="79"/>
      <c r="M426" s="79"/>
      <c r="N426" s="79"/>
      <c r="O426" s="79"/>
      <c r="P426" s="79"/>
    </row>
    <row r="427" spans="1:16" ht="40.049999999999997" customHeight="1" x14ac:dyDescent="0.3">
      <c r="A427" s="707"/>
      <c r="B427" s="51">
        <v>2023</v>
      </c>
      <c r="C427" s="575">
        <v>2323</v>
      </c>
      <c r="D427" s="575">
        <v>75</v>
      </c>
      <c r="E427" s="575">
        <v>79</v>
      </c>
      <c r="F427" s="575">
        <v>59</v>
      </c>
      <c r="G427" s="575">
        <v>13</v>
      </c>
      <c r="H427" s="575">
        <v>0</v>
      </c>
      <c r="I427" s="575">
        <v>41</v>
      </c>
      <c r="J427" s="764" t="s">
        <v>6</v>
      </c>
      <c r="K427" s="750"/>
    </row>
    <row r="428" spans="1:16" ht="20.100000000000001" customHeight="1" x14ac:dyDescent="0.3">
      <c r="A428" s="707"/>
      <c r="B428" s="737"/>
      <c r="C428" s="737"/>
      <c r="D428" s="72"/>
      <c r="E428" s="72"/>
      <c r="F428" s="72"/>
      <c r="G428" s="72"/>
      <c r="H428" s="72"/>
    </row>
    <row r="429" spans="1:16" ht="16.05" customHeight="1" x14ac:dyDescent="0.3">
      <c r="B429" s="725" t="s">
        <v>344</v>
      </c>
      <c r="C429" s="725" t="s">
        <v>843</v>
      </c>
      <c r="D429" s="725"/>
      <c r="E429" s="725"/>
      <c r="F429" s="725"/>
      <c r="G429" s="725"/>
      <c r="H429" s="725"/>
      <c r="I429" s="725"/>
      <c r="J429" s="725" t="s">
        <v>346</v>
      </c>
      <c r="K429" s="725"/>
    </row>
    <row r="430" spans="1:16" ht="20.100000000000001" customHeight="1" x14ac:dyDescent="0.3">
      <c r="B430" s="725"/>
      <c r="C430" s="725" t="s">
        <v>1459</v>
      </c>
      <c r="D430" s="725"/>
      <c r="E430" s="725"/>
      <c r="F430" s="725"/>
      <c r="G430" s="725"/>
      <c r="H430" s="725"/>
      <c r="I430" s="725"/>
      <c r="J430" s="725"/>
      <c r="K430" s="725"/>
    </row>
    <row r="431" spans="1:16" ht="27.6" x14ac:dyDescent="0.3">
      <c r="B431" s="725"/>
      <c r="C431" s="61" t="s">
        <v>1460</v>
      </c>
      <c r="D431" s="61" t="s">
        <v>1453</v>
      </c>
      <c r="E431" s="61" t="s">
        <v>1461</v>
      </c>
      <c r="F431" s="61" t="s">
        <v>1455</v>
      </c>
      <c r="G431" s="61" t="s">
        <v>1462</v>
      </c>
      <c r="H431" s="61" t="s">
        <v>1463</v>
      </c>
      <c r="I431" s="61" t="s">
        <v>1464</v>
      </c>
      <c r="J431" s="725"/>
      <c r="K431" s="725"/>
    </row>
    <row r="432" spans="1:16" ht="40.049999999999997" customHeight="1" x14ac:dyDescent="0.3">
      <c r="B432" s="51">
        <v>2019</v>
      </c>
      <c r="C432" s="575">
        <v>0</v>
      </c>
      <c r="D432" s="575">
        <v>50</v>
      </c>
      <c r="E432" s="575">
        <v>0</v>
      </c>
      <c r="F432" s="575">
        <v>47</v>
      </c>
      <c r="G432" s="575">
        <v>14</v>
      </c>
      <c r="H432" s="575">
        <v>0</v>
      </c>
      <c r="I432" s="575">
        <v>6</v>
      </c>
      <c r="J432" s="749" t="s">
        <v>348</v>
      </c>
      <c r="K432" s="749"/>
    </row>
    <row r="433" spans="1:11" ht="40.049999999999997" customHeight="1" x14ac:dyDescent="0.3">
      <c r="B433" s="51">
        <v>2020</v>
      </c>
      <c r="C433" s="575">
        <v>0</v>
      </c>
      <c r="D433" s="575">
        <v>73</v>
      </c>
      <c r="E433" s="575">
        <v>0</v>
      </c>
      <c r="F433" s="575">
        <v>57</v>
      </c>
      <c r="G433" s="575">
        <v>12</v>
      </c>
      <c r="H433" s="575">
        <v>0</v>
      </c>
      <c r="I433" s="575">
        <v>2</v>
      </c>
      <c r="J433" s="749" t="s">
        <v>350</v>
      </c>
      <c r="K433" s="749"/>
    </row>
    <row r="434" spans="1:11" ht="51.6" customHeight="1" x14ac:dyDescent="0.3">
      <c r="B434" s="51">
        <v>2021</v>
      </c>
      <c r="C434" s="575">
        <v>0</v>
      </c>
      <c r="D434" s="575">
        <v>59</v>
      </c>
      <c r="E434" s="575">
        <v>0</v>
      </c>
      <c r="F434" s="575">
        <v>46</v>
      </c>
      <c r="G434" s="575">
        <v>8</v>
      </c>
      <c r="H434" s="575">
        <v>0</v>
      </c>
      <c r="I434" s="575">
        <v>4</v>
      </c>
      <c r="J434" s="713" t="s">
        <v>442</v>
      </c>
      <c r="K434" s="713"/>
    </row>
    <row r="435" spans="1:11" ht="47.1" customHeight="1" x14ac:dyDescent="0.3">
      <c r="B435" s="51">
        <v>2022</v>
      </c>
      <c r="C435" s="575">
        <v>0</v>
      </c>
      <c r="D435" s="575">
        <v>63</v>
      </c>
      <c r="E435" s="575">
        <v>0</v>
      </c>
      <c r="F435" s="575">
        <v>40</v>
      </c>
      <c r="G435" s="575">
        <v>8</v>
      </c>
      <c r="H435" s="575">
        <v>0</v>
      </c>
      <c r="I435" s="575">
        <v>3</v>
      </c>
      <c r="J435" s="749" t="s">
        <v>442</v>
      </c>
      <c r="K435" s="749"/>
    </row>
    <row r="436" spans="1:11" ht="40.049999999999997" customHeight="1" x14ac:dyDescent="0.3">
      <c r="B436" s="51">
        <v>2023</v>
      </c>
      <c r="C436" s="575">
        <v>0</v>
      </c>
      <c r="D436" s="575">
        <v>64</v>
      </c>
      <c r="E436" s="575">
        <v>0</v>
      </c>
      <c r="F436" s="575">
        <v>46</v>
      </c>
      <c r="G436" s="575">
        <v>11</v>
      </c>
      <c r="H436" s="575">
        <v>0</v>
      </c>
      <c r="I436" s="575">
        <v>0</v>
      </c>
      <c r="J436" s="764" t="s">
        <v>6</v>
      </c>
      <c r="K436" s="750"/>
    </row>
    <row r="437" spans="1:11" ht="20.100000000000001" customHeight="1" x14ac:dyDescent="0.3">
      <c r="C437"/>
      <c r="D437"/>
      <c r="E437"/>
      <c r="F437"/>
      <c r="G437"/>
      <c r="H437"/>
      <c r="I437"/>
    </row>
    <row r="438" spans="1:11" ht="20.100000000000001" customHeight="1" x14ac:dyDescent="0.3">
      <c r="C438"/>
      <c r="D438"/>
      <c r="E438"/>
      <c r="F438"/>
      <c r="G438"/>
      <c r="H438"/>
      <c r="I438"/>
    </row>
    <row r="439" spans="1:11" s="46" customFormat="1" ht="17.399999999999999" x14ac:dyDescent="0.3">
      <c r="B439" s="710" t="s">
        <v>1465</v>
      </c>
      <c r="C439" s="710"/>
      <c r="D439" s="710"/>
      <c r="E439" s="64"/>
      <c r="F439" s="63"/>
      <c r="G439" s="63"/>
      <c r="H439" s="63"/>
      <c r="I439" s="69"/>
    </row>
    <row r="440" spans="1:11" ht="20.100000000000001" customHeight="1" x14ac:dyDescent="0.4">
      <c r="A440" s="707"/>
      <c r="B440" s="6"/>
      <c r="C440" s="76"/>
      <c r="D440" s="76"/>
      <c r="E440" s="76"/>
    </row>
    <row r="441" spans="1:11" ht="16.5" customHeight="1" x14ac:dyDescent="0.3">
      <c r="A441" s="707"/>
      <c r="B441" s="763" t="s">
        <v>1466</v>
      </c>
      <c r="C441" s="763"/>
      <c r="D441" s="763"/>
      <c r="E441" s="763"/>
      <c r="F441" s="763"/>
      <c r="G441" s="763"/>
      <c r="H441" s="763"/>
      <c r="I441" s="763"/>
    </row>
    <row r="442" spans="1:11" ht="16.5" customHeight="1" x14ac:dyDescent="0.3">
      <c r="A442" s="707"/>
      <c r="B442" s="59"/>
      <c r="C442" s="58"/>
      <c r="D442" s="58"/>
      <c r="E442" s="58"/>
      <c r="F442" s="58"/>
      <c r="G442" s="58"/>
      <c r="H442" s="58"/>
      <c r="I442" s="58"/>
    </row>
    <row r="443" spans="1:11" ht="16.5" customHeight="1" x14ac:dyDescent="0.3">
      <c r="A443" s="707"/>
      <c r="B443" s="763" t="s">
        <v>1467</v>
      </c>
      <c r="C443" s="763"/>
      <c r="D443" s="763"/>
      <c r="E443" s="763"/>
      <c r="F443" s="763"/>
      <c r="G443" s="763"/>
      <c r="H443" s="763"/>
      <c r="I443" s="763"/>
    </row>
    <row r="444" spans="1:11" ht="16.5" customHeight="1" x14ac:dyDescent="0.3">
      <c r="A444" s="707"/>
      <c r="B444" s="59"/>
      <c r="C444" s="58"/>
      <c r="D444" s="58"/>
      <c r="E444" s="58"/>
      <c r="F444" s="58"/>
      <c r="G444" s="58"/>
      <c r="H444" s="58"/>
      <c r="I444" s="58"/>
    </row>
    <row r="445" spans="1:11" ht="18" customHeight="1" x14ac:dyDescent="0.3">
      <c r="A445" s="707"/>
      <c r="B445" s="725" t="s">
        <v>344</v>
      </c>
      <c r="C445" s="725" t="s">
        <v>843</v>
      </c>
      <c r="D445" s="725"/>
      <c r="E445" s="725"/>
      <c r="F445" s="725"/>
      <c r="G445" s="725"/>
      <c r="H445" s="725"/>
      <c r="I445" s="725" t="s">
        <v>346</v>
      </c>
    </row>
    <row r="446" spans="1:11" ht="18" customHeight="1" x14ac:dyDescent="0.3">
      <c r="A446" s="707"/>
      <c r="B446" s="725"/>
      <c r="C446" s="725" t="s">
        <v>1468</v>
      </c>
      <c r="D446" s="725"/>
      <c r="E446" s="725"/>
      <c r="F446" s="725"/>
      <c r="G446" s="725"/>
      <c r="H446" s="725"/>
      <c r="I446" s="725"/>
    </row>
    <row r="447" spans="1:11" ht="18" customHeight="1" x14ac:dyDescent="0.3">
      <c r="A447" s="707"/>
      <c r="B447" s="725"/>
      <c r="C447" s="753" t="s">
        <v>1469</v>
      </c>
      <c r="D447" s="753"/>
      <c r="E447" s="753" t="s">
        <v>1470</v>
      </c>
      <c r="F447" s="753"/>
      <c r="G447" s="753" t="s">
        <v>1471</v>
      </c>
      <c r="H447" s="753"/>
      <c r="I447" s="725"/>
    </row>
    <row r="448" spans="1:11" ht="40.049999999999997" customHeight="1" x14ac:dyDescent="0.3">
      <c r="A448" s="707"/>
      <c r="B448" s="51">
        <v>2019</v>
      </c>
      <c r="C448" s="750" t="s">
        <v>1472</v>
      </c>
      <c r="D448" s="750"/>
      <c r="E448" s="750" t="s">
        <v>1473</v>
      </c>
      <c r="F448" s="750"/>
      <c r="G448" s="750" t="s">
        <v>1474</v>
      </c>
      <c r="H448" s="750"/>
      <c r="I448" s="56" t="s">
        <v>348</v>
      </c>
    </row>
    <row r="449" spans="1:16" ht="40.049999999999997" customHeight="1" x14ac:dyDescent="0.3">
      <c r="A449" s="707"/>
      <c r="B449" s="51">
        <v>2020</v>
      </c>
      <c r="C449" s="750" t="s">
        <v>1475</v>
      </c>
      <c r="D449" s="750"/>
      <c r="E449" s="750" t="s">
        <v>1476</v>
      </c>
      <c r="F449" s="750"/>
      <c r="G449" s="750" t="s">
        <v>1477</v>
      </c>
      <c r="H449" s="750"/>
      <c r="I449" s="56" t="s">
        <v>350</v>
      </c>
    </row>
    <row r="450" spans="1:16" ht="55.05" customHeight="1" x14ac:dyDescent="0.3">
      <c r="A450" s="707"/>
      <c r="B450" s="51">
        <v>2021</v>
      </c>
      <c r="C450" s="750" t="s">
        <v>1478</v>
      </c>
      <c r="D450" s="750"/>
      <c r="E450" s="750" t="s">
        <v>1479</v>
      </c>
      <c r="F450" s="750"/>
      <c r="G450" s="750" t="s">
        <v>1480</v>
      </c>
      <c r="H450" s="750"/>
      <c r="I450" s="56" t="s">
        <v>442</v>
      </c>
    </row>
    <row r="451" spans="1:16" ht="55.05" customHeight="1" x14ac:dyDescent="0.3">
      <c r="A451" s="707"/>
      <c r="B451" s="51">
        <v>2022</v>
      </c>
      <c r="C451" s="750" t="s">
        <v>1481</v>
      </c>
      <c r="D451" s="750"/>
      <c r="E451" s="750" t="s">
        <v>1482</v>
      </c>
      <c r="F451" s="750"/>
      <c r="G451" s="750" t="s">
        <v>1483</v>
      </c>
      <c r="H451" s="750"/>
      <c r="I451" s="56" t="s">
        <v>442</v>
      </c>
    </row>
    <row r="452" spans="1:16" ht="55.05" customHeight="1" x14ac:dyDescent="0.3">
      <c r="A452" s="707"/>
      <c r="B452" s="51">
        <v>2023</v>
      </c>
      <c r="C452" s="750" t="s">
        <v>1484</v>
      </c>
      <c r="D452" s="750"/>
      <c r="E452" s="750" t="s">
        <v>1485</v>
      </c>
      <c r="F452" s="750"/>
      <c r="G452" s="750" t="s">
        <v>1486</v>
      </c>
      <c r="H452" s="750"/>
      <c r="I452" s="56" t="s">
        <v>442</v>
      </c>
      <c r="J452" s="54"/>
    </row>
    <row r="453" spans="1:16" ht="94.05" customHeight="1" x14ac:dyDescent="0.3">
      <c r="B453" s="713" t="s">
        <v>1487</v>
      </c>
      <c r="C453" s="713"/>
      <c r="D453" s="713"/>
      <c r="E453" s="713"/>
      <c r="F453" s="713"/>
      <c r="G453" s="713"/>
      <c r="H453" s="713"/>
      <c r="I453" s="713"/>
    </row>
    <row r="454" spans="1:16" x14ac:dyDescent="0.3">
      <c r="B454" s="51"/>
      <c r="C454" s="76"/>
      <c r="D454" s="76"/>
      <c r="E454" s="76"/>
    </row>
    <row r="455" spans="1:16" x14ac:dyDescent="0.3">
      <c r="B455" s="51" t="s">
        <v>354</v>
      </c>
      <c r="C455" s="562" t="s">
        <v>1488</v>
      </c>
      <c r="D455" s="76"/>
      <c r="E455" s="76"/>
    </row>
    <row r="456" spans="1:16" x14ac:dyDescent="0.3">
      <c r="B456" s="51"/>
      <c r="C456" s="76"/>
      <c r="D456" s="76"/>
      <c r="E456" s="76"/>
    </row>
    <row r="457" spans="1:16" s="46" customFormat="1" ht="17.399999999999999" x14ac:dyDescent="0.3">
      <c r="B457" s="710" t="s">
        <v>1489</v>
      </c>
      <c r="C457" s="710"/>
      <c r="D457" s="64"/>
      <c r="E457" s="64"/>
      <c r="F457" s="63"/>
      <c r="G457" s="63"/>
      <c r="H457" s="63"/>
      <c r="I457" s="69"/>
    </row>
    <row r="458" spans="1:16" ht="20.100000000000001" customHeight="1" x14ac:dyDescent="0.4">
      <c r="A458" s="707"/>
      <c r="B458" s="6"/>
      <c r="C458" s="76"/>
      <c r="D458" s="76"/>
      <c r="E458" s="76"/>
    </row>
    <row r="459" spans="1:16" ht="16.5" customHeight="1" x14ac:dyDescent="0.3">
      <c r="A459" s="707"/>
      <c r="B459" s="763" t="s">
        <v>1490</v>
      </c>
      <c r="C459" s="763"/>
      <c r="D459" s="763"/>
      <c r="E459" s="763"/>
      <c r="F459" s="763"/>
      <c r="G459" s="763"/>
      <c r="H459" s="763"/>
      <c r="I459" s="763"/>
    </row>
    <row r="460" spans="1:16" ht="20.100000000000001" customHeight="1" x14ac:dyDescent="0.4">
      <c r="A460" s="707"/>
      <c r="B460" s="6"/>
      <c r="C460" s="76"/>
      <c r="D460" s="65"/>
      <c r="E460" s="76"/>
    </row>
    <row r="461" spans="1:16" ht="20.100000000000001" customHeight="1" x14ac:dyDescent="0.3">
      <c r="A461" s="707"/>
      <c r="B461" s="725" t="s">
        <v>344</v>
      </c>
      <c r="C461" s="725" t="s">
        <v>843</v>
      </c>
      <c r="D461" s="725"/>
      <c r="E461" s="725"/>
      <c r="F461" s="725"/>
      <c r="G461" s="725"/>
      <c r="H461" s="725"/>
      <c r="I461" s="725" t="s">
        <v>346</v>
      </c>
    </row>
    <row r="462" spans="1:16" ht="20.100000000000001" customHeight="1" x14ac:dyDescent="0.3">
      <c r="A462" s="707"/>
      <c r="B462" s="725"/>
      <c r="C462" s="725" t="s">
        <v>1491</v>
      </c>
      <c r="D462" s="725"/>
      <c r="E462" s="725"/>
      <c r="F462" s="725"/>
      <c r="G462" s="725"/>
      <c r="H462" s="725"/>
      <c r="I462" s="725"/>
    </row>
    <row r="463" spans="1:16" ht="20.100000000000001" customHeight="1" x14ac:dyDescent="0.3">
      <c r="A463" s="707"/>
      <c r="B463" s="725"/>
      <c r="C463" s="753" t="s">
        <v>1492</v>
      </c>
      <c r="D463" s="753"/>
      <c r="E463" s="753"/>
      <c r="F463" s="753" t="s">
        <v>1493</v>
      </c>
      <c r="G463" s="753"/>
      <c r="H463" s="753"/>
      <c r="I463" s="725"/>
    </row>
    <row r="464" spans="1:16" ht="40.049999999999997" customHeight="1" x14ac:dyDescent="0.3">
      <c r="A464" s="707"/>
      <c r="B464" s="51">
        <v>2019</v>
      </c>
      <c r="C464" s="750" t="s">
        <v>1494</v>
      </c>
      <c r="D464" s="750"/>
      <c r="E464" s="750"/>
      <c r="F464" s="750" t="s">
        <v>1495</v>
      </c>
      <c r="G464" s="750"/>
      <c r="H464" s="750"/>
      <c r="I464" s="56" t="s">
        <v>348</v>
      </c>
      <c r="K464" s="713"/>
      <c r="L464" s="713"/>
      <c r="M464" s="713"/>
      <c r="N464" s="713"/>
      <c r="O464" s="713"/>
      <c r="P464" s="713"/>
    </row>
    <row r="465" spans="1:16" ht="40.049999999999997" customHeight="1" x14ac:dyDescent="0.3">
      <c r="A465" s="707"/>
      <c r="B465" s="51">
        <v>2020</v>
      </c>
      <c r="C465" s="750" t="s">
        <v>1496</v>
      </c>
      <c r="D465" s="750"/>
      <c r="E465" s="750"/>
      <c r="F465" s="750" t="s">
        <v>1495</v>
      </c>
      <c r="G465" s="750"/>
      <c r="H465" s="750"/>
      <c r="I465" s="56" t="s">
        <v>350</v>
      </c>
      <c r="K465" s="713"/>
      <c r="L465" s="713"/>
      <c r="M465" s="713"/>
      <c r="N465" s="713"/>
      <c r="O465" s="713"/>
      <c r="P465" s="713"/>
    </row>
    <row r="466" spans="1:16" ht="55.05" customHeight="1" x14ac:dyDescent="0.3">
      <c r="A466" s="707"/>
      <c r="B466" s="51">
        <v>2021</v>
      </c>
      <c r="C466" s="750" t="s">
        <v>1497</v>
      </c>
      <c r="D466" s="750"/>
      <c r="E466" s="750"/>
      <c r="F466" s="750" t="s">
        <v>1498</v>
      </c>
      <c r="G466" s="750"/>
      <c r="H466" s="750"/>
      <c r="I466" s="56" t="s">
        <v>442</v>
      </c>
      <c r="K466" s="713"/>
      <c r="L466" s="713"/>
      <c r="M466" s="713"/>
      <c r="N466" s="713"/>
      <c r="O466" s="713"/>
      <c r="P466" s="713"/>
    </row>
    <row r="467" spans="1:16" ht="59.1" customHeight="1" x14ac:dyDescent="0.3">
      <c r="A467" s="707"/>
      <c r="B467" s="51">
        <v>2022</v>
      </c>
      <c r="C467" s="750" t="s">
        <v>1499</v>
      </c>
      <c r="D467" s="750"/>
      <c r="E467" s="750"/>
      <c r="F467" s="750" t="s">
        <v>1498</v>
      </c>
      <c r="G467" s="750"/>
      <c r="H467" s="750"/>
      <c r="I467" s="56" t="s">
        <v>442</v>
      </c>
      <c r="K467" s="713"/>
      <c r="L467" s="713"/>
      <c r="M467" s="713"/>
      <c r="N467" s="713"/>
      <c r="O467" s="713"/>
      <c r="P467" s="713"/>
    </row>
    <row r="468" spans="1:16" ht="63.6" customHeight="1" x14ac:dyDescent="0.3">
      <c r="A468" s="707"/>
      <c r="B468" s="51">
        <v>2023</v>
      </c>
      <c r="C468" s="750" t="s">
        <v>1499</v>
      </c>
      <c r="D468" s="750"/>
      <c r="E468" s="750"/>
      <c r="F468" s="750" t="s">
        <v>1498</v>
      </c>
      <c r="G468" s="750"/>
      <c r="H468" s="750"/>
      <c r="I468" s="56" t="s">
        <v>442</v>
      </c>
    </row>
    <row r="469" spans="1:16" ht="53.55" customHeight="1" x14ac:dyDescent="0.3">
      <c r="A469" s="707"/>
      <c r="B469" s="713" t="s">
        <v>1500</v>
      </c>
      <c r="C469" s="713"/>
      <c r="D469" s="713"/>
      <c r="E469" s="713"/>
      <c r="F469" s="713"/>
      <c r="G469" s="713"/>
      <c r="H469" s="713"/>
      <c r="I469" s="713"/>
    </row>
    <row r="470" spans="1:16" ht="20.100000000000001" customHeight="1" x14ac:dyDescent="0.3">
      <c r="B470" s="183"/>
      <c r="C470" s="183"/>
      <c r="D470" s="183"/>
      <c r="E470" s="183"/>
      <c r="F470" s="183"/>
      <c r="G470" s="183"/>
      <c r="H470" s="183"/>
      <c r="I470" s="183"/>
    </row>
    <row r="471" spans="1:16" ht="20.100000000000001" customHeight="1" x14ac:dyDescent="0.3">
      <c r="B471" s="183"/>
      <c r="C471" s="183"/>
      <c r="D471" s="183"/>
      <c r="E471" s="183"/>
      <c r="F471" s="183"/>
      <c r="G471" s="183"/>
      <c r="H471" s="183"/>
      <c r="I471" s="183"/>
    </row>
    <row r="472" spans="1:16" s="46" customFormat="1" ht="17.399999999999999" x14ac:dyDescent="0.3">
      <c r="B472" s="710" t="s">
        <v>1501</v>
      </c>
      <c r="C472" s="710"/>
      <c r="D472" s="64"/>
      <c r="E472" s="64"/>
      <c r="F472" s="63"/>
      <c r="G472" s="63"/>
      <c r="H472" s="63"/>
      <c r="I472" s="69"/>
    </row>
    <row r="473" spans="1:16" ht="21" x14ac:dyDescent="0.4">
      <c r="A473" s="707"/>
      <c r="B473" s="6"/>
      <c r="C473" s="76"/>
      <c r="D473" s="76"/>
      <c r="E473" s="76"/>
      <c r="K473" s="65"/>
    </row>
    <row r="474" spans="1:16" ht="16.5" customHeight="1" x14ac:dyDescent="0.3">
      <c r="A474" s="707"/>
      <c r="B474" s="763" t="s">
        <v>1502</v>
      </c>
      <c r="C474" s="763"/>
      <c r="D474" s="763"/>
      <c r="E474" s="763"/>
      <c r="F474" s="763"/>
      <c r="G474" s="763"/>
      <c r="H474" s="763"/>
      <c r="I474" s="763"/>
    </row>
    <row r="475" spans="1:16" ht="21" x14ac:dyDescent="0.4">
      <c r="A475" s="707"/>
      <c r="B475" s="6"/>
      <c r="C475" s="76"/>
      <c r="E475" s="76"/>
    </row>
    <row r="476" spans="1:16" ht="18" customHeight="1" x14ac:dyDescent="0.3">
      <c r="A476" s="707"/>
      <c r="B476" s="725" t="s">
        <v>344</v>
      </c>
      <c r="C476" s="725" t="s">
        <v>843</v>
      </c>
      <c r="D476" s="725"/>
      <c r="E476" s="725"/>
      <c r="F476" s="725"/>
      <c r="G476" s="725"/>
      <c r="H476" s="725"/>
      <c r="I476" s="725" t="s">
        <v>346</v>
      </c>
    </row>
    <row r="477" spans="1:16" ht="37.5" customHeight="1" x14ac:dyDescent="0.3">
      <c r="A477" s="707"/>
      <c r="B477" s="725"/>
      <c r="C477" s="747" t="s">
        <v>1503</v>
      </c>
      <c r="D477" s="747"/>
      <c r="E477" s="747"/>
      <c r="F477" s="753" t="s">
        <v>1470</v>
      </c>
      <c r="G477" s="753"/>
      <c r="H477" s="753"/>
      <c r="I477" s="725"/>
    </row>
    <row r="478" spans="1:16" ht="45" customHeight="1" x14ac:dyDescent="0.3">
      <c r="A478" s="707"/>
      <c r="B478" s="51">
        <v>2019</v>
      </c>
      <c r="C478" s="750" t="s">
        <v>1504</v>
      </c>
      <c r="D478" s="750"/>
      <c r="E478" s="750"/>
      <c r="F478" s="750" t="s">
        <v>1505</v>
      </c>
      <c r="G478" s="750"/>
      <c r="H478" s="750"/>
      <c r="I478" s="56" t="s">
        <v>348</v>
      </c>
      <c r="K478" s="54"/>
    </row>
    <row r="479" spans="1:16" ht="45" customHeight="1" x14ac:dyDescent="0.3">
      <c r="A479" s="707"/>
      <c r="B479" s="51">
        <v>2020</v>
      </c>
      <c r="C479" s="750" t="s">
        <v>1506</v>
      </c>
      <c r="D479" s="750"/>
      <c r="E479" s="750"/>
      <c r="F479" s="750" t="s">
        <v>1507</v>
      </c>
      <c r="G479" s="750"/>
      <c r="H479" s="750"/>
      <c r="I479" s="56" t="s">
        <v>350</v>
      </c>
      <c r="K479" s="54"/>
    </row>
    <row r="480" spans="1:16" ht="61.5" customHeight="1" x14ac:dyDescent="0.3">
      <c r="A480" s="707"/>
      <c r="B480" s="51">
        <v>2021</v>
      </c>
      <c r="C480" s="750" t="s">
        <v>1508</v>
      </c>
      <c r="D480" s="750"/>
      <c r="E480" s="750"/>
      <c r="F480" s="750" t="s">
        <v>1509</v>
      </c>
      <c r="G480" s="750"/>
      <c r="H480" s="750"/>
      <c r="I480" s="56" t="s">
        <v>442</v>
      </c>
      <c r="K480" s="54"/>
    </row>
    <row r="481" spans="1:11" ht="60" customHeight="1" x14ac:dyDescent="0.3">
      <c r="A481" s="707"/>
      <c r="B481" s="51">
        <v>2022</v>
      </c>
      <c r="C481" s="750" t="s">
        <v>1510</v>
      </c>
      <c r="D481" s="750"/>
      <c r="E481" s="750"/>
      <c r="F481" s="750" t="s">
        <v>1511</v>
      </c>
      <c r="G481" s="750"/>
      <c r="H481" s="750"/>
      <c r="I481" s="56" t="s">
        <v>442</v>
      </c>
      <c r="K481" s="54"/>
    </row>
    <row r="482" spans="1:11" ht="60" customHeight="1" x14ac:dyDescent="0.3">
      <c r="A482" s="707"/>
      <c r="B482" s="51">
        <v>2023</v>
      </c>
      <c r="C482" s="750" t="s">
        <v>1512</v>
      </c>
      <c r="D482" s="750"/>
      <c r="E482" s="750"/>
      <c r="F482" s="750" t="s">
        <v>1513</v>
      </c>
      <c r="G482" s="750"/>
      <c r="H482" s="750"/>
      <c r="I482" s="56" t="s">
        <v>442</v>
      </c>
    </row>
    <row r="483" spans="1:11" ht="74.099999999999994" customHeight="1" x14ac:dyDescent="0.3">
      <c r="A483" s="707"/>
      <c r="B483" s="713" t="s">
        <v>1514</v>
      </c>
      <c r="C483" s="713"/>
      <c r="D483" s="713"/>
      <c r="E483" s="713"/>
      <c r="F483" s="713"/>
      <c r="G483" s="713"/>
      <c r="H483" s="713"/>
      <c r="I483" s="713"/>
    </row>
    <row r="484" spans="1:11" ht="20.100000000000001" customHeight="1" x14ac:dyDescent="0.3">
      <c r="B484" s="71"/>
      <c r="C484" s="71"/>
      <c r="D484" s="71"/>
      <c r="E484" s="71"/>
      <c r="F484" s="71"/>
      <c r="G484" s="71"/>
      <c r="H484" s="71"/>
      <c r="I484" s="71"/>
    </row>
    <row r="485" spans="1:11" ht="20.100000000000001" customHeight="1" x14ac:dyDescent="0.3">
      <c r="B485" s="71"/>
      <c r="C485" s="71"/>
      <c r="D485" s="71"/>
      <c r="E485" s="71"/>
      <c r="F485" s="71"/>
      <c r="G485" s="71"/>
      <c r="H485" s="71"/>
      <c r="I485" s="71"/>
    </row>
    <row r="486" spans="1:11" s="46" customFormat="1" ht="17.399999999999999" x14ac:dyDescent="0.3">
      <c r="B486" s="710" t="s">
        <v>1515</v>
      </c>
      <c r="C486" s="710"/>
      <c r="D486" s="64"/>
      <c r="E486" s="64"/>
      <c r="F486" s="63"/>
      <c r="G486" s="63"/>
      <c r="H486" s="63"/>
      <c r="I486" s="69"/>
    </row>
    <row r="487" spans="1:11" ht="20.100000000000001" customHeight="1" x14ac:dyDescent="0.4">
      <c r="A487" s="707"/>
      <c r="B487" s="6"/>
      <c r="C487" s="76"/>
      <c r="D487" s="76"/>
      <c r="E487" s="76"/>
    </row>
    <row r="488" spans="1:11" ht="16.5" customHeight="1" x14ac:dyDescent="0.3">
      <c r="A488" s="707"/>
      <c r="B488" s="763" t="s">
        <v>1516</v>
      </c>
      <c r="C488" s="763"/>
      <c r="D488" s="763"/>
      <c r="E488" s="763"/>
      <c r="F488" s="763"/>
      <c r="G488" s="763"/>
      <c r="H488" s="763"/>
      <c r="I488" s="763"/>
    </row>
    <row r="489" spans="1:11" ht="20.100000000000001" customHeight="1" x14ac:dyDescent="0.4">
      <c r="A489" s="707"/>
      <c r="B489" s="6"/>
      <c r="C489" s="76"/>
      <c r="D489" s="65"/>
      <c r="E489" s="76"/>
    </row>
    <row r="490" spans="1:11" x14ac:dyDescent="0.3">
      <c r="A490" s="707"/>
      <c r="B490" s="50" t="s">
        <v>344</v>
      </c>
      <c r="C490" s="725" t="s">
        <v>843</v>
      </c>
      <c r="D490" s="725"/>
      <c r="E490" s="725"/>
      <c r="F490" s="725"/>
      <c r="G490" s="725"/>
      <c r="H490" s="725"/>
      <c r="I490" s="50" t="s">
        <v>346</v>
      </c>
    </row>
    <row r="491" spans="1:11" ht="40.049999999999997" customHeight="1" x14ac:dyDescent="0.3">
      <c r="A491" s="707"/>
      <c r="B491" s="51">
        <v>2019</v>
      </c>
      <c r="C491" s="713" t="s">
        <v>1517</v>
      </c>
      <c r="D491" s="713"/>
      <c r="E491" s="713"/>
      <c r="F491" s="713"/>
      <c r="G491" s="713"/>
      <c r="H491" s="713"/>
      <c r="I491" s="56" t="s">
        <v>348</v>
      </c>
    </row>
    <row r="492" spans="1:11" ht="40.049999999999997" customHeight="1" x14ac:dyDescent="0.3">
      <c r="A492" s="707"/>
      <c r="B492" s="51">
        <v>2020</v>
      </c>
      <c r="C492" s="713" t="s">
        <v>1518</v>
      </c>
      <c r="D492" s="713"/>
      <c r="E492" s="713"/>
      <c r="F492" s="713"/>
      <c r="G492" s="713"/>
      <c r="H492" s="713"/>
      <c r="I492" s="56" t="s">
        <v>350</v>
      </c>
    </row>
    <row r="493" spans="1:11" ht="55.05" customHeight="1" x14ac:dyDescent="0.3">
      <c r="A493" s="707"/>
      <c r="B493" s="51">
        <v>2021</v>
      </c>
      <c r="C493" s="713" t="s">
        <v>1518</v>
      </c>
      <c r="D493" s="713"/>
      <c r="E493" s="713"/>
      <c r="F493" s="713"/>
      <c r="G493" s="713"/>
      <c r="H493" s="713"/>
      <c r="I493" s="56" t="s">
        <v>442</v>
      </c>
    </row>
    <row r="494" spans="1:11" ht="55.05" customHeight="1" x14ac:dyDescent="0.3">
      <c r="A494" s="707"/>
      <c r="B494" s="51">
        <v>2022</v>
      </c>
      <c r="C494" s="713" t="s">
        <v>1519</v>
      </c>
      <c r="D494" s="713"/>
      <c r="E494" s="713"/>
      <c r="F494" s="713"/>
      <c r="G494" s="713"/>
      <c r="H494" s="713"/>
      <c r="I494" s="56" t="s">
        <v>442</v>
      </c>
    </row>
    <row r="495" spans="1:11" ht="56.55" customHeight="1" x14ac:dyDescent="0.3">
      <c r="A495" s="707"/>
      <c r="B495" s="51">
        <v>2023</v>
      </c>
      <c r="C495" s="713" t="s">
        <v>2890</v>
      </c>
      <c r="D495" s="713"/>
      <c r="E495" s="713"/>
      <c r="F495" s="713"/>
      <c r="G495" s="713"/>
      <c r="H495" s="713"/>
      <c r="I495" s="56" t="s">
        <v>442</v>
      </c>
    </row>
    <row r="496" spans="1:11" ht="51" customHeight="1" x14ac:dyDescent="0.3">
      <c r="A496" s="707"/>
      <c r="B496" s="713" t="s">
        <v>1520</v>
      </c>
      <c r="C496" s="713"/>
      <c r="D496" s="713"/>
      <c r="E496" s="713"/>
      <c r="F496" s="713"/>
      <c r="G496" s="713"/>
      <c r="H496" s="713"/>
      <c r="I496" s="713"/>
      <c r="K496" s="70"/>
    </row>
    <row r="497" spans="1:9" ht="20.100000000000001" customHeight="1" x14ac:dyDescent="0.4">
      <c r="B497" s="303"/>
      <c r="C497" s="305"/>
      <c r="D497" s="305"/>
      <c r="E497" s="305"/>
      <c r="F497" s="304"/>
      <c r="G497" s="304"/>
      <c r="H497" s="304"/>
      <c r="I497" s="368"/>
    </row>
    <row r="498" spans="1:9" ht="20.100000000000001" customHeight="1" x14ac:dyDescent="0.4">
      <c r="B498" s="6"/>
      <c r="C498" s="76"/>
      <c r="D498" s="76"/>
      <c r="E498" s="76"/>
    </row>
    <row r="499" spans="1:9" s="46" customFormat="1" ht="17.399999999999999" x14ac:dyDescent="0.3">
      <c r="B499" s="710" t="s">
        <v>1521</v>
      </c>
      <c r="C499" s="710"/>
      <c r="D499" s="64"/>
      <c r="E499" s="64"/>
      <c r="F499" s="63"/>
      <c r="G499" s="63"/>
      <c r="H499" s="63"/>
      <c r="I499" s="69"/>
    </row>
    <row r="500" spans="1:9" ht="20.100000000000001" customHeight="1" x14ac:dyDescent="0.4">
      <c r="A500" s="707"/>
      <c r="B500" s="6"/>
      <c r="C500" s="76"/>
      <c r="D500" s="76"/>
      <c r="E500" s="76"/>
    </row>
    <row r="501" spans="1:9" ht="16.5" customHeight="1" x14ac:dyDescent="0.3">
      <c r="A501" s="707"/>
      <c r="B501" s="763" t="s">
        <v>1522</v>
      </c>
      <c r="C501" s="763"/>
      <c r="D501" s="763"/>
      <c r="E501" s="763"/>
      <c r="F501" s="763"/>
      <c r="G501" s="763"/>
      <c r="H501" s="763"/>
      <c r="I501" s="763"/>
    </row>
    <row r="502" spans="1:9" ht="20.100000000000001" customHeight="1" x14ac:dyDescent="0.4">
      <c r="A502" s="707"/>
      <c r="B502" s="6"/>
      <c r="C502" s="76"/>
      <c r="D502" s="65"/>
      <c r="E502" s="76"/>
    </row>
    <row r="503" spans="1:9" x14ac:dyDescent="0.3">
      <c r="A503" s="707"/>
      <c r="B503" s="50" t="s">
        <v>344</v>
      </c>
      <c r="C503" s="725" t="s">
        <v>843</v>
      </c>
      <c r="D503" s="725"/>
      <c r="E503" s="725"/>
      <c r="F503" s="725"/>
      <c r="G503" s="725"/>
      <c r="H503" s="725"/>
      <c r="I503" s="50" t="s">
        <v>346</v>
      </c>
    </row>
    <row r="504" spans="1:9" ht="40.049999999999997" customHeight="1" x14ac:dyDescent="0.3">
      <c r="A504" s="707"/>
      <c r="B504" s="51">
        <v>2019</v>
      </c>
      <c r="C504" s="713" t="s">
        <v>2893</v>
      </c>
      <c r="D504" s="713"/>
      <c r="E504" s="713"/>
      <c r="F504" s="713"/>
      <c r="G504" s="713"/>
      <c r="H504" s="713"/>
      <c r="I504" s="56" t="s">
        <v>348</v>
      </c>
    </row>
    <row r="505" spans="1:9" ht="40.049999999999997" customHeight="1" x14ac:dyDescent="0.3">
      <c r="A505" s="707"/>
      <c r="B505" s="51">
        <v>2020</v>
      </c>
      <c r="C505" s="713" t="s">
        <v>2892</v>
      </c>
      <c r="D505" s="713"/>
      <c r="E505" s="713"/>
      <c r="F505" s="713"/>
      <c r="G505" s="713"/>
      <c r="H505" s="713"/>
      <c r="I505" s="56" t="s">
        <v>350</v>
      </c>
    </row>
    <row r="506" spans="1:9" ht="55.05" customHeight="1" x14ac:dyDescent="0.3">
      <c r="A506" s="707"/>
      <c r="B506" s="51">
        <v>2021</v>
      </c>
      <c r="C506" s="713" t="s">
        <v>2891</v>
      </c>
      <c r="D506" s="713"/>
      <c r="E506" s="713"/>
      <c r="F506" s="713"/>
      <c r="G506" s="713"/>
      <c r="H506" s="713"/>
      <c r="I506" s="56" t="s">
        <v>442</v>
      </c>
    </row>
    <row r="507" spans="1:9" ht="55.05" customHeight="1" x14ac:dyDescent="0.3">
      <c r="A507" s="707"/>
      <c r="B507" s="51">
        <v>2022</v>
      </c>
      <c r="C507" s="713" t="s">
        <v>1523</v>
      </c>
      <c r="D507" s="713"/>
      <c r="E507" s="713"/>
      <c r="F507" s="713"/>
      <c r="G507" s="713"/>
      <c r="H507" s="713"/>
      <c r="I507" s="56" t="s">
        <v>442</v>
      </c>
    </row>
    <row r="508" spans="1:9" ht="43.5" customHeight="1" x14ac:dyDescent="0.3">
      <c r="A508" s="707"/>
      <c r="B508" s="51">
        <v>2023</v>
      </c>
      <c r="C508" s="713" t="s">
        <v>1524</v>
      </c>
      <c r="D508" s="713"/>
      <c r="E508" s="713"/>
      <c r="F508" s="713"/>
      <c r="G508" s="713"/>
      <c r="H508" s="713"/>
      <c r="I508" s="56" t="s">
        <v>442</v>
      </c>
    </row>
    <row r="509" spans="1:9" ht="43.5" customHeight="1" x14ac:dyDescent="0.3">
      <c r="A509" s="707"/>
      <c r="B509" s="713" t="s">
        <v>1525</v>
      </c>
      <c r="C509" s="713"/>
      <c r="D509" s="713"/>
      <c r="E509" s="713"/>
      <c r="F509" s="713"/>
      <c r="G509" s="713"/>
      <c r="H509" s="713"/>
      <c r="I509" s="713"/>
    </row>
    <row r="510" spans="1:9" ht="20.100000000000001" customHeight="1" x14ac:dyDescent="0.4">
      <c r="B510" s="6"/>
      <c r="C510" s="76"/>
      <c r="D510" s="76"/>
      <c r="E510" s="76"/>
    </row>
    <row r="511" spans="1:9" ht="20.100000000000001" customHeight="1" x14ac:dyDescent="0.3">
      <c r="B511" s="51" t="s">
        <v>354</v>
      </c>
      <c r="C511" s="539" t="s">
        <v>1488</v>
      </c>
      <c r="D511" s="76"/>
      <c r="E511" s="76"/>
    </row>
    <row r="512" spans="1:9" ht="20.100000000000001" customHeight="1" x14ac:dyDescent="0.4">
      <c r="B512" s="6"/>
      <c r="C512" s="76"/>
      <c r="D512" s="76"/>
      <c r="E512" s="76"/>
    </row>
    <row r="513" spans="1:9" s="46" customFormat="1" ht="17.399999999999999" x14ac:dyDescent="0.3">
      <c r="B513" s="710" t="s">
        <v>1526</v>
      </c>
      <c r="C513" s="710"/>
      <c r="D513" s="64"/>
      <c r="E513" s="64"/>
      <c r="F513" s="63"/>
      <c r="G513" s="63"/>
      <c r="H513" s="63"/>
      <c r="I513" s="69"/>
    </row>
    <row r="514" spans="1:9" ht="20.100000000000001" customHeight="1" x14ac:dyDescent="0.4">
      <c r="A514" s="707"/>
      <c r="B514" s="6"/>
      <c r="C514" s="76"/>
      <c r="D514" s="76"/>
      <c r="E514" s="76"/>
    </row>
    <row r="515" spans="1:9" ht="16.5" customHeight="1" x14ac:dyDescent="0.3">
      <c r="A515" s="707"/>
      <c r="B515" s="763" t="s">
        <v>1527</v>
      </c>
      <c r="C515" s="763"/>
      <c r="D515" s="763"/>
      <c r="E515" s="763"/>
      <c r="F515" s="763"/>
      <c r="G515" s="763"/>
      <c r="H515" s="763"/>
      <c r="I515" s="763"/>
    </row>
    <row r="516" spans="1:9" ht="20.100000000000001" customHeight="1" x14ac:dyDescent="0.4">
      <c r="A516" s="707"/>
      <c r="B516" s="6"/>
      <c r="C516" s="76"/>
      <c r="D516" s="65"/>
      <c r="E516" s="76"/>
    </row>
    <row r="517" spans="1:9" x14ac:dyDescent="0.3">
      <c r="A517" s="707"/>
      <c r="B517" s="50" t="s">
        <v>344</v>
      </c>
      <c r="C517" s="725" t="s">
        <v>843</v>
      </c>
      <c r="D517" s="725"/>
      <c r="E517" s="725"/>
      <c r="F517" s="725"/>
      <c r="G517" s="725"/>
      <c r="H517" s="725"/>
      <c r="I517" s="50" t="s">
        <v>346</v>
      </c>
    </row>
    <row r="518" spans="1:9" ht="40.049999999999997" customHeight="1" x14ac:dyDescent="0.3">
      <c r="A518" s="707"/>
      <c r="B518" s="51">
        <v>2019</v>
      </c>
      <c r="C518" s="713" t="s">
        <v>1528</v>
      </c>
      <c r="D518" s="713"/>
      <c r="E518" s="713"/>
      <c r="F518" s="713"/>
      <c r="G518" s="713"/>
      <c r="H518" s="713"/>
      <c r="I518" s="56" t="s">
        <v>348</v>
      </c>
    </row>
    <row r="519" spans="1:9" ht="40.049999999999997" customHeight="1" x14ac:dyDescent="0.3">
      <c r="A519" s="707"/>
      <c r="B519" s="51">
        <v>2020</v>
      </c>
      <c r="C519" s="713" t="s">
        <v>1529</v>
      </c>
      <c r="D519" s="713"/>
      <c r="E519" s="713"/>
      <c r="F519" s="713"/>
      <c r="G519" s="713"/>
      <c r="H519" s="713"/>
      <c r="I519" s="56" t="s">
        <v>350</v>
      </c>
    </row>
    <row r="520" spans="1:9" ht="40.049999999999997" customHeight="1" x14ac:dyDescent="0.3">
      <c r="A520" s="707"/>
      <c r="B520" s="51">
        <v>2021</v>
      </c>
      <c r="C520" s="713" t="s">
        <v>1530</v>
      </c>
      <c r="D520" s="713"/>
      <c r="E520" s="713"/>
      <c r="F520" s="713"/>
      <c r="G520" s="713"/>
      <c r="H520" s="713"/>
      <c r="I520" s="485" t="s">
        <v>6</v>
      </c>
    </row>
    <row r="521" spans="1:9" ht="40.049999999999997" customHeight="1" x14ac:dyDescent="0.3">
      <c r="A521" s="707"/>
      <c r="B521" s="51">
        <v>2022</v>
      </c>
      <c r="C521" s="713" t="s">
        <v>1531</v>
      </c>
      <c r="D521" s="713"/>
      <c r="E521" s="713"/>
      <c r="F521" s="713"/>
      <c r="G521" s="713"/>
      <c r="H521" s="713"/>
      <c r="I521" s="485" t="s">
        <v>6</v>
      </c>
    </row>
    <row r="522" spans="1:9" ht="40.049999999999997" customHeight="1" x14ac:dyDescent="0.3">
      <c r="A522" s="707"/>
      <c r="B522" s="51">
        <v>2023</v>
      </c>
      <c r="C522" s="713" t="s">
        <v>1532</v>
      </c>
      <c r="D522" s="713"/>
      <c r="E522" s="713"/>
      <c r="F522" s="713"/>
      <c r="G522" s="713"/>
      <c r="H522" s="713"/>
      <c r="I522" s="485" t="s">
        <v>6</v>
      </c>
    </row>
    <row r="523" spans="1:9" ht="52.05" customHeight="1" x14ac:dyDescent="0.3">
      <c r="A523" s="707"/>
      <c r="B523" s="713" t="s">
        <v>1533</v>
      </c>
      <c r="C523" s="713"/>
      <c r="D523" s="713"/>
      <c r="E523" s="713"/>
      <c r="F523" s="713"/>
      <c r="G523" s="713"/>
      <c r="H523" s="713"/>
      <c r="I523" s="713"/>
    </row>
    <row r="524" spans="1:9" ht="20.100000000000001" customHeight="1" x14ac:dyDescent="0.4">
      <c r="B524" s="6"/>
      <c r="C524" s="76"/>
      <c r="D524" s="76"/>
      <c r="E524" s="76"/>
    </row>
    <row r="525" spans="1:9" ht="20.100000000000001" customHeight="1" x14ac:dyDescent="0.4">
      <c r="B525" s="6"/>
      <c r="C525" s="76"/>
      <c r="D525" s="76"/>
      <c r="E525" s="76"/>
    </row>
    <row r="526" spans="1:9" s="46" customFormat="1" ht="17.399999999999999" x14ac:dyDescent="0.3">
      <c r="B526" s="710" t="s">
        <v>1534</v>
      </c>
      <c r="C526" s="710"/>
      <c r="D526" s="710"/>
      <c r="E526" s="64"/>
      <c r="F526" s="63"/>
      <c r="G526" s="63"/>
      <c r="H526" s="63"/>
      <c r="I526" s="69"/>
    </row>
    <row r="527" spans="1:9" ht="20.100000000000001" customHeight="1" x14ac:dyDescent="0.4">
      <c r="A527" s="707"/>
      <c r="B527" s="6"/>
      <c r="C527" s="76"/>
      <c r="D527" s="76"/>
      <c r="E527" s="76"/>
    </row>
    <row r="528" spans="1:9" ht="16.5" customHeight="1" x14ac:dyDescent="0.3">
      <c r="A528" s="707"/>
      <c r="B528" s="763" t="s">
        <v>1535</v>
      </c>
      <c r="C528" s="763"/>
      <c r="D528" s="763"/>
      <c r="E528" s="763"/>
      <c r="F528" s="763"/>
      <c r="G528" s="763"/>
      <c r="H528" s="763"/>
      <c r="I528" s="763"/>
    </row>
    <row r="529" spans="1:16" ht="20.100000000000001" customHeight="1" x14ac:dyDescent="0.3">
      <c r="A529" s="707"/>
      <c r="B529" s="59"/>
      <c r="C529" s="58"/>
      <c r="D529" s="58"/>
      <c r="E529" s="58"/>
      <c r="F529" s="58"/>
      <c r="G529" s="58"/>
      <c r="H529" s="58"/>
      <c r="I529" s="58"/>
    </row>
    <row r="530" spans="1:16" ht="30.6" customHeight="1" x14ac:dyDescent="0.3">
      <c r="A530" s="707"/>
      <c r="B530" s="739" t="s">
        <v>1536</v>
      </c>
      <c r="C530" s="739"/>
      <c r="D530" s="739"/>
      <c r="E530" s="739"/>
      <c r="F530" s="739"/>
      <c r="G530" s="739"/>
      <c r="H530" s="739"/>
      <c r="I530" s="739"/>
    </row>
    <row r="531" spans="1:16" ht="20.100000000000001" customHeight="1" x14ac:dyDescent="0.4">
      <c r="A531" s="707"/>
      <c r="B531" s="6"/>
      <c r="C531" s="76"/>
      <c r="D531" s="65"/>
      <c r="E531" s="76"/>
    </row>
    <row r="532" spans="1:16" x14ac:dyDescent="0.3">
      <c r="A532" s="707"/>
      <c r="B532" s="725" t="s">
        <v>344</v>
      </c>
      <c r="C532" s="725" t="s">
        <v>843</v>
      </c>
      <c r="D532" s="725"/>
      <c r="E532" s="725"/>
      <c r="F532" s="725"/>
      <c r="G532" s="725"/>
      <c r="H532" s="725"/>
      <c r="I532" s="725" t="s">
        <v>346</v>
      </c>
    </row>
    <row r="533" spans="1:16" ht="20.100000000000001" customHeight="1" x14ac:dyDescent="0.3">
      <c r="A533" s="707"/>
      <c r="B533" s="725"/>
      <c r="C533" s="725" t="s">
        <v>83</v>
      </c>
      <c r="D533" s="725"/>
      <c r="E533" s="725"/>
      <c r="F533" s="725"/>
      <c r="G533" s="725"/>
      <c r="H533" s="725"/>
      <c r="I533" s="725"/>
    </row>
    <row r="534" spans="1:16" x14ac:dyDescent="0.3">
      <c r="A534" s="707"/>
      <c r="B534" s="725"/>
      <c r="C534" s="753" t="s">
        <v>1537</v>
      </c>
      <c r="D534" s="753"/>
      <c r="E534" s="753" t="s">
        <v>1538</v>
      </c>
      <c r="F534" s="753"/>
      <c r="G534" s="753" t="s">
        <v>1539</v>
      </c>
      <c r="H534" s="753"/>
      <c r="I534" s="725"/>
    </row>
    <row r="535" spans="1:16" ht="40.049999999999997" customHeight="1" x14ac:dyDescent="0.3">
      <c r="A535" s="707"/>
      <c r="B535" s="51">
        <v>2019</v>
      </c>
      <c r="C535" s="757" t="s">
        <v>1540</v>
      </c>
      <c r="D535" s="757"/>
      <c r="E535" s="750" t="s">
        <v>1541</v>
      </c>
      <c r="F535" s="757"/>
      <c r="G535" s="757" t="s">
        <v>1542</v>
      </c>
      <c r="H535" s="757"/>
      <c r="I535" s="56" t="s">
        <v>348</v>
      </c>
      <c r="K535" s="713"/>
      <c r="L535" s="713"/>
      <c r="M535" s="713"/>
      <c r="N535" s="713"/>
      <c r="O535" s="713"/>
      <c r="P535" s="713"/>
    </row>
    <row r="536" spans="1:16" ht="40.049999999999997" customHeight="1" x14ac:dyDescent="0.3">
      <c r="A536" s="707"/>
      <c r="B536" s="51">
        <v>2020</v>
      </c>
      <c r="C536" s="750" t="s">
        <v>1543</v>
      </c>
      <c r="D536" s="757"/>
      <c r="E536" s="757" t="s">
        <v>1544</v>
      </c>
      <c r="F536" s="757"/>
      <c r="G536" s="757" t="s">
        <v>1545</v>
      </c>
      <c r="H536" s="757"/>
      <c r="I536" s="56" t="s">
        <v>350</v>
      </c>
      <c r="K536" s="767"/>
      <c r="L536" s="767"/>
      <c r="M536" s="54"/>
      <c r="N536" s="54"/>
      <c r="O536" s="54"/>
      <c r="P536" s="54"/>
    </row>
    <row r="537" spans="1:16" ht="40.049999999999997" customHeight="1" x14ac:dyDescent="0.3">
      <c r="A537" s="707"/>
      <c r="B537" s="51">
        <v>2021</v>
      </c>
      <c r="C537" s="750" t="s">
        <v>1546</v>
      </c>
      <c r="D537" s="757"/>
      <c r="E537" s="750" t="s">
        <v>1547</v>
      </c>
      <c r="F537" s="757"/>
      <c r="G537" s="757" t="s">
        <v>1548</v>
      </c>
      <c r="H537" s="757"/>
      <c r="I537" s="485" t="s">
        <v>6</v>
      </c>
      <c r="K537" s="767"/>
      <c r="L537" s="767"/>
      <c r="M537" s="54"/>
      <c r="N537" s="54"/>
      <c r="O537" s="54"/>
      <c r="P537" s="54"/>
    </row>
    <row r="538" spans="1:16" ht="40.049999999999997" customHeight="1" x14ac:dyDescent="0.3">
      <c r="A538" s="707"/>
      <c r="B538" s="51">
        <v>2022</v>
      </c>
      <c r="C538" s="750" t="s">
        <v>1549</v>
      </c>
      <c r="D538" s="757"/>
      <c r="E538" s="750" t="s">
        <v>1550</v>
      </c>
      <c r="F538" s="757"/>
      <c r="G538" s="757" t="s">
        <v>1551</v>
      </c>
      <c r="H538" s="757"/>
      <c r="I538" s="485" t="s">
        <v>6</v>
      </c>
      <c r="K538" s="767"/>
      <c r="L538" s="767"/>
      <c r="M538" s="54"/>
      <c r="N538" s="54"/>
      <c r="O538" s="54"/>
      <c r="P538" s="54"/>
    </row>
    <row r="539" spans="1:16" ht="40.049999999999997" customHeight="1" x14ac:dyDescent="0.3">
      <c r="A539" s="707"/>
      <c r="B539" s="51">
        <v>2023</v>
      </c>
      <c r="C539" s="750" t="s">
        <v>1552</v>
      </c>
      <c r="D539" s="757"/>
      <c r="E539" s="750" t="s">
        <v>1553</v>
      </c>
      <c r="F539" s="757"/>
      <c r="G539" s="757" t="s">
        <v>1554</v>
      </c>
      <c r="H539" s="757"/>
      <c r="I539" s="485" t="s">
        <v>6</v>
      </c>
      <c r="K539" s="83"/>
    </row>
    <row r="540" spans="1:16" ht="89.25" customHeight="1" x14ac:dyDescent="0.3">
      <c r="B540" s="713" t="s">
        <v>1555</v>
      </c>
      <c r="C540" s="713"/>
      <c r="D540" s="713"/>
      <c r="E540" s="713"/>
      <c r="F540" s="713"/>
      <c r="G540" s="713"/>
      <c r="H540" s="713"/>
      <c r="I540" s="713"/>
    </row>
    <row r="541" spans="1:16" ht="14.55" customHeight="1" x14ac:dyDescent="0.3">
      <c r="B541" s="51"/>
      <c r="C541" s="73"/>
      <c r="D541" s="73"/>
      <c r="E541" s="73"/>
      <c r="F541" s="73"/>
      <c r="G541" s="73"/>
      <c r="H541" s="73"/>
      <c r="I541" s="54"/>
    </row>
    <row r="542" spans="1:16" ht="14.55" customHeight="1" x14ac:dyDescent="0.3">
      <c r="B542" s="51"/>
      <c r="C542" s="73"/>
      <c r="D542" s="73"/>
      <c r="E542" s="73"/>
      <c r="F542" s="73"/>
      <c r="G542" s="73"/>
      <c r="H542" s="73"/>
      <c r="I542" s="54"/>
    </row>
    <row r="543" spans="1:16" ht="14.55" customHeight="1" x14ac:dyDescent="0.3">
      <c r="B543" s="51"/>
      <c r="C543" s="73"/>
      <c r="D543" s="73"/>
      <c r="E543" s="73"/>
      <c r="F543" s="73"/>
      <c r="G543" s="73"/>
      <c r="H543"/>
      <c r="I543"/>
    </row>
    <row r="544" spans="1:16" ht="14.55" customHeight="1" x14ac:dyDescent="0.3">
      <c r="B544" s="51"/>
      <c r="C544" s="73"/>
      <c r="D544" s="73"/>
      <c r="E544" s="73"/>
      <c r="F544" s="73"/>
      <c r="G544" s="73"/>
      <c r="H544"/>
      <c r="I544"/>
    </row>
    <row r="545" spans="2:9" ht="14.55" customHeight="1" x14ac:dyDescent="0.3">
      <c r="B545" s="51"/>
      <c r="C545" s="73"/>
      <c r="D545" s="73"/>
      <c r="E545" s="73"/>
      <c r="F545" s="73"/>
      <c r="G545" s="73"/>
      <c r="H545"/>
      <c r="I545"/>
    </row>
    <row r="546" spans="2:9" ht="14.55" customHeight="1" x14ac:dyDescent="0.3">
      <c r="B546" s="51"/>
      <c r="C546" s="73"/>
      <c r="D546" s="73"/>
      <c r="E546" s="73"/>
      <c r="F546" s="73"/>
      <c r="G546" s="73"/>
      <c r="H546"/>
      <c r="I546"/>
    </row>
    <row r="547" spans="2:9" ht="14.55" customHeight="1" x14ac:dyDescent="0.3">
      <c r="B547" s="51"/>
      <c r="C547" s="73"/>
      <c r="D547" s="73"/>
      <c r="E547" s="73"/>
      <c r="F547" s="73"/>
      <c r="G547" s="73"/>
      <c r="H547"/>
      <c r="I547"/>
    </row>
    <row r="548" spans="2:9" ht="14.55" customHeight="1" x14ac:dyDescent="0.3">
      <c r="B548" s="51"/>
      <c r="C548" s="73"/>
      <c r="D548" s="73"/>
      <c r="E548" s="73"/>
      <c r="F548" s="73"/>
      <c r="G548" s="73"/>
      <c r="H548"/>
      <c r="I548"/>
    </row>
    <row r="549" spans="2:9" ht="14.55" customHeight="1" x14ac:dyDescent="0.3">
      <c r="B549" s="51"/>
      <c r="C549" s="73"/>
      <c r="D549" s="73"/>
      <c r="E549" s="73"/>
      <c r="F549" s="73"/>
      <c r="G549" s="73"/>
      <c r="H549"/>
      <c r="I549"/>
    </row>
    <row r="550" spans="2:9" ht="14.55" customHeight="1" x14ac:dyDescent="0.3">
      <c r="B550" s="51"/>
      <c r="C550" s="73"/>
      <c r="D550" s="73"/>
      <c r="E550" s="73"/>
      <c r="F550" s="73"/>
      <c r="G550" s="73"/>
      <c r="H550"/>
      <c r="I550"/>
    </row>
    <row r="551" spans="2:9" ht="14.55" customHeight="1" x14ac:dyDescent="0.3">
      <c r="B551" s="51"/>
      <c r="C551" s="73"/>
      <c r="D551" s="73"/>
      <c r="E551" s="73"/>
      <c r="F551" s="73"/>
      <c r="G551" s="73"/>
      <c r="H551" s="73"/>
      <c r="I551" s="54"/>
    </row>
    <row r="552" spans="2:9" ht="14.55" customHeight="1" x14ac:dyDescent="0.3">
      <c r="B552" s="51"/>
      <c r="C552" s="73"/>
      <c r="D552" s="73"/>
      <c r="E552" s="73"/>
      <c r="F552" s="73"/>
      <c r="G552" s="73"/>
      <c r="H552" s="73"/>
      <c r="I552" s="54"/>
    </row>
    <row r="553" spans="2:9" ht="14.55" customHeight="1" x14ac:dyDescent="0.3">
      <c r="B553" s="51"/>
      <c r="C553" s="73"/>
      <c r="D553" s="73"/>
      <c r="E553" s="73"/>
      <c r="F553" s="73"/>
      <c r="G553" s="73"/>
      <c r="H553" s="73"/>
      <c r="I553" s="54"/>
    </row>
    <row r="554" spans="2:9" ht="14.55" customHeight="1" x14ac:dyDescent="0.3">
      <c r="B554" s="51"/>
      <c r="C554" s="73"/>
      <c r="D554" s="73"/>
      <c r="E554" s="73"/>
      <c r="F554" s="73"/>
      <c r="G554" s="73"/>
      <c r="H554" s="73"/>
      <c r="I554" s="54"/>
    </row>
    <row r="555" spans="2:9" ht="14.55" customHeight="1" x14ac:dyDescent="0.3">
      <c r="B555" s="51"/>
      <c r="C555" s="73"/>
      <c r="D555" s="73"/>
      <c r="E555" s="73"/>
      <c r="F555" s="73"/>
      <c r="G555" s="73"/>
      <c r="H555" s="73"/>
      <c r="I555" s="54"/>
    </row>
    <row r="556" spans="2:9" ht="14.55" customHeight="1" x14ac:dyDescent="0.3"/>
    <row r="557" spans="2:9" ht="14.55" customHeight="1" x14ac:dyDescent="0.3"/>
    <row r="558" spans="2:9" s="93" customFormat="1" ht="14.55" customHeight="1" x14ac:dyDescent="0.3">
      <c r="I558"/>
    </row>
    <row r="559" spans="2:9" s="93" customFormat="1" ht="14.55" customHeight="1" x14ac:dyDescent="0.3">
      <c r="I559"/>
    </row>
    <row r="560" spans="2:9" s="93" customFormat="1" ht="14.55" customHeight="1" x14ac:dyDescent="0.3">
      <c r="I560"/>
    </row>
    <row r="561" spans="7:9" s="93" customFormat="1" ht="14.55" customHeight="1" x14ac:dyDescent="0.3">
      <c r="I561"/>
    </row>
    <row r="562" spans="7:9" s="93" customFormat="1" ht="14.55" customHeight="1" x14ac:dyDescent="0.3">
      <c r="I562"/>
    </row>
    <row r="563" spans="7:9" s="93" customFormat="1" ht="14.55" customHeight="1" x14ac:dyDescent="0.3">
      <c r="I563"/>
    </row>
    <row r="564" spans="7:9" ht="14.55" customHeight="1" x14ac:dyDescent="0.3">
      <c r="G564"/>
      <c r="I564"/>
    </row>
    <row r="565" spans="7:9" ht="14.55" customHeight="1" x14ac:dyDescent="0.3">
      <c r="G565"/>
      <c r="I565"/>
    </row>
    <row r="566" spans="7:9" ht="14.55" customHeight="1" x14ac:dyDescent="0.3">
      <c r="G566"/>
      <c r="I566"/>
    </row>
    <row r="567" spans="7:9" ht="14.55" customHeight="1" x14ac:dyDescent="0.3">
      <c r="G567"/>
      <c r="I567"/>
    </row>
    <row r="568" spans="7:9" ht="14.55" customHeight="1" x14ac:dyDescent="0.3">
      <c r="G568"/>
      <c r="I568"/>
    </row>
    <row r="569" spans="7:9" ht="14.55" customHeight="1" x14ac:dyDescent="0.3">
      <c r="G569"/>
      <c r="I569"/>
    </row>
    <row r="570" spans="7:9" ht="14.55" customHeight="1" x14ac:dyDescent="0.3">
      <c r="G570"/>
      <c r="I570"/>
    </row>
    <row r="571" spans="7:9" ht="14.55" customHeight="1" x14ac:dyDescent="0.3">
      <c r="G571"/>
      <c r="I571"/>
    </row>
    <row r="572" spans="7:9" ht="14.55" customHeight="1" x14ac:dyDescent="0.3">
      <c r="G572"/>
      <c r="I572"/>
    </row>
    <row r="573" spans="7:9" ht="14.55" customHeight="1" x14ac:dyDescent="0.3">
      <c r="G573"/>
      <c r="I573"/>
    </row>
    <row r="574" spans="7:9" ht="14.55" customHeight="1" x14ac:dyDescent="0.3">
      <c r="G574"/>
      <c r="I574"/>
    </row>
    <row r="575" spans="7:9" ht="14.55" customHeight="1" x14ac:dyDescent="0.3">
      <c r="G575"/>
      <c r="I575"/>
    </row>
    <row r="576" spans="7:9" ht="14.55" customHeight="1" x14ac:dyDescent="0.3">
      <c r="G576"/>
      <c r="I576"/>
    </row>
    <row r="577" spans="5:10" ht="14.55" customHeight="1" x14ac:dyDescent="0.3">
      <c r="G577"/>
      <c r="I577"/>
    </row>
    <row r="578" spans="5:10" ht="14.55" customHeight="1" x14ac:dyDescent="0.3">
      <c r="G578"/>
      <c r="I578"/>
    </row>
    <row r="579" spans="5:10" ht="14.55" customHeight="1" x14ac:dyDescent="0.3">
      <c r="G579"/>
      <c r="I579"/>
    </row>
    <row r="580" spans="5:10" ht="14.55" customHeight="1" x14ac:dyDescent="0.3">
      <c r="G580"/>
      <c r="I580"/>
    </row>
    <row r="581" spans="5:10" ht="14.55" customHeight="1" x14ac:dyDescent="0.3">
      <c r="G581"/>
      <c r="I581"/>
    </row>
    <row r="582" spans="5:10" ht="14.55" customHeight="1" x14ac:dyDescent="0.3">
      <c r="G582"/>
      <c r="I582"/>
    </row>
    <row r="583" spans="5:10" s="93" customFormat="1" ht="14.55" customHeight="1" x14ac:dyDescent="0.3">
      <c r="I583"/>
      <c r="J583"/>
    </row>
    <row r="584" spans="5:10" s="93" customFormat="1" ht="14.55" customHeight="1" x14ac:dyDescent="0.3">
      <c r="J584"/>
    </row>
    <row r="585" spans="5:10" s="93" customFormat="1" ht="14.55" customHeight="1" x14ac:dyDescent="0.3">
      <c r="J585"/>
    </row>
    <row r="586" spans="5:10" s="93" customFormat="1" ht="14.55" customHeight="1" x14ac:dyDescent="0.3">
      <c r="J586"/>
    </row>
    <row r="587" spans="5:10" s="93" customFormat="1" ht="14.55" customHeight="1" x14ac:dyDescent="0.3">
      <c r="J587"/>
    </row>
    <row r="588" spans="5:10" s="93" customFormat="1" ht="14.55" customHeight="1" x14ac:dyDescent="0.3">
      <c r="J588"/>
    </row>
    <row r="589" spans="5:10" ht="14.55" customHeight="1" x14ac:dyDescent="0.3">
      <c r="E589" s="129"/>
      <c r="H589"/>
      <c r="I589"/>
    </row>
    <row r="590" spans="5:10" ht="14.55" customHeight="1" x14ac:dyDescent="0.3">
      <c r="E590" s="129"/>
      <c r="H590"/>
      <c r="I590"/>
    </row>
    <row r="591" spans="5:10" ht="14.55" customHeight="1" x14ac:dyDescent="0.3">
      <c r="E591" s="129"/>
      <c r="H591"/>
      <c r="I591"/>
    </row>
    <row r="592" spans="5:10" ht="14.55" customHeight="1" x14ac:dyDescent="0.3">
      <c r="E592" s="129"/>
      <c r="H592"/>
      <c r="I592"/>
    </row>
    <row r="593" spans="5:9" ht="14.55" customHeight="1" x14ac:dyDescent="0.3">
      <c r="E593" s="129"/>
      <c r="H593"/>
      <c r="I593"/>
    </row>
    <row r="594" spans="5:9" ht="14.55" customHeight="1" x14ac:dyDescent="0.3">
      <c r="E594" s="129"/>
      <c r="H594"/>
      <c r="I594"/>
    </row>
    <row r="595" spans="5:9" ht="14.55" customHeight="1" x14ac:dyDescent="0.3">
      <c r="E595" s="129"/>
      <c r="H595"/>
      <c r="I595"/>
    </row>
    <row r="596" spans="5:9" ht="14.55" customHeight="1" x14ac:dyDescent="0.3">
      <c r="E596" s="129"/>
      <c r="H596"/>
      <c r="I596"/>
    </row>
    <row r="597" spans="5:9" ht="14.55" customHeight="1" x14ac:dyDescent="0.3">
      <c r="E597" s="129"/>
      <c r="H597"/>
      <c r="I597"/>
    </row>
    <row r="598" spans="5:9" ht="14.55" customHeight="1" x14ac:dyDescent="0.3">
      <c r="E598" s="129"/>
      <c r="H598"/>
      <c r="I598"/>
    </row>
    <row r="599" spans="5:9" ht="14.55" customHeight="1" x14ac:dyDescent="0.3">
      <c r="E599" s="129"/>
      <c r="H599"/>
      <c r="I599"/>
    </row>
    <row r="600" spans="5:9" ht="14.55" customHeight="1" x14ac:dyDescent="0.3">
      <c r="E600" s="129"/>
      <c r="H600"/>
      <c r="I600"/>
    </row>
    <row r="601" spans="5:9" ht="14.55" customHeight="1" x14ac:dyDescent="0.3">
      <c r="E601" s="129"/>
      <c r="H601"/>
      <c r="I601"/>
    </row>
    <row r="602" spans="5:9" ht="14.55" customHeight="1" x14ac:dyDescent="0.3">
      <c r="E602" s="129"/>
      <c r="H602"/>
      <c r="I602"/>
    </row>
    <row r="603" spans="5:9" ht="14.55" customHeight="1" x14ac:dyDescent="0.3">
      <c r="E603" s="129"/>
      <c r="H603"/>
      <c r="I603"/>
    </row>
    <row r="604" spans="5:9" ht="14.55" customHeight="1" x14ac:dyDescent="0.3">
      <c r="E604" s="129"/>
      <c r="H604"/>
      <c r="I604"/>
    </row>
    <row r="605" spans="5:9" ht="14.55" customHeight="1" x14ac:dyDescent="0.3">
      <c r="E605" s="129"/>
      <c r="H605"/>
      <c r="I605"/>
    </row>
    <row r="606" spans="5:9" ht="14.55" customHeight="1" x14ac:dyDescent="0.3">
      <c r="E606" s="129"/>
      <c r="H606"/>
      <c r="I606"/>
    </row>
    <row r="607" spans="5:9" ht="14.55" customHeight="1" x14ac:dyDescent="0.3">
      <c r="E607" s="129"/>
      <c r="H607"/>
      <c r="I607"/>
    </row>
    <row r="608" spans="5:9" ht="14.55" customHeight="1" x14ac:dyDescent="0.3">
      <c r="E608" s="129"/>
      <c r="H608"/>
      <c r="I608"/>
    </row>
    <row r="609" spans="1:9" ht="14.55" customHeight="1" x14ac:dyDescent="0.3">
      <c r="E609" s="129"/>
      <c r="H609"/>
      <c r="I609"/>
    </row>
    <row r="610" spans="1:9" ht="14.55" customHeight="1" x14ac:dyDescent="0.3">
      <c r="E610" s="129"/>
      <c r="H610"/>
      <c r="I610"/>
    </row>
    <row r="611" spans="1:9" ht="14.55" customHeight="1" x14ac:dyDescent="0.3">
      <c r="E611" s="129"/>
      <c r="H611"/>
      <c r="I611"/>
    </row>
    <row r="612" spans="1:9" x14ac:dyDescent="0.3">
      <c r="E612" s="129"/>
      <c r="H612"/>
      <c r="I612"/>
    </row>
    <row r="613" spans="1:9" x14ac:dyDescent="0.3">
      <c r="E613" s="129"/>
      <c r="H613"/>
      <c r="I613"/>
    </row>
    <row r="614" spans="1:9" hidden="1" x14ac:dyDescent="0.3">
      <c r="B614" s="119" t="s">
        <v>1556</v>
      </c>
      <c r="C614" s="120" t="s">
        <v>1557</v>
      </c>
      <c r="D614" s="123" t="s">
        <v>1558</v>
      </c>
      <c r="E614" s="125" t="s">
        <v>1559</v>
      </c>
      <c r="F614" s="144" t="s">
        <v>1560</v>
      </c>
      <c r="G614" s="132" t="s">
        <v>1561</v>
      </c>
      <c r="H614" s="117" t="s">
        <v>848</v>
      </c>
      <c r="I614"/>
    </row>
    <row r="615" spans="1:9" hidden="1" x14ac:dyDescent="0.3">
      <c r="B615" s="117">
        <v>2018</v>
      </c>
      <c r="C615" s="121">
        <v>10.239403859188011</v>
      </c>
      <c r="D615" s="124">
        <v>34.988186843316427</v>
      </c>
      <c r="E615" s="126">
        <v>6.8003371414272635</v>
      </c>
      <c r="F615" s="145">
        <v>22.371449295439827</v>
      </c>
      <c r="G615" s="133">
        <v>7.4544903300526189</v>
      </c>
      <c r="H615" s="118">
        <v>81.853867469424159</v>
      </c>
      <c r="I615" s="174">
        <f>SUM(C615:G615)</f>
        <v>81.853867469424145</v>
      </c>
    </row>
    <row r="616" spans="1:9" hidden="1" x14ac:dyDescent="0.3">
      <c r="A616" s="173"/>
      <c r="B616" s="117">
        <v>2019</v>
      </c>
      <c r="C616" s="121">
        <v>12.2</v>
      </c>
      <c r="D616" s="124">
        <v>11.46945509975995</v>
      </c>
      <c r="E616" s="126">
        <v>1.630288472758149</v>
      </c>
      <c r="F616" s="145">
        <v>11.772102048780473</v>
      </c>
      <c r="G616" s="133">
        <v>3.1604107619988087</v>
      </c>
      <c r="H616" s="118">
        <v>40.299999999999997</v>
      </c>
      <c r="I616" s="174">
        <f t="shared" ref="I616:I627" si="1">SUM(C616:G616)</f>
        <v>40.232256383297383</v>
      </c>
    </row>
    <row r="617" spans="1:9" hidden="1" x14ac:dyDescent="0.3">
      <c r="B617" s="117">
        <v>2020</v>
      </c>
      <c r="C617" s="121">
        <v>15.233664864952649</v>
      </c>
      <c r="D617" s="124">
        <v>14.1</v>
      </c>
      <c r="E617" s="126">
        <v>0.48540657080069183</v>
      </c>
      <c r="F617" s="145">
        <v>16.491128467041626</v>
      </c>
      <c r="G617" s="133">
        <v>0.89677540005381406</v>
      </c>
      <c r="H617" s="118">
        <v>47.172452093091216</v>
      </c>
      <c r="I617" s="174">
        <f t="shared" si="1"/>
        <v>47.206975302848775</v>
      </c>
    </row>
    <row r="618" spans="1:9" hidden="1" x14ac:dyDescent="0.3">
      <c r="B618" s="117">
        <v>2021</v>
      </c>
      <c r="C618" s="121">
        <v>8</v>
      </c>
      <c r="D618" s="184">
        <v>18.100000000000001</v>
      </c>
      <c r="E618" s="126">
        <v>3.0103290491851427</v>
      </c>
      <c r="F618" s="145">
        <v>18.256472403974399</v>
      </c>
      <c r="G618" s="133">
        <v>1.4435588983861978</v>
      </c>
      <c r="H618" s="186">
        <v>48.8</v>
      </c>
      <c r="I618" s="174">
        <f t="shared" si="1"/>
        <v>48.810360351545739</v>
      </c>
    </row>
    <row r="619" spans="1:9" hidden="1" x14ac:dyDescent="0.3">
      <c r="B619" s="117">
        <v>2022</v>
      </c>
      <c r="C619" s="121">
        <v>5.7445160006041869</v>
      </c>
      <c r="D619" s="124">
        <v>19.814409896228945</v>
      </c>
      <c r="E619" s="126">
        <v>2.8353228385375067</v>
      </c>
      <c r="F619" s="145">
        <v>15.6339163140909</v>
      </c>
      <c r="G619" s="133">
        <v>0.8</v>
      </c>
      <c r="H619" s="118">
        <v>44.8</v>
      </c>
      <c r="I619" s="174">
        <f t="shared" si="1"/>
        <v>44.828165049461532</v>
      </c>
    </row>
    <row r="620" spans="1:9" hidden="1" x14ac:dyDescent="0.3">
      <c r="B620" s="117">
        <v>2023</v>
      </c>
      <c r="C620" s="121">
        <v>13</v>
      </c>
      <c r="D620" s="124">
        <v>16.949689381119573</v>
      </c>
      <c r="E620" s="126">
        <v>2.9769025960128896</v>
      </c>
      <c r="F620" s="145">
        <v>16.086095621923512</v>
      </c>
      <c r="G620" s="133">
        <v>0.76320812853861086</v>
      </c>
      <c r="H620" s="118">
        <v>49.8</v>
      </c>
      <c r="I620" s="174"/>
    </row>
    <row r="621" spans="1:9" hidden="1" x14ac:dyDescent="0.3">
      <c r="E621" s="129"/>
      <c r="H621"/>
      <c r="I621" s="174"/>
    </row>
    <row r="622" spans="1:9" hidden="1" x14ac:dyDescent="0.3">
      <c r="B622" s="119" t="s">
        <v>1562</v>
      </c>
      <c r="C622" s="120" t="s">
        <v>1557</v>
      </c>
      <c r="D622" s="123" t="s">
        <v>1558</v>
      </c>
      <c r="E622" s="127" t="s">
        <v>1563</v>
      </c>
      <c r="F622" s="144" t="s">
        <v>1560</v>
      </c>
      <c r="G622" s="132" t="s">
        <v>1561</v>
      </c>
      <c r="H622" s="117" t="s">
        <v>606</v>
      </c>
      <c r="I622" s="174"/>
    </row>
    <row r="623" spans="1:9" hidden="1" x14ac:dyDescent="0.3">
      <c r="B623" s="117">
        <v>2018</v>
      </c>
      <c r="C623" s="121">
        <v>132.48746955107734</v>
      </c>
      <c r="D623" s="124">
        <v>28.590795733465164</v>
      </c>
      <c r="E623" s="128">
        <v>5.7539999999999996</v>
      </c>
      <c r="F623" s="145">
        <v>2.4787408543881182</v>
      </c>
      <c r="G623" s="133">
        <v>1.4262858225386796</v>
      </c>
      <c r="H623" s="118">
        <v>170.73729196146931</v>
      </c>
      <c r="I623" s="174">
        <f t="shared" si="1"/>
        <v>170.73729196146931</v>
      </c>
    </row>
    <row r="624" spans="1:9" hidden="1" x14ac:dyDescent="0.3">
      <c r="B624" s="117">
        <v>2019</v>
      </c>
      <c r="C624" s="121">
        <v>70.969172961952637</v>
      </c>
      <c r="D624" s="124">
        <v>11.446451202415265</v>
      </c>
      <c r="E624" s="128">
        <v>0</v>
      </c>
      <c r="F624" s="145">
        <v>2.3452623461131683</v>
      </c>
      <c r="G624" s="133">
        <v>1.5334423662042918</v>
      </c>
      <c r="H624" s="118">
        <v>86.29432887668537</v>
      </c>
      <c r="I624" s="174">
        <f t="shared" si="1"/>
        <v>86.29432887668537</v>
      </c>
    </row>
    <row r="625" spans="1:10" hidden="1" x14ac:dyDescent="0.3">
      <c r="B625" s="117">
        <v>2020</v>
      </c>
      <c r="C625" s="121">
        <v>90.19872854796057</v>
      </c>
      <c r="D625" s="124">
        <v>7.4888043483130362</v>
      </c>
      <c r="E625" s="128">
        <v>0</v>
      </c>
      <c r="F625" s="145">
        <v>0.46578988446884217</v>
      </c>
      <c r="G625" s="133">
        <v>0.91393726115782703</v>
      </c>
      <c r="H625" s="118">
        <v>99.067260041900283</v>
      </c>
      <c r="I625" s="174">
        <f t="shared" si="1"/>
        <v>99.067260041900283</v>
      </c>
    </row>
    <row r="626" spans="1:10" hidden="1" x14ac:dyDescent="0.3">
      <c r="B626" s="117">
        <v>2021</v>
      </c>
      <c r="C626" s="121">
        <v>66.104142699669239</v>
      </c>
      <c r="D626" s="185">
        <v>8.1999999999999993</v>
      </c>
      <c r="E626" s="128">
        <v>0</v>
      </c>
      <c r="F626" s="145">
        <v>2.0387858885210055</v>
      </c>
      <c r="G626" s="133">
        <v>1.1668473886087598</v>
      </c>
      <c r="H626" s="186">
        <v>77.5</v>
      </c>
      <c r="I626" s="174">
        <f t="shared" si="1"/>
        <v>77.509775976799006</v>
      </c>
    </row>
    <row r="627" spans="1:10" hidden="1" x14ac:dyDescent="0.3">
      <c r="B627" s="117">
        <v>2022</v>
      </c>
      <c r="C627" s="121">
        <v>66.5</v>
      </c>
      <c r="D627" s="124">
        <v>7.1</v>
      </c>
      <c r="E627" s="128">
        <v>0</v>
      </c>
      <c r="F627" s="145">
        <v>1.9059471294114501</v>
      </c>
      <c r="G627" s="133">
        <v>0.2</v>
      </c>
      <c r="H627" s="118">
        <v>75.8</v>
      </c>
      <c r="I627" s="174">
        <f t="shared" si="1"/>
        <v>75.705947129411442</v>
      </c>
    </row>
    <row r="628" spans="1:10" hidden="1" x14ac:dyDescent="0.3">
      <c r="B628" s="117">
        <v>2023</v>
      </c>
      <c r="C628" s="121">
        <v>71.407087222826519</v>
      </c>
      <c r="D628" s="124">
        <v>8.0759959744788556</v>
      </c>
      <c r="E628" s="128">
        <v>0</v>
      </c>
      <c r="F628" s="145">
        <v>1.8826148244643499</v>
      </c>
      <c r="G628" s="133">
        <v>0.23258030311386649</v>
      </c>
      <c r="H628" s="118">
        <v>81.599999999999994</v>
      </c>
      <c r="I628" s="174"/>
    </row>
    <row r="629" spans="1:10" hidden="1" x14ac:dyDescent="0.3">
      <c r="E629" s="129"/>
      <c r="H629"/>
      <c r="I629"/>
    </row>
    <row r="630" spans="1:10" s="93" customFormat="1" hidden="1" x14ac:dyDescent="0.3">
      <c r="B630" s="119" t="s">
        <v>1564</v>
      </c>
      <c r="C630" s="120" t="s">
        <v>1557</v>
      </c>
      <c r="D630" s="123" t="s">
        <v>1558</v>
      </c>
      <c r="E630" s="130" t="s">
        <v>1565</v>
      </c>
      <c r="F630" s="117" t="s">
        <v>848</v>
      </c>
      <c r="H630"/>
      <c r="I630"/>
      <c r="J630"/>
    </row>
    <row r="631" spans="1:10" s="93" customFormat="1" hidden="1" x14ac:dyDescent="0.3">
      <c r="B631" s="117">
        <v>2018</v>
      </c>
      <c r="C631" s="121">
        <v>5.1001628491320501</v>
      </c>
      <c r="D631" s="124">
        <v>2.4101972733281682</v>
      </c>
      <c r="E631" s="131">
        <v>0.56282147200446098</v>
      </c>
      <c r="F631" s="118">
        <v>8.0734546358094192</v>
      </c>
      <c r="G631" s="175">
        <f>SUM(C631:E631)</f>
        <v>8.0731815944646801</v>
      </c>
      <c r="H631"/>
      <c r="I631"/>
      <c r="J631"/>
    </row>
    <row r="632" spans="1:10" s="93" customFormat="1" hidden="1" x14ac:dyDescent="0.3">
      <c r="B632" s="117">
        <v>2019</v>
      </c>
      <c r="C632" s="121">
        <v>6.6</v>
      </c>
      <c r="D632" s="124">
        <v>2.0668426581422761</v>
      </c>
      <c r="E632" s="131">
        <v>0.38111575655099589</v>
      </c>
      <c r="F632" s="118">
        <v>9</v>
      </c>
      <c r="G632" s="175">
        <f t="shared" ref="G632:G635" si="2">SUM(C632:E632)</f>
        <v>9.0479584146932712</v>
      </c>
      <c r="H632"/>
      <c r="I632"/>
      <c r="J632"/>
    </row>
    <row r="633" spans="1:10" s="93" customFormat="1" hidden="1" x14ac:dyDescent="0.3">
      <c r="B633" s="117">
        <v>2020</v>
      </c>
      <c r="C633" s="121">
        <v>7.3285132933361563</v>
      </c>
      <c r="D633" s="124">
        <v>1.6494568973313881</v>
      </c>
      <c r="E633" s="131">
        <v>0.13541435145495767</v>
      </c>
      <c r="F633" s="118">
        <v>9.1133845421225015</v>
      </c>
      <c r="G633" s="175">
        <f t="shared" si="2"/>
        <v>9.1133845421225033</v>
      </c>
      <c r="H633"/>
      <c r="I633"/>
      <c r="J633"/>
    </row>
    <row r="634" spans="1:10" s="93" customFormat="1" hidden="1" x14ac:dyDescent="0.3">
      <c r="B634" s="117">
        <v>2021</v>
      </c>
      <c r="C634" s="121">
        <v>3.3128790481011454</v>
      </c>
      <c r="D634" s="124">
        <v>1.3644237777911932</v>
      </c>
      <c r="E634" s="131">
        <v>0.13671232517464069</v>
      </c>
      <c r="F634" s="186">
        <v>4.9000000000000004</v>
      </c>
      <c r="G634" s="175">
        <f t="shared" si="2"/>
        <v>4.8140151510669789</v>
      </c>
      <c r="H634"/>
      <c r="I634"/>
      <c r="J634"/>
    </row>
    <row r="635" spans="1:10" s="93" customFormat="1" hidden="1" x14ac:dyDescent="0.3">
      <c r="B635" s="117">
        <v>2022</v>
      </c>
      <c r="C635" s="122">
        <v>2.6</v>
      </c>
      <c r="D635" s="124">
        <v>1.5790550352456705</v>
      </c>
      <c r="E635" s="131">
        <v>0</v>
      </c>
      <c r="F635" s="118">
        <v>4.2</v>
      </c>
      <c r="G635" s="175">
        <f t="shared" si="2"/>
        <v>4.1790550352456703</v>
      </c>
      <c r="H635"/>
      <c r="I635"/>
      <c r="J635"/>
    </row>
    <row r="636" spans="1:10" hidden="1" x14ac:dyDescent="0.3">
      <c r="B636" s="117">
        <v>2023</v>
      </c>
      <c r="C636" s="122">
        <v>4.69658529726326</v>
      </c>
      <c r="D636" s="124">
        <v>1.9510325913787459</v>
      </c>
      <c r="E636" s="131">
        <v>0</v>
      </c>
      <c r="F636" s="118">
        <v>6.7</v>
      </c>
      <c r="G636" s="175">
        <f>SUM(C636:E636)</f>
        <v>6.6476178886420056</v>
      </c>
      <c r="H636"/>
      <c r="I636"/>
    </row>
    <row r="637" spans="1:10" hidden="1" x14ac:dyDescent="0.3"/>
    <row r="638" spans="1:10" ht="20.100000000000001" customHeight="1" x14ac:dyDescent="0.3">
      <c r="B638" s="51"/>
      <c r="C638" s="72"/>
      <c r="D638" s="72"/>
      <c r="E638" s="72"/>
      <c r="F638" s="72"/>
      <c r="G638" s="72"/>
      <c r="H638" s="72"/>
      <c r="I638" s="54"/>
    </row>
    <row r="639" spans="1:10" s="46" customFormat="1" ht="17.399999999999999" x14ac:dyDescent="0.3">
      <c r="B639" s="710" t="s">
        <v>1566</v>
      </c>
      <c r="C639" s="710"/>
      <c r="D639" s="64"/>
      <c r="E639" s="64"/>
      <c r="F639" s="63"/>
      <c r="G639" s="63"/>
      <c r="H639" s="63"/>
      <c r="I639" s="69"/>
    </row>
    <row r="640" spans="1:10" ht="21" x14ac:dyDescent="0.4">
      <c r="A640" s="707"/>
      <c r="B640" s="6"/>
      <c r="C640" s="76"/>
      <c r="D640" s="76"/>
      <c r="E640" s="76"/>
    </row>
    <row r="641" spans="1:9" ht="16.5" customHeight="1" x14ac:dyDescent="0.3">
      <c r="A641" s="707"/>
      <c r="B641" s="763" t="s">
        <v>1567</v>
      </c>
      <c r="C641" s="763"/>
      <c r="D641" s="763"/>
      <c r="E641" s="763"/>
      <c r="F641" s="763"/>
      <c r="G641" s="763"/>
      <c r="H641" s="763"/>
      <c r="I641" s="763"/>
    </row>
    <row r="642" spans="1:9" ht="21" x14ac:dyDescent="0.4">
      <c r="A642" s="707"/>
      <c r="B642" s="6"/>
      <c r="C642" s="76"/>
      <c r="D642" s="76"/>
      <c r="E642" s="76"/>
    </row>
    <row r="643" spans="1:9" x14ac:dyDescent="0.3">
      <c r="A643" s="707"/>
      <c r="B643" s="50" t="s">
        <v>344</v>
      </c>
      <c r="C643" s="725" t="s">
        <v>843</v>
      </c>
      <c r="D643" s="725"/>
      <c r="E643" s="725"/>
      <c r="F643" s="725"/>
      <c r="G643" s="725"/>
      <c r="H643" s="725"/>
      <c r="I643" s="50" t="s">
        <v>346</v>
      </c>
    </row>
    <row r="644" spans="1:9" ht="55.05" customHeight="1" x14ac:dyDescent="0.3">
      <c r="A644" s="707"/>
      <c r="B644" s="51">
        <v>2022</v>
      </c>
      <c r="C644" s="709" t="s">
        <v>1568</v>
      </c>
      <c r="D644" s="709"/>
      <c r="E644" s="709"/>
      <c r="F644" s="709"/>
      <c r="G644" s="709"/>
      <c r="H644" s="709"/>
      <c r="I644" s="485" t="s">
        <v>6</v>
      </c>
    </row>
    <row r="645" spans="1:9" ht="55.05" customHeight="1" x14ac:dyDescent="0.3">
      <c r="A645" s="707"/>
      <c r="B645" s="51">
        <v>2023</v>
      </c>
      <c r="C645" s="732" t="s">
        <v>1569</v>
      </c>
      <c r="D645" s="732"/>
      <c r="E645" s="732"/>
      <c r="F645" s="732"/>
      <c r="G645" s="732"/>
      <c r="H645" s="732"/>
      <c r="I645" s="485" t="s">
        <v>6</v>
      </c>
    </row>
    <row r="646" spans="1:9" ht="15" customHeight="1" x14ac:dyDescent="0.4">
      <c r="B646" s="6"/>
      <c r="C646" s="76"/>
      <c r="D646" s="76"/>
      <c r="E646" s="76"/>
    </row>
    <row r="647" spans="1:9" ht="15" customHeight="1" x14ac:dyDescent="0.4">
      <c r="B647" s="6"/>
      <c r="C647" s="76"/>
      <c r="D647" s="76"/>
      <c r="E647" s="76"/>
    </row>
    <row r="648" spans="1:9" s="46" customFormat="1" ht="17.399999999999999" x14ac:dyDescent="0.3">
      <c r="B648" s="710" t="s">
        <v>1570</v>
      </c>
      <c r="C648" s="710"/>
      <c r="D648" s="64"/>
      <c r="E648" s="64"/>
      <c r="F648" s="63"/>
      <c r="G648" s="63"/>
      <c r="H648" s="63"/>
      <c r="I648" s="69"/>
    </row>
    <row r="649" spans="1:9" ht="21" x14ac:dyDescent="0.4">
      <c r="B649" s="6"/>
      <c r="C649" s="76"/>
      <c r="D649" s="76"/>
      <c r="E649" s="76"/>
    </row>
    <row r="650" spans="1:9" ht="16.5" customHeight="1" x14ac:dyDescent="0.3">
      <c r="B650" s="763" t="s">
        <v>1571</v>
      </c>
      <c r="C650" s="763"/>
      <c r="D650" s="763"/>
      <c r="E650" s="763"/>
      <c r="F650" s="763"/>
      <c r="G650" s="763"/>
      <c r="H650" s="763"/>
      <c r="I650" s="763"/>
    </row>
    <row r="651" spans="1:9" ht="21" x14ac:dyDescent="0.4">
      <c r="B651" s="6"/>
      <c r="C651" s="76"/>
      <c r="D651" s="76"/>
      <c r="E651" s="76"/>
    </row>
    <row r="652" spans="1:9" x14ac:dyDescent="0.3">
      <c r="B652" s="50" t="s">
        <v>344</v>
      </c>
      <c r="C652" s="725" t="s">
        <v>843</v>
      </c>
      <c r="D652" s="725"/>
      <c r="E652" s="725"/>
      <c r="F652" s="725"/>
      <c r="G652" s="725"/>
      <c r="H652" s="725"/>
      <c r="I652" s="50" t="s">
        <v>346</v>
      </c>
    </row>
    <row r="653" spans="1:9" ht="178.5" customHeight="1" x14ac:dyDescent="0.3">
      <c r="B653" s="51">
        <v>2022</v>
      </c>
      <c r="C653" s="709" t="s">
        <v>1572</v>
      </c>
      <c r="D653" s="709"/>
      <c r="E653" s="709"/>
      <c r="F653" s="709"/>
      <c r="G653" s="709"/>
      <c r="H653" s="709"/>
      <c r="I653" s="485" t="s">
        <v>6</v>
      </c>
    </row>
    <row r="654" spans="1:9" ht="259.5" customHeight="1" x14ac:dyDescent="0.3">
      <c r="B654" s="51">
        <v>2023</v>
      </c>
      <c r="C654" s="732" t="s">
        <v>1573</v>
      </c>
      <c r="D654" s="732"/>
      <c r="E654" s="732"/>
      <c r="F654" s="732"/>
      <c r="G654" s="732"/>
      <c r="H654" s="732"/>
      <c r="I654" s="485" t="s">
        <v>6</v>
      </c>
    </row>
    <row r="655" spans="1:9" ht="15" customHeight="1" x14ac:dyDescent="0.4">
      <c r="B655" s="6"/>
      <c r="C655" s="76"/>
      <c r="D655" s="76"/>
      <c r="E655" s="76"/>
    </row>
    <row r="656" spans="1:9" ht="15" customHeight="1" x14ac:dyDescent="0.4">
      <c r="B656" s="6"/>
      <c r="C656" s="76"/>
      <c r="D656" s="76"/>
      <c r="E656" s="76"/>
    </row>
    <row r="657" spans="1:9" s="46" customFormat="1" ht="17.399999999999999" x14ac:dyDescent="0.3">
      <c r="B657" s="710" t="s">
        <v>1574</v>
      </c>
      <c r="C657" s="710"/>
      <c r="D657" s="64"/>
      <c r="E657" s="64"/>
      <c r="F657" s="63"/>
      <c r="G657" s="63"/>
      <c r="H657" s="63"/>
      <c r="I657" s="69"/>
    </row>
    <row r="658" spans="1:9" ht="21" x14ac:dyDescent="0.4">
      <c r="A658" s="707"/>
      <c r="B658" s="6"/>
      <c r="C658" s="76"/>
      <c r="D658" s="76"/>
      <c r="E658" s="76"/>
    </row>
    <row r="659" spans="1:9" ht="16.5" customHeight="1" x14ac:dyDescent="0.3">
      <c r="A659" s="707"/>
      <c r="B659" s="763" t="s">
        <v>1575</v>
      </c>
      <c r="C659" s="763"/>
      <c r="D659" s="763"/>
      <c r="E659" s="763"/>
      <c r="F659" s="763"/>
      <c r="G659" s="763"/>
      <c r="H659" s="763"/>
      <c r="I659" s="763"/>
    </row>
    <row r="660" spans="1:9" ht="21" x14ac:dyDescent="0.4">
      <c r="A660" s="707"/>
      <c r="B660" s="6"/>
      <c r="C660" s="76"/>
      <c r="D660" s="76"/>
      <c r="E660" s="76"/>
    </row>
    <row r="661" spans="1:9" ht="18" customHeight="1" x14ac:dyDescent="0.3">
      <c r="A661" s="707"/>
      <c r="B661" s="725" t="s">
        <v>344</v>
      </c>
      <c r="C661" s="725" t="s">
        <v>843</v>
      </c>
      <c r="D661" s="725"/>
      <c r="E661" s="725"/>
      <c r="F661" s="725"/>
      <c r="G661" s="725"/>
      <c r="H661" s="725"/>
      <c r="I661" s="725" t="s">
        <v>346</v>
      </c>
    </row>
    <row r="662" spans="1:9" ht="18" customHeight="1" x14ac:dyDescent="0.3">
      <c r="A662" s="707"/>
      <c r="B662" s="725"/>
      <c r="C662" s="725" t="s">
        <v>1576</v>
      </c>
      <c r="D662" s="725"/>
      <c r="E662" s="725"/>
      <c r="F662" s="725"/>
      <c r="G662" s="725"/>
      <c r="H662" s="725"/>
      <c r="I662" s="725"/>
    </row>
    <row r="663" spans="1:9" ht="18" customHeight="1" x14ac:dyDescent="0.3">
      <c r="A663" s="707"/>
      <c r="B663" s="725"/>
      <c r="C663" s="753" t="s">
        <v>1577</v>
      </c>
      <c r="D663" s="753"/>
      <c r="E663" s="753" t="s">
        <v>1578</v>
      </c>
      <c r="F663" s="753"/>
      <c r="G663" s="753" t="s">
        <v>848</v>
      </c>
      <c r="H663" s="753"/>
      <c r="I663" s="725"/>
    </row>
    <row r="664" spans="1:9" ht="20.100000000000001" customHeight="1" x14ac:dyDescent="0.3">
      <c r="A664" s="707"/>
      <c r="B664" s="51">
        <v>2022</v>
      </c>
      <c r="C664" s="762" t="s">
        <v>1579</v>
      </c>
      <c r="D664" s="762"/>
      <c r="E664" s="762" t="s">
        <v>1580</v>
      </c>
      <c r="F664" s="762"/>
      <c r="G664" s="762" t="s">
        <v>1581</v>
      </c>
      <c r="H664" s="762"/>
      <c r="I664" s="461" t="s">
        <v>6</v>
      </c>
    </row>
    <row r="665" spans="1:9" ht="20.100000000000001" customHeight="1" x14ac:dyDescent="0.3">
      <c r="A665" s="707"/>
      <c r="B665" s="51">
        <v>2023</v>
      </c>
      <c r="C665" s="766" t="s">
        <v>1582</v>
      </c>
      <c r="D665" s="766"/>
      <c r="E665" s="766" t="s">
        <v>1583</v>
      </c>
      <c r="F665" s="766"/>
      <c r="G665" s="766" t="s">
        <v>1584</v>
      </c>
      <c r="H665" s="766"/>
      <c r="I665" s="461" t="s">
        <v>6</v>
      </c>
    </row>
    <row r="666" spans="1:9" ht="20.100000000000001" customHeight="1" x14ac:dyDescent="0.4">
      <c r="A666" s="707"/>
      <c r="B666" s="6"/>
      <c r="C666" s="76"/>
      <c r="D666" s="76"/>
      <c r="E666" s="76"/>
    </row>
    <row r="667" spans="1:9" ht="15" customHeight="1" x14ac:dyDescent="0.4">
      <c r="A667" s="707"/>
      <c r="B667" s="6"/>
      <c r="C667" s="76"/>
      <c r="D667" s="76"/>
      <c r="E667" s="76"/>
    </row>
    <row r="668" spans="1:9" ht="15" customHeight="1" x14ac:dyDescent="0.3">
      <c r="A668" s="707"/>
      <c r="C668"/>
      <c r="D668"/>
      <c r="E668"/>
    </row>
    <row r="669" spans="1:9" ht="15" customHeight="1" x14ac:dyDescent="0.3">
      <c r="A669" s="707"/>
      <c r="C669"/>
      <c r="D669"/>
      <c r="E669"/>
    </row>
    <row r="670" spans="1:9" ht="15" customHeight="1" x14ac:dyDescent="0.3">
      <c r="A670" s="707"/>
      <c r="C670"/>
      <c r="D670"/>
      <c r="E670"/>
    </row>
    <row r="671" spans="1:9" ht="15" customHeight="1" x14ac:dyDescent="0.3">
      <c r="A671" s="707"/>
      <c r="C671"/>
      <c r="D671"/>
      <c r="E671"/>
    </row>
    <row r="672" spans="1:9" ht="15" customHeight="1" x14ac:dyDescent="0.3">
      <c r="A672" s="707"/>
      <c r="C672"/>
      <c r="D672"/>
      <c r="E672"/>
    </row>
    <row r="673" spans="1:9" ht="15" customHeight="1" x14ac:dyDescent="0.3">
      <c r="A673" s="707"/>
      <c r="C673"/>
      <c r="D673"/>
      <c r="E673"/>
    </row>
    <row r="674" spans="1:9" ht="15" customHeight="1" x14ac:dyDescent="0.4">
      <c r="A674" s="707"/>
      <c r="B674" s="6"/>
      <c r="C674" s="76"/>
      <c r="D674" s="76"/>
      <c r="E674" s="76"/>
    </row>
    <row r="675" spans="1:9" ht="15" customHeight="1" x14ac:dyDescent="0.4">
      <c r="A675" s="707"/>
      <c r="B675" s="6"/>
      <c r="C675" s="76"/>
      <c r="D675" s="76"/>
      <c r="E675" s="76"/>
    </row>
    <row r="676" spans="1:9" ht="15" customHeight="1" x14ac:dyDescent="0.4">
      <c r="A676" s="707"/>
      <c r="B676" s="6"/>
      <c r="C676" s="76"/>
      <c r="D676" s="76"/>
      <c r="E676" s="76"/>
    </row>
    <row r="677" spans="1:9" ht="15" customHeight="1" x14ac:dyDescent="0.4">
      <c r="A677" s="707"/>
      <c r="B677" s="6"/>
      <c r="C677" s="76"/>
      <c r="D677" s="76"/>
      <c r="E677" s="76"/>
    </row>
    <row r="678" spans="1:9" ht="15" customHeight="1" x14ac:dyDescent="0.4">
      <c r="A678" s="707"/>
      <c r="B678" s="6"/>
      <c r="C678" s="76"/>
      <c r="D678" s="76"/>
      <c r="E678" s="76"/>
    </row>
    <row r="679" spans="1:9" ht="15" customHeight="1" x14ac:dyDescent="0.4">
      <c r="A679" s="707"/>
      <c r="B679" s="6"/>
      <c r="C679" s="76"/>
      <c r="D679" s="76"/>
      <c r="E679" s="76"/>
    </row>
    <row r="680" spans="1:9" ht="15" customHeight="1" x14ac:dyDescent="0.4">
      <c r="A680" s="707"/>
      <c r="B680" s="6"/>
      <c r="C680" s="76"/>
      <c r="D680" s="76"/>
      <c r="E680" s="76"/>
    </row>
    <row r="681" spans="1:9" ht="15" customHeight="1" x14ac:dyDescent="0.4">
      <c r="A681" s="707"/>
      <c r="B681" s="6"/>
      <c r="C681" s="76"/>
      <c r="D681" s="76"/>
      <c r="E681" s="76"/>
    </row>
    <row r="682" spans="1:9" ht="15" customHeight="1" x14ac:dyDescent="0.4">
      <c r="A682" s="707"/>
      <c r="B682" s="6"/>
      <c r="C682" s="76"/>
      <c r="D682" s="76"/>
      <c r="E682" s="76"/>
    </row>
    <row r="683" spans="1:9" ht="15" customHeight="1" x14ac:dyDescent="0.4">
      <c r="A683" s="707"/>
      <c r="B683" s="6"/>
      <c r="C683" s="76"/>
      <c r="D683" s="76"/>
      <c r="E683" s="76"/>
    </row>
    <row r="684" spans="1:9" ht="21" x14ac:dyDescent="0.4">
      <c r="B684" s="6"/>
      <c r="C684" s="76"/>
      <c r="D684" s="76"/>
      <c r="E684" s="76"/>
    </row>
    <row r="685" spans="1:9" hidden="1" x14ac:dyDescent="0.3">
      <c r="B685" s="135" t="s">
        <v>344</v>
      </c>
      <c r="C685" s="136" t="s">
        <v>1577</v>
      </c>
      <c r="D685" s="136" t="s">
        <v>1578</v>
      </c>
      <c r="E685" s="136" t="s">
        <v>848</v>
      </c>
      <c r="I685"/>
    </row>
    <row r="686" spans="1:9" hidden="1" x14ac:dyDescent="0.3">
      <c r="B686" s="134">
        <v>2019</v>
      </c>
      <c r="C686" s="374">
        <v>46.544753315000008</v>
      </c>
      <c r="D686" s="374">
        <v>650.98858267100002</v>
      </c>
      <c r="E686" s="374">
        <v>697.533335986</v>
      </c>
      <c r="I686"/>
    </row>
    <row r="687" spans="1:9" hidden="1" x14ac:dyDescent="0.3">
      <c r="B687" s="134">
        <v>2020</v>
      </c>
      <c r="C687" s="374">
        <v>40.475177047999999</v>
      </c>
      <c r="D687" s="374">
        <v>710.80178721930008</v>
      </c>
      <c r="E687" s="374">
        <v>751.27696426730006</v>
      </c>
      <c r="I687"/>
    </row>
    <row r="688" spans="1:9" hidden="1" x14ac:dyDescent="0.3">
      <c r="B688" s="134">
        <v>2021</v>
      </c>
      <c r="C688" s="374">
        <v>39.450894428400012</v>
      </c>
      <c r="D688" s="374">
        <v>498.87077576999991</v>
      </c>
      <c r="E688" s="374">
        <v>538.32167019839994</v>
      </c>
      <c r="I688"/>
    </row>
    <row r="689" spans="1:9" hidden="1" x14ac:dyDescent="0.3">
      <c r="B689" s="134">
        <v>2022</v>
      </c>
      <c r="C689" s="374">
        <v>51.79</v>
      </c>
      <c r="D689" s="374">
        <v>548.64</v>
      </c>
      <c r="E689" s="374">
        <v>600.44000000000005</v>
      </c>
      <c r="I689"/>
    </row>
    <row r="690" spans="1:9" hidden="1" x14ac:dyDescent="0.3">
      <c r="B690" s="134">
        <v>2023</v>
      </c>
      <c r="C690" s="374">
        <v>92.738489286090001</v>
      </c>
      <c r="D690" s="374">
        <v>636.6</v>
      </c>
      <c r="E690" s="374">
        <v>729.1</v>
      </c>
      <c r="I690"/>
    </row>
    <row r="691" spans="1:9" ht="21" hidden="1" x14ac:dyDescent="0.4">
      <c r="B691" s="6"/>
      <c r="C691" s="76"/>
      <c r="D691" s="76"/>
      <c r="E691" s="76"/>
    </row>
    <row r="692" spans="1:9" ht="20.100000000000001" customHeight="1" x14ac:dyDescent="0.4">
      <c r="B692" s="6"/>
      <c r="C692" s="76"/>
      <c r="D692" s="76"/>
      <c r="E692" s="76"/>
    </row>
    <row r="693" spans="1:9" s="46" customFormat="1" ht="17.399999999999999" x14ac:dyDescent="0.3">
      <c r="B693" s="710" t="s">
        <v>1585</v>
      </c>
      <c r="C693" s="710"/>
      <c r="D693" s="64"/>
      <c r="E693" s="64"/>
      <c r="F693" s="63"/>
      <c r="G693" s="63"/>
      <c r="H693" s="63"/>
      <c r="I693" s="69"/>
    </row>
    <row r="694" spans="1:9" ht="21" x14ac:dyDescent="0.4">
      <c r="A694" s="707"/>
      <c r="B694" s="6"/>
      <c r="C694" s="76"/>
      <c r="D694" s="76"/>
      <c r="E694" s="76"/>
    </row>
    <row r="695" spans="1:9" x14ac:dyDescent="0.3">
      <c r="A695" s="707"/>
      <c r="B695" s="763" t="s">
        <v>1586</v>
      </c>
      <c r="C695" s="763"/>
      <c r="D695" s="763"/>
      <c r="E695" s="763"/>
      <c r="F695" s="763"/>
      <c r="G695" s="763"/>
      <c r="H695" s="763"/>
      <c r="I695" s="763"/>
    </row>
    <row r="696" spans="1:9" ht="13.05" customHeight="1" x14ac:dyDescent="0.4">
      <c r="A696" s="707"/>
      <c r="B696" s="6"/>
      <c r="C696" s="76"/>
      <c r="D696" s="76"/>
      <c r="E696" s="76"/>
    </row>
    <row r="697" spans="1:9" ht="16.5" customHeight="1" x14ac:dyDescent="0.3">
      <c r="A697" s="707"/>
      <c r="B697" s="763" t="s">
        <v>1587</v>
      </c>
      <c r="C697" s="763"/>
      <c r="D697" s="763"/>
      <c r="E697" s="763"/>
      <c r="F697" s="763"/>
      <c r="G697" s="763"/>
      <c r="H697" s="763"/>
      <c r="I697" s="763"/>
    </row>
    <row r="698" spans="1:9" ht="21" x14ac:dyDescent="0.4">
      <c r="A698" s="707"/>
      <c r="B698" s="6"/>
      <c r="C698" s="76"/>
      <c r="D698" s="76"/>
      <c r="E698" s="76"/>
    </row>
    <row r="699" spans="1:9" ht="18" customHeight="1" x14ac:dyDescent="0.3">
      <c r="A699" s="707"/>
      <c r="B699" s="725" t="s">
        <v>344</v>
      </c>
      <c r="C699" s="725" t="s">
        <v>843</v>
      </c>
      <c r="D699" s="725"/>
      <c r="E699" s="725"/>
      <c r="F699" s="725"/>
      <c r="G699" s="725"/>
      <c r="H699" s="725"/>
      <c r="I699" s="725" t="s">
        <v>346</v>
      </c>
    </row>
    <row r="700" spans="1:9" ht="18" customHeight="1" x14ac:dyDescent="0.3">
      <c r="A700" s="707"/>
      <c r="B700" s="725"/>
      <c r="C700" s="725" t="s">
        <v>1588</v>
      </c>
      <c r="D700" s="725"/>
      <c r="E700" s="725"/>
      <c r="F700" s="725"/>
      <c r="G700" s="725"/>
      <c r="H700" s="725"/>
      <c r="I700" s="725"/>
    </row>
    <row r="701" spans="1:9" ht="32.1" customHeight="1" x14ac:dyDescent="0.3">
      <c r="A701" s="707"/>
      <c r="B701" s="725"/>
      <c r="C701" s="747" t="s">
        <v>1589</v>
      </c>
      <c r="D701" s="747"/>
      <c r="E701" s="753" t="s">
        <v>1590</v>
      </c>
      <c r="F701" s="753"/>
      <c r="G701" s="60" t="s">
        <v>1591</v>
      </c>
      <c r="H701" s="60" t="s">
        <v>848</v>
      </c>
      <c r="I701" s="725"/>
    </row>
    <row r="702" spans="1:9" ht="20.100000000000001" customHeight="1" x14ac:dyDescent="0.3">
      <c r="A702" s="707"/>
      <c r="B702" s="51">
        <v>2022</v>
      </c>
      <c r="C702" s="762" t="s">
        <v>1592</v>
      </c>
      <c r="D702" s="762"/>
      <c r="E702" s="762" t="s">
        <v>1593</v>
      </c>
      <c r="F702" s="762"/>
      <c r="G702" s="484" t="s">
        <v>1594</v>
      </c>
      <c r="H702" s="484" t="s">
        <v>1595</v>
      </c>
      <c r="I702" s="563" t="s">
        <v>6</v>
      </c>
    </row>
    <row r="703" spans="1:9" ht="20.100000000000001" customHeight="1" x14ac:dyDescent="0.3">
      <c r="A703" s="707"/>
      <c r="B703" s="51">
        <v>2023</v>
      </c>
      <c r="C703" s="766" t="s">
        <v>1596</v>
      </c>
      <c r="D703" s="766"/>
      <c r="E703" s="766" t="s">
        <v>1597</v>
      </c>
      <c r="F703" s="766"/>
      <c r="G703" s="657" t="s">
        <v>1598</v>
      </c>
      <c r="H703" s="657" t="s">
        <v>1599</v>
      </c>
      <c r="I703" s="563" t="s">
        <v>6</v>
      </c>
    </row>
    <row r="704" spans="1:9" ht="20.100000000000001" customHeight="1" x14ac:dyDescent="0.4">
      <c r="A704" s="707"/>
      <c r="B704" s="6"/>
      <c r="C704" s="305"/>
      <c r="D704" s="305"/>
      <c r="E704" s="305"/>
      <c r="F704" s="304"/>
      <c r="G704" s="304"/>
      <c r="H704" s="304"/>
    </row>
    <row r="705" spans="1:5" ht="15" customHeight="1" x14ac:dyDescent="0.4">
      <c r="A705" s="707"/>
      <c r="B705" s="6"/>
      <c r="C705" s="76"/>
      <c r="D705" s="76"/>
      <c r="E705" s="76"/>
    </row>
    <row r="706" spans="1:5" ht="15" customHeight="1" x14ac:dyDescent="0.4">
      <c r="A706" s="707"/>
      <c r="B706" s="6"/>
      <c r="C706" s="76"/>
      <c r="D706" s="76"/>
      <c r="E706" s="76"/>
    </row>
    <row r="707" spans="1:5" ht="15" customHeight="1" x14ac:dyDescent="0.4">
      <c r="A707" s="707"/>
      <c r="B707" s="6"/>
      <c r="C707" s="76"/>
      <c r="D707" s="76"/>
      <c r="E707" s="76"/>
    </row>
    <row r="708" spans="1:5" ht="15" customHeight="1" x14ac:dyDescent="0.4">
      <c r="A708" s="707"/>
      <c r="B708" s="6"/>
      <c r="C708" s="76"/>
      <c r="D708" s="76"/>
      <c r="E708" s="76"/>
    </row>
    <row r="709" spans="1:5" ht="15" customHeight="1" x14ac:dyDescent="0.4">
      <c r="A709" s="707"/>
      <c r="B709" s="6"/>
      <c r="C709" s="76"/>
      <c r="D709" s="76"/>
      <c r="E709" s="76"/>
    </row>
    <row r="710" spans="1:5" ht="15" customHeight="1" x14ac:dyDescent="0.4">
      <c r="A710" s="707"/>
      <c r="B710" s="6"/>
      <c r="C710" s="76"/>
      <c r="D710" s="76"/>
      <c r="E710" s="76"/>
    </row>
    <row r="711" spans="1:5" ht="15" customHeight="1" x14ac:dyDescent="0.4">
      <c r="A711" s="707"/>
      <c r="B711" s="6"/>
      <c r="C711" s="76"/>
      <c r="D711" s="76"/>
      <c r="E711" s="76"/>
    </row>
    <row r="712" spans="1:5" ht="15" customHeight="1" x14ac:dyDescent="0.3">
      <c r="A712" s="707"/>
      <c r="C712" s="76"/>
      <c r="D712" s="76"/>
      <c r="E712" s="76"/>
    </row>
    <row r="713" spans="1:5" ht="15" customHeight="1" x14ac:dyDescent="0.3">
      <c r="A713" s="707"/>
      <c r="C713" s="76"/>
      <c r="D713" s="76"/>
      <c r="E713" s="76"/>
    </row>
    <row r="714" spans="1:5" ht="15" customHeight="1" x14ac:dyDescent="0.3">
      <c r="A714" s="707"/>
      <c r="C714" s="76"/>
      <c r="D714" s="76"/>
      <c r="E714" s="76"/>
    </row>
    <row r="715" spans="1:5" ht="15" customHeight="1" x14ac:dyDescent="0.3">
      <c r="A715" s="707"/>
      <c r="C715" s="76"/>
      <c r="D715" s="76"/>
      <c r="E715" s="76"/>
    </row>
    <row r="716" spans="1:5" ht="15" customHeight="1" x14ac:dyDescent="0.3">
      <c r="A716" s="707"/>
      <c r="C716" s="76"/>
      <c r="D716" s="76"/>
      <c r="E716" s="76"/>
    </row>
    <row r="717" spans="1:5" ht="15" customHeight="1" x14ac:dyDescent="0.3">
      <c r="A717" s="707"/>
      <c r="C717" s="76"/>
      <c r="D717" s="76"/>
      <c r="E717" s="76"/>
    </row>
    <row r="718" spans="1:5" ht="15" customHeight="1" x14ac:dyDescent="0.3">
      <c r="A718" s="707"/>
      <c r="C718" s="76"/>
      <c r="D718" s="76"/>
      <c r="E718" s="76"/>
    </row>
    <row r="719" spans="1:5" ht="15" customHeight="1" x14ac:dyDescent="0.3">
      <c r="A719" s="707"/>
      <c r="C719" s="76"/>
      <c r="D719" s="76"/>
      <c r="E719" s="76"/>
    </row>
    <row r="720" spans="1:5" ht="15" customHeight="1" x14ac:dyDescent="0.3">
      <c r="A720" s="707"/>
      <c r="C720" s="76"/>
      <c r="D720" s="76"/>
      <c r="E720" s="76"/>
    </row>
    <row r="721" spans="2:9" ht="15" customHeight="1" x14ac:dyDescent="0.3">
      <c r="C721" s="76"/>
      <c r="D721" s="76"/>
      <c r="E721" s="76"/>
    </row>
    <row r="722" spans="2:9" ht="15" customHeight="1" x14ac:dyDescent="0.3">
      <c r="C722" s="76"/>
      <c r="D722" s="76"/>
      <c r="E722" s="76"/>
    </row>
    <row r="723" spans="2:9" x14ac:dyDescent="0.3">
      <c r="C723" s="76"/>
      <c r="D723" s="76"/>
      <c r="E723" s="76"/>
    </row>
    <row r="724" spans="2:9" x14ac:dyDescent="0.3">
      <c r="C724"/>
      <c r="D724"/>
      <c r="E724"/>
      <c r="F724"/>
      <c r="G724"/>
    </row>
    <row r="725" spans="2:9" hidden="1" x14ac:dyDescent="0.3">
      <c r="B725" s="211" t="s">
        <v>1600</v>
      </c>
      <c r="C725" s="212">
        <v>2018</v>
      </c>
      <c r="D725" s="212">
        <v>2019</v>
      </c>
      <c r="E725" s="212">
        <v>2020</v>
      </c>
      <c r="F725" s="212">
        <v>2021</v>
      </c>
      <c r="G725" s="212">
        <v>2022</v>
      </c>
      <c r="H725" s="212">
        <v>2023</v>
      </c>
    </row>
    <row r="726" spans="2:9" ht="26.4" hidden="1" x14ac:dyDescent="0.3">
      <c r="B726" s="213" t="s">
        <v>1589</v>
      </c>
      <c r="C726" s="347">
        <v>352.06815092999994</v>
      </c>
      <c r="D726" s="347">
        <v>354.34474816299996</v>
      </c>
      <c r="E726" s="347">
        <v>428.93763737999996</v>
      </c>
      <c r="F726" s="347">
        <v>307.29142097300002</v>
      </c>
      <c r="G726" s="348">
        <v>356.75</v>
      </c>
      <c r="H726" s="347">
        <v>351.1</v>
      </c>
    </row>
    <row r="727" spans="2:9" hidden="1" x14ac:dyDescent="0.3">
      <c r="B727" s="213" t="s">
        <v>1601</v>
      </c>
      <c r="C727" s="347">
        <v>304.61980116999996</v>
      </c>
      <c r="D727" s="347">
        <v>309.25137194199999</v>
      </c>
      <c r="E727" s="347">
        <v>281.48177996799996</v>
      </c>
      <c r="F727" s="347">
        <v>208.33702756399998</v>
      </c>
      <c r="G727" s="348">
        <v>187.62</v>
      </c>
      <c r="H727" s="347">
        <v>312.2</v>
      </c>
    </row>
    <row r="728" spans="2:9" hidden="1" x14ac:dyDescent="0.3">
      <c r="B728" s="213" t="s">
        <v>1602</v>
      </c>
      <c r="C728" s="347">
        <v>12.169248738999997</v>
      </c>
      <c r="D728" s="347">
        <v>18.374900133000004</v>
      </c>
      <c r="E728" s="347">
        <v>18.317663528000001</v>
      </c>
      <c r="F728" s="347">
        <v>21.359586875000002</v>
      </c>
      <c r="G728" s="348">
        <v>32.54</v>
      </c>
      <c r="H728" s="347">
        <v>57.8</v>
      </c>
    </row>
    <row r="729" spans="2:9" hidden="1" x14ac:dyDescent="0.3">
      <c r="B729" s="213" t="s">
        <v>848</v>
      </c>
      <c r="C729" s="347">
        <v>668.8572008389998</v>
      </c>
      <c r="D729" s="347">
        <v>681.97102023799994</v>
      </c>
      <c r="E729" s="347">
        <v>728.73708087599994</v>
      </c>
      <c r="F729" s="347">
        <v>536.98803541199993</v>
      </c>
      <c r="G729" s="348">
        <v>576.91</v>
      </c>
      <c r="H729" s="347">
        <v>721.1</v>
      </c>
    </row>
    <row r="730" spans="2:9" ht="21" hidden="1" x14ac:dyDescent="0.4">
      <c r="B730" s="214"/>
      <c r="C730" s="218"/>
      <c r="D730" s="218"/>
      <c r="E730" s="218"/>
      <c r="F730" s="218"/>
      <c r="G730" s="218"/>
      <c r="H730"/>
    </row>
    <row r="731" spans="2:9" hidden="1" x14ac:dyDescent="0.3">
      <c r="B731" s="211" t="s">
        <v>1600</v>
      </c>
      <c r="C731" s="212">
        <v>2022</v>
      </c>
      <c r="D731" s="215"/>
      <c r="E731" s="215"/>
      <c r="F731" s="216"/>
      <c r="G731" s="217"/>
    </row>
    <row r="732" spans="2:9" ht="39.6" hidden="1" x14ac:dyDescent="0.3">
      <c r="B732" s="213" t="s">
        <v>1603</v>
      </c>
      <c r="C732" s="347">
        <v>356.75</v>
      </c>
      <c r="D732" s="215"/>
      <c r="E732" s="215"/>
      <c r="F732" s="216"/>
      <c r="G732" s="217"/>
    </row>
    <row r="733" spans="2:9" hidden="1" x14ac:dyDescent="0.3">
      <c r="B733" s="213" t="s">
        <v>1601</v>
      </c>
      <c r="C733" s="347">
        <v>187.62</v>
      </c>
      <c r="D733" s="215"/>
      <c r="E733" s="215"/>
      <c r="F733" s="216"/>
      <c r="G733" s="216"/>
    </row>
    <row r="734" spans="2:9" hidden="1" x14ac:dyDescent="0.3">
      <c r="B734" s="213" t="s">
        <v>1602</v>
      </c>
      <c r="C734" s="347">
        <v>32.54</v>
      </c>
      <c r="D734" s="215"/>
      <c r="E734" s="215"/>
      <c r="F734" s="216"/>
      <c r="G734" s="216"/>
    </row>
    <row r="735" spans="2:9" ht="32.1" customHeight="1" x14ac:dyDescent="0.3">
      <c r="B735" s="730" t="s">
        <v>1604</v>
      </c>
      <c r="C735" s="730"/>
      <c r="D735" s="730"/>
      <c r="E735" s="730"/>
      <c r="F735" s="730"/>
      <c r="G735" s="730"/>
      <c r="H735" s="730"/>
      <c r="I735" s="730"/>
    </row>
    <row r="736" spans="2:9" ht="20.100000000000001" customHeight="1" x14ac:dyDescent="0.4">
      <c r="B736" s="6"/>
      <c r="C736" s="76"/>
      <c r="D736" s="76"/>
      <c r="E736" s="76"/>
    </row>
    <row r="737" spans="1:9" ht="20.100000000000001" customHeight="1" x14ac:dyDescent="0.4">
      <c r="B737" s="6"/>
      <c r="C737" s="76"/>
      <c r="D737" s="76"/>
      <c r="E737" s="76"/>
    </row>
    <row r="738" spans="1:9" s="46" customFormat="1" ht="17.399999999999999" x14ac:dyDescent="0.3">
      <c r="B738" s="710" t="s">
        <v>1605</v>
      </c>
      <c r="C738" s="710"/>
      <c r="D738" s="64"/>
      <c r="E738" s="64"/>
      <c r="F738" s="63"/>
      <c r="G738" s="63"/>
      <c r="H738" s="63"/>
      <c r="I738" s="69"/>
    </row>
    <row r="739" spans="1:9" ht="21" x14ac:dyDescent="0.4">
      <c r="A739" s="707"/>
      <c r="B739" s="6"/>
      <c r="C739" s="76"/>
      <c r="D739" s="76"/>
      <c r="E739" s="76"/>
    </row>
    <row r="740" spans="1:9" ht="16.5" customHeight="1" x14ac:dyDescent="0.3">
      <c r="A740" s="707"/>
      <c r="B740" s="763" t="s">
        <v>1606</v>
      </c>
      <c r="C740" s="763"/>
      <c r="D740" s="763"/>
      <c r="E740" s="763"/>
      <c r="F740" s="763"/>
      <c r="G740" s="763"/>
      <c r="H740" s="763"/>
      <c r="I740" s="763"/>
    </row>
    <row r="741" spans="1:9" ht="21" x14ac:dyDescent="0.4">
      <c r="A741" s="707"/>
      <c r="B741" s="6"/>
      <c r="C741" s="76"/>
      <c r="D741" s="76"/>
      <c r="E741" s="76"/>
    </row>
    <row r="742" spans="1:9" x14ac:dyDescent="0.3">
      <c r="A742" s="707"/>
      <c r="B742" s="50" t="s">
        <v>344</v>
      </c>
      <c r="C742" s="725" t="s">
        <v>843</v>
      </c>
      <c r="D742" s="725"/>
      <c r="E742" s="725"/>
      <c r="F742" s="725"/>
      <c r="G742" s="725"/>
      <c r="H742" s="725"/>
      <c r="I742" s="50" t="s">
        <v>346</v>
      </c>
    </row>
    <row r="743" spans="1:9" ht="40.049999999999997" customHeight="1" x14ac:dyDescent="0.3">
      <c r="A743" s="707"/>
      <c r="B743" s="51">
        <v>2019</v>
      </c>
      <c r="C743" s="709" t="s">
        <v>1607</v>
      </c>
      <c r="D743" s="709"/>
      <c r="E743" s="709"/>
      <c r="F743" s="709"/>
      <c r="G743" s="709"/>
      <c r="H743" s="709"/>
      <c r="I743" s="485" t="s">
        <v>6</v>
      </c>
    </row>
    <row r="744" spans="1:9" ht="40.049999999999997" customHeight="1" x14ac:dyDescent="0.3">
      <c r="A744" s="707"/>
      <c r="B744" s="51">
        <v>2020</v>
      </c>
      <c r="C744" s="709" t="s">
        <v>1608</v>
      </c>
      <c r="D744" s="709"/>
      <c r="E744" s="709"/>
      <c r="F744" s="709"/>
      <c r="G744" s="709"/>
      <c r="H744" s="709"/>
      <c r="I744" s="56" t="s">
        <v>350</v>
      </c>
    </row>
    <row r="745" spans="1:9" ht="40.049999999999997" customHeight="1" x14ac:dyDescent="0.3">
      <c r="A745" s="707"/>
      <c r="B745" s="51">
        <v>2021</v>
      </c>
      <c r="C745" s="709" t="s">
        <v>1609</v>
      </c>
      <c r="D745" s="709"/>
      <c r="E745" s="709"/>
      <c r="F745" s="709"/>
      <c r="G745" s="709"/>
      <c r="H745" s="709"/>
      <c r="I745" s="485" t="s">
        <v>6</v>
      </c>
    </row>
    <row r="746" spans="1:9" ht="40.049999999999997" customHeight="1" x14ac:dyDescent="0.3">
      <c r="A746" s="707"/>
      <c r="B746" s="51">
        <v>2022</v>
      </c>
      <c r="C746" s="709" t="s">
        <v>1610</v>
      </c>
      <c r="D746" s="709"/>
      <c r="E746" s="709"/>
      <c r="F746" s="709"/>
      <c r="G746" s="709"/>
      <c r="H746" s="709"/>
      <c r="I746" s="485" t="s">
        <v>6</v>
      </c>
    </row>
    <row r="747" spans="1:9" ht="40.049999999999997" customHeight="1" x14ac:dyDescent="0.3">
      <c r="A747" s="707"/>
      <c r="B747" s="51">
        <v>2023</v>
      </c>
      <c r="C747" s="709" t="s">
        <v>1611</v>
      </c>
      <c r="D747" s="709"/>
      <c r="E747" s="709"/>
      <c r="F747" s="709"/>
      <c r="G747" s="709"/>
      <c r="H747" s="709"/>
      <c r="I747" s="485" t="s">
        <v>6</v>
      </c>
    </row>
    <row r="748" spans="1:9" ht="27.6" customHeight="1" x14ac:dyDescent="0.3">
      <c r="A748" s="707"/>
      <c r="B748" s="730" t="s">
        <v>1612</v>
      </c>
      <c r="C748" s="730"/>
      <c r="D748" s="730"/>
      <c r="E748" s="730"/>
      <c r="F748" s="730"/>
      <c r="G748" s="730"/>
      <c r="H748" s="730"/>
      <c r="I748" s="730"/>
    </row>
    <row r="749" spans="1:9" ht="15" customHeight="1" x14ac:dyDescent="0.4">
      <c r="B749" s="6"/>
      <c r="C749" s="76"/>
      <c r="D749" s="76"/>
      <c r="E749" s="76"/>
    </row>
    <row r="750" spans="1:9" ht="15" customHeight="1" x14ac:dyDescent="0.4">
      <c r="B750" s="6"/>
      <c r="C750" s="76"/>
      <c r="D750" s="76"/>
      <c r="E750" s="76"/>
    </row>
    <row r="751" spans="1:9" s="46" customFormat="1" ht="17.399999999999999" x14ac:dyDescent="0.3">
      <c r="B751" s="710" t="s">
        <v>1613</v>
      </c>
      <c r="C751" s="710"/>
      <c r="D751" s="64"/>
      <c r="E751" s="64"/>
      <c r="F751" s="63"/>
      <c r="G751" s="63"/>
      <c r="H751" s="63"/>
      <c r="I751" s="69"/>
    </row>
    <row r="752" spans="1:9" ht="21" x14ac:dyDescent="0.4">
      <c r="A752" s="707"/>
      <c r="B752" s="6"/>
      <c r="C752" s="76"/>
      <c r="D752" s="76"/>
      <c r="E752" s="76"/>
    </row>
    <row r="753" spans="1:9" ht="16.5" customHeight="1" x14ac:dyDescent="0.3">
      <c r="A753" s="707"/>
      <c r="B753" s="763" t="s">
        <v>1614</v>
      </c>
      <c r="C753" s="763"/>
      <c r="D753" s="763"/>
      <c r="E753" s="763"/>
      <c r="F753" s="763"/>
      <c r="G753" s="763"/>
      <c r="H753" s="763"/>
      <c r="I753" s="763"/>
    </row>
    <row r="754" spans="1:9" ht="21" x14ac:dyDescent="0.4">
      <c r="A754" s="707"/>
      <c r="B754" s="6"/>
      <c r="C754" s="76"/>
      <c r="D754" s="76"/>
      <c r="E754" s="76"/>
    </row>
    <row r="755" spans="1:9" x14ac:dyDescent="0.3">
      <c r="A755" s="707"/>
      <c r="B755" s="50" t="s">
        <v>344</v>
      </c>
      <c r="C755" s="725" t="s">
        <v>843</v>
      </c>
      <c r="D755" s="725"/>
      <c r="E755" s="725"/>
      <c r="F755" s="725"/>
      <c r="G755" s="725"/>
      <c r="H755" s="725"/>
      <c r="I755" s="50" t="s">
        <v>346</v>
      </c>
    </row>
    <row r="756" spans="1:9" ht="45" customHeight="1" x14ac:dyDescent="0.3">
      <c r="A756" s="707"/>
      <c r="B756" s="51">
        <v>2019</v>
      </c>
      <c r="C756" s="713" t="s">
        <v>1615</v>
      </c>
      <c r="D756" s="713"/>
      <c r="E756" s="713"/>
      <c r="F756" s="713"/>
      <c r="G756" s="713"/>
      <c r="H756" s="713"/>
      <c r="I756" s="485" t="s">
        <v>6</v>
      </c>
    </row>
    <row r="757" spans="1:9" ht="45" customHeight="1" x14ac:dyDescent="0.3">
      <c r="A757" s="707"/>
      <c r="B757" s="51">
        <v>2020</v>
      </c>
      <c r="C757" s="713" t="s">
        <v>1615</v>
      </c>
      <c r="D757" s="713"/>
      <c r="E757" s="713"/>
      <c r="F757" s="713"/>
      <c r="G757" s="713"/>
      <c r="H757" s="713"/>
      <c r="I757" s="56" t="s">
        <v>350</v>
      </c>
    </row>
    <row r="758" spans="1:9" ht="45" customHeight="1" x14ac:dyDescent="0.3">
      <c r="A758" s="707"/>
      <c r="B758" s="51">
        <v>2021</v>
      </c>
      <c r="C758" s="713" t="s">
        <v>1615</v>
      </c>
      <c r="D758" s="713"/>
      <c r="E758" s="713"/>
      <c r="F758" s="713"/>
      <c r="G758" s="713"/>
      <c r="H758" s="713"/>
      <c r="I758" s="485" t="s">
        <v>6</v>
      </c>
    </row>
    <row r="759" spans="1:9" ht="45" customHeight="1" x14ac:dyDescent="0.3">
      <c r="A759" s="707"/>
      <c r="B759" s="51">
        <v>2022</v>
      </c>
      <c r="C759" s="713" t="s">
        <v>1615</v>
      </c>
      <c r="D759" s="713"/>
      <c r="E759" s="713"/>
      <c r="F759" s="713"/>
      <c r="G759" s="713"/>
      <c r="H759" s="713"/>
      <c r="I759" s="485" t="s">
        <v>6</v>
      </c>
    </row>
    <row r="760" spans="1:9" ht="45" customHeight="1" x14ac:dyDescent="0.3">
      <c r="A760" s="707"/>
      <c r="B760" s="51">
        <v>2023</v>
      </c>
      <c r="C760" s="713" t="s">
        <v>1615</v>
      </c>
      <c r="D760" s="713"/>
      <c r="E760" s="713"/>
      <c r="F760" s="713"/>
      <c r="G760" s="713"/>
      <c r="H760" s="713"/>
      <c r="I760" s="485" t="s">
        <v>6</v>
      </c>
    </row>
    <row r="761" spans="1:9" ht="15" customHeight="1" x14ac:dyDescent="0.4">
      <c r="B761" s="6"/>
      <c r="C761" s="76"/>
      <c r="D761" s="76"/>
      <c r="E761" s="76"/>
    </row>
    <row r="762" spans="1:9" ht="15" customHeight="1" x14ac:dyDescent="0.4">
      <c r="B762" s="6"/>
      <c r="C762" s="76"/>
      <c r="D762" s="76"/>
      <c r="E762" s="76"/>
    </row>
    <row r="763" spans="1:9" s="46" customFormat="1" ht="17.399999999999999" x14ac:dyDescent="0.3">
      <c r="B763" s="710" t="s">
        <v>1616</v>
      </c>
      <c r="C763" s="710"/>
      <c r="D763" s="64"/>
      <c r="E763" s="64"/>
      <c r="F763" s="63"/>
      <c r="G763" s="63"/>
      <c r="H763" s="63"/>
      <c r="I763" s="69"/>
    </row>
    <row r="764" spans="1:9" ht="21" x14ac:dyDescent="0.4">
      <c r="A764" s="707"/>
      <c r="B764" s="6"/>
      <c r="C764" s="76"/>
      <c r="D764" s="76"/>
      <c r="E764" s="76"/>
    </row>
    <row r="765" spans="1:9" ht="16.5" customHeight="1" x14ac:dyDescent="0.3">
      <c r="A765" s="707"/>
      <c r="B765" s="763" t="s">
        <v>1617</v>
      </c>
      <c r="C765" s="763"/>
      <c r="D765" s="763"/>
      <c r="E765" s="763"/>
      <c r="F765" s="763"/>
      <c r="G765" s="763"/>
      <c r="H765" s="763"/>
      <c r="I765" s="763"/>
    </row>
    <row r="766" spans="1:9" ht="21" x14ac:dyDescent="0.4">
      <c r="A766" s="707"/>
      <c r="B766" s="6"/>
      <c r="C766" s="76"/>
      <c r="D766" s="65"/>
      <c r="E766" s="76"/>
    </row>
    <row r="767" spans="1:9" ht="18" customHeight="1" x14ac:dyDescent="0.3">
      <c r="A767" s="707"/>
      <c r="B767" s="725" t="s">
        <v>344</v>
      </c>
      <c r="C767" s="725" t="s">
        <v>843</v>
      </c>
      <c r="D767" s="725"/>
      <c r="E767" s="725"/>
      <c r="F767" s="725"/>
      <c r="G767" s="725"/>
      <c r="H767" s="725"/>
      <c r="I767" s="725" t="s">
        <v>346</v>
      </c>
    </row>
    <row r="768" spans="1:9" x14ac:dyDescent="0.3">
      <c r="A768" s="707"/>
      <c r="B768" s="725"/>
      <c r="C768" s="725" t="s">
        <v>1618</v>
      </c>
      <c r="D768" s="725"/>
      <c r="E768" s="725"/>
      <c r="F768" s="725"/>
      <c r="G768" s="725"/>
      <c r="H768" s="725"/>
      <c r="I768" s="725"/>
    </row>
    <row r="769" spans="1:9" ht="72.599999999999994" customHeight="1" x14ac:dyDescent="0.3">
      <c r="A769" s="707"/>
      <c r="B769" s="725"/>
      <c r="C769" s="765" t="s">
        <v>1619</v>
      </c>
      <c r="D769" s="765"/>
      <c r="E769" s="52" t="s">
        <v>1620</v>
      </c>
      <c r="F769" s="52" t="s">
        <v>1621</v>
      </c>
      <c r="G769" s="765" t="s">
        <v>1622</v>
      </c>
      <c r="H769" s="765"/>
      <c r="I769" s="725"/>
    </row>
    <row r="770" spans="1:9" ht="40.049999999999997" customHeight="1" x14ac:dyDescent="0.3">
      <c r="A770" s="707"/>
      <c r="B770" s="51">
        <v>2019</v>
      </c>
      <c r="C770" s="748" t="s">
        <v>1623</v>
      </c>
      <c r="D770" s="748"/>
      <c r="E770" s="575" t="s">
        <v>1624</v>
      </c>
      <c r="F770" s="575" t="s">
        <v>1625</v>
      </c>
      <c r="G770" s="748" t="s">
        <v>1626</v>
      </c>
      <c r="H770" s="748"/>
      <c r="I770" s="56" t="s">
        <v>348</v>
      </c>
    </row>
    <row r="771" spans="1:9" ht="40.049999999999997" customHeight="1" x14ac:dyDescent="0.3">
      <c r="A771" s="707"/>
      <c r="B771" s="51">
        <v>2020</v>
      </c>
      <c r="C771" s="748" t="s">
        <v>1626</v>
      </c>
      <c r="D771" s="748"/>
      <c r="E771" s="575" t="s">
        <v>1627</v>
      </c>
      <c r="F771" s="575" t="s">
        <v>1628</v>
      </c>
      <c r="G771" s="748" t="s">
        <v>1629</v>
      </c>
      <c r="H771" s="748"/>
      <c r="I771" s="56" t="s">
        <v>350</v>
      </c>
    </row>
    <row r="772" spans="1:9" ht="55.05" customHeight="1" x14ac:dyDescent="0.3">
      <c r="A772" s="707"/>
      <c r="B772" s="51">
        <v>2021</v>
      </c>
      <c r="C772" s="748" t="s">
        <v>1629</v>
      </c>
      <c r="D772" s="748"/>
      <c r="E772" s="575" t="s">
        <v>1627</v>
      </c>
      <c r="F772" s="575" t="s">
        <v>1628</v>
      </c>
      <c r="G772" s="748" t="s">
        <v>1630</v>
      </c>
      <c r="H772" s="748"/>
      <c r="I772" s="56" t="s">
        <v>442</v>
      </c>
    </row>
    <row r="773" spans="1:9" ht="55.05" customHeight="1" x14ac:dyDescent="0.3">
      <c r="A773" s="707"/>
      <c r="B773" s="51">
        <v>2022</v>
      </c>
      <c r="C773" s="748" t="s">
        <v>1630</v>
      </c>
      <c r="D773" s="748"/>
      <c r="E773" s="575" t="s">
        <v>1351</v>
      </c>
      <c r="F773" s="575" t="s">
        <v>1631</v>
      </c>
      <c r="G773" s="748" t="s">
        <v>1632</v>
      </c>
      <c r="H773" s="748"/>
      <c r="I773" s="56" t="s">
        <v>442</v>
      </c>
    </row>
    <row r="774" spans="1:9" ht="55.05" customHeight="1" x14ac:dyDescent="0.3">
      <c r="A774" s="707"/>
      <c r="B774" s="51">
        <v>2023</v>
      </c>
      <c r="C774" s="748" t="s">
        <v>1632</v>
      </c>
      <c r="D774" s="748"/>
      <c r="E774" s="575" t="s">
        <v>1633</v>
      </c>
      <c r="F774" s="575" t="s">
        <v>1634</v>
      </c>
      <c r="G774" s="748" t="s">
        <v>1635</v>
      </c>
      <c r="H774" s="748"/>
      <c r="I774" s="56" t="s">
        <v>442</v>
      </c>
    </row>
    <row r="775" spans="1:9" ht="15" customHeight="1" x14ac:dyDescent="0.4">
      <c r="B775" s="6"/>
      <c r="C775" s="76"/>
      <c r="D775" s="76"/>
      <c r="E775" s="76"/>
    </row>
    <row r="776" spans="1:9" ht="15" customHeight="1" x14ac:dyDescent="0.4">
      <c r="B776" s="6"/>
      <c r="C776" s="76"/>
      <c r="D776" s="76"/>
      <c r="E776" s="76"/>
    </row>
    <row r="777" spans="1:9" s="46" customFormat="1" ht="17.399999999999999" x14ac:dyDescent="0.3">
      <c r="B777" s="710" t="s">
        <v>1636</v>
      </c>
      <c r="C777" s="710"/>
      <c r="D777" s="64"/>
      <c r="E777" s="64"/>
      <c r="F777" s="63"/>
      <c r="G777" s="63"/>
      <c r="H777" s="63"/>
      <c r="I777" s="69"/>
    </row>
    <row r="778" spans="1:9" ht="21" x14ac:dyDescent="0.4">
      <c r="A778" s="707"/>
      <c r="B778" s="6"/>
      <c r="C778" s="76"/>
      <c r="D778" s="76"/>
      <c r="E778" s="76"/>
    </row>
    <row r="779" spans="1:9" ht="31.5" customHeight="1" x14ac:dyDescent="0.3">
      <c r="A779" s="707"/>
      <c r="B779" s="739" t="s">
        <v>1637</v>
      </c>
      <c r="C779" s="739"/>
      <c r="D779" s="739"/>
      <c r="E779" s="739"/>
      <c r="F779" s="739"/>
      <c r="G779" s="739"/>
      <c r="H779" s="739"/>
      <c r="I779" s="739"/>
    </row>
    <row r="780" spans="1:9" ht="21" x14ac:dyDescent="0.4">
      <c r="A780" s="707"/>
      <c r="B780" s="6"/>
      <c r="C780" s="76"/>
      <c r="D780" s="65"/>
      <c r="E780" s="76"/>
    </row>
    <row r="781" spans="1:9" x14ac:dyDescent="0.3">
      <c r="A781" s="707"/>
      <c r="B781" s="50" t="s">
        <v>344</v>
      </c>
      <c r="C781" s="725" t="s">
        <v>843</v>
      </c>
      <c r="D781" s="725"/>
      <c r="E781" s="725"/>
      <c r="F781" s="725"/>
      <c r="G781" s="725"/>
      <c r="H781" s="725"/>
      <c r="I781" s="50" t="s">
        <v>346</v>
      </c>
    </row>
    <row r="782" spans="1:9" ht="55.05" customHeight="1" x14ac:dyDescent="0.3">
      <c r="A782" s="707"/>
      <c r="B782" s="51">
        <v>2019</v>
      </c>
      <c r="C782" s="743" t="s">
        <v>1638</v>
      </c>
      <c r="D782" s="713"/>
      <c r="E782" s="713"/>
      <c r="F782" s="713"/>
      <c r="G782" s="713"/>
      <c r="H782" s="713"/>
      <c r="I782" s="56" t="s">
        <v>348</v>
      </c>
    </row>
    <row r="783" spans="1:9" ht="55.05" customHeight="1" x14ac:dyDescent="0.3">
      <c r="A783" s="707"/>
      <c r="B783" s="51">
        <v>2020</v>
      </c>
      <c r="C783" s="743" t="s">
        <v>1639</v>
      </c>
      <c r="D783" s="713"/>
      <c r="E783" s="713"/>
      <c r="F783" s="713"/>
      <c r="G783" s="713"/>
      <c r="H783" s="713"/>
      <c r="I783" s="56" t="s">
        <v>350</v>
      </c>
    </row>
    <row r="784" spans="1:9" ht="55.05" customHeight="1" x14ac:dyDescent="0.3">
      <c r="A784" s="707"/>
      <c r="B784" s="51">
        <v>2021</v>
      </c>
      <c r="C784" s="743" t="s">
        <v>1640</v>
      </c>
      <c r="D784" s="713"/>
      <c r="E784" s="713"/>
      <c r="F784" s="713"/>
      <c r="G784" s="713"/>
      <c r="H784" s="713"/>
      <c r="I784" s="56" t="s">
        <v>442</v>
      </c>
    </row>
    <row r="785" spans="1:9" ht="55.05" customHeight="1" x14ac:dyDescent="0.3">
      <c r="A785" s="707"/>
      <c r="B785" s="51">
        <v>2022</v>
      </c>
      <c r="C785" s="743" t="s">
        <v>1641</v>
      </c>
      <c r="D785" s="713"/>
      <c r="E785" s="713"/>
      <c r="F785" s="713"/>
      <c r="G785" s="713"/>
      <c r="H785" s="713"/>
      <c r="I785" s="56" t="s">
        <v>442</v>
      </c>
    </row>
    <row r="786" spans="1:9" ht="55.05" customHeight="1" x14ac:dyDescent="0.3">
      <c r="A786" s="707"/>
      <c r="B786" s="51">
        <v>2023</v>
      </c>
      <c r="C786" s="743" t="s">
        <v>1642</v>
      </c>
      <c r="D786" s="713"/>
      <c r="E786" s="713"/>
      <c r="F786" s="713"/>
      <c r="G786" s="713"/>
      <c r="H786" s="713"/>
      <c r="I786" s="485" t="s">
        <v>6</v>
      </c>
    </row>
    <row r="787" spans="1:9" ht="15" customHeight="1" x14ac:dyDescent="0.4">
      <c r="B787" s="6"/>
      <c r="C787" s="76"/>
      <c r="D787" s="76"/>
      <c r="E787" s="76"/>
    </row>
    <row r="788" spans="1:9" ht="15" customHeight="1" x14ac:dyDescent="0.4">
      <c r="B788" s="6"/>
      <c r="C788" s="76"/>
      <c r="D788" s="76"/>
      <c r="E788" s="76"/>
    </row>
    <row r="789" spans="1:9" s="46" customFormat="1" ht="17.399999999999999" x14ac:dyDescent="0.3">
      <c r="B789" s="710" t="s">
        <v>1643</v>
      </c>
      <c r="C789" s="710"/>
      <c r="D789" s="710"/>
      <c r="E789" s="47"/>
      <c r="F789" s="63"/>
      <c r="G789" s="63"/>
      <c r="H789" s="63"/>
      <c r="I789" s="69"/>
    </row>
    <row r="790" spans="1:9" ht="21" x14ac:dyDescent="0.4">
      <c r="A790" s="707"/>
      <c r="B790" s="6"/>
      <c r="C790" s="76"/>
      <c r="D790" s="76"/>
      <c r="E790" s="76"/>
    </row>
    <row r="791" spans="1:9" ht="19.05" customHeight="1" x14ac:dyDescent="0.3">
      <c r="A791" s="707"/>
      <c r="B791" s="739" t="s">
        <v>1644</v>
      </c>
      <c r="C791" s="739"/>
      <c r="D791" s="739"/>
      <c r="E791" s="739"/>
      <c r="F791" s="739"/>
      <c r="G791" s="739"/>
      <c r="H791" s="739"/>
      <c r="I791" s="739"/>
    </row>
    <row r="792" spans="1:9" ht="21" x14ac:dyDescent="0.4">
      <c r="A792" s="707"/>
      <c r="B792" s="6"/>
      <c r="C792" s="76"/>
      <c r="D792" s="65"/>
      <c r="E792" s="76"/>
    </row>
    <row r="793" spans="1:9" ht="14.55" customHeight="1" x14ac:dyDescent="0.3">
      <c r="A793" s="707"/>
      <c r="B793" s="50" t="s">
        <v>344</v>
      </c>
      <c r="C793" s="725" t="s">
        <v>843</v>
      </c>
      <c r="D793" s="725"/>
      <c r="E793" s="725"/>
      <c r="F793" s="725"/>
      <c r="G793" s="725"/>
      <c r="H793" s="725"/>
      <c r="I793" s="50" t="s">
        <v>346</v>
      </c>
    </row>
    <row r="794" spans="1:9" ht="117" customHeight="1" x14ac:dyDescent="0.3">
      <c r="A794" s="707"/>
      <c r="B794" s="51">
        <v>2019</v>
      </c>
      <c r="C794" s="743" t="s">
        <v>1645</v>
      </c>
      <c r="D794" s="713"/>
      <c r="E794" s="713"/>
      <c r="F794" s="713"/>
      <c r="G794" s="713"/>
      <c r="H794" s="713"/>
      <c r="I794" s="56" t="s">
        <v>348</v>
      </c>
    </row>
    <row r="795" spans="1:9" ht="112.5" customHeight="1" x14ac:dyDescent="0.3">
      <c r="A795" s="707"/>
      <c r="B795" s="51">
        <v>2020</v>
      </c>
      <c r="C795" s="743" t="s">
        <v>1646</v>
      </c>
      <c r="D795" s="713"/>
      <c r="E795" s="713"/>
      <c r="F795" s="713"/>
      <c r="G795" s="713"/>
      <c r="H795" s="713"/>
      <c r="I795" s="56" t="s">
        <v>350</v>
      </c>
    </row>
    <row r="796" spans="1:9" ht="116.55" customHeight="1" x14ac:dyDescent="0.3">
      <c r="A796" s="707"/>
      <c r="B796" s="51">
        <v>2021</v>
      </c>
      <c r="C796" s="743" t="s">
        <v>1647</v>
      </c>
      <c r="D796" s="713"/>
      <c r="E796" s="713"/>
      <c r="F796" s="713"/>
      <c r="G796" s="713"/>
      <c r="H796" s="713"/>
      <c r="I796" s="56" t="s">
        <v>442</v>
      </c>
    </row>
    <row r="797" spans="1:9" ht="111" customHeight="1" x14ac:dyDescent="0.3">
      <c r="A797" s="707"/>
      <c r="B797" s="51">
        <v>2022</v>
      </c>
      <c r="C797" s="743" t="s">
        <v>1648</v>
      </c>
      <c r="D797" s="713"/>
      <c r="E797" s="713"/>
      <c r="F797" s="713"/>
      <c r="G797" s="713"/>
      <c r="H797" s="713"/>
      <c r="I797" s="56" t="s">
        <v>442</v>
      </c>
    </row>
    <row r="798" spans="1:9" ht="108.6" customHeight="1" x14ac:dyDescent="0.3">
      <c r="B798" s="51">
        <v>2023</v>
      </c>
      <c r="C798" s="743" t="s">
        <v>1649</v>
      </c>
      <c r="D798" s="713"/>
      <c r="E798" s="713"/>
      <c r="F798" s="713"/>
      <c r="G798" s="713"/>
      <c r="H798" s="713"/>
      <c r="I798" s="56" t="s">
        <v>442</v>
      </c>
    </row>
    <row r="799" spans="1:9" ht="20.100000000000001" customHeight="1" x14ac:dyDescent="0.3">
      <c r="B799" s="51"/>
      <c r="C799" s="78"/>
      <c r="D799" s="54"/>
      <c r="E799" s="54"/>
      <c r="F799" s="54"/>
      <c r="G799" s="54"/>
      <c r="H799" s="54"/>
      <c r="I799" s="54"/>
    </row>
    <row r="800" spans="1:9" ht="20.100000000000001" customHeight="1" x14ac:dyDescent="0.3">
      <c r="B800" s="51"/>
      <c r="C800" s="78"/>
      <c r="D800" s="54"/>
      <c r="E800" s="54"/>
      <c r="F800" s="54"/>
      <c r="G800" s="54"/>
      <c r="H800" s="54"/>
      <c r="I800" s="54"/>
    </row>
    <row r="801" spans="2:9" ht="20.100000000000001" customHeight="1" x14ac:dyDescent="0.3">
      <c r="C801"/>
      <c r="D801"/>
      <c r="E801"/>
      <c r="F801"/>
      <c r="G801"/>
      <c r="H801"/>
      <c r="I801" s="54"/>
    </row>
    <row r="802" spans="2:9" ht="20.100000000000001" customHeight="1" x14ac:dyDescent="0.3">
      <c r="C802"/>
      <c r="D802"/>
      <c r="E802"/>
      <c r="F802"/>
      <c r="G802"/>
      <c r="H802"/>
      <c r="I802" s="54"/>
    </row>
    <row r="803" spans="2:9" ht="27" customHeight="1" x14ac:dyDescent="0.3">
      <c r="C803"/>
      <c r="D803"/>
      <c r="E803"/>
      <c r="F803"/>
      <c r="G803"/>
      <c r="H803"/>
      <c r="I803" s="54"/>
    </row>
    <row r="804" spans="2:9" ht="25.5" customHeight="1" x14ac:dyDescent="0.3">
      <c r="C804"/>
      <c r="D804"/>
      <c r="E804"/>
      <c r="F804"/>
      <c r="G804"/>
      <c r="H804"/>
      <c r="I804" s="54"/>
    </row>
    <row r="805" spans="2:9" ht="24" customHeight="1" x14ac:dyDescent="0.3">
      <c r="C805"/>
      <c r="D805"/>
      <c r="E805"/>
      <c r="F805"/>
      <c r="G805"/>
      <c r="H805"/>
      <c r="I805" s="54"/>
    </row>
    <row r="806" spans="2:9" ht="20.100000000000001" customHeight="1" x14ac:dyDescent="0.3">
      <c r="B806" s="51"/>
      <c r="C806" s="78"/>
      <c r="D806" s="54"/>
      <c r="E806" s="54"/>
      <c r="F806" s="54"/>
      <c r="G806" s="54"/>
      <c r="H806" s="54"/>
      <c r="I806" s="54"/>
    </row>
    <row r="807" spans="2:9" ht="20.100000000000001" customHeight="1" x14ac:dyDescent="0.3">
      <c r="B807" s="51"/>
      <c r="C807" s="78"/>
      <c r="D807" s="54"/>
      <c r="E807" s="54"/>
      <c r="F807" s="54"/>
      <c r="G807" s="54"/>
      <c r="H807" s="54"/>
      <c r="I807" s="54"/>
    </row>
    <row r="808" spans="2:9" ht="20.100000000000001" customHeight="1" x14ac:dyDescent="0.3">
      <c r="B808" s="51"/>
      <c r="C808" s="78"/>
      <c r="D808" s="54"/>
      <c r="E808" s="54"/>
      <c r="F808" s="54"/>
      <c r="G808" s="54"/>
      <c r="H808" s="54"/>
      <c r="I808" s="54"/>
    </row>
    <row r="809" spans="2:9" ht="20.100000000000001" customHeight="1" x14ac:dyDescent="0.3">
      <c r="B809" s="51"/>
      <c r="C809" s="78"/>
      <c r="D809" s="54"/>
      <c r="E809" s="54"/>
      <c r="F809" s="54"/>
      <c r="G809" s="54"/>
      <c r="H809" s="54"/>
      <c r="I809" s="54"/>
    </row>
    <row r="810" spans="2:9" ht="20.100000000000001" customHeight="1" x14ac:dyDescent="0.3">
      <c r="B810" s="51"/>
      <c r="C810" s="78"/>
      <c r="D810" s="54"/>
      <c r="E810" s="54"/>
      <c r="F810" s="54"/>
      <c r="G810" s="54"/>
      <c r="H810" s="54"/>
      <c r="I810" s="54"/>
    </row>
    <row r="811" spans="2:9" ht="20.100000000000001" customHeight="1" x14ac:dyDescent="0.3">
      <c r="B811" s="51"/>
      <c r="C811" s="78"/>
      <c r="D811" s="54"/>
      <c r="E811" s="54"/>
      <c r="F811" s="54"/>
      <c r="G811" s="54"/>
      <c r="H811" s="54"/>
      <c r="I811" s="54"/>
    </row>
    <row r="812" spans="2:9" x14ac:dyDescent="0.3">
      <c r="B812" s="51"/>
      <c r="C812" s="78"/>
      <c r="D812" s="54"/>
      <c r="E812" s="54"/>
      <c r="F812" s="54"/>
      <c r="G812" s="54"/>
      <c r="H812" s="54"/>
      <c r="I812" s="54"/>
    </row>
    <row r="813" spans="2:9" hidden="1" x14ac:dyDescent="0.3">
      <c r="B813" s="51"/>
      <c r="C813" s="78"/>
      <c r="D813" s="54"/>
      <c r="E813" s="54"/>
      <c r="F813" s="54"/>
      <c r="G813" s="54"/>
      <c r="H813" s="54"/>
      <c r="I813" s="54"/>
    </row>
    <row r="814" spans="2:9" ht="25.5" hidden="1" customHeight="1" x14ac:dyDescent="0.3">
      <c r="B814" s="142" t="s">
        <v>1650</v>
      </c>
      <c r="C814" s="140">
        <v>2018</v>
      </c>
      <c r="D814" s="140">
        <v>2019</v>
      </c>
      <c r="E814" s="140">
        <v>2020</v>
      </c>
      <c r="F814" s="140">
        <v>2021</v>
      </c>
      <c r="G814" s="140">
        <v>2022</v>
      </c>
      <c r="H814" s="140">
        <v>2023</v>
      </c>
      <c r="I814" s="54"/>
    </row>
    <row r="815" spans="2:9" hidden="1" x14ac:dyDescent="0.3">
      <c r="B815" s="143" t="s">
        <v>1651</v>
      </c>
      <c r="C815" s="141">
        <v>249.988237</v>
      </c>
      <c r="D815" s="141">
        <v>235.67903493410003</v>
      </c>
      <c r="E815" s="141">
        <v>191.62531063</v>
      </c>
      <c r="F815" s="141">
        <v>207.61731759</v>
      </c>
      <c r="G815" s="141">
        <v>208.5</v>
      </c>
      <c r="H815" s="141">
        <v>282.39999999999998</v>
      </c>
      <c r="I815" s="54"/>
    </row>
    <row r="816" spans="2:9" hidden="1" x14ac:dyDescent="0.3">
      <c r="B816" s="143" t="s">
        <v>1652</v>
      </c>
      <c r="C816" s="141">
        <v>97.606646999999995</v>
      </c>
      <c r="D816" s="141">
        <v>55.161802358000003</v>
      </c>
      <c r="E816" s="141">
        <v>45.394009377000003</v>
      </c>
      <c r="F816" s="141">
        <v>47.24133304720317</v>
      </c>
      <c r="G816" s="141">
        <v>46.9</v>
      </c>
      <c r="H816" s="141">
        <v>48.5</v>
      </c>
      <c r="I816" s="54"/>
    </row>
    <row r="817" spans="1:9" hidden="1" x14ac:dyDescent="0.3">
      <c r="B817" s="143" t="s">
        <v>1653</v>
      </c>
      <c r="C817" s="141">
        <v>341.72361071</v>
      </c>
      <c r="D817" s="141">
        <v>335.04089736479165</v>
      </c>
      <c r="E817" s="141">
        <v>290.74065043218729</v>
      </c>
      <c r="F817" s="141">
        <v>260.40087973791123</v>
      </c>
      <c r="G817" s="141">
        <v>150.609377798</v>
      </c>
      <c r="H817" s="141">
        <v>153</v>
      </c>
      <c r="I817" s="54"/>
    </row>
    <row r="818" spans="1:9" hidden="1" x14ac:dyDescent="0.3">
      <c r="B818" s="143" t="s">
        <v>848</v>
      </c>
      <c r="C818" s="141">
        <v>689.31849470999998</v>
      </c>
      <c r="D818" s="141">
        <v>625.88173465689169</v>
      </c>
      <c r="E818" s="141">
        <v>527.75997043918733</v>
      </c>
      <c r="F818" s="141">
        <v>515.25953037511442</v>
      </c>
      <c r="G818" s="141">
        <v>406.1</v>
      </c>
      <c r="H818" s="141">
        <v>483.9</v>
      </c>
      <c r="I818" s="54"/>
    </row>
    <row r="819" spans="1:9" ht="39" customHeight="1" x14ac:dyDescent="0.3">
      <c r="B819" s="713" t="s">
        <v>1654</v>
      </c>
      <c r="C819" s="713"/>
      <c r="D819" s="713"/>
      <c r="E819" s="713"/>
      <c r="F819" s="713"/>
      <c r="G819" s="713"/>
      <c r="H819" s="713"/>
      <c r="I819" s="713"/>
    </row>
    <row r="820" spans="1:9" ht="19.05" customHeight="1" x14ac:dyDescent="0.4">
      <c r="B820" s="6"/>
      <c r="C820" s="76"/>
      <c r="D820" s="76"/>
      <c r="E820" s="76"/>
    </row>
    <row r="821" spans="1:9" ht="19.05" customHeight="1" x14ac:dyDescent="0.4">
      <c r="B821" s="6"/>
      <c r="C821" s="76"/>
      <c r="D821" s="76"/>
      <c r="E821" s="76"/>
    </row>
    <row r="822" spans="1:9" s="46" customFormat="1" ht="17.399999999999999" x14ac:dyDescent="0.3">
      <c r="B822" s="710" t="s">
        <v>1655</v>
      </c>
      <c r="C822" s="710"/>
      <c r="D822" s="64"/>
      <c r="E822" s="64"/>
      <c r="F822" s="63"/>
      <c r="G822" s="63"/>
      <c r="H822" s="63"/>
      <c r="I822" s="69"/>
    </row>
    <row r="823" spans="1:9" ht="21" x14ac:dyDescent="0.4">
      <c r="A823" s="707"/>
      <c r="B823" s="6"/>
      <c r="C823" s="76"/>
      <c r="D823" s="76"/>
      <c r="E823" s="76"/>
    </row>
    <row r="824" spans="1:9" ht="19.05" customHeight="1" x14ac:dyDescent="0.3">
      <c r="A824" s="707"/>
      <c r="B824" s="739" t="s">
        <v>1656</v>
      </c>
      <c r="C824" s="739"/>
      <c r="D824" s="739"/>
      <c r="E824" s="739"/>
      <c r="F824" s="739"/>
      <c r="G824" s="739"/>
      <c r="H824" s="739"/>
      <c r="I824" s="739"/>
    </row>
    <row r="825" spans="1:9" ht="21" x14ac:dyDescent="0.4">
      <c r="A825" s="707"/>
      <c r="B825" s="6"/>
      <c r="C825" s="76"/>
      <c r="D825" s="65"/>
      <c r="E825" s="76"/>
    </row>
    <row r="826" spans="1:9" x14ac:dyDescent="0.3">
      <c r="A826" s="707"/>
      <c r="B826" s="725" t="s">
        <v>344</v>
      </c>
      <c r="C826" s="712" t="s">
        <v>843</v>
      </c>
      <c r="D826" s="712"/>
      <c r="E826" s="712"/>
      <c r="F826" s="712"/>
      <c r="G826" s="712"/>
      <c r="H826" s="712"/>
      <c r="I826" s="725" t="s">
        <v>346</v>
      </c>
    </row>
    <row r="827" spans="1:9" ht="37.5" customHeight="1" x14ac:dyDescent="0.3">
      <c r="A827" s="707"/>
      <c r="B827" s="725"/>
      <c r="C827" s="747" t="s">
        <v>1657</v>
      </c>
      <c r="D827" s="747"/>
      <c r="E827" s="747" t="s">
        <v>1658</v>
      </c>
      <c r="F827" s="747"/>
      <c r="G827" s="747" t="s">
        <v>1659</v>
      </c>
      <c r="H827" s="747"/>
      <c r="I827" s="725"/>
    </row>
    <row r="828" spans="1:9" ht="50.1" customHeight="1" x14ac:dyDescent="0.3">
      <c r="A828" s="707"/>
      <c r="B828" s="51">
        <v>2019</v>
      </c>
      <c r="C828" s="744">
        <v>56</v>
      </c>
      <c r="D828" s="744"/>
      <c r="E828" s="744">
        <v>56</v>
      </c>
      <c r="F828" s="744"/>
      <c r="G828" s="746">
        <v>1</v>
      </c>
      <c r="H828" s="746"/>
      <c r="I828" s="485" t="s">
        <v>6</v>
      </c>
    </row>
    <row r="829" spans="1:9" ht="50.1" customHeight="1" x14ac:dyDescent="0.3">
      <c r="A829" s="707"/>
      <c r="B829" s="51">
        <v>2020</v>
      </c>
      <c r="C829" s="744">
        <v>56</v>
      </c>
      <c r="D829" s="744"/>
      <c r="E829" s="744">
        <v>56</v>
      </c>
      <c r="F829" s="744"/>
      <c r="G829" s="746">
        <v>1</v>
      </c>
      <c r="H829" s="746"/>
      <c r="I829" s="56" t="s">
        <v>350</v>
      </c>
    </row>
    <row r="830" spans="1:9" ht="50.1" customHeight="1" x14ac:dyDescent="0.3">
      <c r="A830" s="707"/>
      <c r="B830" s="51">
        <v>2021</v>
      </c>
      <c r="C830" s="744">
        <v>55</v>
      </c>
      <c r="D830" s="744"/>
      <c r="E830" s="744">
        <v>55</v>
      </c>
      <c r="F830" s="744"/>
      <c r="G830" s="746">
        <v>1</v>
      </c>
      <c r="H830" s="746"/>
      <c r="I830" s="56" t="s">
        <v>442</v>
      </c>
    </row>
    <row r="831" spans="1:9" ht="64.5" customHeight="1" x14ac:dyDescent="0.3">
      <c r="A831" s="707"/>
      <c r="B831" s="51">
        <v>2022</v>
      </c>
      <c r="C831" s="744">
        <v>57</v>
      </c>
      <c r="D831" s="744"/>
      <c r="E831" s="744">
        <v>57</v>
      </c>
      <c r="F831" s="744"/>
      <c r="G831" s="746">
        <v>1</v>
      </c>
      <c r="H831" s="746"/>
      <c r="I831" s="56" t="s">
        <v>442</v>
      </c>
    </row>
    <row r="832" spans="1:9" ht="66" customHeight="1" x14ac:dyDescent="0.3">
      <c r="A832" s="707"/>
      <c r="B832" s="51" t="s">
        <v>1660</v>
      </c>
      <c r="C832" s="744">
        <v>53</v>
      </c>
      <c r="D832" s="744"/>
      <c r="E832" s="744">
        <v>53</v>
      </c>
      <c r="F832" s="744"/>
      <c r="G832" s="746">
        <v>1</v>
      </c>
      <c r="H832" s="746"/>
      <c r="I832" s="56" t="s">
        <v>442</v>
      </c>
    </row>
    <row r="833" spans="1:9" ht="47.1" customHeight="1" x14ac:dyDescent="0.3">
      <c r="B833" s="713" t="s">
        <v>1661</v>
      </c>
      <c r="C833" s="713"/>
      <c r="D833" s="713"/>
      <c r="E833" s="713"/>
      <c r="F833" s="713"/>
      <c r="G833" s="713"/>
      <c r="H833" s="713"/>
      <c r="I833" s="713"/>
    </row>
    <row r="834" spans="1:9" ht="20.100000000000001" customHeight="1" x14ac:dyDescent="0.3">
      <c r="B834" s="183"/>
      <c r="C834" s="183"/>
      <c r="D834" s="183"/>
      <c r="E834" s="183"/>
      <c r="F834" s="183"/>
      <c r="G834" s="183"/>
      <c r="H834" s="183"/>
      <c r="I834" s="183"/>
    </row>
    <row r="835" spans="1:9" ht="20.100000000000001" customHeight="1" x14ac:dyDescent="0.3">
      <c r="B835" s="183"/>
      <c r="C835" s="183"/>
      <c r="D835" s="183"/>
      <c r="E835" s="183"/>
      <c r="F835" s="183"/>
      <c r="G835" s="183"/>
      <c r="H835" s="183"/>
      <c r="I835" s="183"/>
    </row>
    <row r="836" spans="1:9" s="46" customFormat="1" ht="17.399999999999999" x14ac:dyDescent="0.3">
      <c r="B836" s="710" t="s">
        <v>1662</v>
      </c>
      <c r="C836" s="710"/>
      <c r="D836" s="64"/>
      <c r="E836" s="64"/>
      <c r="F836" s="63"/>
      <c r="G836" s="63"/>
      <c r="H836" s="63"/>
      <c r="I836" s="69"/>
    </row>
    <row r="837" spans="1:9" ht="21" x14ac:dyDescent="0.4">
      <c r="A837" s="707"/>
      <c r="B837" s="6"/>
      <c r="C837" s="76"/>
      <c r="D837" s="76"/>
      <c r="E837" s="76"/>
    </row>
    <row r="838" spans="1:9" ht="34.049999999999997" customHeight="1" x14ac:dyDescent="0.3">
      <c r="A838" s="707"/>
      <c r="B838" s="739" t="s">
        <v>1663</v>
      </c>
      <c r="C838" s="739"/>
      <c r="D838" s="739"/>
      <c r="E838" s="739"/>
      <c r="F838" s="739"/>
      <c r="G838" s="739"/>
      <c r="H838" s="739"/>
      <c r="I838" s="739"/>
    </row>
    <row r="839" spans="1:9" ht="21" x14ac:dyDescent="0.4">
      <c r="A839" s="707"/>
      <c r="B839" s="6"/>
      <c r="C839" s="76"/>
      <c r="D839" s="76"/>
      <c r="E839" s="76"/>
    </row>
    <row r="840" spans="1:9" x14ac:dyDescent="0.3">
      <c r="A840" s="707"/>
      <c r="B840" s="50" t="s">
        <v>344</v>
      </c>
      <c r="C840" s="725" t="s">
        <v>843</v>
      </c>
      <c r="D840" s="725"/>
      <c r="E840" s="725"/>
      <c r="F840" s="725"/>
      <c r="G840" s="725"/>
      <c r="H840" s="725"/>
      <c r="I840" s="50" t="s">
        <v>346</v>
      </c>
    </row>
    <row r="841" spans="1:9" ht="66.599999999999994" customHeight="1" x14ac:dyDescent="0.3">
      <c r="A841" s="707"/>
      <c r="B841" s="51">
        <v>2019</v>
      </c>
      <c r="C841" s="709" t="s">
        <v>1664</v>
      </c>
      <c r="D841" s="709"/>
      <c r="E841" s="709"/>
      <c r="F841" s="709"/>
      <c r="G841" s="709"/>
      <c r="H841" s="709"/>
      <c r="I841" s="485" t="s">
        <v>6</v>
      </c>
    </row>
    <row r="842" spans="1:9" ht="162.6" customHeight="1" x14ac:dyDescent="0.3">
      <c r="A842" s="707"/>
      <c r="B842" s="51">
        <v>2020</v>
      </c>
      <c r="C842" s="709" t="s">
        <v>1665</v>
      </c>
      <c r="D842" s="709"/>
      <c r="E842" s="709"/>
      <c r="F842" s="709"/>
      <c r="G842" s="709"/>
      <c r="H842" s="709"/>
      <c r="I842" s="485" t="s">
        <v>6</v>
      </c>
    </row>
    <row r="843" spans="1:9" ht="99" customHeight="1" x14ac:dyDescent="0.3">
      <c r="A843" s="707"/>
      <c r="B843" s="51">
        <v>2021</v>
      </c>
      <c r="C843" s="709" t="s">
        <v>1666</v>
      </c>
      <c r="D843" s="709"/>
      <c r="E843" s="709"/>
      <c r="F843" s="709"/>
      <c r="G843" s="709"/>
      <c r="H843" s="709"/>
      <c r="I843" s="485" t="s">
        <v>6</v>
      </c>
    </row>
    <row r="844" spans="1:9" ht="147" customHeight="1" x14ac:dyDescent="0.3">
      <c r="B844" s="51">
        <v>2022</v>
      </c>
      <c r="C844" s="709" t="s">
        <v>1667</v>
      </c>
      <c r="D844" s="709"/>
      <c r="E844" s="709"/>
      <c r="F844" s="709"/>
      <c r="G844" s="709"/>
      <c r="H844" s="709"/>
      <c r="I844" s="485" t="s">
        <v>6</v>
      </c>
    </row>
    <row r="845" spans="1:9" ht="302.55" customHeight="1" x14ac:dyDescent="0.3">
      <c r="B845" s="51">
        <v>2023</v>
      </c>
      <c r="C845" s="732" t="s">
        <v>1668</v>
      </c>
      <c r="D845" s="732"/>
      <c r="E845" s="732"/>
      <c r="F845" s="732"/>
      <c r="G845" s="732"/>
      <c r="H845" s="732"/>
      <c r="I845" s="485" t="s">
        <v>6</v>
      </c>
    </row>
    <row r="846" spans="1:9" ht="20.100000000000001" customHeight="1" x14ac:dyDescent="0.3"/>
    <row r="847" spans="1:9" ht="20.100000000000001" customHeight="1" x14ac:dyDescent="0.3"/>
    <row r="848" spans="1:9" s="46" customFormat="1" ht="17.399999999999999" x14ac:dyDescent="0.3">
      <c r="B848" s="710" t="s">
        <v>1669</v>
      </c>
      <c r="C848" s="710"/>
      <c r="D848" s="64"/>
      <c r="E848" s="64"/>
      <c r="F848" s="63"/>
      <c r="G848" s="63"/>
      <c r="H848" s="63"/>
      <c r="I848" s="69"/>
    </row>
    <row r="849" spans="1:9" ht="21" x14ac:dyDescent="0.4">
      <c r="A849" s="707"/>
      <c r="B849" s="6"/>
      <c r="C849" s="76"/>
      <c r="D849" s="76"/>
      <c r="E849" s="76"/>
    </row>
    <row r="850" spans="1:9" ht="14.55" customHeight="1" x14ac:dyDescent="0.3">
      <c r="A850" s="707"/>
      <c r="B850" s="739" t="s">
        <v>1670</v>
      </c>
      <c r="C850" s="739"/>
      <c r="D850" s="739"/>
      <c r="E850" s="739"/>
      <c r="F850" s="739"/>
      <c r="G850" s="739"/>
      <c r="H850" s="739"/>
      <c r="I850" s="739"/>
    </row>
    <row r="851" spans="1:9" ht="21" x14ac:dyDescent="0.4">
      <c r="A851" s="707"/>
      <c r="B851" s="6"/>
      <c r="C851" s="76"/>
      <c r="D851" s="76"/>
      <c r="E851" s="76"/>
    </row>
    <row r="852" spans="1:9" x14ac:dyDescent="0.3">
      <c r="A852" s="707"/>
      <c r="B852" s="50" t="s">
        <v>344</v>
      </c>
      <c r="C852" s="725" t="s">
        <v>843</v>
      </c>
      <c r="D852" s="725"/>
      <c r="E852" s="725"/>
      <c r="F852" s="725"/>
      <c r="G852" s="725"/>
      <c r="H852" s="725"/>
      <c r="I852" s="50" t="s">
        <v>346</v>
      </c>
    </row>
    <row r="853" spans="1:9" ht="55.5" customHeight="1" x14ac:dyDescent="0.3">
      <c r="A853" s="707"/>
      <c r="B853" s="51">
        <v>2019</v>
      </c>
      <c r="C853" s="713" t="s">
        <v>1671</v>
      </c>
      <c r="D853" s="713"/>
      <c r="E853" s="713"/>
      <c r="F853" s="713"/>
      <c r="G853" s="713"/>
      <c r="H853" s="713"/>
      <c r="I853" s="485" t="s">
        <v>6</v>
      </c>
    </row>
    <row r="854" spans="1:9" ht="45" customHeight="1" x14ac:dyDescent="0.3">
      <c r="A854" s="707"/>
      <c r="B854" s="51">
        <v>2020</v>
      </c>
      <c r="C854" s="713" t="s">
        <v>1672</v>
      </c>
      <c r="D854" s="713"/>
      <c r="E854" s="713"/>
      <c r="F854" s="713"/>
      <c r="G854" s="713"/>
      <c r="H854" s="713"/>
      <c r="I854" s="485" t="s">
        <v>6</v>
      </c>
    </row>
    <row r="855" spans="1:9" ht="45" customHeight="1" x14ac:dyDescent="0.3">
      <c r="A855" s="707"/>
      <c r="B855" s="51">
        <v>2021</v>
      </c>
      <c r="C855" s="713" t="s">
        <v>1673</v>
      </c>
      <c r="D855" s="713"/>
      <c r="E855" s="713"/>
      <c r="F855" s="713"/>
      <c r="G855" s="713"/>
      <c r="H855" s="713"/>
      <c r="I855" s="485" t="s">
        <v>6</v>
      </c>
    </row>
    <row r="856" spans="1:9" ht="51" customHeight="1" x14ac:dyDescent="0.3">
      <c r="A856" s="707"/>
      <c r="B856" s="51">
        <v>2022</v>
      </c>
      <c r="C856" s="713" t="s">
        <v>2894</v>
      </c>
      <c r="D856" s="713"/>
      <c r="E856" s="713"/>
      <c r="F856" s="713"/>
      <c r="G856" s="713"/>
      <c r="H856" s="713"/>
      <c r="I856" s="485" t="s">
        <v>6</v>
      </c>
    </row>
    <row r="857" spans="1:9" ht="51.6" customHeight="1" x14ac:dyDescent="0.3">
      <c r="A857" s="707"/>
      <c r="B857" s="51">
        <v>2023</v>
      </c>
      <c r="C857" s="713" t="s">
        <v>2895</v>
      </c>
      <c r="D857" s="713"/>
      <c r="E857" s="713"/>
      <c r="F857" s="713"/>
      <c r="G857" s="713"/>
      <c r="H857" s="713"/>
      <c r="I857" s="485" t="s">
        <v>6</v>
      </c>
    </row>
    <row r="860" spans="1:9" s="46" customFormat="1" ht="17.399999999999999" x14ac:dyDescent="0.3">
      <c r="B860" s="710" t="s">
        <v>1674</v>
      </c>
      <c r="C860" s="710"/>
      <c r="D860" s="64"/>
      <c r="E860" s="64"/>
      <c r="F860" s="63"/>
      <c r="G860" s="63"/>
      <c r="H860" s="63"/>
      <c r="I860" s="69"/>
    </row>
    <row r="861" spans="1:9" ht="21" x14ac:dyDescent="0.4">
      <c r="A861" s="707"/>
      <c r="B861" s="6"/>
      <c r="C861" s="76"/>
      <c r="D861" s="76"/>
      <c r="E861" s="76"/>
    </row>
    <row r="862" spans="1:9" ht="14.55" customHeight="1" x14ac:dyDescent="0.3">
      <c r="A862" s="707"/>
      <c r="B862" s="739" t="s">
        <v>1675</v>
      </c>
      <c r="C862" s="739"/>
      <c r="D862" s="739"/>
      <c r="E862" s="739"/>
      <c r="F862" s="739"/>
      <c r="G862" s="739"/>
      <c r="H862" s="739"/>
      <c r="I862" s="739"/>
    </row>
    <row r="863" spans="1:9" ht="21" x14ac:dyDescent="0.4">
      <c r="A863" s="707"/>
      <c r="B863" s="6"/>
      <c r="C863" s="76"/>
      <c r="D863" s="76"/>
      <c r="E863" s="76"/>
    </row>
    <row r="864" spans="1:9" x14ac:dyDescent="0.3">
      <c r="A864" s="707"/>
      <c r="B864" s="50" t="s">
        <v>344</v>
      </c>
      <c r="C864" s="725" t="s">
        <v>843</v>
      </c>
      <c r="D864" s="725"/>
      <c r="E864" s="725"/>
      <c r="F864" s="725"/>
      <c r="G864" s="725"/>
      <c r="H864" s="725"/>
      <c r="I864" s="50" t="s">
        <v>346</v>
      </c>
    </row>
    <row r="865" spans="1:9" ht="148.05000000000001" customHeight="1" x14ac:dyDescent="0.3">
      <c r="A865" s="707"/>
      <c r="B865" s="51">
        <v>2019</v>
      </c>
      <c r="C865" s="713" t="s">
        <v>1676</v>
      </c>
      <c r="D865" s="713"/>
      <c r="E865" s="713"/>
      <c r="F865" s="713"/>
      <c r="G865" s="713"/>
      <c r="H865" s="713"/>
      <c r="I865" s="485" t="s">
        <v>6</v>
      </c>
    </row>
    <row r="866" spans="1:9" ht="145.05000000000001" customHeight="1" x14ac:dyDescent="0.3">
      <c r="A866" s="707"/>
      <c r="B866" s="51">
        <v>2020</v>
      </c>
      <c r="C866" s="713" t="s">
        <v>1677</v>
      </c>
      <c r="D866" s="713"/>
      <c r="E866" s="713"/>
      <c r="F866" s="713"/>
      <c r="G866" s="713"/>
      <c r="H866" s="713"/>
      <c r="I866" s="485" t="s">
        <v>6</v>
      </c>
    </row>
    <row r="867" spans="1:9" ht="307.05" customHeight="1" x14ac:dyDescent="0.3">
      <c r="B867" s="51">
        <v>2021</v>
      </c>
      <c r="C867" s="713" t="s">
        <v>1678</v>
      </c>
      <c r="D867" s="713"/>
      <c r="E867" s="713"/>
      <c r="F867" s="713"/>
      <c r="G867" s="713"/>
      <c r="H867" s="713"/>
      <c r="I867" s="485" t="s">
        <v>6</v>
      </c>
    </row>
    <row r="868" spans="1:9" ht="406.05" customHeight="1" x14ac:dyDescent="0.3">
      <c r="B868" s="51">
        <v>2022</v>
      </c>
      <c r="C868" s="713" t="s">
        <v>923</v>
      </c>
      <c r="D868" s="713"/>
      <c r="E868" s="713"/>
      <c r="F868" s="713"/>
      <c r="G868" s="713"/>
      <c r="H868" s="713"/>
      <c r="I868" s="485" t="s">
        <v>6</v>
      </c>
    </row>
    <row r="869" spans="1:9" ht="409.5" customHeight="1" x14ac:dyDescent="0.3">
      <c r="B869" s="51">
        <v>2023</v>
      </c>
      <c r="C869" s="713" t="s">
        <v>924</v>
      </c>
      <c r="D869" s="713"/>
      <c r="E869" s="713"/>
      <c r="F869" s="713"/>
      <c r="G869" s="713"/>
      <c r="H869" s="713"/>
      <c r="I869" s="485" t="s">
        <v>6</v>
      </c>
    </row>
    <row r="870" spans="1:9" ht="17.55" customHeight="1" x14ac:dyDescent="0.3">
      <c r="B870" s="713"/>
      <c r="C870" s="713"/>
      <c r="D870" s="713"/>
      <c r="E870" s="713"/>
      <c r="F870" s="713"/>
      <c r="G870" s="713"/>
      <c r="H870" s="713"/>
      <c r="I870" s="713"/>
    </row>
    <row r="871" spans="1:9" ht="23.55" customHeight="1" x14ac:dyDescent="0.3"/>
    <row r="872" spans="1:9" s="46" customFormat="1" ht="17.399999999999999" x14ac:dyDescent="0.3">
      <c r="B872" s="710" t="s">
        <v>1679</v>
      </c>
      <c r="C872" s="710"/>
      <c r="D872" s="64"/>
      <c r="E872" s="64"/>
      <c r="F872" s="63"/>
      <c r="G872" s="63"/>
      <c r="H872" s="63"/>
      <c r="I872" s="69"/>
    </row>
    <row r="873" spans="1:9" ht="21" x14ac:dyDescent="0.4">
      <c r="A873" s="707"/>
      <c r="B873" s="6"/>
      <c r="C873" s="76"/>
      <c r="D873" s="76"/>
      <c r="E873" s="76"/>
    </row>
    <row r="874" spans="1:9" ht="14.55" customHeight="1" x14ac:dyDescent="0.3">
      <c r="A874" s="707"/>
      <c r="B874" s="739" t="s">
        <v>1680</v>
      </c>
      <c r="C874" s="739"/>
      <c r="D874" s="739"/>
      <c r="E874" s="739"/>
      <c r="F874" s="739"/>
      <c r="G874" s="739"/>
      <c r="H874" s="739"/>
      <c r="I874" s="739"/>
    </row>
    <row r="875" spans="1:9" ht="21" x14ac:dyDescent="0.4">
      <c r="A875" s="707"/>
      <c r="B875" s="6"/>
      <c r="C875" s="76"/>
      <c r="D875" s="76"/>
      <c r="E875" s="76"/>
    </row>
    <row r="876" spans="1:9" x14ac:dyDescent="0.3">
      <c r="A876" s="707"/>
      <c r="B876" s="50" t="s">
        <v>344</v>
      </c>
      <c r="C876" s="725" t="s">
        <v>843</v>
      </c>
      <c r="D876" s="725"/>
      <c r="E876" s="725"/>
      <c r="F876" s="725"/>
      <c r="G876" s="725"/>
      <c r="H876" s="725"/>
      <c r="I876" s="50" t="s">
        <v>346</v>
      </c>
    </row>
    <row r="877" spans="1:9" ht="30" customHeight="1" x14ac:dyDescent="0.3">
      <c r="A877" s="707"/>
      <c r="B877" s="51">
        <v>2019</v>
      </c>
      <c r="C877" s="709" t="s">
        <v>1681</v>
      </c>
      <c r="D877" s="709"/>
      <c r="E877" s="709"/>
      <c r="F877" s="709"/>
      <c r="G877" s="709"/>
      <c r="H877" s="709"/>
      <c r="I877" s="485" t="s">
        <v>6</v>
      </c>
    </row>
    <row r="878" spans="1:9" ht="30" customHeight="1" x14ac:dyDescent="0.3">
      <c r="A878" s="707"/>
      <c r="B878" s="51">
        <v>2020</v>
      </c>
      <c r="C878" s="709" t="s">
        <v>1682</v>
      </c>
      <c r="D878" s="709"/>
      <c r="E878" s="709"/>
      <c r="F878" s="709"/>
      <c r="G878" s="709"/>
      <c r="H878" s="709"/>
      <c r="I878" s="485" t="s">
        <v>6</v>
      </c>
    </row>
    <row r="879" spans="1:9" ht="30" customHeight="1" x14ac:dyDescent="0.3">
      <c r="A879" s="707"/>
      <c r="B879" s="51">
        <v>2021</v>
      </c>
      <c r="C879" s="709" t="s">
        <v>1683</v>
      </c>
      <c r="D879" s="709"/>
      <c r="E879" s="709"/>
      <c r="F879" s="709"/>
      <c r="G879" s="709"/>
      <c r="H879" s="709"/>
      <c r="I879" s="485" t="s">
        <v>6</v>
      </c>
    </row>
    <row r="880" spans="1:9" ht="30" customHeight="1" x14ac:dyDescent="0.3">
      <c r="A880" s="707"/>
      <c r="B880" s="51">
        <v>2022</v>
      </c>
      <c r="C880" s="709" t="s">
        <v>1684</v>
      </c>
      <c r="D880" s="709"/>
      <c r="E880" s="709"/>
      <c r="F880" s="709"/>
      <c r="G880" s="709"/>
      <c r="H880" s="709"/>
      <c r="I880" s="485" t="s">
        <v>6</v>
      </c>
    </row>
    <row r="881" spans="1:9" ht="30" customHeight="1" x14ac:dyDescent="0.3">
      <c r="A881" s="707"/>
      <c r="B881" s="51">
        <v>2023</v>
      </c>
      <c r="C881" s="709" t="s">
        <v>1685</v>
      </c>
      <c r="D881" s="709"/>
      <c r="E881" s="709"/>
      <c r="F881" s="709"/>
      <c r="G881" s="709"/>
      <c r="H881" s="709"/>
      <c r="I881" s="485" t="s">
        <v>6</v>
      </c>
    </row>
    <row r="882" spans="1:9" ht="20.100000000000001" customHeight="1" x14ac:dyDescent="0.3"/>
    <row r="883" spans="1:9" s="46" customFormat="1" ht="17.399999999999999" x14ac:dyDescent="0.3">
      <c r="B883" s="710" t="s">
        <v>1686</v>
      </c>
      <c r="C883" s="710"/>
      <c r="D883" s="64"/>
      <c r="E883" s="64"/>
      <c r="F883" s="63"/>
      <c r="G883" s="63"/>
      <c r="H883" s="63"/>
      <c r="I883" s="69"/>
    </row>
    <row r="884" spans="1:9" ht="21" x14ac:dyDescent="0.4">
      <c r="A884" s="707"/>
      <c r="B884" s="6"/>
      <c r="C884" s="76"/>
      <c r="D884" s="76"/>
      <c r="E884" s="76"/>
    </row>
    <row r="885" spans="1:9" ht="14.55" customHeight="1" x14ac:dyDescent="0.3">
      <c r="A885" s="707"/>
      <c r="B885" s="739" t="s">
        <v>1687</v>
      </c>
      <c r="C885" s="739"/>
      <c r="D885" s="739"/>
      <c r="E885" s="739"/>
      <c r="F885" s="739"/>
      <c r="G885" s="739"/>
      <c r="H885" s="739"/>
      <c r="I885" s="739"/>
    </row>
    <row r="886" spans="1:9" ht="21" x14ac:dyDescent="0.4">
      <c r="A886" s="707"/>
      <c r="B886" s="6"/>
      <c r="C886" s="76"/>
      <c r="D886" s="76"/>
      <c r="E886" s="76"/>
    </row>
    <row r="887" spans="1:9" x14ac:dyDescent="0.3">
      <c r="A887" s="707"/>
      <c r="B887" s="50" t="s">
        <v>344</v>
      </c>
      <c r="C887" s="725" t="s">
        <v>843</v>
      </c>
      <c r="D887" s="725"/>
      <c r="E887" s="725"/>
      <c r="F887" s="725"/>
      <c r="G887" s="725"/>
      <c r="H887" s="725"/>
      <c r="I887" s="50" t="s">
        <v>346</v>
      </c>
    </row>
    <row r="888" spans="1:9" ht="23.55" customHeight="1" x14ac:dyDescent="0.3">
      <c r="A888" s="707"/>
      <c r="B888" s="51">
        <v>2022</v>
      </c>
      <c r="C888" s="745" t="s">
        <v>1688</v>
      </c>
      <c r="D888" s="745"/>
      <c r="E888" s="745"/>
      <c r="F888" s="745"/>
      <c r="G888" s="745"/>
      <c r="H888" s="745"/>
      <c r="I888" s="485" t="s">
        <v>6</v>
      </c>
    </row>
    <row r="889" spans="1:9" x14ac:dyDescent="0.3">
      <c r="A889" s="707"/>
      <c r="B889" s="51">
        <v>2023</v>
      </c>
      <c r="C889" s="745" t="s">
        <v>1689</v>
      </c>
      <c r="D889" s="745"/>
      <c r="E889" s="745"/>
      <c r="F889" s="745"/>
      <c r="G889" s="745"/>
      <c r="H889" s="745"/>
      <c r="I889" s="485" t="s">
        <v>6</v>
      </c>
    </row>
    <row r="890" spans="1:9" x14ac:dyDescent="0.3">
      <c r="A890" s="83"/>
      <c r="B890" s="51"/>
      <c r="C890" s="604"/>
      <c r="D890" s="604"/>
      <c r="E890" s="604"/>
      <c r="F890" s="604"/>
      <c r="G890" s="604"/>
      <c r="H890" s="604"/>
      <c r="I890" s="485"/>
    </row>
    <row r="892" spans="1:9" s="46" customFormat="1" ht="17.399999999999999" x14ac:dyDescent="0.3">
      <c r="B892" s="710" t="s">
        <v>1690</v>
      </c>
      <c r="C892" s="710"/>
      <c r="D892" s="64"/>
      <c r="E892" s="64"/>
      <c r="F892" s="63"/>
      <c r="G892" s="63"/>
      <c r="H892" s="63"/>
      <c r="I892" s="69"/>
    </row>
    <row r="893" spans="1:9" ht="21" x14ac:dyDescent="0.4">
      <c r="A893" s="707"/>
      <c r="B893" s="6"/>
      <c r="C893" s="76"/>
      <c r="D893" s="76"/>
      <c r="E893" s="76"/>
    </row>
    <row r="894" spans="1:9" ht="14.55" customHeight="1" x14ac:dyDescent="0.3">
      <c r="A894" s="707"/>
      <c r="B894" s="739" t="s">
        <v>1691</v>
      </c>
      <c r="C894" s="739"/>
      <c r="D894" s="739"/>
      <c r="E894" s="739"/>
      <c r="F894" s="739"/>
      <c r="G894" s="739"/>
      <c r="H894" s="739"/>
      <c r="I894" s="739"/>
    </row>
    <row r="895" spans="1:9" ht="21" x14ac:dyDescent="0.4">
      <c r="A895" s="707"/>
      <c r="B895" s="6"/>
      <c r="C895" s="76"/>
      <c r="D895" s="76"/>
      <c r="E895" s="76"/>
    </row>
    <row r="896" spans="1:9" x14ac:dyDescent="0.3">
      <c r="A896" s="707"/>
      <c r="B896" s="50" t="s">
        <v>344</v>
      </c>
      <c r="C896" s="725" t="s">
        <v>843</v>
      </c>
      <c r="D896" s="725"/>
      <c r="E896" s="725"/>
      <c r="F896" s="725"/>
      <c r="G896" s="725"/>
      <c r="H896" s="725"/>
      <c r="I896" s="50" t="s">
        <v>346</v>
      </c>
    </row>
    <row r="897" spans="1:9" ht="20.100000000000001" customHeight="1" x14ac:dyDescent="0.3">
      <c r="A897" s="707"/>
      <c r="B897" s="51">
        <v>2022</v>
      </c>
      <c r="C897" s="745" t="s">
        <v>1692</v>
      </c>
      <c r="D897" s="745"/>
      <c r="E897" s="745"/>
      <c r="F897" s="745"/>
      <c r="G897" s="745"/>
      <c r="H897" s="745"/>
      <c r="I897" s="485" t="s">
        <v>6</v>
      </c>
    </row>
    <row r="898" spans="1:9" x14ac:dyDescent="0.3">
      <c r="A898" s="707"/>
      <c r="B898" s="51">
        <v>2023</v>
      </c>
      <c r="C898" s="745" t="s">
        <v>1693</v>
      </c>
      <c r="D898" s="745"/>
      <c r="E898" s="745"/>
      <c r="F898" s="745"/>
      <c r="G898" s="745"/>
      <c r="H898" s="745"/>
      <c r="I898" s="485" t="s">
        <v>6</v>
      </c>
    </row>
    <row r="899" spans="1:9" x14ac:dyDescent="0.3">
      <c r="A899" s="707"/>
      <c r="B899" s="51"/>
      <c r="C899" s="197"/>
      <c r="D899" s="197"/>
      <c r="E899" s="197"/>
      <c r="F899" s="197"/>
      <c r="G899" s="197"/>
      <c r="H899" s="197"/>
    </row>
    <row r="901" spans="1:9" s="46" customFormat="1" ht="17.399999999999999" x14ac:dyDescent="0.3">
      <c r="B901" s="710" t="s">
        <v>1694</v>
      </c>
      <c r="C901" s="710"/>
      <c r="D901" s="64"/>
      <c r="E901" s="64"/>
      <c r="F901" s="63"/>
      <c r="G901" s="63"/>
      <c r="H901" s="63"/>
      <c r="I901" s="69"/>
    </row>
    <row r="902" spans="1:9" ht="21" x14ac:dyDescent="0.4">
      <c r="A902" s="707"/>
      <c r="B902" s="6"/>
      <c r="C902" s="76"/>
      <c r="D902" s="76"/>
      <c r="E902" s="76"/>
    </row>
    <row r="903" spans="1:9" ht="14.55" customHeight="1" x14ac:dyDescent="0.3">
      <c r="A903" s="707"/>
      <c r="B903" s="739" t="s">
        <v>1695</v>
      </c>
      <c r="C903" s="739"/>
      <c r="D903" s="739"/>
      <c r="E903" s="739"/>
      <c r="F903" s="739"/>
      <c r="G903" s="739"/>
      <c r="H903" s="739"/>
      <c r="I903" s="739"/>
    </row>
    <row r="904" spans="1:9" ht="21" x14ac:dyDescent="0.4">
      <c r="A904" s="707"/>
      <c r="B904" s="6"/>
      <c r="C904" s="76"/>
      <c r="D904" s="76"/>
      <c r="E904" s="76"/>
    </row>
    <row r="905" spans="1:9" x14ac:dyDescent="0.3">
      <c r="A905" s="707"/>
      <c r="B905" s="50" t="s">
        <v>344</v>
      </c>
      <c r="C905" s="725" t="s">
        <v>843</v>
      </c>
      <c r="D905" s="725"/>
      <c r="E905" s="725"/>
      <c r="F905" s="725"/>
      <c r="G905" s="725"/>
      <c r="H905" s="725"/>
      <c r="I905" s="50" t="s">
        <v>346</v>
      </c>
    </row>
    <row r="906" spans="1:9" ht="20.100000000000001" customHeight="1" x14ac:dyDescent="0.3">
      <c r="A906" s="707"/>
      <c r="B906" s="51">
        <v>2022</v>
      </c>
      <c r="C906" s="745" t="s">
        <v>1696</v>
      </c>
      <c r="D906" s="745"/>
      <c r="E906" s="745"/>
      <c r="F906" s="745"/>
      <c r="G906" s="745"/>
      <c r="H906" s="745"/>
      <c r="I906" s="485" t="s">
        <v>6</v>
      </c>
    </row>
    <row r="907" spans="1:9" x14ac:dyDescent="0.3">
      <c r="A907" s="707"/>
      <c r="B907" s="51">
        <v>2023</v>
      </c>
      <c r="C907" s="745" t="s">
        <v>1697</v>
      </c>
      <c r="D907" s="745"/>
      <c r="E907" s="745"/>
      <c r="F907" s="745"/>
      <c r="G907" s="745"/>
      <c r="H907" s="745"/>
      <c r="I907" s="485" t="s">
        <v>6</v>
      </c>
    </row>
    <row r="908" spans="1:9" x14ac:dyDescent="0.3">
      <c r="A908" s="707"/>
      <c r="B908" s="51"/>
      <c r="C908" s="197"/>
      <c r="D908" s="197"/>
      <c r="E908" s="197"/>
      <c r="F908" s="197"/>
      <c r="G908" s="197"/>
      <c r="H908" s="197"/>
    </row>
    <row r="910" spans="1:9" s="46" customFormat="1" ht="17.399999999999999" x14ac:dyDescent="0.3">
      <c r="B910" s="710" t="s">
        <v>1698</v>
      </c>
      <c r="C910" s="710"/>
      <c r="D910" s="64"/>
      <c r="E910" s="64"/>
      <c r="F910" s="63"/>
      <c r="G910" s="63"/>
      <c r="H910" s="63"/>
      <c r="I910" s="69"/>
    </row>
    <row r="911" spans="1:9" ht="21" x14ac:dyDescent="0.4">
      <c r="A911" s="707"/>
      <c r="B911" s="6"/>
      <c r="C911" s="76"/>
      <c r="D911" s="76"/>
      <c r="E911" s="76"/>
    </row>
    <row r="912" spans="1:9" ht="14.55" customHeight="1" x14ac:dyDescent="0.3">
      <c r="A912" s="707"/>
      <c r="B912" s="739" t="s">
        <v>1699</v>
      </c>
      <c r="C912" s="739"/>
      <c r="D912" s="739"/>
      <c r="E912" s="739"/>
      <c r="F912" s="739"/>
      <c r="G912" s="739"/>
      <c r="H912" s="739"/>
      <c r="I912" s="739"/>
    </row>
    <row r="913" spans="1:9" ht="21" x14ac:dyDescent="0.4">
      <c r="A913" s="707"/>
      <c r="B913" s="6"/>
      <c r="C913" s="76"/>
      <c r="D913" s="76"/>
      <c r="E913" s="76"/>
    </row>
    <row r="914" spans="1:9" x14ac:dyDescent="0.3">
      <c r="A914" s="707"/>
      <c r="B914" s="50" t="s">
        <v>344</v>
      </c>
      <c r="C914" s="725" t="s">
        <v>843</v>
      </c>
      <c r="D914" s="725"/>
      <c r="E914" s="725"/>
      <c r="F914" s="725"/>
      <c r="G914" s="725"/>
      <c r="H914" s="725"/>
      <c r="I914" s="50" t="s">
        <v>346</v>
      </c>
    </row>
    <row r="915" spans="1:9" ht="22.05" customHeight="1" x14ac:dyDescent="0.3">
      <c r="A915" s="707"/>
      <c r="B915" s="51">
        <v>2022</v>
      </c>
      <c r="C915" s="745" t="s">
        <v>1700</v>
      </c>
      <c r="D915" s="745"/>
      <c r="E915" s="745"/>
      <c r="F915" s="745"/>
      <c r="G915" s="745"/>
      <c r="H915" s="745"/>
      <c r="I915" s="485" t="s">
        <v>6</v>
      </c>
    </row>
    <row r="916" spans="1:9" x14ac:dyDescent="0.3">
      <c r="A916" s="707"/>
      <c r="B916" s="51">
        <v>2023</v>
      </c>
      <c r="C916" s="745" t="s">
        <v>1701</v>
      </c>
      <c r="D916" s="745"/>
      <c r="E916" s="745"/>
      <c r="F916" s="745"/>
      <c r="G916" s="745"/>
      <c r="H916" s="745"/>
      <c r="I916" s="485" t="s">
        <v>6</v>
      </c>
    </row>
    <row r="917" spans="1:9" x14ac:dyDescent="0.3">
      <c r="A917" s="707"/>
      <c r="B917" s="51"/>
      <c r="C917" s="197"/>
      <c r="D917" s="197"/>
      <c r="E917" s="197"/>
      <c r="F917" s="197"/>
      <c r="G917" s="197"/>
      <c r="H917" s="197"/>
    </row>
    <row r="919" spans="1:9" s="46" customFormat="1" ht="17.399999999999999" x14ac:dyDescent="0.3">
      <c r="B919" s="710" t="s">
        <v>1702</v>
      </c>
      <c r="C919" s="710"/>
      <c r="D919" s="64"/>
      <c r="E919" s="64"/>
      <c r="F919" s="63"/>
      <c r="G919" s="63"/>
      <c r="H919" s="63"/>
      <c r="I919" s="69"/>
    </row>
    <row r="920" spans="1:9" ht="21" x14ac:dyDescent="0.4">
      <c r="A920" s="707"/>
      <c r="B920" s="6"/>
      <c r="C920" s="76"/>
      <c r="D920" s="76"/>
      <c r="E920" s="76"/>
    </row>
    <row r="921" spans="1:9" ht="14.55" customHeight="1" x14ac:dyDescent="0.3">
      <c r="A921" s="707"/>
      <c r="B921" s="739" t="s">
        <v>1703</v>
      </c>
      <c r="C921" s="739"/>
      <c r="D921" s="739"/>
      <c r="E921" s="739"/>
      <c r="F921" s="739"/>
      <c r="G921" s="739"/>
      <c r="H921" s="739"/>
      <c r="I921" s="739"/>
    </row>
    <row r="922" spans="1:9" ht="21" x14ac:dyDescent="0.4">
      <c r="A922" s="707"/>
      <c r="B922" s="6"/>
      <c r="C922" s="76"/>
      <c r="D922" s="76"/>
      <c r="E922" s="76"/>
    </row>
    <row r="923" spans="1:9" x14ac:dyDescent="0.3">
      <c r="A923" s="707"/>
      <c r="B923" s="50" t="s">
        <v>344</v>
      </c>
      <c r="C923" s="725" t="s">
        <v>843</v>
      </c>
      <c r="D923" s="725"/>
      <c r="E923" s="725"/>
      <c r="F923" s="725"/>
      <c r="G923" s="725"/>
      <c r="H923" s="725"/>
      <c r="I923" s="50" t="s">
        <v>346</v>
      </c>
    </row>
    <row r="924" spans="1:9" ht="36" customHeight="1" x14ac:dyDescent="0.3">
      <c r="A924" s="707"/>
      <c r="B924" s="51">
        <v>2022</v>
      </c>
      <c r="C924" s="713" t="s">
        <v>1704</v>
      </c>
      <c r="D924" s="713"/>
      <c r="E924" s="713"/>
      <c r="F924" s="713"/>
      <c r="G924" s="713"/>
      <c r="H924" s="713"/>
      <c r="I924" s="485" t="s">
        <v>6</v>
      </c>
    </row>
    <row r="925" spans="1:9" ht="36" customHeight="1" x14ac:dyDescent="0.3">
      <c r="A925" s="707"/>
      <c r="B925" s="51">
        <v>2023</v>
      </c>
      <c r="C925" s="713" t="s">
        <v>1705</v>
      </c>
      <c r="D925" s="713"/>
      <c r="E925" s="713"/>
      <c r="F925" s="713"/>
      <c r="G925" s="713"/>
      <c r="H925" s="713"/>
      <c r="I925" s="485" t="s">
        <v>6</v>
      </c>
    </row>
    <row r="926" spans="1:9" x14ac:dyDescent="0.3">
      <c r="A926" s="707"/>
      <c r="B926" s="51"/>
    </row>
    <row r="928" spans="1:9" s="46" customFormat="1" ht="17.399999999999999" x14ac:dyDescent="0.3">
      <c r="B928" s="710" t="s">
        <v>1706</v>
      </c>
      <c r="C928" s="710"/>
      <c r="D928" s="64"/>
      <c r="E928" s="64"/>
      <c r="F928" s="63"/>
      <c r="G928" s="63"/>
      <c r="H928" s="63"/>
      <c r="I928" s="69"/>
    </row>
    <row r="929" spans="1:9" ht="21" x14ac:dyDescent="0.4">
      <c r="A929" s="707"/>
      <c r="B929" s="6"/>
      <c r="C929" s="76"/>
      <c r="D929" s="76"/>
      <c r="E929" s="76"/>
    </row>
    <row r="930" spans="1:9" ht="14.55" customHeight="1" x14ac:dyDescent="0.3">
      <c r="A930" s="707"/>
      <c r="B930" s="739" t="s">
        <v>1707</v>
      </c>
      <c r="C930" s="739"/>
      <c r="D930" s="739"/>
      <c r="E930" s="739"/>
      <c r="F930" s="739"/>
      <c r="G930" s="739"/>
      <c r="H930" s="739"/>
      <c r="I930" s="739"/>
    </row>
    <row r="931" spans="1:9" ht="21" x14ac:dyDescent="0.4">
      <c r="A931" s="707"/>
      <c r="B931" s="6"/>
      <c r="C931" s="76"/>
      <c r="D931" s="76"/>
      <c r="E931" s="76"/>
    </row>
    <row r="932" spans="1:9" x14ac:dyDescent="0.3">
      <c r="A932" s="707"/>
      <c r="B932" s="50" t="s">
        <v>344</v>
      </c>
      <c r="C932" s="725" t="s">
        <v>843</v>
      </c>
      <c r="D932" s="725"/>
      <c r="E932" s="725"/>
      <c r="F932" s="725"/>
      <c r="G932" s="725"/>
      <c r="H932" s="725"/>
      <c r="I932" s="50" t="s">
        <v>346</v>
      </c>
    </row>
    <row r="933" spans="1:9" ht="45" customHeight="1" x14ac:dyDescent="0.3">
      <c r="A933" s="707"/>
      <c r="B933" s="51">
        <v>2022</v>
      </c>
      <c r="C933" s="713" t="s">
        <v>1708</v>
      </c>
      <c r="D933" s="745"/>
      <c r="E933" s="745"/>
      <c r="F933" s="745"/>
      <c r="G933" s="745"/>
      <c r="H933" s="745"/>
      <c r="I933" s="485" t="s">
        <v>6</v>
      </c>
    </row>
    <row r="934" spans="1:9" ht="45" customHeight="1" x14ac:dyDescent="0.3">
      <c r="A934" s="707"/>
      <c r="B934" s="51">
        <v>2023</v>
      </c>
      <c r="C934" s="713" t="s">
        <v>1709</v>
      </c>
      <c r="D934" s="745"/>
      <c r="E934" s="745"/>
      <c r="F934" s="745"/>
      <c r="G934" s="745"/>
      <c r="H934" s="745"/>
      <c r="I934" s="485" t="s">
        <v>6</v>
      </c>
    </row>
    <row r="935" spans="1:9" ht="15" customHeight="1" x14ac:dyDescent="0.3">
      <c r="A935" s="707"/>
      <c r="B935" s="51"/>
      <c r="C935" s="304"/>
      <c r="D935" s="304"/>
      <c r="E935" s="304"/>
      <c r="F935" s="304"/>
      <c r="G935" s="304"/>
      <c r="H935" s="304"/>
    </row>
    <row r="936" spans="1:9" x14ac:dyDescent="0.3">
      <c r="C936" s="304"/>
      <c r="D936" s="304"/>
      <c r="E936" s="304"/>
      <c r="F936" s="304"/>
      <c r="G936" s="304"/>
      <c r="H936" s="304"/>
    </row>
    <row r="937" spans="1:9" s="46" customFormat="1" ht="17.399999999999999" x14ac:dyDescent="0.3">
      <c r="B937" s="710" t="s">
        <v>1710</v>
      </c>
      <c r="C937" s="710"/>
      <c r="D937" s="64"/>
      <c r="E937" s="64"/>
      <c r="F937" s="63"/>
      <c r="G937" s="63"/>
      <c r="H937" s="63"/>
      <c r="I937" s="69"/>
    </row>
    <row r="938" spans="1:9" ht="21" x14ac:dyDescent="0.4">
      <c r="A938" s="707"/>
      <c r="B938" s="6"/>
      <c r="C938" s="76"/>
      <c r="D938" s="76"/>
      <c r="E938" s="76"/>
    </row>
    <row r="939" spans="1:9" ht="14.55" customHeight="1" x14ac:dyDescent="0.3">
      <c r="A939" s="707"/>
      <c r="B939" s="739" t="s">
        <v>1711</v>
      </c>
      <c r="C939" s="739"/>
      <c r="D939" s="739"/>
      <c r="E939" s="739"/>
      <c r="F939" s="739"/>
      <c r="G939" s="739"/>
      <c r="H939" s="739"/>
      <c r="I939" s="739"/>
    </row>
    <row r="940" spans="1:9" ht="21" x14ac:dyDescent="0.4">
      <c r="A940" s="707"/>
      <c r="B940" s="6"/>
      <c r="C940" s="76"/>
      <c r="D940" s="76"/>
      <c r="E940" s="76"/>
    </row>
    <row r="941" spans="1:9" x14ac:dyDescent="0.3">
      <c r="A941" s="707"/>
      <c r="B941" s="50" t="s">
        <v>344</v>
      </c>
      <c r="C941" s="725" t="s">
        <v>843</v>
      </c>
      <c r="D941" s="725"/>
      <c r="E941" s="725"/>
      <c r="F941" s="725"/>
      <c r="G941" s="725"/>
      <c r="H941" s="725"/>
      <c r="I941" s="50" t="s">
        <v>346</v>
      </c>
    </row>
    <row r="942" spans="1:9" ht="188.1" customHeight="1" x14ac:dyDescent="0.3">
      <c r="A942" s="707"/>
      <c r="B942" s="51">
        <v>2022</v>
      </c>
      <c r="C942" s="713" t="s">
        <v>1572</v>
      </c>
      <c r="D942" s="745"/>
      <c r="E942" s="745"/>
      <c r="F942" s="745"/>
      <c r="G942" s="745"/>
      <c r="H942" s="745"/>
      <c r="I942" s="485" t="s">
        <v>6</v>
      </c>
    </row>
    <row r="943" spans="1:9" ht="255" customHeight="1" x14ac:dyDescent="0.3">
      <c r="B943" s="51">
        <v>2023</v>
      </c>
      <c r="C943" s="732" t="s">
        <v>1573</v>
      </c>
      <c r="D943" s="732"/>
      <c r="E943" s="732"/>
      <c r="F943" s="732"/>
      <c r="G943" s="732"/>
      <c r="H943" s="732"/>
      <c r="I943" s="485" t="s">
        <v>6</v>
      </c>
    </row>
    <row r="946" spans="1:9" s="46" customFormat="1" ht="17.399999999999999" x14ac:dyDescent="0.3">
      <c r="B946" s="710" t="s">
        <v>1712</v>
      </c>
      <c r="C946" s="710"/>
      <c r="D946" s="64"/>
      <c r="E946" s="64"/>
      <c r="F946" s="63"/>
      <c r="G946" s="63"/>
      <c r="H946" s="63"/>
      <c r="I946" s="69"/>
    </row>
    <row r="947" spans="1:9" ht="21" x14ac:dyDescent="0.4">
      <c r="A947" s="707"/>
      <c r="B947" s="6"/>
      <c r="C947" s="76"/>
      <c r="D947" s="76"/>
      <c r="E947" s="76"/>
    </row>
    <row r="948" spans="1:9" ht="14.55" customHeight="1" x14ac:dyDescent="0.3">
      <c r="A948" s="707"/>
      <c r="B948" s="739" t="s">
        <v>1713</v>
      </c>
      <c r="C948" s="739"/>
      <c r="D948" s="739"/>
      <c r="E948" s="739"/>
      <c r="F948" s="739"/>
      <c r="G948" s="739"/>
      <c r="H948" s="739"/>
      <c r="I948" s="739"/>
    </row>
    <row r="949" spans="1:9" ht="21" x14ac:dyDescent="0.4">
      <c r="A949" s="707"/>
      <c r="B949" s="6"/>
      <c r="C949" s="76"/>
      <c r="D949" s="76"/>
      <c r="E949" s="76"/>
    </row>
    <row r="950" spans="1:9" x14ac:dyDescent="0.3">
      <c r="A950" s="707"/>
      <c r="B950" s="50" t="s">
        <v>344</v>
      </c>
      <c r="C950" s="725" t="s">
        <v>843</v>
      </c>
      <c r="D950" s="725"/>
      <c r="E950" s="725"/>
      <c r="F950" s="725"/>
      <c r="G950" s="725"/>
      <c r="H950" s="725"/>
      <c r="I950" s="50" t="s">
        <v>346</v>
      </c>
    </row>
    <row r="951" spans="1:9" ht="83.55" customHeight="1" x14ac:dyDescent="0.3">
      <c r="A951" s="707"/>
      <c r="B951" s="51">
        <v>2019</v>
      </c>
      <c r="C951" s="709" t="s">
        <v>1714</v>
      </c>
      <c r="D951" s="709"/>
      <c r="E951" s="709"/>
      <c r="F951" s="709"/>
      <c r="G951" s="709"/>
      <c r="H951" s="709"/>
      <c r="I951" s="485" t="s">
        <v>6</v>
      </c>
    </row>
    <row r="952" spans="1:9" ht="81.599999999999994" customHeight="1" x14ac:dyDescent="0.3">
      <c r="A952" s="707"/>
      <c r="B952" s="51">
        <v>2020</v>
      </c>
      <c r="C952" s="709" t="s">
        <v>1715</v>
      </c>
      <c r="D952" s="709"/>
      <c r="E952" s="709"/>
      <c r="F952" s="709"/>
      <c r="G952" s="709"/>
      <c r="H952" s="709"/>
      <c r="I952" s="485" t="s">
        <v>6</v>
      </c>
    </row>
    <row r="953" spans="1:9" ht="141.6" customHeight="1" x14ac:dyDescent="0.3">
      <c r="A953" s="707"/>
      <c r="B953" s="51">
        <v>2021</v>
      </c>
      <c r="C953" s="709" t="s">
        <v>1716</v>
      </c>
      <c r="D953" s="709"/>
      <c r="E953" s="709"/>
      <c r="F953" s="709"/>
      <c r="G953" s="709"/>
      <c r="H953" s="709"/>
      <c r="I953" s="485" t="s">
        <v>6</v>
      </c>
    </row>
    <row r="954" spans="1:9" ht="145.05000000000001" customHeight="1" x14ac:dyDescent="0.3">
      <c r="B954" s="51">
        <v>2022</v>
      </c>
      <c r="C954" s="709" t="s">
        <v>1717</v>
      </c>
      <c r="D954" s="709"/>
      <c r="E954" s="709"/>
      <c r="F954" s="709"/>
      <c r="G954" s="709"/>
      <c r="H954" s="709"/>
      <c r="I954" s="485" t="s">
        <v>6</v>
      </c>
    </row>
    <row r="955" spans="1:9" ht="254.1" customHeight="1" x14ac:dyDescent="0.3">
      <c r="B955" s="51">
        <v>2023</v>
      </c>
      <c r="C955" s="732" t="s">
        <v>1718</v>
      </c>
      <c r="D955" s="732"/>
      <c r="E955" s="732"/>
      <c r="F955" s="732"/>
      <c r="G955" s="732"/>
      <c r="H955" s="732"/>
      <c r="I955" s="485" t="s">
        <v>6</v>
      </c>
    </row>
    <row r="958" spans="1:9" s="46" customFormat="1" ht="17.399999999999999" x14ac:dyDescent="0.3">
      <c r="B958" s="710" t="s">
        <v>1719</v>
      </c>
      <c r="C958" s="710"/>
      <c r="D958" s="64"/>
      <c r="E958" s="64"/>
      <c r="F958" s="63"/>
      <c r="G958" s="63"/>
      <c r="H958" s="63"/>
      <c r="I958" s="69"/>
    </row>
    <row r="959" spans="1:9" ht="21" x14ac:dyDescent="0.4">
      <c r="A959" s="707"/>
      <c r="B959" s="6"/>
      <c r="C959" s="76"/>
      <c r="D959" s="76"/>
      <c r="E959" s="76"/>
    </row>
    <row r="960" spans="1:9" ht="14.55" customHeight="1" x14ac:dyDescent="0.3">
      <c r="A960" s="707"/>
      <c r="B960" s="739" t="s">
        <v>1720</v>
      </c>
      <c r="C960" s="739"/>
      <c r="D960" s="739"/>
      <c r="E960" s="739"/>
      <c r="F960" s="739"/>
      <c r="G960" s="739"/>
      <c r="H960" s="739"/>
      <c r="I960" s="739"/>
    </row>
    <row r="961" spans="1:9" ht="21" x14ac:dyDescent="0.4">
      <c r="A961" s="707"/>
      <c r="B961" s="6"/>
      <c r="C961" s="76"/>
      <c r="D961" s="76"/>
      <c r="E961" s="76"/>
    </row>
    <row r="962" spans="1:9" x14ac:dyDescent="0.3">
      <c r="A962" s="707"/>
      <c r="B962" s="50" t="s">
        <v>344</v>
      </c>
      <c r="C962" s="725" t="s">
        <v>843</v>
      </c>
      <c r="D962" s="725"/>
      <c r="E962" s="725"/>
      <c r="F962" s="725"/>
      <c r="G962" s="725"/>
      <c r="H962" s="725"/>
      <c r="I962" s="50" t="s">
        <v>346</v>
      </c>
    </row>
    <row r="963" spans="1:9" ht="55.05" customHeight="1" x14ac:dyDescent="0.3">
      <c r="A963" s="707"/>
      <c r="B963" s="51">
        <v>2019</v>
      </c>
      <c r="C963" s="709" t="s">
        <v>1721</v>
      </c>
      <c r="D963" s="709"/>
      <c r="E963" s="709"/>
      <c r="F963" s="709"/>
      <c r="G963" s="709"/>
      <c r="H963" s="709"/>
      <c r="I963" s="485" t="s">
        <v>6</v>
      </c>
    </row>
    <row r="964" spans="1:9" ht="55.05" customHeight="1" x14ac:dyDescent="0.3">
      <c r="A964" s="707"/>
      <c r="B964" s="51">
        <v>2020</v>
      </c>
      <c r="C964" s="709" t="s">
        <v>1721</v>
      </c>
      <c r="D964" s="709"/>
      <c r="E964" s="709"/>
      <c r="F964" s="709"/>
      <c r="G964" s="709"/>
      <c r="H964" s="709"/>
      <c r="I964" s="485" t="s">
        <v>6</v>
      </c>
    </row>
    <row r="965" spans="1:9" ht="100.05" customHeight="1" x14ac:dyDescent="0.3">
      <c r="A965" s="707"/>
      <c r="B965" s="51">
        <v>2021</v>
      </c>
      <c r="C965" s="709" t="s">
        <v>1722</v>
      </c>
      <c r="D965" s="709"/>
      <c r="E965" s="709"/>
      <c r="F965" s="709"/>
      <c r="G965" s="709"/>
      <c r="H965" s="709"/>
      <c r="I965" s="485" t="s">
        <v>6</v>
      </c>
    </row>
    <row r="966" spans="1:9" ht="95.1" customHeight="1" x14ac:dyDescent="0.3">
      <c r="A966" s="707"/>
      <c r="B966" s="51">
        <v>2022</v>
      </c>
      <c r="C966" s="709" t="s">
        <v>1723</v>
      </c>
      <c r="D966" s="709"/>
      <c r="E966" s="709"/>
      <c r="F966" s="709"/>
      <c r="G966" s="709"/>
      <c r="H966" s="709"/>
      <c r="I966" s="485" t="s">
        <v>6</v>
      </c>
    </row>
    <row r="967" spans="1:9" ht="118.5" customHeight="1" x14ac:dyDescent="0.3">
      <c r="A967" s="707"/>
      <c r="B967" s="51">
        <v>2023</v>
      </c>
      <c r="C967" s="732" t="s">
        <v>1724</v>
      </c>
      <c r="D967" s="732"/>
      <c r="E967" s="732"/>
      <c r="F967" s="732"/>
      <c r="G967" s="732"/>
      <c r="H967" s="732"/>
      <c r="I967" s="485" t="s">
        <v>6</v>
      </c>
    </row>
    <row r="968" spans="1:9" x14ac:dyDescent="0.3">
      <c r="C968" s="75" t="s">
        <v>1725</v>
      </c>
    </row>
    <row r="970" spans="1:9" s="46" customFormat="1" ht="17.399999999999999" x14ac:dyDescent="0.3">
      <c r="B970" s="710" t="s">
        <v>1726</v>
      </c>
      <c r="C970" s="710"/>
      <c r="D970" s="64"/>
      <c r="E970" s="64"/>
      <c r="F970" s="63"/>
      <c r="G970" s="63"/>
      <c r="H970" s="63"/>
      <c r="I970" s="69"/>
    </row>
    <row r="971" spans="1:9" ht="21" x14ac:dyDescent="0.4">
      <c r="A971" s="707"/>
      <c r="B971" s="6"/>
      <c r="C971" s="76"/>
      <c r="D971" s="76"/>
      <c r="E971" s="76"/>
    </row>
    <row r="972" spans="1:9" ht="50.55" customHeight="1" x14ac:dyDescent="0.3">
      <c r="A972" s="707"/>
      <c r="B972" s="739" t="s">
        <v>1727</v>
      </c>
      <c r="C972" s="739"/>
      <c r="D972" s="739"/>
      <c r="E972" s="739"/>
      <c r="F972" s="739"/>
      <c r="G972" s="739"/>
      <c r="H972" s="739"/>
      <c r="I972" s="739"/>
    </row>
    <row r="973" spans="1:9" ht="21" x14ac:dyDescent="0.4">
      <c r="A973" s="707"/>
      <c r="B973" s="6"/>
      <c r="C973" s="76"/>
      <c r="D973" s="76"/>
      <c r="E973" s="76"/>
    </row>
    <row r="974" spans="1:9" x14ac:dyDescent="0.3">
      <c r="A974" s="707"/>
      <c r="B974" s="50" t="s">
        <v>344</v>
      </c>
      <c r="C974" s="725" t="s">
        <v>843</v>
      </c>
      <c r="D974" s="725"/>
      <c r="E974" s="725"/>
      <c r="F974" s="725"/>
      <c r="G974" s="725"/>
      <c r="H974" s="725"/>
      <c r="I974" s="50" t="s">
        <v>346</v>
      </c>
    </row>
    <row r="975" spans="1:9" s="75" customFormat="1" ht="21" customHeight="1" x14ac:dyDescent="0.3">
      <c r="A975" s="707"/>
      <c r="B975" s="51">
        <v>2022</v>
      </c>
      <c r="C975" s="713" t="s">
        <v>1728</v>
      </c>
      <c r="D975" s="713"/>
      <c r="E975" s="713"/>
      <c r="F975" s="713"/>
      <c r="G975" s="713"/>
      <c r="H975" s="713"/>
      <c r="I975" s="485" t="s">
        <v>6</v>
      </c>
    </row>
    <row r="976" spans="1:9" ht="54.6" customHeight="1" x14ac:dyDescent="0.3">
      <c r="A976" s="707"/>
      <c r="B976" s="51">
        <v>2023</v>
      </c>
      <c r="C976" s="732" t="s">
        <v>1729</v>
      </c>
      <c r="D976" s="732"/>
      <c r="E976" s="732"/>
      <c r="F976" s="732"/>
      <c r="G976" s="732"/>
      <c r="H976" s="732"/>
      <c r="I976" s="485" t="s">
        <v>6</v>
      </c>
    </row>
    <row r="977" spans="1:9" x14ac:dyDescent="0.3">
      <c r="A977" s="707"/>
      <c r="B977" s="51"/>
    </row>
    <row r="978" spans="1:9" s="75" customFormat="1" ht="60" customHeight="1" x14ac:dyDescent="0.3">
      <c r="A978" s="707"/>
      <c r="B978" s="51" t="s">
        <v>354</v>
      </c>
      <c r="C978" s="742" t="s">
        <v>1730</v>
      </c>
      <c r="D978" s="742"/>
      <c r="E978" s="742" t="s">
        <v>1731</v>
      </c>
      <c r="F978" s="742"/>
      <c r="G978" s="564" t="s">
        <v>1732</v>
      </c>
      <c r="I978" s="35"/>
    </row>
    <row r="980" spans="1:9" s="46" customFormat="1" ht="17.399999999999999" x14ac:dyDescent="0.3">
      <c r="B980" s="710" t="s">
        <v>1733</v>
      </c>
      <c r="C980" s="710"/>
      <c r="D980" s="64"/>
      <c r="E980" s="64"/>
      <c r="F980" s="63"/>
      <c r="G980" s="63"/>
      <c r="H980" s="63"/>
      <c r="I980" s="69"/>
    </row>
    <row r="981" spans="1:9" ht="21" x14ac:dyDescent="0.4">
      <c r="A981" s="707"/>
      <c r="B981" s="6"/>
      <c r="C981" s="76"/>
      <c r="D981" s="76"/>
      <c r="E981" s="76"/>
    </row>
    <row r="982" spans="1:9" ht="20.55" customHeight="1" x14ac:dyDescent="0.3">
      <c r="A982" s="707"/>
      <c r="B982" s="739" t="s">
        <v>1734</v>
      </c>
      <c r="C982" s="739"/>
      <c r="D982" s="739"/>
      <c r="E982" s="739"/>
      <c r="F982" s="739"/>
      <c r="G982" s="739"/>
      <c r="H982" s="739"/>
      <c r="I982" s="739"/>
    </row>
    <row r="983" spans="1:9" ht="21" x14ac:dyDescent="0.4">
      <c r="A983" s="707"/>
      <c r="B983" s="6"/>
      <c r="C983" s="76"/>
      <c r="D983" s="76"/>
      <c r="E983" s="76"/>
    </row>
    <row r="984" spans="1:9" x14ac:dyDescent="0.3">
      <c r="A984" s="707"/>
      <c r="B984" s="50" t="s">
        <v>344</v>
      </c>
      <c r="C984" s="725" t="s">
        <v>843</v>
      </c>
      <c r="D984" s="725"/>
      <c r="E984" s="725"/>
      <c r="F984" s="725"/>
      <c r="G984" s="725"/>
      <c r="H984" s="725"/>
      <c r="I984" s="50" t="s">
        <v>346</v>
      </c>
    </row>
    <row r="985" spans="1:9" ht="27" customHeight="1" x14ac:dyDescent="0.3">
      <c r="A985" s="707"/>
      <c r="B985" s="51">
        <v>2022</v>
      </c>
      <c r="C985" s="713" t="s">
        <v>1735</v>
      </c>
      <c r="D985" s="713"/>
      <c r="E985" s="713"/>
      <c r="F985" s="713"/>
      <c r="G985" s="713"/>
      <c r="H985" s="713"/>
      <c r="I985" s="485" t="s">
        <v>6</v>
      </c>
    </row>
    <row r="986" spans="1:9" ht="27" customHeight="1" x14ac:dyDescent="0.3">
      <c r="A986" s="707"/>
      <c r="B986" s="51">
        <v>2023</v>
      </c>
      <c r="C986" s="713" t="s">
        <v>1736</v>
      </c>
      <c r="D986" s="713"/>
      <c r="E986" s="713"/>
      <c r="F986" s="713"/>
      <c r="G986" s="713"/>
      <c r="H986" s="713"/>
      <c r="I986" s="485" t="s">
        <v>6</v>
      </c>
    </row>
    <row r="987" spans="1:9" x14ac:dyDescent="0.3">
      <c r="A987" s="707"/>
      <c r="B987" s="51"/>
    </row>
    <row r="988" spans="1:9" ht="29.25" customHeight="1" x14ac:dyDescent="0.3">
      <c r="A988" s="707"/>
      <c r="B988" s="51" t="s">
        <v>354</v>
      </c>
      <c r="C988" s="541" t="s">
        <v>1737</v>
      </c>
      <c r="D988" s="541"/>
    </row>
    <row r="990" spans="1:9" s="46" customFormat="1" ht="17.399999999999999" x14ac:dyDescent="0.3">
      <c r="B990" s="710" t="s">
        <v>1738</v>
      </c>
      <c r="C990" s="710"/>
      <c r="D990" s="64"/>
      <c r="E990" s="64"/>
      <c r="F990" s="63"/>
      <c r="G990" s="63"/>
      <c r="H990" s="63"/>
      <c r="I990" s="69"/>
    </row>
    <row r="991" spans="1:9" ht="21" x14ac:dyDescent="0.4">
      <c r="A991" s="707"/>
      <c r="B991" s="6"/>
      <c r="C991" s="76"/>
      <c r="D991" s="76"/>
      <c r="E991" s="76"/>
    </row>
    <row r="992" spans="1:9" ht="14.55" customHeight="1" x14ac:dyDescent="0.3">
      <c r="A992" s="707"/>
      <c r="B992" s="739" t="s">
        <v>1739</v>
      </c>
      <c r="C992" s="739"/>
      <c r="D992" s="739"/>
      <c r="E992" s="739"/>
      <c r="F992" s="739"/>
      <c r="G992" s="739"/>
      <c r="H992" s="739"/>
      <c r="I992" s="739"/>
    </row>
    <row r="993" spans="1:9" ht="21" x14ac:dyDescent="0.4">
      <c r="A993" s="707"/>
      <c r="B993" s="6"/>
      <c r="C993" s="76"/>
      <c r="D993" s="76"/>
      <c r="E993" s="76"/>
    </row>
    <row r="994" spans="1:9" x14ac:dyDescent="0.3">
      <c r="A994" s="707"/>
      <c r="B994" s="50" t="s">
        <v>344</v>
      </c>
      <c r="C994" s="725" t="s">
        <v>843</v>
      </c>
      <c r="D994" s="725"/>
      <c r="E994" s="725"/>
      <c r="F994" s="725"/>
      <c r="G994" s="725"/>
      <c r="H994" s="725"/>
      <c r="I994" s="50" t="s">
        <v>346</v>
      </c>
    </row>
    <row r="995" spans="1:9" ht="165.75" customHeight="1" x14ac:dyDescent="0.3">
      <c r="A995" s="707"/>
      <c r="B995" s="51">
        <v>2022</v>
      </c>
      <c r="C995" s="713" t="s">
        <v>1740</v>
      </c>
      <c r="D995" s="713"/>
      <c r="E995" s="713"/>
      <c r="F995" s="713"/>
      <c r="G995" s="713"/>
      <c r="H995" s="713"/>
      <c r="I995" s="485" t="s">
        <v>6</v>
      </c>
    </row>
    <row r="996" spans="1:9" ht="203.55" customHeight="1" x14ac:dyDescent="0.3">
      <c r="A996" s="707"/>
      <c r="B996" s="51">
        <v>2023</v>
      </c>
      <c r="C996" s="732" t="s">
        <v>1741</v>
      </c>
      <c r="D996" s="732"/>
      <c r="E996" s="732"/>
      <c r="F996" s="732"/>
      <c r="G996" s="732"/>
      <c r="H996" s="732"/>
      <c r="I996" s="485" t="s">
        <v>6</v>
      </c>
    </row>
    <row r="998" spans="1:9" x14ac:dyDescent="0.3">
      <c r="B998" s="51" t="s">
        <v>354</v>
      </c>
      <c r="C998" s="600" t="s">
        <v>1742</v>
      </c>
      <c r="D998" s="601"/>
    </row>
  </sheetData>
  <sheetProtection algorithmName="SHA-512" hashValue="avnFV5VIt9cMUJW2AIbry9n5C6GOvhEl3gl9SG7KbLHfAQlUg+XyrqvJXWWWVzY7bYxoBHyvWEFd4wD9xEnJYw==" saltValue="kfQhhyCvIx6PO645/7vBfA==" spinCount="100000" sheet="1" objects="1" autoFilter="0" pivotTables="0"/>
  <mergeCells count="745">
    <mergeCell ref="B413:H413"/>
    <mergeCell ref="B355:C355"/>
    <mergeCell ref="C359:H359"/>
    <mergeCell ref="C361:H361"/>
    <mergeCell ref="C362:H362"/>
    <mergeCell ref="B296:C296"/>
    <mergeCell ref="B297:C297"/>
    <mergeCell ref="B298:C298"/>
    <mergeCell ref="B319:C319"/>
    <mergeCell ref="B320:C320"/>
    <mergeCell ref="B321:C321"/>
    <mergeCell ref="B299:C299"/>
    <mergeCell ref="B300:C300"/>
    <mergeCell ref="B301:C301"/>
    <mergeCell ref="B305:C305"/>
    <mergeCell ref="D352:E352"/>
    <mergeCell ref="B372:B374"/>
    <mergeCell ref="B368:C368"/>
    <mergeCell ref="D325:E325"/>
    <mergeCell ref="D324:E324"/>
    <mergeCell ref="D323:E323"/>
    <mergeCell ref="D322:E322"/>
    <mergeCell ref="B357:I357"/>
    <mergeCell ref="B313:C313"/>
    <mergeCell ref="B314:C314"/>
    <mergeCell ref="B315:C315"/>
    <mergeCell ref="B316:C316"/>
    <mergeCell ref="B317:C317"/>
    <mergeCell ref="B318:C318"/>
    <mergeCell ref="B370:I370"/>
    <mergeCell ref="C364:H364"/>
    <mergeCell ref="D273:E273"/>
    <mergeCell ref="J203:K203"/>
    <mergeCell ref="J204:K204"/>
    <mergeCell ref="J205:K205"/>
    <mergeCell ref="B352:C352"/>
    <mergeCell ref="D264:E264"/>
    <mergeCell ref="D263:E263"/>
    <mergeCell ref="D265:E265"/>
    <mergeCell ref="D267:E267"/>
    <mergeCell ref="D280:E280"/>
    <mergeCell ref="D279:E279"/>
    <mergeCell ref="D272:E272"/>
    <mergeCell ref="B208:I208"/>
    <mergeCell ref="B279:C279"/>
    <mergeCell ref="B280:C280"/>
    <mergeCell ref="B257:C257"/>
    <mergeCell ref="B256:C256"/>
    <mergeCell ref="B265:C265"/>
    <mergeCell ref="B270:C270"/>
    <mergeCell ref="B271:C271"/>
    <mergeCell ref="B302:C302"/>
    <mergeCell ref="B303:C303"/>
    <mergeCell ref="B304:C304"/>
    <mergeCell ref="B308:C308"/>
    <mergeCell ref="B309:C309"/>
    <mergeCell ref="J197:K197"/>
    <mergeCell ref="C125:H125"/>
    <mergeCell ref="C134:H134"/>
    <mergeCell ref="C135:H135"/>
    <mergeCell ref="C192:I192"/>
    <mergeCell ref="C136:H136"/>
    <mergeCell ref="C145:H145"/>
    <mergeCell ref="C168:H168"/>
    <mergeCell ref="J191:K193"/>
    <mergeCell ref="J194:K194"/>
    <mergeCell ref="J195:K195"/>
    <mergeCell ref="J196:K196"/>
    <mergeCell ref="B183:H183"/>
    <mergeCell ref="B186:D186"/>
    <mergeCell ref="B188:I188"/>
    <mergeCell ref="B189:I189"/>
    <mergeCell ref="C137:H137"/>
    <mergeCell ref="C148:H148"/>
    <mergeCell ref="G449:H449"/>
    <mergeCell ref="B457:C457"/>
    <mergeCell ref="B461:B463"/>
    <mergeCell ref="E452:F452"/>
    <mergeCell ref="F463:H463"/>
    <mergeCell ref="C123:H123"/>
    <mergeCell ref="C113:H113"/>
    <mergeCell ref="B114:I114"/>
    <mergeCell ref="C112:H112"/>
    <mergeCell ref="C126:H126"/>
    <mergeCell ref="C138:H138"/>
    <mergeCell ref="C149:H149"/>
    <mergeCell ref="C182:H182"/>
    <mergeCell ref="E448:F448"/>
    <mergeCell ref="E449:F449"/>
    <mergeCell ref="E450:F450"/>
    <mergeCell ref="D278:E278"/>
    <mergeCell ref="D277:E277"/>
    <mergeCell ref="D276:E276"/>
    <mergeCell ref="D275:E275"/>
    <mergeCell ref="D274:E274"/>
    <mergeCell ref="C372:H372"/>
    <mergeCell ref="C360:H360"/>
    <mergeCell ref="C373:H373"/>
    <mergeCell ref="B513:C513"/>
    <mergeCell ref="C517:H517"/>
    <mergeCell ref="C476:H476"/>
    <mergeCell ref="B528:I528"/>
    <mergeCell ref="B641:I641"/>
    <mergeCell ref="B695:I695"/>
    <mergeCell ref="G664:H664"/>
    <mergeCell ref="C491:H491"/>
    <mergeCell ref="C495:H495"/>
    <mergeCell ref="B515:I515"/>
    <mergeCell ref="B523:I523"/>
    <mergeCell ref="B532:B534"/>
    <mergeCell ref="B657:C657"/>
    <mergeCell ref="B540:I540"/>
    <mergeCell ref="B650:I650"/>
    <mergeCell ref="B648:C648"/>
    <mergeCell ref="C652:H652"/>
    <mergeCell ref="C644:H644"/>
    <mergeCell ref="B699:B701"/>
    <mergeCell ref="B767:B769"/>
    <mergeCell ref="C767:H767"/>
    <mergeCell ref="C745:H745"/>
    <mergeCell ref="C747:H747"/>
    <mergeCell ref="B748:I748"/>
    <mergeCell ref="B751:C751"/>
    <mergeCell ref="C755:H755"/>
    <mergeCell ref="C759:H759"/>
    <mergeCell ref="C760:H760"/>
    <mergeCell ref="C756:H756"/>
    <mergeCell ref="C757:H757"/>
    <mergeCell ref="C758:H758"/>
    <mergeCell ref="I699:I701"/>
    <mergeCell ref="C942:H942"/>
    <mergeCell ref="B862:I862"/>
    <mergeCell ref="C702:D702"/>
    <mergeCell ref="E702:F702"/>
    <mergeCell ref="F465:H465"/>
    <mergeCell ref="C478:E478"/>
    <mergeCell ref="F478:H478"/>
    <mergeCell ref="C492:H492"/>
    <mergeCell ref="C493:H493"/>
    <mergeCell ref="C880:H880"/>
    <mergeCell ref="C864:H864"/>
    <mergeCell ref="B872:C872"/>
    <mergeCell ref="B874:I874"/>
    <mergeCell ref="B693:C693"/>
    <mergeCell ref="C865:H865"/>
    <mergeCell ref="B661:B663"/>
    <mergeCell ref="I661:I663"/>
    <mergeCell ref="E539:F539"/>
    <mergeCell ref="B639:C639"/>
    <mergeCell ref="B697:I697"/>
    <mergeCell ref="B740:I740"/>
    <mergeCell ref="B753:I753"/>
    <mergeCell ref="B765:I765"/>
    <mergeCell ref="G539:H539"/>
    <mergeCell ref="B10:C10"/>
    <mergeCell ref="C888:H888"/>
    <mergeCell ref="C897:H897"/>
    <mergeCell ref="C906:H906"/>
    <mergeCell ref="B659:I659"/>
    <mergeCell ref="B763:C763"/>
    <mergeCell ref="C700:H700"/>
    <mergeCell ref="C645:H645"/>
    <mergeCell ref="C701:D701"/>
    <mergeCell ref="E701:F701"/>
    <mergeCell ref="B738:C738"/>
    <mergeCell ref="C742:H742"/>
    <mergeCell ref="C743:H743"/>
    <mergeCell ref="C744:H744"/>
    <mergeCell ref="B735:I735"/>
    <mergeCell ref="C703:D703"/>
    <mergeCell ref="E703:F703"/>
    <mergeCell ref="C699:H699"/>
    <mergeCell ref="G665:H665"/>
    <mergeCell ref="C465:E465"/>
    <mergeCell ref="F464:H464"/>
    <mergeCell ref="I461:I463"/>
    <mergeCell ref="C462:H462"/>
    <mergeCell ref="C463:E463"/>
    <mergeCell ref="C461:H461"/>
    <mergeCell ref="G450:H450"/>
    <mergeCell ref="C452:D452"/>
    <mergeCell ref="E451:F451"/>
    <mergeCell ref="G452:H452"/>
    <mergeCell ref="B453:I453"/>
    <mergeCell ref="K464:P464"/>
    <mergeCell ref="K465:P465"/>
    <mergeCell ref="K466:P466"/>
    <mergeCell ref="F468:H468"/>
    <mergeCell ref="C520:H520"/>
    <mergeCell ref="C522:H522"/>
    <mergeCell ref="C506:H506"/>
    <mergeCell ref="C508:H508"/>
    <mergeCell ref="B290:C290"/>
    <mergeCell ref="B291:C291"/>
    <mergeCell ref="B292:C292"/>
    <mergeCell ref="B293:C293"/>
    <mergeCell ref="C445:H445"/>
    <mergeCell ref="C446:H446"/>
    <mergeCell ref="B416:C416"/>
    <mergeCell ref="B418:I418"/>
    <mergeCell ref="I372:I374"/>
    <mergeCell ref="B325:C325"/>
    <mergeCell ref="B326:C326"/>
    <mergeCell ref="B334:C334"/>
    <mergeCell ref="B333:C333"/>
    <mergeCell ref="B332:C332"/>
    <mergeCell ref="B331:C331"/>
    <mergeCell ref="B330:C330"/>
    <mergeCell ref="F481:H481"/>
    <mergeCell ref="C468:E468"/>
    <mergeCell ref="C467:E467"/>
    <mergeCell ref="B282:C282"/>
    <mergeCell ref="B263:C263"/>
    <mergeCell ref="B264:C264"/>
    <mergeCell ref="B272:C272"/>
    <mergeCell ref="K467:P467"/>
    <mergeCell ref="C662:H662"/>
    <mergeCell ref="B469:I469"/>
    <mergeCell ref="C479:E479"/>
    <mergeCell ref="C661:H661"/>
    <mergeCell ref="B496:I496"/>
    <mergeCell ref="B499:C499"/>
    <mergeCell ref="C503:H503"/>
    <mergeCell ref="C504:H504"/>
    <mergeCell ref="B501:I501"/>
    <mergeCell ref="C518:H518"/>
    <mergeCell ref="F480:H480"/>
    <mergeCell ref="C482:E482"/>
    <mergeCell ref="F482:H482"/>
    <mergeCell ref="B483:I483"/>
    <mergeCell ref="C505:H505"/>
    <mergeCell ref="C480:E480"/>
    <mergeCell ref="C490:H490"/>
    <mergeCell ref="B306:C306"/>
    <mergeCell ref="B307:C307"/>
    <mergeCell ref="B273:C273"/>
    <mergeCell ref="B266:C266"/>
    <mergeCell ref="C96:H96"/>
    <mergeCell ref="B65:E65"/>
    <mergeCell ref="F17:G17"/>
    <mergeCell ref="F18:G18"/>
    <mergeCell ref="F19:G19"/>
    <mergeCell ref="F21:G21"/>
    <mergeCell ref="C146:H146"/>
    <mergeCell ref="C147:H147"/>
    <mergeCell ref="C156:H156"/>
    <mergeCell ref="C170:H170"/>
    <mergeCell ref="C157:H157"/>
    <mergeCell ref="C158:H158"/>
    <mergeCell ref="C167:H167"/>
    <mergeCell ref="C180:H180"/>
    <mergeCell ref="B161:I161"/>
    <mergeCell ref="B172:I172"/>
    <mergeCell ref="C160:H160"/>
    <mergeCell ref="C171:H171"/>
    <mergeCell ref="C201:I201"/>
    <mergeCell ref="C109:H109"/>
    <mergeCell ref="C124:H124"/>
    <mergeCell ref="C110:H110"/>
    <mergeCell ref="B261:C261"/>
    <mergeCell ref="B262:C262"/>
    <mergeCell ref="D270:E270"/>
    <mergeCell ref="D266:E266"/>
    <mergeCell ref="C169:H169"/>
    <mergeCell ref="C159:H159"/>
    <mergeCell ref="C181:H181"/>
    <mergeCell ref="C178:H178"/>
    <mergeCell ref="C179:H179"/>
    <mergeCell ref="B200:B202"/>
    <mergeCell ref="C200:I200"/>
    <mergeCell ref="B191:B193"/>
    <mergeCell ref="C191:I191"/>
    <mergeCell ref="D256:E256"/>
    <mergeCell ref="K537:L537"/>
    <mergeCell ref="K538:L538"/>
    <mergeCell ref="E534:F534"/>
    <mergeCell ref="G534:H534"/>
    <mergeCell ref="K535:P535"/>
    <mergeCell ref="C537:D537"/>
    <mergeCell ref="E537:F537"/>
    <mergeCell ref="G537:H537"/>
    <mergeCell ref="C535:D535"/>
    <mergeCell ref="E536:F536"/>
    <mergeCell ref="G536:H536"/>
    <mergeCell ref="G535:H535"/>
    <mergeCell ref="K536:L536"/>
    <mergeCell ref="I532:I534"/>
    <mergeCell ref="C533:H533"/>
    <mergeCell ref="C534:D534"/>
    <mergeCell ref="E535:F535"/>
    <mergeCell ref="C536:D536"/>
    <mergeCell ref="C532:H532"/>
    <mergeCell ref="G538:H538"/>
    <mergeCell ref="C538:D538"/>
    <mergeCell ref="E538:F538"/>
    <mergeCell ref="C794:H794"/>
    <mergeCell ref="C795:H795"/>
    <mergeCell ref="C951:H951"/>
    <mergeCell ref="C854:H854"/>
    <mergeCell ref="C855:H855"/>
    <mergeCell ref="C841:H841"/>
    <mergeCell ref="C853:H853"/>
    <mergeCell ref="C856:H856"/>
    <mergeCell ref="C925:H925"/>
    <mergeCell ref="C934:H934"/>
    <mergeCell ref="B930:I930"/>
    <mergeCell ref="C932:H932"/>
    <mergeCell ref="B937:C937"/>
    <mergeCell ref="C914:H914"/>
    <mergeCell ref="B919:C919"/>
    <mergeCell ref="B921:I921"/>
    <mergeCell ref="C923:H923"/>
    <mergeCell ref="B928:C928"/>
    <mergeCell ref="B903:I903"/>
    <mergeCell ref="B883:C883"/>
    <mergeCell ref="B885:I885"/>
    <mergeCell ref="C887:H887"/>
    <mergeCell ref="B892:C892"/>
    <mergeCell ref="C915:H915"/>
    <mergeCell ref="C830:D830"/>
    <mergeCell ref="E830:F830"/>
    <mergeCell ref="G831:H831"/>
    <mergeCell ref="B459:I459"/>
    <mergeCell ref="B474:I474"/>
    <mergeCell ref="B488:I488"/>
    <mergeCell ref="F479:H479"/>
    <mergeCell ref="B472:C472"/>
    <mergeCell ref="B476:B477"/>
    <mergeCell ref="B486:C486"/>
    <mergeCell ref="B819:I819"/>
    <mergeCell ref="C783:H783"/>
    <mergeCell ref="C784:H784"/>
    <mergeCell ref="C785:H785"/>
    <mergeCell ref="C771:D771"/>
    <mergeCell ref="C772:D772"/>
    <mergeCell ref="C774:D774"/>
    <mergeCell ref="C769:D769"/>
    <mergeCell ref="G769:H769"/>
    <mergeCell ref="C654:H654"/>
    <mergeCell ref="C665:D665"/>
    <mergeCell ref="E665:F665"/>
    <mergeCell ref="G829:H829"/>
    <mergeCell ref="E829:F829"/>
    <mergeCell ref="J420:K422"/>
    <mergeCell ref="J423:K423"/>
    <mergeCell ref="C420:I420"/>
    <mergeCell ref="J424:K424"/>
    <mergeCell ref="J425:K425"/>
    <mergeCell ref="J427:K427"/>
    <mergeCell ref="B428:C428"/>
    <mergeCell ref="B443:I443"/>
    <mergeCell ref="E447:F447"/>
    <mergeCell ref="B441:I441"/>
    <mergeCell ref="C447:D447"/>
    <mergeCell ref="J432:K432"/>
    <mergeCell ref="J433:K433"/>
    <mergeCell ref="J434:K434"/>
    <mergeCell ref="C429:I429"/>
    <mergeCell ref="B429:B431"/>
    <mergeCell ref="J436:K436"/>
    <mergeCell ref="J429:K431"/>
    <mergeCell ref="I445:I447"/>
    <mergeCell ref="B439:D439"/>
    <mergeCell ref="B939:I939"/>
    <mergeCell ref="C941:H941"/>
    <mergeCell ref="C832:D832"/>
    <mergeCell ref="E832:F832"/>
    <mergeCell ref="C843:H843"/>
    <mergeCell ref="B860:C860"/>
    <mergeCell ref="B848:C848"/>
    <mergeCell ref="B850:I850"/>
    <mergeCell ref="C852:H852"/>
    <mergeCell ref="B836:C836"/>
    <mergeCell ref="B838:I838"/>
    <mergeCell ref="C842:H842"/>
    <mergeCell ref="C879:H879"/>
    <mergeCell ref="C898:H898"/>
    <mergeCell ref="C907:H907"/>
    <mergeCell ref="C916:H916"/>
    <mergeCell ref="B894:I894"/>
    <mergeCell ref="C896:H896"/>
    <mergeCell ref="B901:C901"/>
    <mergeCell ref="B910:C910"/>
    <mergeCell ref="G832:H832"/>
    <mergeCell ref="B833:I833"/>
    <mergeCell ref="C840:H840"/>
    <mergeCell ref="B912:I912"/>
    <mergeCell ref="C653:H653"/>
    <mergeCell ref="C664:D664"/>
    <mergeCell ref="E664:F664"/>
    <mergeCell ref="C663:D663"/>
    <mergeCell ref="E663:F663"/>
    <mergeCell ref="G663:H663"/>
    <mergeCell ref="B12:I12"/>
    <mergeCell ref="B93:I93"/>
    <mergeCell ref="B106:I106"/>
    <mergeCell ref="B119:I119"/>
    <mergeCell ref="B132:I132"/>
    <mergeCell ref="B143:I143"/>
    <mergeCell ref="B154:I154"/>
    <mergeCell ref="B165:I165"/>
    <mergeCell ref="B176:I176"/>
    <mergeCell ref="B104:C104"/>
    <mergeCell ref="B117:C117"/>
    <mergeCell ref="B130:C130"/>
    <mergeCell ref="B141:C141"/>
    <mergeCell ref="B152:C152"/>
    <mergeCell ref="B163:C163"/>
    <mergeCell ref="B174:C174"/>
    <mergeCell ref="I14:I16"/>
    <mergeCell ref="I476:I477"/>
    <mergeCell ref="A105:A114"/>
    <mergeCell ref="B14:B16"/>
    <mergeCell ref="C14:H14"/>
    <mergeCell ref="B91:C91"/>
    <mergeCell ref="B73:K73"/>
    <mergeCell ref="F20:G20"/>
    <mergeCell ref="A118:A126"/>
    <mergeCell ref="A131:A136"/>
    <mergeCell ref="A142:A148"/>
    <mergeCell ref="C15:E15"/>
    <mergeCell ref="F15:H15"/>
    <mergeCell ref="F16:G16"/>
    <mergeCell ref="C97:H97"/>
    <mergeCell ref="C98:H98"/>
    <mergeCell ref="C100:H100"/>
    <mergeCell ref="C95:H95"/>
    <mergeCell ref="A11:A21"/>
    <mergeCell ref="A92:A100"/>
    <mergeCell ref="C108:H108"/>
    <mergeCell ref="B88:I88"/>
    <mergeCell ref="C99:H99"/>
    <mergeCell ref="C111:H111"/>
    <mergeCell ref="C121:H121"/>
    <mergeCell ref="C122:H122"/>
    <mergeCell ref="A153:A158"/>
    <mergeCell ref="A164:A169"/>
    <mergeCell ref="A175:A181"/>
    <mergeCell ref="B335:C335"/>
    <mergeCell ref="C382:H382"/>
    <mergeCell ref="C448:D448"/>
    <mergeCell ref="C381:H381"/>
    <mergeCell ref="B393:C393"/>
    <mergeCell ref="B392:C392"/>
    <mergeCell ref="B401:C401"/>
    <mergeCell ref="B402:C402"/>
    <mergeCell ref="B403:C403"/>
    <mergeCell ref="B404:C404"/>
    <mergeCell ref="B391:C391"/>
    <mergeCell ref="B381:B383"/>
    <mergeCell ref="B406:C406"/>
    <mergeCell ref="B400:C400"/>
    <mergeCell ref="G447:H447"/>
    <mergeCell ref="B409:C409"/>
    <mergeCell ref="B407:C407"/>
    <mergeCell ref="B408:C408"/>
    <mergeCell ref="B410:C410"/>
    <mergeCell ref="B411:C411"/>
    <mergeCell ref="B412:C412"/>
    <mergeCell ref="A752:A760"/>
    <mergeCell ref="A764:A774"/>
    <mergeCell ref="B286:C286"/>
    <mergeCell ref="B287:C287"/>
    <mergeCell ref="B288:C288"/>
    <mergeCell ref="B289:C289"/>
    <mergeCell ref="B294:C294"/>
    <mergeCell ref="B295:C295"/>
    <mergeCell ref="C481:E481"/>
    <mergeCell ref="C494:H494"/>
    <mergeCell ref="C507:H507"/>
    <mergeCell ref="C521:H521"/>
    <mergeCell ref="C643:H643"/>
    <mergeCell ref="C539:D539"/>
    <mergeCell ref="B530:I530"/>
    <mergeCell ref="B526:D526"/>
    <mergeCell ref="C519:H519"/>
    <mergeCell ref="B509:I509"/>
    <mergeCell ref="C770:D770"/>
    <mergeCell ref="C477:E477"/>
    <mergeCell ref="A514:A523"/>
    <mergeCell ref="B322:C322"/>
    <mergeCell ref="B323:C323"/>
    <mergeCell ref="B329:C329"/>
    <mergeCell ref="F477:H477"/>
    <mergeCell ref="C466:E466"/>
    <mergeCell ref="C449:D449"/>
    <mergeCell ref="F466:H466"/>
    <mergeCell ref="D321:E321"/>
    <mergeCell ref="D320:E320"/>
    <mergeCell ref="D319:E319"/>
    <mergeCell ref="D318:E318"/>
    <mergeCell ref="D317:E317"/>
    <mergeCell ref="C450:D450"/>
    <mergeCell ref="C464:E464"/>
    <mergeCell ref="F467:H467"/>
    <mergeCell ref="D334:E334"/>
    <mergeCell ref="C363:H363"/>
    <mergeCell ref="D335:E335"/>
    <mergeCell ref="B336:C336"/>
    <mergeCell ref="D336:E336"/>
    <mergeCell ref="B337:C337"/>
    <mergeCell ref="D337:E337"/>
    <mergeCell ref="B405:C405"/>
    <mergeCell ref="D392:F392"/>
    <mergeCell ref="B394:C394"/>
    <mergeCell ref="B395:C395"/>
    <mergeCell ref="B396:C396"/>
    <mergeCell ref="D316:E316"/>
    <mergeCell ref="D303:E303"/>
    <mergeCell ref="D302:E302"/>
    <mergeCell ref="C421:I421"/>
    <mergeCell ref="C430:I430"/>
    <mergeCell ref="B324:C324"/>
    <mergeCell ref="D326:E326"/>
    <mergeCell ref="B328:C328"/>
    <mergeCell ref="B327:C327"/>
    <mergeCell ref="D333:E333"/>
    <mergeCell ref="D332:E332"/>
    <mergeCell ref="D331:E331"/>
    <mergeCell ref="D330:E330"/>
    <mergeCell ref="D329:E329"/>
    <mergeCell ref="D328:E328"/>
    <mergeCell ref="D327:E327"/>
    <mergeCell ref="B420:B422"/>
    <mergeCell ref="B397:C397"/>
    <mergeCell ref="B398:C398"/>
    <mergeCell ref="B399:C399"/>
    <mergeCell ref="B365:I365"/>
    <mergeCell ref="B310:C310"/>
    <mergeCell ref="B311:C311"/>
    <mergeCell ref="B312:C312"/>
    <mergeCell ref="D299:E299"/>
    <mergeCell ref="D298:E298"/>
    <mergeCell ref="D315:E315"/>
    <mergeCell ref="D314:E314"/>
    <mergeCell ref="D313:E313"/>
    <mergeCell ref="D312:E312"/>
    <mergeCell ref="D311:E311"/>
    <mergeCell ref="D310:E310"/>
    <mergeCell ref="D309:E309"/>
    <mergeCell ref="D308:E308"/>
    <mergeCell ref="D307:E307"/>
    <mergeCell ref="D305:E305"/>
    <mergeCell ref="D304:E304"/>
    <mergeCell ref="J206:K206"/>
    <mergeCell ref="J207:K207"/>
    <mergeCell ref="D289:E289"/>
    <mergeCell ref="D288:E288"/>
    <mergeCell ref="D287:E287"/>
    <mergeCell ref="D286:E286"/>
    <mergeCell ref="D285:E285"/>
    <mergeCell ref="D284:E284"/>
    <mergeCell ref="D283:E283"/>
    <mergeCell ref="D282:E282"/>
    <mergeCell ref="D281:E281"/>
    <mergeCell ref="D257:E257"/>
    <mergeCell ref="D258:E258"/>
    <mergeCell ref="D259:E259"/>
    <mergeCell ref="D260:E260"/>
    <mergeCell ref="D261:E261"/>
    <mergeCell ref="D262:E262"/>
    <mergeCell ref="D268:E268"/>
    <mergeCell ref="D269:E269"/>
    <mergeCell ref="D271:E271"/>
    <mergeCell ref="B255:G255"/>
    <mergeCell ref="B258:C258"/>
    <mergeCell ref="B259:C259"/>
    <mergeCell ref="B260:C260"/>
    <mergeCell ref="J200:K202"/>
    <mergeCell ref="J198:K198"/>
    <mergeCell ref="J426:K426"/>
    <mergeCell ref="J435:K435"/>
    <mergeCell ref="C451:D451"/>
    <mergeCell ref="G451:H451"/>
    <mergeCell ref="D338:E338"/>
    <mergeCell ref="B339:C339"/>
    <mergeCell ref="D339:E339"/>
    <mergeCell ref="B340:C340"/>
    <mergeCell ref="D340:E340"/>
    <mergeCell ref="B341:C341"/>
    <mergeCell ref="D341:E341"/>
    <mergeCell ref="B342:C342"/>
    <mergeCell ref="D342:E342"/>
    <mergeCell ref="B343:C343"/>
    <mergeCell ref="D343:E343"/>
    <mergeCell ref="B349:C349"/>
    <mergeCell ref="D349:E349"/>
    <mergeCell ref="B351:C351"/>
    <mergeCell ref="B338:C338"/>
    <mergeCell ref="I381:I383"/>
    <mergeCell ref="G448:H448"/>
    <mergeCell ref="B445:B447"/>
    <mergeCell ref="C796:H796"/>
    <mergeCell ref="B283:C283"/>
    <mergeCell ref="B284:C284"/>
    <mergeCell ref="B285:C285"/>
    <mergeCell ref="B267:C267"/>
    <mergeCell ref="B268:C268"/>
    <mergeCell ref="B269:C269"/>
    <mergeCell ref="B274:C274"/>
    <mergeCell ref="B275:C275"/>
    <mergeCell ref="B276:C276"/>
    <mergeCell ref="B277:C277"/>
    <mergeCell ref="B278:C278"/>
    <mergeCell ref="B281:C281"/>
    <mergeCell ref="D297:E297"/>
    <mergeCell ref="D296:E296"/>
    <mergeCell ref="D295:E295"/>
    <mergeCell ref="D294:E294"/>
    <mergeCell ref="D293:E293"/>
    <mergeCell ref="D292:E292"/>
    <mergeCell ref="D291:E291"/>
    <mergeCell ref="D290:E290"/>
    <mergeCell ref="D306:E306"/>
    <mergeCell ref="D301:E301"/>
    <mergeCell ref="D300:E300"/>
    <mergeCell ref="E978:F978"/>
    <mergeCell ref="C829:D829"/>
    <mergeCell ref="E828:F828"/>
    <mergeCell ref="C827:D827"/>
    <mergeCell ref="E827:F827"/>
    <mergeCell ref="B826:B827"/>
    <mergeCell ref="C746:H746"/>
    <mergeCell ref="C773:D773"/>
    <mergeCell ref="G773:H773"/>
    <mergeCell ref="B791:I791"/>
    <mergeCell ref="C793:H793"/>
    <mergeCell ref="I767:I769"/>
    <mergeCell ref="B777:C777"/>
    <mergeCell ref="B779:I779"/>
    <mergeCell ref="C781:H781"/>
    <mergeCell ref="C782:H782"/>
    <mergeCell ref="C768:H768"/>
    <mergeCell ref="B789:D789"/>
    <mergeCell ref="C786:H786"/>
    <mergeCell ref="G770:H770"/>
    <mergeCell ref="G771:H771"/>
    <mergeCell ref="G772:H772"/>
    <mergeCell ref="C798:H798"/>
    <mergeCell ref="G774:H774"/>
    <mergeCell ref="B958:C958"/>
    <mergeCell ref="B960:I960"/>
    <mergeCell ref="C797:H797"/>
    <mergeCell ref="C831:D831"/>
    <mergeCell ref="E831:F831"/>
    <mergeCell ref="C845:H845"/>
    <mergeCell ref="C857:H857"/>
    <mergeCell ref="C869:H869"/>
    <mergeCell ref="C881:H881"/>
    <mergeCell ref="C889:H889"/>
    <mergeCell ref="B870:I870"/>
    <mergeCell ref="C844:H844"/>
    <mergeCell ref="C878:H878"/>
    <mergeCell ref="C868:H868"/>
    <mergeCell ref="C828:D828"/>
    <mergeCell ref="C924:H924"/>
    <mergeCell ref="C933:H933"/>
    <mergeCell ref="B822:C822"/>
    <mergeCell ref="B824:I824"/>
    <mergeCell ref="C826:H826"/>
    <mergeCell ref="G828:H828"/>
    <mergeCell ref="G827:H827"/>
    <mergeCell ref="G830:H830"/>
    <mergeCell ref="C905:H905"/>
    <mergeCell ref="C996:H996"/>
    <mergeCell ref="C986:H986"/>
    <mergeCell ref="C976:H976"/>
    <mergeCell ref="C967:H967"/>
    <mergeCell ref="C955:H955"/>
    <mergeCell ref="C943:H943"/>
    <mergeCell ref="C985:H985"/>
    <mergeCell ref="C975:H975"/>
    <mergeCell ref="C995:H995"/>
    <mergeCell ref="C966:H966"/>
    <mergeCell ref="C994:H994"/>
    <mergeCell ref="B970:C970"/>
    <mergeCell ref="B972:I972"/>
    <mergeCell ref="C974:H974"/>
    <mergeCell ref="B982:I982"/>
    <mergeCell ref="C984:H984"/>
    <mergeCell ref="C963:H963"/>
    <mergeCell ref="B948:I948"/>
    <mergeCell ref="C962:H962"/>
    <mergeCell ref="C950:H950"/>
    <mergeCell ref="B946:C946"/>
    <mergeCell ref="C952:H952"/>
    <mergeCell ref="C953:H953"/>
    <mergeCell ref="C978:D978"/>
    <mergeCell ref="B990:C990"/>
    <mergeCell ref="B992:I992"/>
    <mergeCell ref="D351:E351"/>
    <mergeCell ref="B344:C344"/>
    <mergeCell ref="D344:E344"/>
    <mergeCell ref="B345:C345"/>
    <mergeCell ref="D345:E345"/>
    <mergeCell ref="B346:C346"/>
    <mergeCell ref="D346:E346"/>
    <mergeCell ref="B347:C347"/>
    <mergeCell ref="D347:E347"/>
    <mergeCell ref="B348:C348"/>
    <mergeCell ref="D348:E348"/>
    <mergeCell ref="B350:C350"/>
    <mergeCell ref="D350:E350"/>
    <mergeCell ref="C876:H876"/>
    <mergeCell ref="C866:H866"/>
    <mergeCell ref="C867:H867"/>
    <mergeCell ref="C877:H877"/>
    <mergeCell ref="I826:I827"/>
    <mergeCell ref="B980:C980"/>
    <mergeCell ref="C964:H964"/>
    <mergeCell ref="C965:H965"/>
    <mergeCell ref="C954:H954"/>
    <mergeCell ref="A187:A198"/>
    <mergeCell ref="A356:A363"/>
    <mergeCell ref="A369:A379"/>
    <mergeCell ref="A417:A428"/>
    <mergeCell ref="A440:A452"/>
    <mergeCell ref="A458:A469"/>
    <mergeCell ref="A473:A483"/>
    <mergeCell ref="A487:A496"/>
    <mergeCell ref="A500:A509"/>
    <mergeCell ref="A981:A988"/>
    <mergeCell ref="A991:A996"/>
    <mergeCell ref="A778:A786"/>
    <mergeCell ref="A790:A797"/>
    <mergeCell ref="A823:A832"/>
    <mergeCell ref="A837:A843"/>
    <mergeCell ref="A527:A539"/>
    <mergeCell ref="A849:A857"/>
    <mergeCell ref="A861:A866"/>
    <mergeCell ref="A873:A881"/>
    <mergeCell ref="A884:A889"/>
    <mergeCell ref="A893:A899"/>
    <mergeCell ref="A902:A908"/>
    <mergeCell ref="A911:A917"/>
    <mergeCell ref="A920:A926"/>
    <mergeCell ref="A929:A935"/>
    <mergeCell ref="A938:A942"/>
    <mergeCell ref="A947:A953"/>
    <mergeCell ref="A959:A967"/>
    <mergeCell ref="A971:A978"/>
    <mergeCell ref="A640:A645"/>
    <mergeCell ref="A658:A683"/>
    <mergeCell ref="A694:A720"/>
    <mergeCell ref="A739:A748"/>
  </mergeCells>
  <hyperlinks>
    <hyperlink ref="C511" r:id="rId1" display="Questionário CDP" xr:uid="{B8321365-39A2-4D2C-8652-221154FC6D09}"/>
    <hyperlink ref="C978" r:id="rId2" display="Link 1" xr:uid="{395112B7-6B7D-4FAA-B757-1F280F7B1E77}"/>
    <hyperlink ref="E978" r:id="rId3" display="Link 1" xr:uid="{3647F8CD-31E3-4685-9ABF-0D8CC3B8D94B}"/>
    <hyperlink ref="C978:D978" r:id="rId4" display="Soluções de Minérios de Ferro" xr:uid="{A09C09D0-C60F-4268-AE77-8444B2527280}"/>
    <hyperlink ref="E978:F978" r:id="rId5" display="Metais de Transição Energética" xr:uid="{C426FAE7-F519-4CD3-8A86-A9E1A4B891BE}"/>
    <hyperlink ref="C988" r:id="rId6" display="Link 1" xr:uid="{16BEB361-C7B8-4DB1-A677-E61E3EEBD420}"/>
    <hyperlink ref="C998" r:id="rId7" xr:uid="{0DB435AC-4AE3-4A3B-9EB0-698B63CF064C}"/>
    <hyperlink ref="C455" r:id="rId8" display="Questionário CDP" xr:uid="{145FA487-025F-4413-89A4-EBA5D92F5D2E}"/>
    <hyperlink ref="G978" r:id="rId9" xr:uid="{F7B060B8-D05E-44CC-BF25-9DFC14E7512D}"/>
  </hyperlinks>
  <pageMargins left="0.70866141732283472" right="0.70866141732283472" top="0.74803149606299213" bottom="0.74803149606299213" header="0.31496062992125984" footer="0.31496062992125984"/>
  <pageSetup paperSize="9" scale="44" fitToHeight="0" orientation="portrait" horizontalDpi="300" r:id="rId10"/>
  <headerFooter>
    <oddHeader xml:space="preserve">&amp;C </oddHeader>
  </headerFooter>
  <drawing r:id="rId11"/>
  <legacyDrawing r:id="rId12"/>
  <mc:AlternateContent xmlns:mc="http://schemas.openxmlformats.org/markup-compatibility/2006">
    <mc:Choice Requires="x14">
      <controls>
        <mc:AlternateContent xmlns:mc="http://schemas.openxmlformats.org/markup-compatibility/2006">
          <mc:Choice Requires="x14">
            <control shapeId="47106" r:id="rId13" name="Drop Down 2">
              <controlPr defaultSize="0" autoLine="0" autoPict="0">
                <anchor moveWithCells="1">
                  <from>
                    <xdr:col>5</xdr:col>
                    <xdr:colOff>1181100</xdr:colOff>
                    <xdr:row>44</xdr:row>
                    <xdr:rowOff>30480</xdr:rowOff>
                  </from>
                  <to>
                    <xdr:col>5</xdr:col>
                    <xdr:colOff>1181100</xdr:colOff>
                    <xdr:row>45</xdr:row>
                    <xdr:rowOff>68580</xdr:rowOff>
                  </to>
                </anchor>
              </controlPr>
            </control>
          </mc:Choice>
        </mc:AlternateContent>
        <mc:AlternateContent xmlns:mc="http://schemas.openxmlformats.org/markup-compatibility/2006">
          <mc:Choice Requires="x14">
            <control shapeId="3" r:id="rId14" name="Drop Down 3">
              <controlPr defaultSize="0" autoLine="0" autoPict="0">
                <anchor moveWithCells="1">
                  <from>
                    <xdr:col>5</xdr:col>
                    <xdr:colOff>1127760</xdr:colOff>
                    <xdr:row>44</xdr:row>
                    <xdr:rowOff>22860</xdr:rowOff>
                  </from>
                  <to>
                    <xdr:col>6</xdr:col>
                    <xdr:colOff>822960</xdr:colOff>
                    <xdr:row>45</xdr:row>
                    <xdr:rowOff>60960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1C70-DB12-4CD4-8B2A-D980ACC7B58C}">
  <sheetPr codeName="Planilha11">
    <tabColor rgb="FFECB11F"/>
    <pageSetUpPr fitToPage="1"/>
  </sheetPr>
  <dimension ref="A1:XFC55"/>
  <sheetViews>
    <sheetView showGridLines="0" showRowColHeaders="0" showRuler="0" zoomScale="110" zoomScaleNormal="110" workbookViewId="0">
      <pane xSplit="5" ySplit="2" topLeftCell="F3" activePane="bottomRight" state="frozen"/>
      <selection pane="topRight" activeCell="F1" sqref="F1"/>
      <selection pane="bottomLeft" activeCell="A3" sqref="A3"/>
      <selection pane="bottomRight"/>
    </sheetView>
  </sheetViews>
  <sheetFormatPr defaultColWidth="0" defaultRowHeight="14.4" x14ac:dyDescent="0.3"/>
  <cols>
    <col min="1" max="1" width="8.77734375" customWidth="1"/>
    <col min="2" max="2" width="30.5546875" customWidth="1"/>
    <col min="3" max="3" width="70.5546875" customWidth="1"/>
    <col min="4" max="4" width="37.5546875" customWidth="1"/>
    <col min="5" max="5" width="8.77734375" customWidth="1"/>
    <col min="6" max="6" width="8.77734375" hidden="1" customWidth="1"/>
    <col min="7" max="16383" width="8.77734375" hidden="1"/>
    <col min="16384" max="16384" width="3.5546875" hidden="1"/>
  </cols>
  <sheetData>
    <row r="1" spans="1:5" ht="14.1" customHeight="1" x14ac:dyDescent="0.3">
      <c r="A1" s="446"/>
      <c r="C1" s="4"/>
      <c r="D1" s="19"/>
    </row>
    <row r="2" spans="1:5" ht="14.1" customHeight="1" x14ac:dyDescent="0.3">
      <c r="A2" s="447"/>
      <c r="B2" s="421"/>
      <c r="C2" s="422"/>
      <c r="D2" s="423"/>
      <c r="E2" s="421"/>
    </row>
    <row r="3" spans="1:5" ht="14.55" customHeight="1" x14ac:dyDescent="0.3">
      <c r="C3" s="4"/>
      <c r="D3" s="19"/>
    </row>
    <row r="4" spans="1:5" ht="14.55" customHeight="1" x14ac:dyDescent="0.3">
      <c r="C4" s="4"/>
      <c r="D4" s="9" t="s">
        <v>0</v>
      </c>
    </row>
    <row r="5" spans="1:5" ht="14.55" customHeight="1" x14ac:dyDescent="0.3">
      <c r="C5" s="4"/>
      <c r="D5" s="19"/>
    </row>
    <row r="6" spans="1:5" x14ac:dyDescent="0.3">
      <c r="C6" s="4"/>
      <c r="D6" s="19"/>
    </row>
    <row r="7" spans="1:5" x14ac:dyDescent="0.3">
      <c r="C7" s="4"/>
      <c r="D7" s="19"/>
    </row>
    <row r="8" spans="1:5" ht="21" x14ac:dyDescent="0.4">
      <c r="B8" s="441" t="s">
        <v>24</v>
      </c>
      <c r="C8" s="18"/>
      <c r="D8" s="20"/>
    </row>
    <row r="9" spans="1:5" ht="21" x14ac:dyDescent="0.4">
      <c r="B9" s="6"/>
      <c r="C9" s="18"/>
      <c r="D9" s="20"/>
    </row>
    <row r="10" spans="1:5" ht="12" customHeight="1" thickBot="1" x14ac:dyDescent="0.35">
      <c r="B10" s="26" t="s">
        <v>323</v>
      </c>
      <c r="C10" s="26" t="s">
        <v>324</v>
      </c>
      <c r="D10" s="27" t="s">
        <v>325</v>
      </c>
    </row>
    <row r="11" spans="1:5" ht="20.100000000000001" customHeight="1" thickTop="1" x14ac:dyDescent="0.3">
      <c r="B11" s="57" t="s">
        <v>1743</v>
      </c>
      <c r="C11" s="11" t="s">
        <v>1744</v>
      </c>
      <c r="D11" s="369" t="s">
        <v>25</v>
      </c>
    </row>
    <row r="12" spans="1:5" ht="20.100000000000001" customHeight="1" x14ac:dyDescent="0.3">
      <c r="B12" s="182" t="s">
        <v>1745</v>
      </c>
      <c r="C12" s="11" t="s">
        <v>1746</v>
      </c>
      <c r="D12" s="369" t="s">
        <v>25</v>
      </c>
    </row>
    <row r="13" spans="1:5" ht="20.100000000000001" customHeight="1" x14ac:dyDescent="0.3">
      <c r="B13" s="11" t="s">
        <v>254</v>
      </c>
      <c r="C13" s="11" t="s">
        <v>255</v>
      </c>
      <c r="D13" s="369" t="s">
        <v>25</v>
      </c>
    </row>
    <row r="14" spans="1:5" ht="24" customHeight="1" x14ac:dyDescent="0.3">
      <c r="B14" s="11" t="s">
        <v>256</v>
      </c>
      <c r="C14" s="11" t="s">
        <v>257</v>
      </c>
      <c r="D14" s="369" t="s">
        <v>25</v>
      </c>
    </row>
    <row r="15" spans="1:5" ht="20.100000000000001" customHeight="1" x14ac:dyDescent="0.3">
      <c r="B15" s="11" t="s">
        <v>258</v>
      </c>
      <c r="C15" s="11" t="s">
        <v>259</v>
      </c>
      <c r="D15" s="369" t="s">
        <v>25</v>
      </c>
    </row>
    <row r="16" spans="1:5" ht="20.100000000000001" customHeight="1" x14ac:dyDescent="0.3">
      <c r="B16" s="11" t="s">
        <v>1747</v>
      </c>
      <c r="C16" s="11" t="s">
        <v>1748</v>
      </c>
      <c r="D16" s="369" t="s">
        <v>25</v>
      </c>
    </row>
    <row r="17" spans="2:5" ht="20.100000000000001" customHeight="1" x14ac:dyDescent="0.3">
      <c r="B17" s="11" t="s">
        <v>279</v>
      </c>
      <c r="C17" s="11" t="s">
        <v>280</v>
      </c>
      <c r="D17" s="369" t="s">
        <v>25</v>
      </c>
    </row>
    <row r="18" spans="2:5" ht="20.100000000000001" customHeight="1" x14ac:dyDescent="0.3">
      <c r="B18" s="11" t="s">
        <v>281</v>
      </c>
      <c r="C18" s="11" t="s">
        <v>282</v>
      </c>
      <c r="D18" s="369" t="s">
        <v>25</v>
      </c>
    </row>
    <row r="19" spans="2:5" ht="20.100000000000001" customHeight="1" x14ac:dyDescent="0.3">
      <c r="B19" s="11" t="s">
        <v>283</v>
      </c>
      <c r="C19" s="11" t="s">
        <v>284</v>
      </c>
      <c r="D19" s="369" t="s">
        <v>25</v>
      </c>
    </row>
    <row r="20" spans="2:5" ht="20.100000000000001" customHeight="1" x14ac:dyDescent="0.3">
      <c r="B20" s="11" t="s">
        <v>285</v>
      </c>
      <c r="C20" s="11" t="s">
        <v>286</v>
      </c>
      <c r="D20" s="369" t="s">
        <v>25</v>
      </c>
    </row>
    <row r="21" spans="2:5" ht="20.100000000000001" customHeight="1" x14ac:dyDescent="0.3">
      <c r="B21" s="11" t="s">
        <v>287</v>
      </c>
      <c r="C21" s="11" t="s">
        <v>288</v>
      </c>
      <c r="D21" s="369" t="s">
        <v>25</v>
      </c>
    </row>
    <row r="22" spans="2:5" ht="20.100000000000001" customHeight="1" x14ac:dyDescent="0.3">
      <c r="B22" s="11" t="s">
        <v>289</v>
      </c>
      <c r="C22" s="11" t="s">
        <v>290</v>
      </c>
      <c r="D22" s="369" t="s">
        <v>25</v>
      </c>
    </row>
    <row r="23" spans="2:5" ht="22.8" x14ac:dyDescent="0.3">
      <c r="B23" s="11" t="s">
        <v>291</v>
      </c>
      <c r="C23" s="11" t="s">
        <v>292</v>
      </c>
      <c r="D23" s="369" t="s">
        <v>25</v>
      </c>
    </row>
    <row r="24" spans="2:5" ht="20.100000000000001" customHeight="1" x14ac:dyDescent="0.3">
      <c r="B24" s="11" t="s">
        <v>293</v>
      </c>
      <c r="C24" s="11" t="s">
        <v>294</v>
      </c>
      <c r="D24" s="369" t="s">
        <v>25</v>
      </c>
      <c r="E24" s="43"/>
    </row>
    <row r="25" spans="2:5" ht="20.100000000000001" customHeight="1" x14ac:dyDescent="0.3">
      <c r="B25" s="11" t="s">
        <v>295</v>
      </c>
      <c r="C25" s="11" t="s">
        <v>296</v>
      </c>
      <c r="D25" s="369" t="s">
        <v>25</v>
      </c>
    </row>
    <row r="26" spans="2:5" ht="20.100000000000001" customHeight="1" x14ac:dyDescent="0.3">
      <c r="B26" s="11" t="s">
        <v>297</v>
      </c>
      <c r="C26" s="11" t="s">
        <v>298</v>
      </c>
      <c r="D26" s="369" t="s">
        <v>25</v>
      </c>
    </row>
    <row r="27" spans="2:5" ht="20.100000000000001" customHeight="1" x14ac:dyDescent="0.3">
      <c r="B27" s="11" t="s">
        <v>260</v>
      </c>
      <c r="C27" s="11" t="s">
        <v>261</v>
      </c>
      <c r="D27" s="369" t="s">
        <v>25</v>
      </c>
    </row>
    <row r="28" spans="2:5" ht="20.100000000000001" customHeight="1" x14ac:dyDescent="0.3">
      <c r="B28" s="11" t="s">
        <v>262</v>
      </c>
      <c r="C28" s="11" t="s">
        <v>263</v>
      </c>
      <c r="D28" s="369" t="s">
        <v>25</v>
      </c>
    </row>
    <row r="29" spans="2:5" x14ac:dyDescent="0.3">
      <c r="B29" s="11" t="s">
        <v>264</v>
      </c>
      <c r="C29" s="11" t="s">
        <v>265</v>
      </c>
      <c r="D29" s="369" t="s">
        <v>25</v>
      </c>
    </row>
    <row r="30" spans="2:5" ht="20.100000000000001" customHeight="1" x14ac:dyDescent="0.3">
      <c r="B30" s="11" t="s">
        <v>266</v>
      </c>
      <c r="C30" s="11" t="s">
        <v>1749</v>
      </c>
      <c r="D30" s="369" t="s">
        <v>25</v>
      </c>
    </row>
    <row r="31" spans="2:5" ht="20.100000000000001" customHeight="1" x14ac:dyDescent="0.3">
      <c r="B31" s="11" t="s">
        <v>268</v>
      </c>
      <c r="C31" s="11" t="s">
        <v>269</v>
      </c>
      <c r="D31" s="369" t="s">
        <v>25</v>
      </c>
    </row>
    <row r="32" spans="2:5" ht="20.100000000000001" customHeight="1" x14ac:dyDescent="0.3">
      <c r="B32" s="11" t="s">
        <v>270</v>
      </c>
      <c r="C32" s="11" t="s">
        <v>271</v>
      </c>
      <c r="D32" s="369" t="s">
        <v>25</v>
      </c>
    </row>
    <row r="33" spans="2:4" ht="22.8" x14ac:dyDescent="0.3">
      <c r="B33" s="11" t="s">
        <v>272</v>
      </c>
      <c r="C33" s="11" t="s">
        <v>273</v>
      </c>
      <c r="D33" s="369" t="s">
        <v>25</v>
      </c>
    </row>
    <row r="34" spans="2:4" ht="20.100000000000001" customHeight="1" x14ac:dyDescent="0.3">
      <c r="B34" s="11" t="s">
        <v>238</v>
      </c>
      <c r="C34" s="11" t="s">
        <v>239</v>
      </c>
      <c r="D34" s="369" t="s">
        <v>25</v>
      </c>
    </row>
    <row r="35" spans="2:4" ht="20.100000000000001" customHeight="1" x14ac:dyDescent="0.3">
      <c r="B35" s="11" t="s">
        <v>240</v>
      </c>
      <c r="C35" s="11" t="s">
        <v>241</v>
      </c>
      <c r="D35" s="369" t="s">
        <v>25</v>
      </c>
    </row>
    <row r="36" spans="2:4" ht="20.100000000000001" customHeight="1" x14ac:dyDescent="0.3">
      <c r="B36" s="11" t="s">
        <v>242</v>
      </c>
      <c r="C36" s="11" t="s">
        <v>243</v>
      </c>
      <c r="D36" s="369" t="s">
        <v>25</v>
      </c>
    </row>
    <row r="37" spans="2:4" ht="20.100000000000001" customHeight="1" x14ac:dyDescent="0.3">
      <c r="B37" s="11" t="s">
        <v>307</v>
      </c>
      <c r="C37" s="11" t="s">
        <v>308</v>
      </c>
      <c r="D37" s="369" t="s">
        <v>25</v>
      </c>
    </row>
    <row r="38" spans="2:4" ht="22.8" x14ac:dyDescent="0.3">
      <c r="B38" s="11" t="s">
        <v>309</v>
      </c>
      <c r="C38" s="11" t="s">
        <v>310</v>
      </c>
      <c r="D38" s="369" t="s">
        <v>25</v>
      </c>
    </row>
    <row r="39" spans="2:4" ht="20.100000000000001" customHeight="1" x14ac:dyDescent="0.3">
      <c r="B39" s="11" t="s">
        <v>311</v>
      </c>
      <c r="C39" s="11" t="s">
        <v>1750</v>
      </c>
      <c r="D39" s="369" t="s">
        <v>25</v>
      </c>
    </row>
    <row r="40" spans="2:4" ht="20.100000000000001" customHeight="1" x14ac:dyDescent="0.3">
      <c r="B40" s="11" t="s">
        <v>1751</v>
      </c>
      <c r="C40" s="11" t="s">
        <v>1752</v>
      </c>
      <c r="D40" s="369" t="s">
        <v>25</v>
      </c>
    </row>
    <row r="41" spans="2:4" ht="20.100000000000001" customHeight="1" x14ac:dyDescent="0.3">
      <c r="B41" s="11" t="s">
        <v>1753</v>
      </c>
      <c r="C41" s="11" t="s">
        <v>1754</v>
      </c>
      <c r="D41" s="369" t="s">
        <v>25</v>
      </c>
    </row>
    <row r="42" spans="2:4" ht="20.100000000000001" customHeight="1" x14ac:dyDescent="0.3">
      <c r="B42" s="11" t="s">
        <v>1755</v>
      </c>
      <c r="C42" s="11" t="s">
        <v>1756</v>
      </c>
      <c r="D42" s="369" t="s">
        <v>25</v>
      </c>
    </row>
    <row r="43" spans="2:4" ht="22.8" x14ac:dyDescent="0.3">
      <c r="B43" s="11" t="s">
        <v>1757</v>
      </c>
      <c r="C43" s="11" t="s">
        <v>1758</v>
      </c>
      <c r="D43" s="369" t="s">
        <v>25</v>
      </c>
    </row>
    <row r="44" spans="2:4" ht="45" customHeight="1" x14ac:dyDescent="0.3">
      <c r="B44" s="11" t="s">
        <v>313</v>
      </c>
      <c r="C44" s="11" t="s">
        <v>1759</v>
      </c>
      <c r="D44" s="369" t="s">
        <v>25</v>
      </c>
    </row>
    <row r="45" spans="2:4" ht="46.05" customHeight="1" x14ac:dyDescent="0.3">
      <c r="B45" s="11" t="s">
        <v>315</v>
      </c>
      <c r="C45" s="11" t="s">
        <v>316</v>
      </c>
      <c r="D45" s="369" t="s">
        <v>25</v>
      </c>
    </row>
    <row r="46" spans="2:4" ht="44.55" customHeight="1" x14ac:dyDescent="0.3">
      <c r="B46" s="11" t="s">
        <v>1760</v>
      </c>
      <c r="C46" s="11" t="s">
        <v>1761</v>
      </c>
      <c r="D46" s="369" t="s">
        <v>25</v>
      </c>
    </row>
    <row r="47" spans="2:4" ht="34.5" customHeight="1" x14ac:dyDescent="0.3">
      <c r="B47" s="11" t="s">
        <v>317</v>
      </c>
      <c r="C47" s="11" t="s">
        <v>318</v>
      </c>
      <c r="D47" s="369" t="s">
        <v>25</v>
      </c>
    </row>
    <row r="48" spans="2:4" ht="24.6" customHeight="1" x14ac:dyDescent="0.3">
      <c r="B48" s="11" t="s">
        <v>1762</v>
      </c>
      <c r="C48" s="11" t="s">
        <v>245</v>
      </c>
      <c r="D48" s="369" t="s">
        <v>25</v>
      </c>
    </row>
    <row r="49" spans="2:4" ht="19.05" customHeight="1" x14ac:dyDescent="0.3">
      <c r="B49" s="11" t="s">
        <v>1763</v>
      </c>
      <c r="C49" s="11" t="s">
        <v>247</v>
      </c>
      <c r="D49" s="369" t="s">
        <v>25</v>
      </c>
    </row>
    <row r="50" spans="2:4" ht="32.1" customHeight="1" x14ac:dyDescent="0.3">
      <c r="B50" s="11" t="s">
        <v>1764</v>
      </c>
      <c r="C50" s="11" t="s">
        <v>249</v>
      </c>
      <c r="D50" s="369" t="s">
        <v>25</v>
      </c>
    </row>
    <row r="51" spans="2:4" ht="28.5" customHeight="1" x14ac:dyDescent="0.3">
      <c r="B51" s="11" t="s">
        <v>1765</v>
      </c>
      <c r="C51" s="11" t="s">
        <v>320</v>
      </c>
      <c r="D51" s="369" t="s">
        <v>25</v>
      </c>
    </row>
    <row r="52" spans="2:4" ht="22.05" customHeight="1" x14ac:dyDescent="0.3">
      <c r="B52" s="11" t="s">
        <v>1766</v>
      </c>
      <c r="C52" s="11" t="s">
        <v>322</v>
      </c>
      <c r="D52" s="369" t="s">
        <v>25</v>
      </c>
    </row>
    <row r="53" spans="2:4" ht="32.1" customHeight="1" x14ac:dyDescent="0.3">
      <c r="B53" s="11" t="s">
        <v>1767</v>
      </c>
      <c r="C53" s="11" t="s">
        <v>1768</v>
      </c>
      <c r="D53" s="369" t="s">
        <v>25</v>
      </c>
    </row>
    <row r="54" spans="2:4" ht="20.100000000000001" customHeight="1" x14ac:dyDescent="0.3">
      <c r="B54" s="11" t="s">
        <v>1769</v>
      </c>
      <c r="C54" s="11" t="s">
        <v>277</v>
      </c>
      <c r="D54" s="369" t="s">
        <v>25</v>
      </c>
    </row>
    <row r="55" spans="2:4" ht="41.55" customHeight="1" x14ac:dyDescent="0.3">
      <c r="B55" s="11" t="s">
        <v>1770</v>
      </c>
      <c r="C55" s="11" t="s">
        <v>300</v>
      </c>
      <c r="D55" s="369" t="s">
        <v>25</v>
      </c>
    </row>
  </sheetData>
  <sheetProtection algorithmName="SHA-512" hashValue="cS4BjTshA7AXWM4dhfsx0X0iuOUABgOUdBDpLfZxojg4UH0fknBkkuB10EQGgWuiadHvPIS0JPTy7W6nGoC3Wg==" saltValue="XAeOdMmkAUIInpNWA/W8NA==" spinCount="100000" sheet="1" objects="1" autoFilter="0" pivotTables="0"/>
  <hyperlinks>
    <hyperlink ref="D11" location="'Social Data'!A681" display="Social Data" xr:uid="{E4B3A437-F92A-44FD-B13F-4F51D8AABE15}"/>
    <hyperlink ref="D13" location="'Social Data'!A17" display="Social Data" xr:uid="{9403FFF8-A369-48AC-8A6E-8B1E905E6C5F}"/>
    <hyperlink ref="D14" location="'Social Data'!A91" display="Social Data" xr:uid="{1AC96DE0-9759-423A-815A-4BC14D909C30}"/>
    <hyperlink ref="D15" location="'Social Data'!A119" display="Social Data" xr:uid="{A0D82995-0EED-4269-8BA9-AA01AD832842}"/>
    <hyperlink ref="D16" location="'Social Data'!A130" display="Social Data" xr:uid="{71FE5062-2895-466F-B6AB-6DEEE821A2E0}"/>
    <hyperlink ref="D17" location="'Social Data'!A142" display="Social Data" xr:uid="{9610B761-E0DF-4802-81D5-F8C53CBF5B85}"/>
    <hyperlink ref="D18" location="'Social Data'!A152" display="Social Data" xr:uid="{289ED3B1-570F-405A-9FE8-4F4F8C8F198A}"/>
    <hyperlink ref="D19" location="'Social Data'!A165" display="Social Data" xr:uid="{B745C62B-98F2-4F2D-B4D1-0E4F01D4DE42}"/>
    <hyperlink ref="D20" location="'Social Data'!A177" display="Social Data" xr:uid="{95E7E1CC-8F19-4412-ADBE-A6B7800C8293}"/>
    <hyperlink ref="D22" location="'Social Data'!A201" display="Social Data" xr:uid="{81F8C99C-A526-4F0D-ABFA-21834D17EE22}"/>
    <hyperlink ref="D23" location="'Social Data'!A213" display="Social Data" xr:uid="{B8F927B7-9851-4727-8FA6-233A14AFB8F3}"/>
    <hyperlink ref="D24" location="'Social Data'!A225" display="Social Data" xr:uid="{1C73A1A3-BB48-49A7-8B14-BF611262F7CA}"/>
    <hyperlink ref="D25" location="'Social Data'!A237" display="Social Data" xr:uid="{0B948FB5-0506-4225-9D3F-7D9993E1C91B}"/>
    <hyperlink ref="D21" location="'Social Data'!A190" display="Social Data" xr:uid="{26E93489-D8CB-47A6-94B4-365BB52CCA87}"/>
    <hyperlink ref="D26" location="'Social Data'!A274" display="Social Data" xr:uid="{C4F5B618-DFAF-47CF-8F36-12897CE6D3F8}"/>
    <hyperlink ref="D27" location="'Social Data'!A290" display="Social Data" xr:uid="{5AB1F284-3D81-46FB-BBBC-41512056B245}"/>
    <hyperlink ref="D28" location="'Social Data'!A361" display="Social Data" xr:uid="{5B54F8D8-3E2C-4B59-8506-DEC994E62F93}"/>
    <hyperlink ref="D29" location="'Social Data'!A376" display="Social Data" xr:uid="{206B5195-3DBF-4CD3-9B0B-8BFF6B349D0B}"/>
    <hyperlink ref="D30" location="'Social Data'!A421" display="Social Data" xr:uid="{BAFFFB0B-72F7-4466-8954-25353D116E24}"/>
    <hyperlink ref="D31" location="'Social Data'!A538" display="Social Data" xr:uid="{C5CECA8D-93EE-492B-9B64-EE550AD3A6A9}"/>
    <hyperlink ref="D32" location="'Social Data'!A551" display="Social Data" xr:uid="{168D9A0F-E12D-443C-A64C-2BADBFF3659F}"/>
    <hyperlink ref="D33" location="'Social Data'!A562" display="Social Data" xr:uid="{6AD3C846-0994-4A41-AF06-D186BD7B3E9A}"/>
    <hyperlink ref="D34" location="'Social Data'!A574" display="Social Data" xr:uid="{FE9192EC-BA6F-4CFA-9B98-049823F03AD0}"/>
    <hyperlink ref="D35" location="'Social Data'!A585" display="Social Data" xr:uid="{6560085A-4AC7-4371-AEAF-47376FC6EBE7}"/>
    <hyperlink ref="D36" location="'Social Data'!A597" display="Social Data" xr:uid="{2D525BAC-F6FE-471C-B9D4-204BF035C32A}"/>
    <hyperlink ref="D37" location="'Social Data'!A610" display="Social Data" xr:uid="{6523217B-BE0F-4FE3-B470-FF4D9A250958}"/>
    <hyperlink ref="D38" location="'Social Data'!A623" display="Social Data" xr:uid="{6DFBA25D-C0B8-4306-AB82-22E4FF785EB4}"/>
    <hyperlink ref="D39" location="'Social Data'!A634" display="Social Data" xr:uid="{7E6DBA5D-76C7-4B0B-AD82-EB38737B35D0}"/>
    <hyperlink ref="D40" location="'Social Data'!A644" display="Social Data" xr:uid="{7F7798A4-B187-45C2-A62D-77E0D79312C5}"/>
    <hyperlink ref="D41" location="'Social Data'!A657" display="Social Data" xr:uid="{EFDD5C57-5FDD-413B-9504-8A9CD9859BA3}"/>
    <hyperlink ref="D42" location="'Social Data'!A669" display="Social Data" xr:uid="{9B72BA2F-0FBE-4CB1-A5A0-287088A95F53}"/>
    <hyperlink ref="D12" location="'Social Data'!A681" display="Social Data" xr:uid="{18D3B695-5B71-407E-AF77-354EAFF345CE}"/>
    <hyperlink ref="D43" location="'Social Data'!A776" display="Social Data" xr:uid="{95AC1FF3-B6E2-4CAB-A4EB-93D8AB6BDDE0}"/>
    <hyperlink ref="D44" location="'Social Data'!A790" display="Social Data" xr:uid="{66C97174-1982-4D75-AA80-186947ED7E59}"/>
    <hyperlink ref="D45" location="'Social Data'!A803" display="Social Data" xr:uid="{BCE510CB-A450-478C-A60B-F876F33B57E4}"/>
    <hyperlink ref="D46" location="'Social Data'!A816" display="Social Data" xr:uid="{DEAF7F09-78DC-4EA3-9283-A645CA4929AA}"/>
    <hyperlink ref="D47" location="'Social Data'!A828" display="Social Data" xr:uid="{00592F95-9E35-4772-B717-370E2646BA00}"/>
    <hyperlink ref="D50" location="'Social Data'!A840" display="Social Data" xr:uid="{6CB14B0F-97A5-4100-BDBA-B9AE69448A57}"/>
    <hyperlink ref="D51" location="'Social Data'!A853" display="Social Data" xr:uid="{41AEFD44-F6B7-4CAB-BC7E-0A2D99EC28D4}"/>
    <hyperlink ref="D52" location="'Social Data'!A867" display="Social Data" xr:uid="{F9307A31-5F92-43A3-BB67-8C0591411DD4}"/>
    <hyperlink ref="D53" location="'Social Data'!A879" display="Social Data" xr:uid="{917877CE-8108-4F3B-BF66-7118040C9570}"/>
    <hyperlink ref="D55" location="'Social Data'!A890" display="Social Data" xr:uid="{284E46FC-3012-4EA0-8685-9D1466D3D180}"/>
    <hyperlink ref="D54" location="'Social Data'!A776" display="Social Data" xr:uid="{E1DF7665-9907-45C3-BD3F-1B7B8C772D8B}"/>
    <hyperlink ref="D49" location="'Social Data'!A790" display="Social Data" xr:uid="{308B97B8-1EE3-4439-9781-8E89733A846F}"/>
    <hyperlink ref="D48" location="'Social Data'!A803" display="Social Data" xr:uid="{F1CE93EB-01F6-4AB8-933E-8DB835B80FEA}"/>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9BA4-28E1-4513-AFA0-9D8F34F456C4}">
  <sheetPr codeName="Planilha12">
    <pageSetUpPr fitToPage="1"/>
  </sheetPr>
  <dimension ref="A1:XFC914"/>
  <sheetViews>
    <sheetView showGridLines="0" showRowColHeaders="0" showRuler="0" zoomScaleNormal="100" workbookViewId="0">
      <pane ySplit="2" topLeftCell="A3" activePane="bottomLeft" state="frozen"/>
      <selection pane="bottomLeft" activeCell="C6" sqref="C6"/>
    </sheetView>
  </sheetViews>
  <sheetFormatPr defaultColWidth="0" defaultRowHeight="14.4" x14ac:dyDescent="0.3"/>
  <cols>
    <col min="1" max="1" width="8.77734375" customWidth="1"/>
    <col min="2" max="6" width="18.5546875" customWidth="1"/>
    <col min="7" max="7" width="24" customWidth="1"/>
    <col min="8" max="8" width="18.5546875" customWidth="1"/>
    <col min="9" max="9" width="25.5546875" customWidth="1"/>
    <col min="10" max="12" width="8.77734375" customWidth="1"/>
    <col min="13" max="13" width="10.77734375" hidden="1" customWidth="1"/>
    <col min="14" max="16383" width="10.77734375" hidden="1"/>
    <col min="16384" max="16384" width="15.77734375" hidden="1" customWidth="1"/>
  </cols>
  <sheetData>
    <row r="1" spans="1:11" ht="14.1" customHeight="1" x14ac:dyDescent="0.3">
      <c r="A1" s="46"/>
      <c r="C1" s="4"/>
      <c r="D1" s="19"/>
      <c r="E1" s="19"/>
    </row>
    <row r="2" spans="1:11" s="421" customFormat="1" ht="14.1" customHeight="1" x14ac:dyDescent="0.3">
      <c r="A2" s="447"/>
      <c r="C2" s="422"/>
      <c r="D2" s="423"/>
      <c r="E2" s="423"/>
    </row>
    <row r="3" spans="1:11" ht="14.55" customHeight="1" x14ac:dyDescent="0.3">
      <c r="C3" s="4"/>
      <c r="D3" s="19"/>
      <c r="E3" s="19"/>
    </row>
    <row r="4" spans="1:11" ht="14.55" customHeight="1" x14ac:dyDescent="0.3">
      <c r="C4" s="4"/>
      <c r="E4" s="9"/>
      <c r="I4" s="662" t="s">
        <v>0</v>
      </c>
      <c r="J4" s="9"/>
    </row>
    <row r="5" spans="1:11" ht="14.55" customHeight="1" x14ac:dyDescent="0.3">
      <c r="C5" s="4"/>
      <c r="D5" s="19"/>
      <c r="E5" s="19"/>
    </row>
    <row r="6" spans="1:11" x14ac:dyDescent="0.3">
      <c r="C6" s="4"/>
      <c r="D6" s="19"/>
      <c r="E6" s="19"/>
    </row>
    <row r="7" spans="1:11" x14ac:dyDescent="0.3">
      <c r="C7" s="4"/>
      <c r="D7" s="19"/>
      <c r="E7" s="19"/>
    </row>
    <row r="8" spans="1:11" ht="21" x14ac:dyDescent="0.3">
      <c r="B8" s="443" t="s">
        <v>24</v>
      </c>
      <c r="C8" s="18"/>
      <c r="D8" s="20"/>
      <c r="E8" s="20"/>
    </row>
    <row r="9" spans="1:11" ht="21" x14ac:dyDescent="0.4">
      <c r="B9" s="6"/>
      <c r="C9" s="18"/>
      <c r="D9" s="20"/>
      <c r="E9" s="20"/>
    </row>
    <row r="10" spans="1:11" s="46" customFormat="1" ht="17.399999999999999" x14ac:dyDescent="0.3">
      <c r="B10" s="710" t="s">
        <v>1771</v>
      </c>
      <c r="C10" s="710"/>
      <c r="D10" s="45"/>
      <c r="E10" s="45"/>
    </row>
    <row r="11" spans="1:11" ht="21" x14ac:dyDescent="0.4">
      <c r="A11" s="707"/>
      <c r="B11" s="6"/>
      <c r="C11" s="18"/>
      <c r="D11" s="20"/>
      <c r="E11" s="20"/>
    </row>
    <row r="12" spans="1:11" x14ac:dyDescent="0.3">
      <c r="A12" s="707"/>
      <c r="B12" s="763" t="s">
        <v>1772</v>
      </c>
      <c r="C12" s="763"/>
      <c r="D12" s="763"/>
      <c r="E12" s="763"/>
      <c r="F12" s="763"/>
      <c r="G12" s="763"/>
      <c r="H12" s="763"/>
    </row>
    <row r="13" spans="1:11" ht="21" x14ac:dyDescent="0.4">
      <c r="A13" s="707"/>
      <c r="B13" s="6"/>
      <c r="C13" s="18"/>
      <c r="D13" s="20"/>
      <c r="E13" s="20"/>
    </row>
    <row r="14" spans="1:11" x14ac:dyDescent="0.3">
      <c r="A14" s="707"/>
      <c r="B14" s="725" t="s">
        <v>344</v>
      </c>
      <c r="C14" s="712" t="s">
        <v>345</v>
      </c>
      <c r="D14" s="712"/>
      <c r="E14" s="712"/>
      <c r="F14" s="712"/>
      <c r="G14" s="712"/>
      <c r="H14" s="712"/>
      <c r="I14" s="712"/>
      <c r="J14" s="725" t="s">
        <v>346</v>
      </c>
      <c r="K14" s="725"/>
    </row>
    <row r="15" spans="1:11" ht="29.1" customHeight="1" x14ac:dyDescent="0.3">
      <c r="A15" s="707"/>
      <c r="B15" s="725"/>
      <c r="C15" s="527" t="s">
        <v>1773</v>
      </c>
      <c r="D15" s="785" t="s">
        <v>1774</v>
      </c>
      <c r="E15" s="785"/>
      <c r="F15" s="733" t="s">
        <v>1775</v>
      </c>
      <c r="G15" s="733"/>
      <c r="H15" s="733"/>
      <c r="I15" s="527" t="s">
        <v>1776</v>
      </c>
      <c r="J15" s="725"/>
      <c r="K15" s="725"/>
    </row>
    <row r="16" spans="1:11" ht="33.6" customHeight="1" x14ac:dyDescent="0.3">
      <c r="A16" s="707"/>
      <c r="B16" s="725"/>
      <c r="C16" s="52" t="s">
        <v>848</v>
      </c>
      <c r="D16" s="52" t="s">
        <v>1777</v>
      </c>
      <c r="E16" s="52" t="s">
        <v>1778</v>
      </c>
      <c r="F16" s="52" t="s">
        <v>1779</v>
      </c>
      <c r="G16" s="52" t="s">
        <v>1780</v>
      </c>
      <c r="H16" s="52" t="s">
        <v>1781</v>
      </c>
      <c r="I16" s="52" t="s">
        <v>848</v>
      </c>
      <c r="J16" s="725"/>
      <c r="K16" s="725"/>
    </row>
    <row r="17" spans="1:11" ht="18" customHeight="1" x14ac:dyDescent="0.3">
      <c r="A17" s="707"/>
      <c r="B17" s="51">
        <v>2019</v>
      </c>
      <c r="C17" s="581" t="s">
        <v>1782</v>
      </c>
      <c r="D17" s="582" t="s">
        <v>1783</v>
      </c>
      <c r="E17" s="582" t="s">
        <v>1784</v>
      </c>
      <c r="F17" s="582" t="s">
        <v>1785</v>
      </c>
      <c r="G17" s="582" t="s">
        <v>1786</v>
      </c>
      <c r="H17" s="582" t="s">
        <v>1787</v>
      </c>
      <c r="I17" s="582" t="s">
        <v>1788</v>
      </c>
      <c r="J17" s="786" t="s">
        <v>6</v>
      </c>
      <c r="K17" s="786"/>
    </row>
    <row r="18" spans="1:11" ht="18" customHeight="1" x14ac:dyDescent="0.3">
      <c r="A18" s="707"/>
      <c r="B18" s="51">
        <v>2020</v>
      </c>
      <c r="C18" s="581" t="s">
        <v>1789</v>
      </c>
      <c r="D18" s="582" t="s">
        <v>1790</v>
      </c>
      <c r="E18" s="582" t="s">
        <v>1791</v>
      </c>
      <c r="F18" s="582" t="s">
        <v>1792</v>
      </c>
      <c r="G18" s="582" t="s">
        <v>1793</v>
      </c>
      <c r="H18" s="582" t="s">
        <v>1794</v>
      </c>
      <c r="I18" s="582" t="s">
        <v>1795</v>
      </c>
      <c r="J18" s="786" t="s">
        <v>6</v>
      </c>
      <c r="K18" s="786"/>
    </row>
    <row r="19" spans="1:11" ht="18" customHeight="1" x14ac:dyDescent="0.3">
      <c r="A19" s="707"/>
      <c r="B19" s="51">
        <v>2021</v>
      </c>
      <c r="C19" s="581" t="s">
        <v>1796</v>
      </c>
      <c r="D19" s="582" t="s">
        <v>1786</v>
      </c>
      <c r="E19" s="582" t="s">
        <v>1797</v>
      </c>
      <c r="F19" s="582" t="s">
        <v>1798</v>
      </c>
      <c r="G19" s="582" t="s">
        <v>1786</v>
      </c>
      <c r="H19" s="582" t="s">
        <v>1799</v>
      </c>
      <c r="I19" s="582" t="s">
        <v>1783</v>
      </c>
      <c r="J19" s="786" t="s">
        <v>6</v>
      </c>
      <c r="K19" s="786"/>
    </row>
    <row r="20" spans="1:11" ht="18" customHeight="1" x14ac:dyDescent="0.3">
      <c r="A20" s="707"/>
      <c r="B20" s="51">
        <v>2022</v>
      </c>
      <c r="C20" s="581" t="s">
        <v>1800</v>
      </c>
      <c r="D20" s="582" t="s">
        <v>1801</v>
      </c>
      <c r="E20" s="582" t="s">
        <v>1802</v>
      </c>
      <c r="F20" s="582" t="s">
        <v>1803</v>
      </c>
      <c r="G20" s="582" t="s">
        <v>1804</v>
      </c>
      <c r="H20" s="582" t="s">
        <v>1805</v>
      </c>
      <c r="I20" s="582" t="s">
        <v>502</v>
      </c>
      <c r="J20" s="786" t="s">
        <v>6</v>
      </c>
      <c r="K20" s="786"/>
    </row>
    <row r="21" spans="1:11" ht="18" customHeight="1" x14ac:dyDescent="0.3">
      <c r="A21" s="707"/>
      <c r="B21" s="51">
        <v>2023</v>
      </c>
      <c r="C21" s="581" t="s">
        <v>1806</v>
      </c>
      <c r="D21" s="582" t="s">
        <v>1807</v>
      </c>
      <c r="E21" s="582" t="s">
        <v>1808</v>
      </c>
      <c r="F21" s="582" t="s">
        <v>1809</v>
      </c>
      <c r="G21" s="582" t="s">
        <v>502</v>
      </c>
      <c r="H21" s="582" t="s">
        <v>1810</v>
      </c>
      <c r="I21" s="582" t="s">
        <v>1811</v>
      </c>
      <c r="J21" s="786" t="s">
        <v>6</v>
      </c>
      <c r="K21" s="786"/>
    </row>
    <row r="22" spans="1:11" x14ac:dyDescent="0.3">
      <c r="B22" s="51"/>
      <c r="C22" s="18"/>
      <c r="D22" s="20"/>
      <c r="E22" s="20"/>
    </row>
    <row r="23" spans="1:11" x14ac:dyDescent="0.3">
      <c r="B23" s="51"/>
      <c r="C23" s="18"/>
      <c r="D23" s="20"/>
      <c r="E23" s="20"/>
    </row>
    <row r="24" spans="1:11" x14ac:dyDescent="0.3">
      <c r="B24" s="51"/>
      <c r="C24" s="18"/>
      <c r="D24" s="20"/>
      <c r="E24" s="20"/>
    </row>
    <row r="25" spans="1:11" x14ac:dyDescent="0.3">
      <c r="B25" s="51"/>
      <c r="C25" s="18"/>
      <c r="D25" s="20"/>
      <c r="E25" s="20"/>
    </row>
    <row r="26" spans="1:11" x14ac:dyDescent="0.3">
      <c r="B26" s="51"/>
      <c r="E26" s="20"/>
    </row>
    <row r="45" spans="2:9" x14ac:dyDescent="0.3">
      <c r="B45" s="51"/>
      <c r="C45" s="18"/>
      <c r="D45" s="20"/>
      <c r="E45" s="20"/>
    </row>
    <row r="46" spans="2:9" hidden="1" x14ac:dyDescent="0.3">
      <c r="B46" s="784" t="s">
        <v>1812</v>
      </c>
      <c r="C46" s="783" t="s">
        <v>1813</v>
      </c>
      <c r="D46" s="783"/>
      <c r="E46" s="783" t="s">
        <v>1814</v>
      </c>
      <c r="F46" s="783"/>
      <c r="G46" s="783" t="s">
        <v>1815</v>
      </c>
      <c r="H46" s="783"/>
    </row>
    <row r="47" spans="2:9" hidden="1" x14ac:dyDescent="0.3">
      <c r="B47" s="784"/>
      <c r="C47" s="135" t="s">
        <v>1777</v>
      </c>
      <c r="D47" s="135" t="s">
        <v>1778</v>
      </c>
      <c r="E47" s="135" t="s">
        <v>1777</v>
      </c>
      <c r="F47" s="135" t="s">
        <v>1778</v>
      </c>
      <c r="G47" s="135" t="s">
        <v>1777</v>
      </c>
      <c r="H47" s="135" t="s">
        <v>1778</v>
      </c>
    </row>
    <row r="48" spans="2:9" hidden="1" x14ac:dyDescent="0.3">
      <c r="B48" s="146" t="s">
        <v>484</v>
      </c>
      <c r="C48" s="204">
        <v>0.248656228090675</v>
      </c>
      <c r="D48" s="204">
        <v>0.30227423272245502</v>
      </c>
      <c r="E48" s="204">
        <v>5.49340352856382E-2</v>
      </c>
      <c r="F48" s="160">
        <v>0.16380224909823901</v>
      </c>
      <c r="G48" s="160">
        <v>1.4584240313452301E-2</v>
      </c>
      <c r="H48" s="160">
        <v>6.6929133858267695E-2</v>
      </c>
      <c r="I48" s="147"/>
    </row>
    <row r="49" spans="2:9" hidden="1" x14ac:dyDescent="0.3">
      <c r="B49" s="146" t="s">
        <v>495</v>
      </c>
      <c r="C49" s="204">
        <v>0.30783242258652099</v>
      </c>
      <c r="D49" s="204">
        <v>0.38604651162790699</v>
      </c>
      <c r="E49" s="204">
        <v>8.1820978160565994E-2</v>
      </c>
      <c r="F49" s="160">
        <v>0.15481171548117201</v>
      </c>
      <c r="G49" s="160">
        <v>2.9443254817987201E-2</v>
      </c>
      <c r="H49" s="160">
        <v>9.5238095238095205E-2</v>
      </c>
      <c r="I49" s="147"/>
    </row>
    <row r="50" spans="2:9" hidden="1" x14ac:dyDescent="0.3">
      <c r="B50" s="146" t="s">
        <v>510</v>
      </c>
      <c r="C50" s="204">
        <v>0.56578947368421095</v>
      </c>
      <c r="D50" s="204">
        <v>0.57971014492753603</v>
      </c>
      <c r="E50" s="204">
        <v>5.94149908592322E-2</v>
      </c>
      <c r="F50" s="160">
        <v>9.5435684647302899E-2</v>
      </c>
      <c r="G50" s="160">
        <v>1.8145161290322599E-2</v>
      </c>
      <c r="H50" s="160">
        <v>0.1</v>
      </c>
      <c r="I50" s="147"/>
    </row>
    <row r="51" spans="2:9" hidden="1" x14ac:dyDescent="0.3">
      <c r="B51" s="146" t="s">
        <v>520</v>
      </c>
      <c r="C51" s="204">
        <v>3.03030303030303E-2</v>
      </c>
      <c r="D51" s="204">
        <v>0.13043478260869601</v>
      </c>
      <c r="E51" s="204">
        <v>4.65116279069767E-3</v>
      </c>
      <c r="F51" s="160" t="s">
        <v>1816</v>
      </c>
      <c r="G51" s="160">
        <v>3.125E-2</v>
      </c>
      <c r="H51" s="160" t="s">
        <v>1816</v>
      </c>
      <c r="I51" s="147"/>
    </row>
    <row r="52" spans="2:9" hidden="1" x14ac:dyDescent="0.3">
      <c r="B52" s="146" t="s">
        <v>526</v>
      </c>
      <c r="C52" s="204">
        <v>0.2</v>
      </c>
      <c r="D52" s="204">
        <v>0.33333333333333298</v>
      </c>
      <c r="E52" s="204">
        <v>1.1764705882352899E-2</v>
      </c>
      <c r="F52" s="160" t="s">
        <v>1816</v>
      </c>
      <c r="G52" s="160">
        <v>4.3478260869565202E-2</v>
      </c>
      <c r="H52" s="160" t="s">
        <v>1816</v>
      </c>
      <c r="I52" s="147"/>
    </row>
    <row r="53" spans="2:9" x14ac:dyDescent="0.3">
      <c r="B53" s="205"/>
      <c r="C53" s="206"/>
      <c r="D53" s="206"/>
      <c r="E53" s="206"/>
      <c r="F53" s="207"/>
      <c r="G53" s="207"/>
      <c r="H53" s="207"/>
      <c r="I53" s="147"/>
    </row>
    <row r="54" spans="2:9" x14ac:dyDescent="0.3">
      <c r="B54" s="205"/>
      <c r="C54" s="206"/>
      <c r="D54" s="206"/>
      <c r="E54" s="206"/>
      <c r="F54" s="207"/>
      <c r="G54" s="207"/>
      <c r="H54" s="207"/>
      <c r="I54" s="147"/>
    </row>
    <row r="55" spans="2:9" x14ac:dyDescent="0.3">
      <c r="B55" s="205"/>
      <c r="C55" s="206"/>
      <c r="D55" s="206"/>
      <c r="E55" s="206"/>
      <c r="F55" s="207"/>
      <c r="G55" s="207"/>
      <c r="H55" s="207"/>
      <c r="I55" s="147"/>
    </row>
    <row r="56" spans="2:9" x14ac:dyDescent="0.3">
      <c r="B56" s="205"/>
      <c r="C56" s="206"/>
      <c r="D56" s="206"/>
      <c r="E56" s="206"/>
      <c r="F56" s="207"/>
      <c r="G56" s="207"/>
      <c r="H56" s="207"/>
      <c r="I56" s="147"/>
    </row>
    <row r="57" spans="2:9" x14ac:dyDescent="0.3">
      <c r="B57" s="205"/>
      <c r="C57" s="206"/>
      <c r="D57" s="206"/>
      <c r="E57" s="206"/>
      <c r="F57" s="207"/>
      <c r="G57" s="207"/>
      <c r="H57" s="207"/>
      <c r="I57" s="147"/>
    </row>
    <row r="58" spans="2:9" x14ac:dyDescent="0.3">
      <c r="B58" s="205"/>
      <c r="C58" s="206"/>
      <c r="D58" s="206"/>
      <c r="E58" s="206"/>
      <c r="F58" s="207"/>
      <c r="G58" s="207"/>
      <c r="H58" s="207"/>
      <c r="I58" s="147"/>
    </row>
    <row r="59" spans="2:9" x14ac:dyDescent="0.3">
      <c r="B59" s="205"/>
      <c r="C59" s="206"/>
      <c r="D59" s="206"/>
      <c r="E59" s="206"/>
      <c r="F59" s="207"/>
      <c r="G59" s="207"/>
      <c r="H59" s="207"/>
      <c r="I59" s="147"/>
    </row>
    <row r="60" spans="2:9" x14ac:dyDescent="0.3">
      <c r="B60" s="205"/>
      <c r="C60" s="206"/>
      <c r="D60" s="206"/>
      <c r="E60" s="206"/>
      <c r="F60" s="207"/>
      <c r="G60" s="207"/>
      <c r="H60" s="207"/>
      <c r="I60" s="147"/>
    </row>
    <row r="61" spans="2:9" x14ac:dyDescent="0.3">
      <c r="B61" s="205"/>
      <c r="C61" s="206"/>
      <c r="D61" s="206"/>
      <c r="E61" s="206"/>
      <c r="F61" s="207"/>
      <c r="G61" s="207"/>
      <c r="H61" s="207"/>
      <c r="I61" s="147"/>
    </row>
    <row r="62" spans="2:9" x14ac:dyDescent="0.3">
      <c r="B62" s="205"/>
      <c r="C62" s="206"/>
      <c r="D62" s="206"/>
      <c r="E62" s="206"/>
      <c r="F62" s="207"/>
      <c r="G62" s="207"/>
      <c r="H62" s="207"/>
      <c r="I62" s="147"/>
    </row>
    <row r="63" spans="2:9" x14ac:dyDescent="0.3">
      <c r="B63" s="205"/>
      <c r="C63" s="206"/>
      <c r="D63" s="206"/>
      <c r="E63" s="206"/>
      <c r="F63" s="207"/>
      <c r="G63" s="207"/>
      <c r="H63" s="207"/>
      <c r="I63" s="147"/>
    </row>
    <row r="64" spans="2:9" x14ac:dyDescent="0.3">
      <c r="B64" s="205"/>
      <c r="C64" s="206"/>
      <c r="D64" s="206"/>
      <c r="E64" s="206"/>
      <c r="F64" s="207"/>
      <c r="G64" s="207"/>
      <c r="H64" s="207"/>
      <c r="I64" s="147"/>
    </row>
    <row r="65" spans="2:9" x14ac:dyDescent="0.3">
      <c r="B65" s="205"/>
      <c r="C65" s="206"/>
      <c r="D65" s="206"/>
      <c r="E65" s="206"/>
      <c r="F65" s="207"/>
      <c r="G65" s="207"/>
      <c r="H65" s="207"/>
      <c r="I65" s="147"/>
    </row>
    <row r="66" spans="2:9" x14ac:dyDescent="0.3">
      <c r="B66" s="205"/>
      <c r="C66" s="206"/>
      <c r="D66" s="206"/>
      <c r="E66" s="206"/>
      <c r="F66" s="207"/>
      <c r="G66" s="207"/>
      <c r="H66" s="207"/>
      <c r="I66" s="147"/>
    </row>
    <row r="67" spans="2:9" x14ac:dyDescent="0.3">
      <c r="B67" s="205"/>
      <c r="C67" s="206"/>
      <c r="D67" s="206"/>
      <c r="E67" s="206"/>
      <c r="F67" s="207"/>
      <c r="G67" s="207"/>
      <c r="H67" s="207"/>
      <c r="I67" s="147"/>
    </row>
    <row r="68" spans="2:9" x14ac:dyDescent="0.3">
      <c r="B68" s="205"/>
      <c r="C68" s="206"/>
      <c r="D68" s="206"/>
      <c r="E68" s="206"/>
      <c r="F68" s="207"/>
      <c r="G68" s="207"/>
      <c r="H68" s="207"/>
      <c r="I68" s="147"/>
    </row>
    <row r="69" spans="2:9" x14ac:dyDescent="0.3">
      <c r="B69" s="205"/>
      <c r="C69" s="206"/>
      <c r="D69" s="206"/>
      <c r="E69" s="206"/>
      <c r="F69" s="207"/>
      <c r="G69" s="207"/>
      <c r="H69" s="207"/>
      <c r="I69" s="147"/>
    </row>
    <row r="70" spans="2:9" x14ac:dyDescent="0.3">
      <c r="B70" s="205"/>
      <c r="C70" s="206"/>
      <c r="D70" s="206"/>
      <c r="E70" s="206"/>
      <c r="F70" s="207"/>
      <c r="G70" s="207"/>
      <c r="H70" s="207"/>
      <c r="I70" s="147"/>
    </row>
    <row r="71" spans="2:9" x14ac:dyDescent="0.3">
      <c r="B71" s="205"/>
      <c r="C71" s="206"/>
      <c r="D71" s="206"/>
      <c r="E71" s="206"/>
      <c r="F71" s="207"/>
      <c r="G71" s="207"/>
      <c r="H71" s="207"/>
      <c r="I71" s="147"/>
    </row>
    <row r="72" spans="2:9" x14ac:dyDescent="0.3">
      <c r="B72" s="205"/>
      <c r="C72" s="206"/>
      <c r="D72" s="206"/>
      <c r="E72" s="206"/>
      <c r="F72" s="207"/>
      <c r="G72" s="207"/>
      <c r="H72" s="207"/>
      <c r="I72" s="147"/>
    </row>
    <row r="73" spans="2:9" x14ac:dyDescent="0.3">
      <c r="B73" s="205"/>
      <c r="C73" s="206"/>
      <c r="D73" s="206"/>
      <c r="E73" s="206"/>
      <c r="F73" s="207"/>
      <c r="G73" s="207"/>
      <c r="H73" s="207"/>
      <c r="I73" s="147"/>
    </row>
    <row r="74" spans="2:9" x14ac:dyDescent="0.3">
      <c r="B74" s="205"/>
      <c r="C74" s="206"/>
      <c r="D74" s="206"/>
      <c r="E74" s="206"/>
      <c r="F74" s="207"/>
      <c r="G74" s="207"/>
      <c r="H74" s="207"/>
      <c r="I74" s="147"/>
    </row>
    <row r="75" spans="2:9" x14ac:dyDescent="0.3">
      <c r="B75" s="205"/>
      <c r="C75" s="206"/>
      <c r="D75" s="206"/>
      <c r="E75" s="206"/>
      <c r="F75" s="207"/>
      <c r="G75" s="207"/>
      <c r="H75" s="207"/>
      <c r="I75" s="147"/>
    </row>
    <row r="76" spans="2:9" x14ac:dyDescent="0.3">
      <c r="B76" s="205"/>
      <c r="C76" s="206"/>
      <c r="D76" s="206"/>
      <c r="E76" s="206"/>
      <c r="F76" s="207"/>
      <c r="G76" s="207"/>
      <c r="H76" s="207"/>
      <c r="I76" s="147"/>
    </row>
    <row r="77" spans="2:9" x14ac:dyDescent="0.3">
      <c r="B77" s="205"/>
      <c r="C77" s="206"/>
      <c r="D77" s="206"/>
      <c r="E77" s="206"/>
      <c r="F77" s="207"/>
      <c r="G77" s="207"/>
      <c r="H77" s="207"/>
      <c r="I77" s="147"/>
    </row>
    <row r="78" spans="2:9" hidden="1" x14ac:dyDescent="0.3">
      <c r="B78" s="209" t="s">
        <v>1817</v>
      </c>
      <c r="C78" s="135">
        <v>2018</v>
      </c>
      <c r="D78" s="135">
        <v>2019</v>
      </c>
      <c r="E78" s="135">
        <v>2020</v>
      </c>
      <c r="F78" s="135">
        <v>2021</v>
      </c>
      <c r="G78" s="135">
        <v>2022</v>
      </c>
      <c r="H78" s="135">
        <v>2023</v>
      </c>
      <c r="I78" s="147"/>
    </row>
    <row r="79" spans="2:9" hidden="1" x14ac:dyDescent="0.3">
      <c r="B79" s="192" t="s">
        <v>484</v>
      </c>
      <c r="C79" s="208">
        <v>0.16118964408046876</v>
      </c>
      <c r="D79" s="208">
        <v>8.2953105196451202E-2</v>
      </c>
      <c r="E79" s="208">
        <v>0.11098685041216472</v>
      </c>
      <c r="F79" s="208">
        <v>7.9254579477759268E-2</v>
      </c>
      <c r="G79" s="208">
        <v>7.6261644905297188E-2</v>
      </c>
      <c r="H79" s="208">
        <v>9.0727582909956694E-2</v>
      </c>
      <c r="I79" s="147"/>
    </row>
    <row r="80" spans="2:9" hidden="1" x14ac:dyDescent="0.3">
      <c r="B80" s="192" t="s">
        <v>495</v>
      </c>
      <c r="C80" s="208">
        <v>7.9729309271935278E-2</v>
      </c>
      <c r="D80" s="208">
        <v>9.8855531597279819E-2</v>
      </c>
      <c r="E80" s="208">
        <v>9.188877920368542E-2</v>
      </c>
      <c r="F80" s="208">
        <v>6.1547194291274733E-2</v>
      </c>
      <c r="G80" s="208">
        <v>9.1805059754772628E-2</v>
      </c>
      <c r="H80" s="208">
        <v>8.3904892546867851E-2</v>
      </c>
      <c r="I80" s="147"/>
    </row>
    <row r="81" spans="1:9" hidden="1" x14ac:dyDescent="0.3">
      <c r="B81" s="192" t="s">
        <v>510</v>
      </c>
      <c r="C81" s="208">
        <v>2.8127881955118353E-2</v>
      </c>
      <c r="D81" s="208">
        <v>2.1259590792838876E-2</v>
      </c>
      <c r="E81" s="208">
        <v>2.3747980613893376E-2</v>
      </c>
      <c r="F81" s="208">
        <v>1.4600908500973394E-2</v>
      </c>
      <c r="G81" s="208">
        <v>4.243421052631579E-2</v>
      </c>
      <c r="H81" s="208">
        <v>6.8971220641746614E-2</v>
      </c>
      <c r="I81" s="147"/>
    </row>
    <row r="82" spans="1:9" hidden="1" x14ac:dyDescent="0.3">
      <c r="B82" s="192" t="s">
        <v>520</v>
      </c>
      <c r="C82" s="208">
        <v>6.9099378881987583E-2</v>
      </c>
      <c r="D82" s="208">
        <v>5.1617873651771957E-2</v>
      </c>
      <c r="E82" s="208">
        <v>8.3333333333333329E-2</v>
      </c>
      <c r="F82" s="208">
        <v>3.2967032967032968E-2</v>
      </c>
      <c r="G82" s="208">
        <v>4.1734860883797055E-2</v>
      </c>
      <c r="H82" s="208">
        <v>1.507537688442211E-2</v>
      </c>
      <c r="I82" s="147"/>
    </row>
    <row r="83" spans="1:9" hidden="1" x14ac:dyDescent="0.3">
      <c r="B83" s="192" t="s">
        <v>526</v>
      </c>
      <c r="C83" s="208">
        <v>0.18166089965397925</v>
      </c>
      <c r="D83" s="208">
        <v>4.9065420560747662E-2</v>
      </c>
      <c r="E83" s="208">
        <v>7.5117370892018781E-2</v>
      </c>
      <c r="F83" s="208">
        <v>1.9512195121951219E-2</v>
      </c>
      <c r="G83" s="208">
        <v>4.9479166666666664E-2</v>
      </c>
      <c r="H83" s="208">
        <v>4.2105263157894736E-2</v>
      </c>
      <c r="I83" s="147"/>
    </row>
    <row r="84" spans="1:9" ht="21" x14ac:dyDescent="0.4">
      <c r="B84" s="6"/>
      <c r="C84" s="18"/>
      <c r="D84" s="20"/>
      <c r="E84" s="20"/>
    </row>
    <row r="85" spans="1:9" s="46" customFormat="1" ht="17.399999999999999" x14ac:dyDescent="0.3">
      <c r="B85" s="710" t="s">
        <v>1818</v>
      </c>
      <c r="C85" s="710"/>
      <c r="D85" s="45"/>
      <c r="E85" s="45"/>
    </row>
    <row r="86" spans="1:9" ht="21" x14ac:dyDescent="0.4">
      <c r="A86" s="707"/>
      <c r="B86" s="6"/>
      <c r="C86" s="18"/>
      <c r="D86" s="20"/>
      <c r="E86" s="20"/>
    </row>
    <row r="87" spans="1:9" x14ac:dyDescent="0.3">
      <c r="A87" s="707"/>
      <c r="B87" s="763" t="s">
        <v>1819</v>
      </c>
      <c r="C87" s="763"/>
      <c r="D87" s="763"/>
      <c r="E87" s="763"/>
      <c r="F87" s="763"/>
      <c r="G87" s="763"/>
      <c r="H87" s="763"/>
    </row>
    <row r="88" spans="1:9" ht="21" x14ac:dyDescent="0.4">
      <c r="A88" s="707"/>
      <c r="B88" s="6"/>
      <c r="C88" s="18"/>
      <c r="D88" s="20"/>
      <c r="E88" s="20"/>
    </row>
    <row r="89" spans="1:9" x14ac:dyDescent="0.3">
      <c r="A89" s="707"/>
      <c r="B89" s="50" t="s">
        <v>344</v>
      </c>
      <c r="C89" s="712" t="s">
        <v>843</v>
      </c>
      <c r="D89" s="712"/>
      <c r="E89" s="712"/>
      <c r="F89" s="712"/>
      <c r="G89" s="712"/>
      <c r="H89" s="712"/>
      <c r="I89" s="49" t="s">
        <v>346</v>
      </c>
    </row>
    <row r="90" spans="1:9" ht="60" customHeight="1" x14ac:dyDescent="0.3">
      <c r="A90" s="707"/>
      <c r="B90" s="51">
        <v>2019</v>
      </c>
      <c r="C90" s="709" t="s">
        <v>1820</v>
      </c>
      <c r="D90" s="709"/>
      <c r="E90" s="709"/>
      <c r="F90" s="709"/>
      <c r="G90" s="709"/>
      <c r="H90" s="709"/>
      <c r="I90" s="56" t="s">
        <v>348</v>
      </c>
    </row>
    <row r="91" spans="1:9" ht="45" customHeight="1" x14ac:dyDescent="0.3">
      <c r="A91" s="707"/>
      <c r="B91" s="51">
        <v>2020</v>
      </c>
      <c r="C91" s="709" t="s">
        <v>1821</v>
      </c>
      <c r="D91" s="709"/>
      <c r="E91" s="709"/>
      <c r="F91" s="709"/>
      <c r="G91" s="709"/>
      <c r="H91" s="709"/>
      <c r="I91" s="56" t="s">
        <v>348</v>
      </c>
    </row>
    <row r="92" spans="1:9" ht="60" customHeight="1" x14ac:dyDescent="0.3">
      <c r="A92" s="707"/>
      <c r="B92" s="51">
        <v>2021</v>
      </c>
      <c r="C92" s="709" t="s">
        <v>1822</v>
      </c>
      <c r="D92" s="709"/>
      <c r="E92" s="709"/>
      <c r="F92" s="709"/>
      <c r="G92" s="709"/>
      <c r="H92" s="709"/>
      <c r="I92" s="485" t="s">
        <v>6</v>
      </c>
    </row>
    <row r="93" spans="1:9" ht="45" customHeight="1" x14ac:dyDescent="0.3">
      <c r="A93" s="707"/>
      <c r="B93" s="51">
        <v>2022</v>
      </c>
      <c r="C93" s="709" t="s">
        <v>1823</v>
      </c>
      <c r="D93" s="709"/>
      <c r="E93" s="709"/>
      <c r="F93" s="709"/>
      <c r="G93" s="709"/>
      <c r="H93" s="709"/>
      <c r="I93" s="485" t="s">
        <v>6</v>
      </c>
    </row>
    <row r="94" spans="1:9" ht="213.6" customHeight="1" x14ac:dyDescent="0.3">
      <c r="A94" s="707"/>
      <c r="B94" s="51">
        <v>2023</v>
      </c>
      <c r="C94" s="709" t="s">
        <v>1824</v>
      </c>
      <c r="D94" s="709"/>
      <c r="E94" s="709"/>
      <c r="F94" s="709"/>
      <c r="G94" s="709"/>
      <c r="H94" s="709"/>
      <c r="I94" s="485" t="s">
        <v>6</v>
      </c>
    </row>
    <row r="95" spans="1:9" ht="39.6" customHeight="1" x14ac:dyDescent="0.3">
      <c r="B95" s="709" t="s">
        <v>1825</v>
      </c>
      <c r="C95" s="709"/>
      <c r="D95" s="709"/>
      <c r="E95" s="709"/>
      <c r="F95" s="709"/>
      <c r="G95" s="709"/>
      <c r="H95" s="709"/>
      <c r="I95" s="709"/>
    </row>
    <row r="96" spans="1:9" x14ac:dyDescent="0.3">
      <c r="C96" s="18"/>
      <c r="D96" s="20"/>
      <c r="E96" s="20"/>
    </row>
    <row r="97" spans="2:9" x14ac:dyDescent="0.3">
      <c r="B97" s="725" t="s">
        <v>1826</v>
      </c>
      <c r="C97" s="725"/>
      <c r="D97" s="725"/>
      <c r="E97" s="725"/>
      <c r="F97" s="725"/>
      <c r="G97" s="491"/>
      <c r="H97" s="491"/>
      <c r="I97" s="491"/>
    </row>
    <row r="98" spans="2:9" x14ac:dyDescent="0.3">
      <c r="B98" s="53"/>
      <c r="C98" s="725" t="s">
        <v>484</v>
      </c>
      <c r="D98" s="725"/>
      <c r="E98" s="725" t="s">
        <v>495</v>
      </c>
      <c r="F98" s="725"/>
      <c r="G98" s="753"/>
      <c r="H98" s="753"/>
    </row>
    <row r="99" spans="2:9" ht="17.100000000000001" customHeight="1" x14ac:dyDescent="0.3">
      <c r="B99" s="50" t="s">
        <v>1827</v>
      </c>
      <c r="C99" s="492" t="s">
        <v>1828</v>
      </c>
      <c r="D99" s="493" t="s">
        <v>1829</v>
      </c>
      <c r="E99" s="492" t="s">
        <v>1828</v>
      </c>
      <c r="F99" s="493" t="s">
        <v>1829</v>
      </c>
      <c r="G99" s="528"/>
      <c r="H99" s="52"/>
    </row>
    <row r="100" spans="2:9" ht="25.5" customHeight="1" x14ac:dyDescent="0.3">
      <c r="B100" s="583" t="s">
        <v>1830</v>
      </c>
      <c r="C100" s="587" t="s">
        <v>1831</v>
      </c>
      <c r="D100" s="588" t="s">
        <v>1831</v>
      </c>
      <c r="E100" s="494" t="s">
        <v>1831</v>
      </c>
      <c r="F100" s="494" t="s">
        <v>1832</v>
      </c>
      <c r="G100" s="529"/>
      <c r="H100" s="73"/>
    </row>
    <row r="101" spans="2:9" ht="22.5" customHeight="1" x14ac:dyDescent="0.3">
      <c r="B101" s="584" t="s">
        <v>1833</v>
      </c>
      <c r="C101" s="589" t="s">
        <v>1831</v>
      </c>
      <c r="D101" s="590" t="s">
        <v>1831</v>
      </c>
      <c r="E101" s="494" t="s">
        <v>1831</v>
      </c>
      <c r="F101" s="494" t="s">
        <v>1832</v>
      </c>
      <c r="G101" s="529"/>
      <c r="H101" s="73"/>
    </row>
    <row r="102" spans="2:9" ht="23.25" customHeight="1" x14ac:dyDescent="0.3">
      <c r="B102" s="585" t="s">
        <v>1834</v>
      </c>
      <c r="C102" s="589" t="s">
        <v>1831</v>
      </c>
      <c r="D102" s="590" t="s">
        <v>1831</v>
      </c>
      <c r="E102" s="494" t="s">
        <v>1831</v>
      </c>
      <c r="F102" s="494" t="s">
        <v>1832</v>
      </c>
      <c r="G102" s="529"/>
      <c r="H102" s="73"/>
    </row>
    <row r="103" spans="2:9" ht="25.5" customHeight="1" x14ac:dyDescent="0.3">
      <c r="B103" s="585" t="s">
        <v>1835</v>
      </c>
      <c r="C103" s="589" t="s">
        <v>1831</v>
      </c>
      <c r="D103" s="590" t="s">
        <v>1831</v>
      </c>
      <c r="E103" s="494" t="s">
        <v>1831</v>
      </c>
      <c r="F103" s="494" t="s">
        <v>1832</v>
      </c>
      <c r="G103" s="529"/>
      <c r="H103" s="73"/>
    </row>
    <row r="104" spans="2:9" ht="30.75" customHeight="1" x14ac:dyDescent="0.3">
      <c r="B104" s="586" t="s">
        <v>1836</v>
      </c>
      <c r="C104" s="589" t="s">
        <v>1831</v>
      </c>
      <c r="D104" s="590" t="s">
        <v>1831</v>
      </c>
      <c r="E104" s="494" t="s">
        <v>1831</v>
      </c>
      <c r="F104" s="494" t="s">
        <v>1832</v>
      </c>
      <c r="G104" s="529"/>
      <c r="H104" s="73"/>
    </row>
    <row r="105" spans="2:9" ht="24.75" customHeight="1" x14ac:dyDescent="0.3">
      <c r="B105" s="586" t="s">
        <v>1837</v>
      </c>
      <c r="C105" s="589" t="s">
        <v>1831</v>
      </c>
      <c r="D105" s="590" t="s">
        <v>1831</v>
      </c>
      <c r="E105" s="494" t="s">
        <v>1831</v>
      </c>
      <c r="F105" s="494" t="s">
        <v>1838</v>
      </c>
      <c r="G105" s="529"/>
      <c r="H105" s="73"/>
    </row>
    <row r="106" spans="2:9" ht="26.4" x14ac:dyDescent="0.3">
      <c r="B106" s="586" t="s">
        <v>1839</v>
      </c>
      <c r="C106" s="589" t="s">
        <v>1831</v>
      </c>
      <c r="D106" s="590" t="s">
        <v>1831</v>
      </c>
      <c r="E106" s="494" t="s">
        <v>1831</v>
      </c>
      <c r="F106" s="494" t="s">
        <v>1832</v>
      </c>
      <c r="G106" s="529"/>
      <c r="H106" s="73"/>
    </row>
    <row r="107" spans="2:9" ht="39.6" x14ac:dyDescent="0.3">
      <c r="B107" s="586" t="s">
        <v>1840</v>
      </c>
      <c r="C107" s="591" t="s">
        <v>1831</v>
      </c>
      <c r="D107" s="592" t="s">
        <v>1831</v>
      </c>
      <c r="E107" s="494" t="s">
        <v>1831</v>
      </c>
      <c r="F107" s="494" t="s">
        <v>1832</v>
      </c>
      <c r="G107" s="529"/>
      <c r="H107" s="73"/>
    </row>
    <row r="108" spans="2:9" ht="19.05" customHeight="1" x14ac:dyDescent="0.3">
      <c r="B108" s="709" t="s">
        <v>2896</v>
      </c>
      <c r="C108" s="709"/>
      <c r="D108" s="709"/>
      <c r="E108" s="709"/>
      <c r="F108" s="709"/>
      <c r="G108" s="709"/>
      <c r="H108" s="709"/>
      <c r="I108" s="709"/>
    </row>
    <row r="109" spans="2:9" x14ac:dyDescent="0.3">
      <c r="C109" s="18"/>
      <c r="D109" s="20"/>
      <c r="E109" s="20"/>
    </row>
    <row r="110" spans="2:9" x14ac:dyDescent="0.3">
      <c r="C110" s="18"/>
      <c r="D110" s="20"/>
      <c r="E110" s="20"/>
    </row>
    <row r="111" spans="2:9" x14ac:dyDescent="0.3">
      <c r="C111" s="18"/>
      <c r="D111" s="20"/>
      <c r="E111" s="20"/>
    </row>
    <row r="112" spans="2:9" s="46" customFormat="1" ht="17.399999999999999" x14ac:dyDescent="0.3">
      <c r="B112" s="710" t="s">
        <v>1841</v>
      </c>
      <c r="C112" s="710"/>
      <c r="D112" s="45"/>
      <c r="E112" s="45"/>
    </row>
    <row r="113" spans="1:9" ht="21" x14ac:dyDescent="0.4">
      <c r="A113" s="707"/>
      <c r="B113" s="6"/>
      <c r="C113" s="18"/>
      <c r="D113" s="20"/>
      <c r="E113" s="20"/>
    </row>
    <row r="114" spans="1:9" x14ac:dyDescent="0.3">
      <c r="A114" s="707"/>
      <c r="B114" s="763" t="s">
        <v>1842</v>
      </c>
      <c r="C114" s="763"/>
      <c r="D114" s="763"/>
      <c r="E114" s="763"/>
      <c r="F114" s="763"/>
      <c r="G114" s="763"/>
      <c r="H114" s="763"/>
    </row>
    <row r="115" spans="1:9" ht="21" x14ac:dyDescent="0.4">
      <c r="A115" s="707"/>
      <c r="B115" s="6"/>
      <c r="C115" s="18"/>
      <c r="D115" s="20"/>
      <c r="E115" s="20"/>
    </row>
    <row r="116" spans="1:9" x14ac:dyDescent="0.3">
      <c r="A116" s="707"/>
      <c r="B116" s="50" t="s">
        <v>344</v>
      </c>
      <c r="C116" s="712" t="s">
        <v>843</v>
      </c>
      <c r="D116" s="712"/>
      <c r="E116" s="712"/>
      <c r="F116" s="712"/>
      <c r="G116" s="712"/>
      <c r="H116" s="712"/>
      <c r="I116" s="49" t="s">
        <v>346</v>
      </c>
    </row>
    <row r="117" spans="1:9" ht="60.75" customHeight="1" x14ac:dyDescent="0.3">
      <c r="A117" s="707"/>
      <c r="B117" s="51">
        <v>2019</v>
      </c>
      <c r="C117" s="709" t="s">
        <v>1843</v>
      </c>
      <c r="D117" s="709"/>
      <c r="E117" s="709"/>
      <c r="F117" s="709"/>
      <c r="G117" s="709"/>
      <c r="H117" s="709"/>
      <c r="I117" s="56" t="s">
        <v>348</v>
      </c>
    </row>
    <row r="118" spans="1:9" ht="51" customHeight="1" x14ac:dyDescent="0.3">
      <c r="A118" s="707"/>
      <c r="B118" s="51">
        <v>2020</v>
      </c>
      <c r="C118" s="709" t="s">
        <v>1844</v>
      </c>
      <c r="D118" s="709"/>
      <c r="E118" s="709"/>
      <c r="F118" s="709"/>
      <c r="G118" s="709"/>
      <c r="H118" s="709"/>
      <c r="I118" s="56" t="s">
        <v>350</v>
      </c>
    </row>
    <row r="119" spans="1:9" ht="158.55000000000001" customHeight="1" x14ac:dyDescent="0.3">
      <c r="A119" s="707"/>
      <c r="B119" s="51">
        <v>2021</v>
      </c>
      <c r="C119" s="709" t="s">
        <v>1845</v>
      </c>
      <c r="D119" s="709"/>
      <c r="E119" s="709"/>
      <c r="F119" s="709"/>
      <c r="G119" s="709"/>
      <c r="H119" s="709"/>
      <c r="I119" s="485" t="s">
        <v>6</v>
      </c>
    </row>
    <row r="120" spans="1:9" ht="148.05000000000001" customHeight="1" x14ac:dyDescent="0.3">
      <c r="A120" s="707"/>
      <c r="B120" s="51">
        <v>2022</v>
      </c>
      <c r="C120" s="709" t="s">
        <v>1846</v>
      </c>
      <c r="D120" s="709"/>
      <c r="E120" s="709"/>
      <c r="F120" s="709"/>
      <c r="G120" s="709"/>
      <c r="H120" s="709"/>
      <c r="I120" s="485" t="s">
        <v>6</v>
      </c>
    </row>
    <row r="121" spans="1:9" ht="161.1" customHeight="1" x14ac:dyDescent="0.3">
      <c r="B121" s="51">
        <v>2023</v>
      </c>
      <c r="C121" s="709" t="s">
        <v>1847</v>
      </c>
      <c r="D121" s="709"/>
      <c r="E121" s="709"/>
      <c r="F121" s="709"/>
      <c r="G121" s="709"/>
      <c r="H121" s="709"/>
      <c r="I121" s="485" t="s">
        <v>6</v>
      </c>
    </row>
    <row r="122" spans="1:9" ht="21" x14ac:dyDescent="0.4">
      <c r="B122" s="6"/>
      <c r="C122" s="18"/>
      <c r="D122" s="20"/>
      <c r="E122" s="20"/>
    </row>
    <row r="123" spans="1:9" ht="21" x14ac:dyDescent="0.4">
      <c r="B123" s="6"/>
      <c r="C123" s="18"/>
      <c r="D123" s="20"/>
      <c r="E123" s="20"/>
    </row>
    <row r="124" spans="1:9" s="46" customFormat="1" ht="17.399999999999999" x14ac:dyDescent="0.3">
      <c r="B124" s="710" t="s">
        <v>1848</v>
      </c>
      <c r="C124" s="710"/>
      <c r="D124" s="45"/>
      <c r="E124" s="45"/>
    </row>
    <row r="125" spans="1:9" ht="21" x14ac:dyDescent="0.4">
      <c r="A125" s="707"/>
      <c r="B125" s="6"/>
      <c r="C125" s="18"/>
      <c r="D125" s="20"/>
      <c r="E125" s="20"/>
    </row>
    <row r="126" spans="1:9" x14ac:dyDescent="0.3">
      <c r="A126" s="707"/>
      <c r="B126" s="763" t="s">
        <v>1849</v>
      </c>
      <c r="C126" s="763"/>
      <c r="D126" s="763"/>
      <c r="E126" s="763"/>
      <c r="F126" s="763"/>
      <c r="G126" s="763"/>
      <c r="H126" s="763"/>
    </row>
    <row r="127" spans="1:9" x14ac:dyDescent="0.3">
      <c r="A127" s="707"/>
      <c r="B127" s="48"/>
      <c r="C127" s="18"/>
      <c r="D127" s="20"/>
      <c r="E127" s="20"/>
    </row>
    <row r="128" spans="1:9" x14ac:dyDescent="0.3">
      <c r="A128" s="707"/>
      <c r="B128" s="50" t="s">
        <v>344</v>
      </c>
      <c r="C128" s="712" t="s">
        <v>843</v>
      </c>
      <c r="D128" s="712"/>
      <c r="E128" s="712"/>
      <c r="F128" s="712"/>
      <c r="G128" s="712"/>
      <c r="H128" s="712"/>
      <c r="I128" s="49" t="s">
        <v>346</v>
      </c>
    </row>
    <row r="129" spans="1:9" ht="56.1" customHeight="1" x14ac:dyDescent="0.3">
      <c r="A129" s="707"/>
      <c r="B129" s="51">
        <v>2019</v>
      </c>
      <c r="C129" s="709" t="s">
        <v>1850</v>
      </c>
      <c r="D129" s="709"/>
      <c r="E129" s="709"/>
      <c r="F129" s="709"/>
      <c r="G129" s="709"/>
      <c r="H129" s="709"/>
      <c r="I129" s="56" t="s">
        <v>348</v>
      </c>
    </row>
    <row r="130" spans="1:9" ht="63" customHeight="1" x14ac:dyDescent="0.3">
      <c r="A130" s="707"/>
      <c r="B130" s="51">
        <v>2020</v>
      </c>
      <c r="C130" s="709" t="s">
        <v>1851</v>
      </c>
      <c r="D130" s="709"/>
      <c r="E130" s="709"/>
      <c r="F130" s="709"/>
      <c r="G130" s="709"/>
      <c r="H130" s="709"/>
      <c r="I130" s="485" t="s">
        <v>6</v>
      </c>
    </row>
    <row r="131" spans="1:9" ht="83.1" customHeight="1" x14ac:dyDescent="0.3">
      <c r="A131" s="707"/>
      <c r="B131" s="51">
        <v>2021</v>
      </c>
      <c r="C131" s="709" t="s">
        <v>1852</v>
      </c>
      <c r="D131" s="709"/>
      <c r="E131" s="709"/>
      <c r="F131" s="709"/>
      <c r="G131" s="709"/>
      <c r="H131" s="709"/>
      <c r="I131" s="485" t="s">
        <v>6</v>
      </c>
    </row>
    <row r="132" spans="1:9" ht="75" customHeight="1" x14ac:dyDescent="0.3">
      <c r="A132" s="707"/>
      <c r="B132" s="51">
        <v>2022</v>
      </c>
      <c r="C132" s="709" t="s">
        <v>1853</v>
      </c>
      <c r="D132" s="709"/>
      <c r="E132" s="709"/>
      <c r="F132" s="709"/>
      <c r="G132" s="709"/>
      <c r="H132" s="709"/>
      <c r="I132" s="485" t="s">
        <v>6</v>
      </c>
    </row>
    <row r="133" spans="1:9" ht="75" customHeight="1" x14ac:dyDescent="0.3">
      <c r="A133" s="707"/>
      <c r="B133" s="51">
        <v>2023</v>
      </c>
      <c r="C133" s="709" t="s">
        <v>1854</v>
      </c>
      <c r="D133" s="709"/>
      <c r="E133" s="709"/>
      <c r="F133" s="709"/>
      <c r="G133" s="709"/>
      <c r="H133" s="709"/>
      <c r="I133" s="485" t="s">
        <v>6</v>
      </c>
    </row>
    <row r="134" spans="1:9" ht="21" x14ac:dyDescent="0.4">
      <c r="B134" s="6"/>
      <c r="C134" s="18"/>
      <c r="D134" s="20"/>
      <c r="E134" s="20"/>
    </row>
    <row r="135" spans="1:9" ht="21" x14ac:dyDescent="0.4">
      <c r="B135" s="6"/>
      <c r="C135" s="18"/>
      <c r="D135" s="20"/>
      <c r="E135" s="20"/>
    </row>
    <row r="136" spans="1:9" s="46" customFormat="1" ht="17.399999999999999" x14ac:dyDescent="0.3">
      <c r="B136" s="710" t="s">
        <v>1855</v>
      </c>
      <c r="C136" s="710"/>
      <c r="D136" s="45"/>
      <c r="E136" s="45"/>
    </row>
    <row r="137" spans="1:9" ht="21" x14ac:dyDescent="0.4">
      <c r="A137" s="707"/>
      <c r="B137" s="6"/>
      <c r="C137" s="18"/>
      <c r="D137" s="20"/>
      <c r="E137" s="20"/>
    </row>
    <row r="138" spans="1:9" x14ac:dyDescent="0.3">
      <c r="A138" s="707"/>
      <c r="B138" s="763" t="s">
        <v>1856</v>
      </c>
      <c r="C138" s="763"/>
      <c r="D138" s="763"/>
      <c r="E138" s="763"/>
      <c r="F138" s="763"/>
      <c r="G138" s="763"/>
      <c r="H138" s="763"/>
    </row>
    <row r="139" spans="1:9" ht="21" x14ac:dyDescent="0.4">
      <c r="A139" s="707"/>
      <c r="B139" s="6"/>
      <c r="C139" s="18"/>
      <c r="D139" s="20"/>
      <c r="E139" s="20"/>
    </row>
    <row r="140" spans="1:9" ht="15" customHeight="1" x14ac:dyDescent="0.3">
      <c r="A140" s="707"/>
      <c r="B140" s="50" t="s">
        <v>344</v>
      </c>
      <c r="C140" s="712" t="s">
        <v>843</v>
      </c>
      <c r="D140" s="712"/>
      <c r="E140" s="712"/>
      <c r="F140" s="712"/>
      <c r="G140" s="712"/>
      <c r="H140" s="712"/>
      <c r="I140" s="49" t="s">
        <v>346</v>
      </c>
    </row>
    <row r="141" spans="1:9" ht="90" customHeight="1" x14ac:dyDescent="0.3">
      <c r="A141" s="707"/>
      <c r="B141" s="51">
        <v>2020</v>
      </c>
      <c r="C141" s="709" t="s">
        <v>1857</v>
      </c>
      <c r="D141" s="709"/>
      <c r="E141" s="709"/>
      <c r="F141" s="709"/>
      <c r="G141" s="709"/>
      <c r="H141" s="709"/>
      <c r="I141" s="56" t="s">
        <v>350</v>
      </c>
    </row>
    <row r="142" spans="1:9" ht="88.05" customHeight="1" x14ac:dyDescent="0.3">
      <c r="A142" s="707"/>
      <c r="B142" s="51">
        <v>2021</v>
      </c>
      <c r="C142" s="709" t="s">
        <v>1858</v>
      </c>
      <c r="D142" s="709"/>
      <c r="E142" s="709"/>
      <c r="F142" s="709"/>
      <c r="G142" s="709"/>
      <c r="H142" s="709"/>
      <c r="I142" s="485" t="s">
        <v>6</v>
      </c>
    </row>
    <row r="143" spans="1:9" ht="93" customHeight="1" x14ac:dyDescent="0.3">
      <c r="A143" s="707"/>
      <c r="B143" s="51">
        <v>2022</v>
      </c>
      <c r="C143" s="709" t="s">
        <v>1858</v>
      </c>
      <c r="D143" s="709"/>
      <c r="E143" s="709"/>
      <c r="F143" s="709"/>
      <c r="G143" s="709"/>
      <c r="H143" s="709"/>
      <c r="I143" s="485" t="s">
        <v>6</v>
      </c>
    </row>
    <row r="144" spans="1:9" ht="106.05" customHeight="1" x14ac:dyDescent="0.3">
      <c r="A144" s="707"/>
      <c r="B144" s="51">
        <v>2023</v>
      </c>
      <c r="C144" s="732" t="s">
        <v>1859</v>
      </c>
      <c r="D144" s="732"/>
      <c r="E144" s="732"/>
      <c r="F144" s="732"/>
      <c r="G144" s="732"/>
      <c r="H144" s="732"/>
      <c r="I144" s="485" t="s">
        <v>6</v>
      </c>
    </row>
    <row r="145" spans="1:9" x14ac:dyDescent="0.3">
      <c r="B145" s="745" t="s">
        <v>1860</v>
      </c>
      <c r="C145" s="745"/>
      <c r="D145" s="745"/>
      <c r="E145" s="745"/>
      <c r="F145" s="745"/>
      <c r="G145" s="745"/>
      <c r="H145" s="745"/>
      <c r="I145" s="745"/>
    </row>
    <row r="146" spans="1:9" ht="21" x14ac:dyDescent="0.4">
      <c r="B146" s="6"/>
      <c r="C146" s="18"/>
      <c r="D146" s="20"/>
      <c r="E146" s="20"/>
    </row>
    <row r="147" spans="1:9" ht="21" x14ac:dyDescent="0.4">
      <c r="B147" s="6"/>
      <c r="C147" s="18"/>
      <c r="D147" s="20"/>
      <c r="E147" s="20"/>
    </row>
    <row r="148" spans="1:9" s="46" customFormat="1" ht="17.399999999999999" x14ac:dyDescent="0.3">
      <c r="B148" s="710" t="s">
        <v>1861</v>
      </c>
      <c r="C148" s="710"/>
      <c r="D148" s="45"/>
      <c r="E148" s="45"/>
    </row>
    <row r="149" spans="1:9" ht="21" x14ac:dyDescent="0.4">
      <c r="A149" s="707"/>
      <c r="B149" s="6"/>
      <c r="C149" s="18"/>
      <c r="D149" s="20"/>
      <c r="E149" s="20"/>
    </row>
    <row r="150" spans="1:9" x14ac:dyDescent="0.3">
      <c r="A150" s="707"/>
      <c r="B150" s="763" t="s">
        <v>1862</v>
      </c>
      <c r="C150" s="763"/>
      <c r="D150" s="763"/>
      <c r="E150" s="763"/>
      <c r="F150" s="763"/>
      <c r="G150" s="763"/>
      <c r="H150" s="763"/>
    </row>
    <row r="151" spans="1:9" ht="21" x14ac:dyDescent="0.4">
      <c r="A151" s="707"/>
      <c r="B151" s="6"/>
      <c r="C151" s="18"/>
      <c r="D151" s="20"/>
      <c r="E151" s="20"/>
    </row>
    <row r="152" spans="1:9" x14ac:dyDescent="0.3">
      <c r="A152" s="707"/>
      <c r="B152" s="50" t="s">
        <v>344</v>
      </c>
      <c r="C152" s="712" t="s">
        <v>843</v>
      </c>
      <c r="D152" s="712"/>
      <c r="E152" s="712"/>
      <c r="F152" s="712"/>
      <c r="G152" s="712"/>
      <c r="H152" s="712"/>
      <c r="I152" s="49" t="s">
        <v>346</v>
      </c>
    </row>
    <row r="153" spans="1:9" ht="370.5" customHeight="1" x14ac:dyDescent="0.3">
      <c r="A153" s="707"/>
      <c r="B153" s="51">
        <v>2020</v>
      </c>
      <c r="C153" s="709" t="s">
        <v>1863</v>
      </c>
      <c r="D153" s="709"/>
      <c r="E153" s="709"/>
      <c r="F153" s="709"/>
      <c r="G153" s="709"/>
      <c r="H153" s="709"/>
      <c r="I153" s="56" t="s">
        <v>350</v>
      </c>
    </row>
    <row r="154" spans="1:9" ht="387.6" customHeight="1" x14ac:dyDescent="0.3">
      <c r="B154" s="52">
        <v>2021</v>
      </c>
      <c r="C154" s="709" t="s">
        <v>1864</v>
      </c>
      <c r="D154" s="709"/>
      <c r="E154" s="709"/>
      <c r="F154" s="709"/>
      <c r="G154" s="709"/>
      <c r="H154" s="709"/>
      <c r="I154" s="485" t="s">
        <v>6</v>
      </c>
    </row>
    <row r="155" spans="1:9" ht="385.05" customHeight="1" x14ac:dyDescent="0.3">
      <c r="B155" s="52">
        <v>2022</v>
      </c>
      <c r="C155" s="709" t="s">
        <v>1865</v>
      </c>
      <c r="D155" s="709"/>
      <c r="E155" s="709"/>
      <c r="F155" s="709"/>
      <c r="G155" s="709"/>
      <c r="H155" s="709"/>
      <c r="I155" s="485" t="s">
        <v>6</v>
      </c>
    </row>
    <row r="156" spans="1:9" ht="386.55" customHeight="1" x14ac:dyDescent="0.3">
      <c r="B156" s="52">
        <v>2023</v>
      </c>
      <c r="C156" s="709" t="s">
        <v>1866</v>
      </c>
      <c r="D156" s="709"/>
      <c r="E156" s="709"/>
      <c r="F156" s="709"/>
      <c r="G156" s="709"/>
      <c r="H156" s="709"/>
      <c r="I156" s="485" t="s">
        <v>6</v>
      </c>
    </row>
    <row r="157" spans="1:9" x14ac:dyDescent="0.3">
      <c r="B157" s="745" t="s">
        <v>1860</v>
      </c>
      <c r="C157" s="745"/>
      <c r="D157" s="745"/>
      <c r="E157" s="745"/>
      <c r="F157" s="745"/>
      <c r="G157" s="745"/>
      <c r="H157" s="745"/>
    </row>
    <row r="158" spans="1:9" ht="14.55" customHeight="1" x14ac:dyDescent="0.4">
      <c r="B158" s="6"/>
      <c r="C158" s="18"/>
      <c r="D158" s="20"/>
      <c r="E158" s="20"/>
    </row>
    <row r="159" spans="1:9" ht="14.55" customHeight="1" x14ac:dyDescent="0.4">
      <c r="B159" s="6"/>
      <c r="C159" s="18"/>
      <c r="D159" s="20"/>
      <c r="E159" s="20"/>
    </row>
    <row r="160" spans="1:9" s="46" customFormat="1" ht="17.399999999999999" x14ac:dyDescent="0.3">
      <c r="B160" s="710" t="s">
        <v>1867</v>
      </c>
      <c r="C160" s="710"/>
      <c r="D160" s="45"/>
      <c r="E160" s="45"/>
    </row>
    <row r="161" spans="1:9" ht="21" x14ac:dyDescent="0.4">
      <c r="A161" s="707"/>
      <c r="B161" s="6"/>
      <c r="C161" s="18"/>
      <c r="D161" s="20"/>
      <c r="E161" s="20"/>
    </row>
    <row r="162" spans="1:9" x14ac:dyDescent="0.3">
      <c r="A162" s="707"/>
      <c r="B162" s="763" t="s">
        <v>1868</v>
      </c>
      <c r="C162" s="763"/>
      <c r="D162" s="763"/>
      <c r="E162" s="763"/>
      <c r="F162" s="763"/>
      <c r="G162" s="763"/>
      <c r="H162" s="763"/>
    </row>
    <row r="163" spans="1:9" ht="21" x14ac:dyDescent="0.4">
      <c r="A163" s="707"/>
      <c r="B163" s="6"/>
      <c r="C163" s="18"/>
      <c r="D163" s="20"/>
      <c r="E163" s="20"/>
    </row>
    <row r="164" spans="1:9" x14ac:dyDescent="0.3">
      <c r="A164" s="707"/>
      <c r="B164" s="50" t="s">
        <v>344</v>
      </c>
      <c r="C164" s="712" t="s">
        <v>843</v>
      </c>
      <c r="D164" s="712"/>
      <c r="E164" s="712"/>
      <c r="F164" s="712"/>
      <c r="G164" s="712"/>
      <c r="H164" s="712"/>
      <c r="I164" s="49" t="s">
        <v>346</v>
      </c>
    </row>
    <row r="165" spans="1:9" ht="158.1" customHeight="1" x14ac:dyDescent="0.3">
      <c r="A165" s="707"/>
      <c r="B165" s="51">
        <v>2020</v>
      </c>
      <c r="C165" s="709" t="s">
        <v>1869</v>
      </c>
      <c r="D165" s="709"/>
      <c r="E165" s="709"/>
      <c r="F165" s="709"/>
      <c r="G165" s="709"/>
      <c r="H165" s="709"/>
      <c r="I165" s="56" t="s">
        <v>350</v>
      </c>
    </row>
    <row r="166" spans="1:9" ht="271.05" customHeight="1" x14ac:dyDescent="0.3">
      <c r="A166" s="707"/>
      <c r="B166" s="51">
        <v>2021</v>
      </c>
      <c r="C166" s="709" t="s">
        <v>1870</v>
      </c>
      <c r="D166" s="709"/>
      <c r="E166" s="709"/>
      <c r="F166" s="709"/>
      <c r="G166" s="709"/>
      <c r="H166" s="709"/>
      <c r="I166" s="485" t="s">
        <v>6</v>
      </c>
    </row>
    <row r="167" spans="1:9" ht="194.1" customHeight="1" x14ac:dyDescent="0.3">
      <c r="B167" s="51">
        <v>2022</v>
      </c>
      <c r="C167" s="709" t="s">
        <v>1871</v>
      </c>
      <c r="D167" s="709"/>
      <c r="E167" s="709"/>
      <c r="F167" s="709"/>
      <c r="G167" s="709"/>
      <c r="H167" s="709"/>
      <c r="I167" s="485" t="s">
        <v>6</v>
      </c>
    </row>
    <row r="168" spans="1:9" ht="161.55000000000001" customHeight="1" x14ac:dyDescent="0.3">
      <c r="B168" s="51">
        <v>2023</v>
      </c>
      <c r="C168" s="732" t="s">
        <v>1872</v>
      </c>
      <c r="D168" s="732"/>
      <c r="E168" s="732"/>
      <c r="F168" s="732"/>
      <c r="G168" s="732"/>
      <c r="H168" s="732"/>
      <c r="I168" s="485" t="s">
        <v>6</v>
      </c>
    </row>
    <row r="169" spans="1:9" x14ac:dyDescent="0.3">
      <c r="B169" s="745" t="s">
        <v>1860</v>
      </c>
      <c r="C169" s="745"/>
      <c r="D169" s="745"/>
      <c r="E169" s="745"/>
      <c r="F169" s="745"/>
      <c r="G169" s="745"/>
      <c r="H169" s="745"/>
    </row>
    <row r="170" spans="1:9" ht="21" x14ac:dyDescent="0.4">
      <c r="B170" s="6"/>
      <c r="C170" s="18"/>
      <c r="D170" s="20"/>
      <c r="E170" s="20"/>
    </row>
    <row r="171" spans="1:9" ht="21" x14ac:dyDescent="0.4">
      <c r="B171" s="6"/>
      <c r="C171" s="18"/>
      <c r="D171" s="20"/>
      <c r="E171" s="20"/>
    </row>
    <row r="172" spans="1:9" s="46" customFormat="1" ht="17.399999999999999" x14ac:dyDescent="0.3">
      <c r="B172" s="710" t="s">
        <v>1873</v>
      </c>
      <c r="C172" s="710"/>
      <c r="D172" s="45"/>
      <c r="E172" s="45"/>
    </row>
    <row r="173" spans="1:9" ht="21" x14ac:dyDescent="0.4">
      <c r="A173" s="707"/>
      <c r="B173" s="6"/>
      <c r="C173" s="18"/>
      <c r="D173" s="20"/>
      <c r="E173" s="20"/>
    </row>
    <row r="174" spans="1:9" x14ac:dyDescent="0.3">
      <c r="A174" s="707"/>
      <c r="B174" s="763" t="s">
        <v>1874</v>
      </c>
      <c r="C174" s="763"/>
      <c r="D174" s="763"/>
      <c r="E174" s="763"/>
      <c r="F174" s="763"/>
      <c r="G174" s="763"/>
      <c r="H174" s="763"/>
    </row>
    <row r="175" spans="1:9" ht="21" x14ac:dyDescent="0.4">
      <c r="A175" s="707"/>
      <c r="B175" s="6"/>
      <c r="C175" s="18"/>
      <c r="D175" s="20"/>
      <c r="E175" s="20"/>
    </row>
    <row r="176" spans="1:9" x14ac:dyDescent="0.3">
      <c r="A176" s="707"/>
      <c r="B176" s="50" t="s">
        <v>344</v>
      </c>
      <c r="C176" s="712" t="s">
        <v>843</v>
      </c>
      <c r="D176" s="712"/>
      <c r="E176" s="712"/>
      <c r="F176" s="712"/>
      <c r="G176" s="712"/>
      <c r="H176" s="712"/>
      <c r="I176" s="49" t="s">
        <v>346</v>
      </c>
    </row>
    <row r="177" spans="1:14" ht="154.05000000000001" customHeight="1" x14ac:dyDescent="0.3">
      <c r="A177" s="707"/>
      <c r="B177" s="51">
        <v>2020</v>
      </c>
      <c r="C177" s="709" t="s">
        <v>1875</v>
      </c>
      <c r="D177" s="709"/>
      <c r="E177" s="709"/>
      <c r="F177" s="709"/>
      <c r="G177" s="709"/>
      <c r="H177" s="709"/>
      <c r="I177" s="56" t="s">
        <v>350</v>
      </c>
    </row>
    <row r="178" spans="1:14" ht="87" customHeight="1" x14ac:dyDescent="0.3">
      <c r="A178" s="707"/>
      <c r="B178" s="51">
        <v>2021</v>
      </c>
      <c r="C178" s="709" t="s">
        <v>1876</v>
      </c>
      <c r="D178" s="709"/>
      <c r="E178" s="709"/>
      <c r="F178" s="709"/>
      <c r="G178" s="709"/>
      <c r="H178" s="709"/>
      <c r="I178" s="485" t="s">
        <v>6</v>
      </c>
    </row>
    <row r="179" spans="1:14" ht="160.5" customHeight="1" x14ac:dyDescent="0.3">
      <c r="A179" s="707"/>
      <c r="B179" s="51">
        <v>2022</v>
      </c>
      <c r="C179" s="709" t="s">
        <v>1877</v>
      </c>
      <c r="D179" s="709"/>
      <c r="E179" s="709"/>
      <c r="F179" s="709"/>
      <c r="G179" s="709"/>
      <c r="H179" s="709"/>
      <c r="I179" s="485" t="s">
        <v>6</v>
      </c>
    </row>
    <row r="180" spans="1:14" ht="183" customHeight="1" x14ac:dyDescent="0.3">
      <c r="B180" s="51">
        <v>2023</v>
      </c>
      <c r="C180" s="709" t="s">
        <v>1878</v>
      </c>
      <c r="D180" s="709"/>
      <c r="E180" s="709"/>
      <c r="F180" s="709"/>
      <c r="G180" s="709"/>
      <c r="H180" s="709"/>
      <c r="I180" s="485" t="s">
        <v>6</v>
      </c>
    </row>
    <row r="181" spans="1:14" x14ac:dyDescent="0.3">
      <c r="B181" s="745" t="s">
        <v>1879</v>
      </c>
      <c r="C181" s="745"/>
      <c r="D181" s="745"/>
      <c r="E181" s="745"/>
      <c r="F181" s="745"/>
      <c r="G181" s="745"/>
      <c r="H181" s="745"/>
    </row>
    <row r="182" spans="1:14" ht="14.55" customHeight="1" x14ac:dyDescent="0.4">
      <c r="B182" s="6"/>
      <c r="C182" s="18"/>
      <c r="D182" s="20"/>
      <c r="E182" s="20"/>
    </row>
    <row r="183" spans="1:14" ht="14.55" customHeight="1" x14ac:dyDescent="0.4">
      <c r="B183" s="6"/>
      <c r="C183" s="18"/>
      <c r="D183" s="20"/>
      <c r="E183" s="20"/>
    </row>
    <row r="184" spans="1:14" s="46" customFormat="1" ht="17.399999999999999" x14ac:dyDescent="0.3">
      <c r="B184" s="710" t="s">
        <v>1880</v>
      </c>
      <c r="C184" s="710"/>
      <c r="D184" s="45"/>
      <c r="E184" s="45"/>
    </row>
    <row r="185" spans="1:14" ht="20.100000000000001" customHeight="1" x14ac:dyDescent="0.3">
      <c r="A185" s="707"/>
      <c r="C185" s="18"/>
      <c r="D185" s="20"/>
      <c r="E185" s="20"/>
    </row>
    <row r="186" spans="1:14" ht="16.05" customHeight="1" x14ac:dyDescent="0.3">
      <c r="A186" s="707"/>
      <c r="B186" s="763" t="s">
        <v>1881</v>
      </c>
      <c r="C186" s="763"/>
      <c r="D186" s="763"/>
      <c r="E186" s="763"/>
      <c r="F186" s="763"/>
      <c r="G186" s="763"/>
      <c r="H186" s="763"/>
      <c r="K186" s="1"/>
    </row>
    <row r="187" spans="1:14" ht="20.100000000000001" customHeight="1" x14ac:dyDescent="0.3">
      <c r="A187" s="707"/>
      <c r="B187" s="18"/>
      <c r="C187" s="18"/>
      <c r="D187" s="20"/>
      <c r="E187" s="20"/>
    </row>
    <row r="188" spans="1:14" x14ac:dyDescent="0.3">
      <c r="A188" s="707"/>
      <c r="B188" s="50" t="s">
        <v>344</v>
      </c>
      <c r="C188" s="712" t="s">
        <v>843</v>
      </c>
      <c r="D188" s="712"/>
      <c r="E188" s="712"/>
      <c r="F188" s="712"/>
      <c r="G188" s="712"/>
      <c r="H188" s="712"/>
      <c r="I188" s="49" t="s">
        <v>346</v>
      </c>
    </row>
    <row r="189" spans="1:14" ht="70.05" customHeight="1" x14ac:dyDescent="0.3">
      <c r="A189" s="707"/>
      <c r="B189" s="51">
        <v>2020</v>
      </c>
      <c r="C189" s="709" t="s">
        <v>1882</v>
      </c>
      <c r="D189" s="709"/>
      <c r="E189" s="709"/>
      <c r="F189" s="709"/>
      <c r="G189" s="709"/>
      <c r="H189" s="709"/>
      <c r="I189" s="56" t="s">
        <v>350</v>
      </c>
      <c r="J189" s="54"/>
      <c r="K189" s="54"/>
      <c r="L189" s="54"/>
      <c r="M189" s="54"/>
      <c r="N189" s="54"/>
    </row>
    <row r="190" spans="1:14" ht="115.05" customHeight="1" x14ac:dyDescent="0.3">
      <c r="A190" s="707"/>
      <c r="B190" s="51">
        <v>2021</v>
      </c>
      <c r="C190" s="709" t="s">
        <v>1883</v>
      </c>
      <c r="D190" s="709"/>
      <c r="E190" s="709"/>
      <c r="F190" s="709"/>
      <c r="G190" s="709"/>
      <c r="H190" s="709"/>
      <c r="I190" s="56" t="s">
        <v>442</v>
      </c>
    </row>
    <row r="191" spans="1:14" ht="125.1" customHeight="1" x14ac:dyDescent="0.3">
      <c r="A191" s="707"/>
      <c r="B191" s="51">
        <v>2022</v>
      </c>
      <c r="C191" s="709" t="s">
        <v>1884</v>
      </c>
      <c r="D191" s="709"/>
      <c r="E191" s="709"/>
      <c r="F191" s="709"/>
      <c r="G191" s="709"/>
      <c r="H191" s="709"/>
      <c r="I191" s="56" t="s">
        <v>442</v>
      </c>
    </row>
    <row r="192" spans="1:14" ht="125.1" customHeight="1" x14ac:dyDescent="0.3">
      <c r="B192" s="51">
        <v>2023</v>
      </c>
      <c r="C192" s="732" t="s">
        <v>1885</v>
      </c>
      <c r="D192" s="732"/>
      <c r="E192" s="732"/>
      <c r="F192" s="732"/>
      <c r="G192" s="732"/>
      <c r="H192" s="732"/>
      <c r="I192" s="56" t="s">
        <v>442</v>
      </c>
    </row>
    <row r="193" spans="1:9" ht="21.75" customHeight="1" x14ac:dyDescent="0.3">
      <c r="B193" s="763" t="s">
        <v>1886</v>
      </c>
      <c r="C193" s="763"/>
      <c r="D193" s="763"/>
      <c r="E193" s="763"/>
      <c r="F193" s="763"/>
      <c r="G193" s="763"/>
      <c r="H193" s="763"/>
    </row>
    <row r="194" spans="1:9" ht="20.100000000000001" customHeight="1" x14ac:dyDescent="0.3">
      <c r="C194" s="18"/>
      <c r="D194" s="20"/>
      <c r="E194" s="20"/>
    </row>
    <row r="195" spans="1:9" ht="20.100000000000001" customHeight="1" x14ac:dyDescent="0.3">
      <c r="C195" s="18"/>
      <c r="D195" s="20"/>
      <c r="E195" s="20"/>
    </row>
    <row r="196" spans="1:9" s="46" customFormat="1" ht="17.399999999999999" x14ac:dyDescent="0.3">
      <c r="B196" s="710" t="s">
        <v>1887</v>
      </c>
      <c r="C196" s="710"/>
      <c r="D196" s="45"/>
      <c r="E196" s="45"/>
    </row>
    <row r="197" spans="1:9" ht="21" x14ac:dyDescent="0.4">
      <c r="A197" s="707"/>
      <c r="B197" s="6"/>
      <c r="C197" s="18"/>
      <c r="D197" s="20"/>
      <c r="E197" s="20"/>
    </row>
    <row r="198" spans="1:9" x14ac:dyDescent="0.3">
      <c r="A198" s="707"/>
      <c r="B198" s="763" t="s">
        <v>1888</v>
      </c>
      <c r="C198" s="763"/>
      <c r="D198" s="763"/>
      <c r="E198" s="763"/>
      <c r="F198" s="763"/>
      <c r="G198" s="763"/>
      <c r="H198" s="763"/>
    </row>
    <row r="199" spans="1:9" ht="21" x14ac:dyDescent="0.4">
      <c r="A199" s="707"/>
      <c r="B199" s="6"/>
      <c r="C199" s="18"/>
      <c r="D199" s="20"/>
      <c r="E199" s="20"/>
    </row>
    <row r="200" spans="1:9" x14ac:dyDescent="0.3">
      <c r="A200" s="707"/>
      <c r="B200" s="50" t="s">
        <v>344</v>
      </c>
      <c r="C200" s="712" t="s">
        <v>843</v>
      </c>
      <c r="D200" s="712"/>
      <c r="E200" s="712"/>
      <c r="F200" s="712"/>
      <c r="G200" s="712"/>
      <c r="H200" s="712"/>
      <c r="I200" s="49" t="s">
        <v>346</v>
      </c>
    </row>
    <row r="201" spans="1:9" ht="150" customHeight="1" x14ac:dyDescent="0.3">
      <c r="A201" s="707"/>
      <c r="B201" s="51">
        <v>2020</v>
      </c>
      <c r="C201" s="709" t="s">
        <v>1889</v>
      </c>
      <c r="D201" s="709"/>
      <c r="E201" s="709"/>
      <c r="F201" s="709"/>
      <c r="G201" s="709"/>
      <c r="H201" s="709"/>
      <c r="I201" s="56" t="s">
        <v>350</v>
      </c>
    </row>
    <row r="202" spans="1:9" ht="250.05" customHeight="1" x14ac:dyDescent="0.3">
      <c r="A202" s="707"/>
      <c r="B202" s="51">
        <v>2021</v>
      </c>
      <c r="C202" s="709" t="s">
        <v>1890</v>
      </c>
      <c r="D202" s="709"/>
      <c r="E202" s="709"/>
      <c r="F202" s="709"/>
      <c r="G202" s="709"/>
      <c r="H202" s="709"/>
      <c r="I202" s="485" t="s">
        <v>6</v>
      </c>
    </row>
    <row r="203" spans="1:9" ht="277.5" customHeight="1" x14ac:dyDescent="0.3">
      <c r="B203" s="51">
        <v>2022</v>
      </c>
      <c r="C203" s="709" t="s">
        <v>1891</v>
      </c>
      <c r="D203" s="709"/>
      <c r="E203" s="709"/>
      <c r="F203" s="709"/>
      <c r="G203" s="709"/>
      <c r="H203" s="709"/>
      <c r="I203" s="485" t="s">
        <v>6</v>
      </c>
    </row>
    <row r="204" spans="1:9" ht="146.1" customHeight="1" x14ac:dyDescent="0.3">
      <c r="B204" s="51">
        <v>2023</v>
      </c>
      <c r="C204" s="732" t="s">
        <v>1892</v>
      </c>
      <c r="D204" s="732"/>
      <c r="E204" s="732"/>
      <c r="F204" s="732"/>
      <c r="G204" s="732"/>
      <c r="H204" s="732"/>
      <c r="I204" s="485" t="s">
        <v>6</v>
      </c>
    </row>
    <row r="205" spans="1:9" x14ac:dyDescent="0.3">
      <c r="B205" s="745" t="s">
        <v>1879</v>
      </c>
      <c r="C205" s="745"/>
      <c r="D205" s="745"/>
      <c r="E205" s="745"/>
      <c r="F205" s="745"/>
      <c r="G205" s="745"/>
      <c r="H205" s="745"/>
    </row>
    <row r="206" spans="1:9" ht="21" x14ac:dyDescent="0.4">
      <c r="B206" s="6"/>
      <c r="C206" s="18"/>
      <c r="D206" s="20"/>
      <c r="E206" s="20"/>
    </row>
    <row r="207" spans="1:9" ht="21" x14ac:dyDescent="0.4">
      <c r="B207" s="6"/>
      <c r="C207" s="18"/>
      <c r="D207" s="20"/>
      <c r="E207" s="20"/>
    </row>
    <row r="208" spans="1:9" s="46" customFormat="1" ht="17.399999999999999" x14ac:dyDescent="0.3">
      <c r="B208" s="710" t="s">
        <v>1893</v>
      </c>
      <c r="C208" s="710"/>
      <c r="D208" s="45"/>
      <c r="E208" s="45"/>
    </row>
    <row r="209" spans="1:9" ht="12" customHeight="1" x14ac:dyDescent="0.3">
      <c r="A209" s="707"/>
    </row>
    <row r="210" spans="1:9" x14ac:dyDescent="0.3">
      <c r="A210" s="707"/>
      <c r="B210" s="763" t="s">
        <v>1894</v>
      </c>
      <c r="C210" s="763"/>
      <c r="D210" s="763"/>
      <c r="E210" s="763"/>
      <c r="F210" s="763"/>
      <c r="G210" s="763"/>
      <c r="H210" s="763"/>
    </row>
    <row r="211" spans="1:9" ht="23.55" customHeight="1" x14ac:dyDescent="0.3">
      <c r="A211" s="707"/>
    </row>
    <row r="212" spans="1:9" x14ac:dyDescent="0.3">
      <c r="A212" s="707"/>
      <c r="B212" s="50" t="s">
        <v>344</v>
      </c>
      <c r="C212" s="53" t="s">
        <v>843</v>
      </c>
      <c r="D212" s="53"/>
      <c r="E212" s="53"/>
      <c r="F212" s="53"/>
      <c r="G212" s="53"/>
      <c r="H212" s="53"/>
      <c r="I212" s="50" t="s">
        <v>346</v>
      </c>
    </row>
    <row r="213" spans="1:9" ht="160.05000000000001" customHeight="1" x14ac:dyDescent="0.3">
      <c r="A213" s="707"/>
      <c r="B213" s="52">
        <v>2020</v>
      </c>
      <c r="C213" s="709" t="s">
        <v>1895</v>
      </c>
      <c r="D213" s="709"/>
      <c r="E213" s="709"/>
      <c r="F213" s="709"/>
      <c r="G213" s="709"/>
      <c r="H213" s="709"/>
      <c r="I213" s="56" t="s">
        <v>350</v>
      </c>
    </row>
    <row r="214" spans="1:9" ht="160.05000000000001" customHeight="1" x14ac:dyDescent="0.3">
      <c r="A214" s="707"/>
      <c r="B214" s="52">
        <v>2021</v>
      </c>
      <c r="C214" s="709" t="s">
        <v>1895</v>
      </c>
      <c r="D214" s="709"/>
      <c r="E214" s="709"/>
      <c r="F214" s="709"/>
      <c r="G214" s="709"/>
      <c r="H214" s="709"/>
      <c r="I214" s="485" t="s">
        <v>6</v>
      </c>
    </row>
    <row r="215" spans="1:9" ht="160.05000000000001" customHeight="1" x14ac:dyDescent="0.3">
      <c r="B215" s="52">
        <v>2022</v>
      </c>
      <c r="C215" s="709" t="s">
        <v>1895</v>
      </c>
      <c r="D215" s="709"/>
      <c r="E215" s="709"/>
      <c r="F215" s="709"/>
      <c r="G215" s="709"/>
      <c r="H215" s="709"/>
      <c r="I215" s="485" t="s">
        <v>6</v>
      </c>
    </row>
    <row r="216" spans="1:9" ht="145.05000000000001" customHeight="1" x14ac:dyDescent="0.3">
      <c r="B216" s="52">
        <v>2023</v>
      </c>
      <c r="C216" s="732" t="s">
        <v>1896</v>
      </c>
      <c r="D216" s="732"/>
      <c r="E216" s="732"/>
      <c r="F216" s="732"/>
      <c r="G216" s="732"/>
      <c r="H216" s="732"/>
      <c r="I216" s="485" t="s">
        <v>6</v>
      </c>
    </row>
    <row r="217" spans="1:9" x14ac:dyDescent="0.3">
      <c r="B217" s="745" t="s">
        <v>1860</v>
      </c>
      <c r="C217" s="745"/>
      <c r="D217" s="745"/>
      <c r="E217" s="745"/>
      <c r="F217" s="745"/>
      <c r="G217" s="745"/>
      <c r="H217" s="745"/>
    </row>
    <row r="218" spans="1:9" ht="20.100000000000001" customHeight="1" x14ac:dyDescent="0.3">
      <c r="B218" s="51"/>
    </row>
    <row r="219" spans="1:9" ht="20.100000000000001" customHeight="1" x14ac:dyDescent="0.3">
      <c r="B219" s="51"/>
    </row>
    <row r="220" spans="1:9" s="46" customFormat="1" ht="17.399999999999999" x14ac:dyDescent="0.3">
      <c r="B220" s="710" t="s">
        <v>1897</v>
      </c>
      <c r="C220" s="710"/>
      <c r="D220" s="45"/>
      <c r="E220" s="45"/>
    </row>
    <row r="221" spans="1:9" ht="21" x14ac:dyDescent="0.4">
      <c r="A221" s="707"/>
      <c r="B221" s="6"/>
      <c r="C221" s="18"/>
      <c r="D221" s="20"/>
      <c r="E221" s="20"/>
    </row>
    <row r="222" spans="1:9" x14ac:dyDescent="0.3">
      <c r="A222" s="707"/>
      <c r="B222" s="763" t="s">
        <v>1898</v>
      </c>
      <c r="C222" s="763"/>
      <c r="D222" s="763"/>
      <c r="E222" s="763"/>
      <c r="F222" s="763"/>
      <c r="G222" s="763"/>
      <c r="H222" s="763"/>
    </row>
    <row r="223" spans="1:9" ht="21" x14ac:dyDescent="0.4">
      <c r="A223" s="707"/>
      <c r="B223" s="6"/>
      <c r="C223" s="18"/>
      <c r="D223" s="20"/>
      <c r="E223" s="20"/>
    </row>
    <row r="224" spans="1:9" x14ac:dyDescent="0.3">
      <c r="A224" s="707"/>
      <c r="B224" s="50" t="s">
        <v>344</v>
      </c>
      <c r="C224" s="712" t="s">
        <v>843</v>
      </c>
      <c r="D224" s="712"/>
      <c r="E224" s="712"/>
      <c r="F224" s="712"/>
      <c r="G224" s="712"/>
      <c r="H224" s="712"/>
      <c r="I224" s="49" t="s">
        <v>346</v>
      </c>
    </row>
    <row r="225" spans="1:9" ht="75" customHeight="1" x14ac:dyDescent="0.3">
      <c r="A225" s="707"/>
      <c r="B225" s="51">
        <v>2020</v>
      </c>
      <c r="C225" s="709" t="s">
        <v>1899</v>
      </c>
      <c r="D225" s="709"/>
      <c r="E225" s="709"/>
      <c r="F225" s="709"/>
      <c r="G225" s="709"/>
      <c r="H225" s="709"/>
      <c r="I225" s="56" t="s">
        <v>350</v>
      </c>
    </row>
    <row r="226" spans="1:9" ht="70.05" customHeight="1" x14ac:dyDescent="0.3">
      <c r="A226" s="707"/>
      <c r="B226" s="51">
        <v>2021</v>
      </c>
      <c r="C226" s="709" t="s">
        <v>1900</v>
      </c>
      <c r="D226" s="709"/>
      <c r="E226" s="709"/>
      <c r="F226" s="709"/>
      <c r="G226" s="709"/>
      <c r="H226" s="709"/>
      <c r="I226" s="485" t="s">
        <v>6</v>
      </c>
    </row>
    <row r="227" spans="1:9" ht="86.1" customHeight="1" x14ac:dyDescent="0.3">
      <c r="A227" s="707"/>
      <c r="B227" s="51">
        <v>2022</v>
      </c>
      <c r="C227" s="709" t="s">
        <v>1901</v>
      </c>
      <c r="D227" s="709"/>
      <c r="E227" s="709"/>
      <c r="F227" s="709"/>
      <c r="G227" s="709"/>
      <c r="H227" s="709"/>
      <c r="I227" s="56" t="s">
        <v>442</v>
      </c>
    </row>
    <row r="228" spans="1:9" ht="86.1" customHeight="1" x14ac:dyDescent="0.3">
      <c r="A228" s="707"/>
      <c r="B228" s="51">
        <v>2023</v>
      </c>
      <c r="C228" s="709" t="s">
        <v>1901</v>
      </c>
      <c r="D228" s="709"/>
      <c r="E228" s="709"/>
      <c r="F228" s="709"/>
      <c r="G228" s="709"/>
      <c r="H228" s="709"/>
      <c r="I228" s="56" t="s">
        <v>442</v>
      </c>
    </row>
    <row r="229" spans="1:9" x14ac:dyDescent="0.3">
      <c r="B229" s="745" t="s">
        <v>1902</v>
      </c>
      <c r="C229" s="745"/>
      <c r="D229" s="745"/>
      <c r="E229" s="745"/>
      <c r="F229" s="745"/>
      <c r="G229" s="745"/>
      <c r="H229" s="745"/>
    </row>
    <row r="230" spans="1:9" ht="14.55" customHeight="1" x14ac:dyDescent="0.4">
      <c r="B230" s="6"/>
      <c r="C230" s="18"/>
      <c r="D230" s="20"/>
      <c r="E230" s="20"/>
    </row>
    <row r="231" spans="1:9" ht="14.55" customHeight="1" x14ac:dyDescent="0.3"/>
    <row r="232" spans="1:9" s="46" customFormat="1" ht="17.399999999999999" x14ac:dyDescent="0.3">
      <c r="B232" s="710" t="s">
        <v>1903</v>
      </c>
      <c r="C232" s="710"/>
      <c r="D232" s="45"/>
      <c r="E232" s="45"/>
    </row>
    <row r="233" spans="1:9" ht="21" x14ac:dyDescent="0.4">
      <c r="A233" s="707"/>
      <c r="B233" s="6"/>
      <c r="C233" s="18"/>
      <c r="D233" s="20"/>
      <c r="E233" s="20"/>
    </row>
    <row r="234" spans="1:9" ht="21" customHeight="1" x14ac:dyDescent="0.3">
      <c r="A234" s="707"/>
      <c r="B234" s="763" t="s">
        <v>1904</v>
      </c>
      <c r="C234" s="763"/>
      <c r="D234" s="763"/>
      <c r="E234" s="763"/>
      <c r="F234" s="763"/>
      <c r="G234" s="763"/>
      <c r="H234" s="763"/>
    </row>
    <row r="235" spans="1:9" ht="21" x14ac:dyDescent="0.4">
      <c r="A235" s="707"/>
      <c r="B235" s="6"/>
      <c r="C235" s="18"/>
      <c r="D235" s="20"/>
      <c r="E235" s="20"/>
    </row>
    <row r="236" spans="1:9" x14ac:dyDescent="0.3">
      <c r="A236" s="707"/>
      <c r="B236" s="50" t="s">
        <v>344</v>
      </c>
      <c r="C236" s="712" t="s">
        <v>843</v>
      </c>
      <c r="D236" s="712"/>
      <c r="E236" s="712"/>
      <c r="F236" s="712"/>
      <c r="G236" s="712"/>
      <c r="H236" s="712"/>
      <c r="I236" s="49" t="s">
        <v>346</v>
      </c>
    </row>
    <row r="237" spans="1:9" ht="93" customHeight="1" x14ac:dyDescent="0.3">
      <c r="A237" s="707"/>
      <c r="B237" s="51">
        <v>2020</v>
      </c>
      <c r="C237" s="709" t="s">
        <v>1905</v>
      </c>
      <c r="D237" s="709"/>
      <c r="E237" s="709"/>
      <c r="F237" s="709"/>
      <c r="G237" s="709"/>
      <c r="H237" s="709"/>
      <c r="I237" s="56" t="s">
        <v>350</v>
      </c>
    </row>
    <row r="238" spans="1:9" ht="334.05" customHeight="1" x14ac:dyDescent="0.3">
      <c r="A238" s="707"/>
      <c r="B238" s="51">
        <v>2021</v>
      </c>
      <c r="C238" s="709" t="s">
        <v>1906</v>
      </c>
      <c r="D238" s="709"/>
      <c r="E238" s="709"/>
      <c r="F238" s="709"/>
      <c r="G238" s="709"/>
      <c r="H238" s="709"/>
      <c r="I238" s="56" t="s">
        <v>442</v>
      </c>
    </row>
    <row r="239" spans="1:9" ht="305.25" customHeight="1" x14ac:dyDescent="0.3">
      <c r="B239" s="51">
        <v>2022</v>
      </c>
      <c r="C239" s="709" t="s">
        <v>1907</v>
      </c>
      <c r="D239" s="709"/>
      <c r="E239" s="709"/>
      <c r="F239" s="709"/>
      <c r="G239" s="709"/>
      <c r="H239" s="709"/>
      <c r="I239" s="56" t="s">
        <v>442</v>
      </c>
    </row>
    <row r="240" spans="1:9" ht="259.5" customHeight="1" x14ac:dyDescent="0.3">
      <c r="B240" s="51">
        <v>2023</v>
      </c>
      <c r="C240" s="709" t="s">
        <v>1908</v>
      </c>
      <c r="D240" s="709"/>
      <c r="E240" s="709"/>
      <c r="F240" s="709"/>
      <c r="G240" s="709"/>
      <c r="H240" s="709"/>
      <c r="I240" s="56" t="s">
        <v>442</v>
      </c>
    </row>
    <row r="241" spans="2:8" ht="40.049999999999997" customHeight="1" x14ac:dyDescent="0.3">
      <c r="B241" s="713" t="s">
        <v>1909</v>
      </c>
      <c r="C241" s="713"/>
      <c r="D241" s="713"/>
      <c r="E241" s="713"/>
      <c r="F241" s="713"/>
      <c r="G241" s="713"/>
      <c r="H241" s="713"/>
    </row>
    <row r="242" spans="2:8" ht="23.1" customHeight="1" x14ac:dyDescent="0.3">
      <c r="B242" s="71"/>
      <c r="C242" s="71"/>
      <c r="D242" s="71"/>
      <c r="E242" s="71"/>
      <c r="F242" s="71"/>
      <c r="G242" s="71"/>
      <c r="H242" s="71"/>
    </row>
    <row r="243" spans="2:8" ht="20.100000000000001" customHeight="1" x14ac:dyDescent="0.3">
      <c r="B243" s="726" t="s">
        <v>1910</v>
      </c>
      <c r="C243" s="726"/>
      <c r="D243" s="726"/>
      <c r="E243" s="726"/>
      <c r="F243" s="726"/>
      <c r="G243" s="726"/>
    </row>
    <row r="244" spans="2:8" x14ac:dyDescent="0.3">
      <c r="B244" s="193"/>
      <c r="C244" s="462">
        <v>2019</v>
      </c>
      <c r="D244" s="462">
        <v>2020</v>
      </c>
      <c r="E244" s="462">
        <v>2021</v>
      </c>
      <c r="F244" s="462">
        <v>2022</v>
      </c>
      <c r="G244" s="462">
        <v>2023</v>
      </c>
    </row>
    <row r="245" spans="2:8" x14ac:dyDescent="0.3">
      <c r="B245" s="194" t="s">
        <v>1911</v>
      </c>
      <c r="C245" s="593" t="s">
        <v>1912</v>
      </c>
      <c r="D245" s="593" t="s">
        <v>1913</v>
      </c>
      <c r="E245" s="593" t="s">
        <v>1914</v>
      </c>
      <c r="F245" s="593" t="s">
        <v>1423</v>
      </c>
      <c r="G245" s="593" t="s">
        <v>1915</v>
      </c>
    </row>
    <row r="246" spans="2:8" x14ac:dyDescent="0.3">
      <c r="B246" s="194" t="s">
        <v>484</v>
      </c>
      <c r="C246" s="593" t="s">
        <v>1916</v>
      </c>
      <c r="D246" s="593" t="s">
        <v>1914</v>
      </c>
      <c r="E246" s="593" t="s">
        <v>1914</v>
      </c>
      <c r="F246" s="593" t="s">
        <v>1423</v>
      </c>
      <c r="G246" s="593" t="s">
        <v>1915</v>
      </c>
    </row>
    <row r="247" spans="2:8" x14ac:dyDescent="0.3">
      <c r="B247" s="194" t="s">
        <v>518</v>
      </c>
      <c r="C247" s="593" t="s">
        <v>1917</v>
      </c>
      <c r="D247" s="593" t="s">
        <v>1918</v>
      </c>
      <c r="E247" s="593" t="s">
        <v>1914</v>
      </c>
      <c r="F247" s="593" t="s">
        <v>1914</v>
      </c>
      <c r="G247" s="593" t="s">
        <v>1913</v>
      </c>
    </row>
    <row r="248" spans="2:8" x14ac:dyDescent="0.3">
      <c r="B248" s="194" t="s">
        <v>495</v>
      </c>
      <c r="C248" s="593" t="s">
        <v>1919</v>
      </c>
      <c r="D248" s="593" t="s">
        <v>1917</v>
      </c>
      <c r="E248" s="593" t="s">
        <v>1916</v>
      </c>
      <c r="F248" s="593" t="s">
        <v>1913</v>
      </c>
      <c r="G248" s="593" t="s">
        <v>1916</v>
      </c>
    </row>
    <row r="249" spans="2:8" x14ac:dyDescent="0.3">
      <c r="B249" s="194" t="s">
        <v>510</v>
      </c>
      <c r="C249" s="593" t="s">
        <v>1920</v>
      </c>
      <c r="D249" s="593" t="s">
        <v>1920</v>
      </c>
      <c r="E249" s="593" t="s">
        <v>1915</v>
      </c>
      <c r="F249" s="593" t="s">
        <v>1920</v>
      </c>
      <c r="G249" s="593" t="s">
        <v>1920</v>
      </c>
    </row>
    <row r="250" spans="2:8" x14ac:dyDescent="0.3">
      <c r="B250" s="194" t="s">
        <v>2897</v>
      </c>
      <c r="C250" s="593">
        <v>0</v>
      </c>
      <c r="D250" s="593" t="s">
        <v>1921</v>
      </c>
      <c r="E250" s="593">
        <v>0</v>
      </c>
      <c r="F250" s="593">
        <v>0</v>
      </c>
      <c r="G250" s="594" t="s">
        <v>1922</v>
      </c>
    </row>
    <row r="251" spans="2:8" x14ac:dyDescent="0.3">
      <c r="B251" s="194" t="s">
        <v>520</v>
      </c>
      <c r="C251" s="593" t="s">
        <v>1915</v>
      </c>
      <c r="D251" s="593" t="s">
        <v>1915</v>
      </c>
      <c r="E251" s="593" t="s">
        <v>1915</v>
      </c>
      <c r="F251" s="593">
        <v>0</v>
      </c>
      <c r="G251" s="593">
        <v>0</v>
      </c>
    </row>
    <row r="252" spans="2:8" x14ac:dyDescent="0.3">
      <c r="B252" s="194" t="s">
        <v>526</v>
      </c>
      <c r="C252" s="593">
        <v>0</v>
      </c>
      <c r="D252" s="593">
        <v>0</v>
      </c>
      <c r="E252" s="593" t="s">
        <v>1923</v>
      </c>
      <c r="F252" s="593">
        <v>0</v>
      </c>
      <c r="G252" s="593" t="s">
        <v>1356</v>
      </c>
    </row>
    <row r="253" spans="2:8" x14ac:dyDescent="0.3">
      <c r="B253" s="739" t="s">
        <v>1924</v>
      </c>
      <c r="C253" s="739"/>
      <c r="D253" s="739"/>
      <c r="E253" s="739"/>
      <c r="F253" s="739"/>
      <c r="G253" s="739"/>
      <c r="H253" s="739"/>
    </row>
    <row r="254" spans="2:8" ht="58.5" customHeight="1" x14ac:dyDescent="0.3">
      <c r="B254" s="178"/>
      <c r="C254" s="178"/>
      <c r="D254" s="178"/>
      <c r="E254" s="178"/>
      <c r="F254" s="178"/>
      <c r="G254" s="178"/>
      <c r="H254" s="178"/>
    </row>
    <row r="255" spans="2:8" ht="20.100000000000001" customHeight="1" x14ac:dyDescent="0.3">
      <c r="B255" s="726" t="s">
        <v>1925</v>
      </c>
      <c r="C255" s="726"/>
      <c r="D255" s="726"/>
      <c r="E255" s="726"/>
      <c r="F255" s="726"/>
      <c r="G255" s="726"/>
      <c r="H255" s="178"/>
    </row>
    <row r="256" spans="2:8" x14ac:dyDescent="0.3">
      <c r="B256" s="194"/>
      <c r="C256" s="462">
        <v>2019</v>
      </c>
      <c r="D256" s="462">
        <v>2020</v>
      </c>
      <c r="E256" s="462">
        <v>2021</v>
      </c>
      <c r="F256" s="462">
        <v>2022</v>
      </c>
      <c r="G256" s="462">
        <v>2023</v>
      </c>
      <c r="H256" s="178"/>
    </row>
    <row r="257" spans="1:9" x14ac:dyDescent="0.3">
      <c r="B257" s="194" t="s">
        <v>1911</v>
      </c>
      <c r="C257" s="189" t="s">
        <v>1362</v>
      </c>
      <c r="D257" s="280">
        <v>2</v>
      </c>
      <c r="E257" s="189" t="s">
        <v>1926</v>
      </c>
      <c r="F257" s="189" t="s">
        <v>1421</v>
      </c>
      <c r="G257" s="189" t="s">
        <v>1421</v>
      </c>
      <c r="H257" s="178"/>
    </row>
    <row r="258" spans="1:9" x14ac:dyDescent="0.3">
      <c r="B258" s="194" t="s">
        <v>484</v>
      </c>
      <c r="C258" s="189" t="s">
        <v>1927</v>
      </c>
      <c r="D258" s="189" t="s">
        <v>1928</v>
      </c>
      <c r="E258" s="189" t="s">
        <v>1421</v>
      </c>
      <c r="F258" s="189" t="s">
        <v>1929</v>
      </c>
      <c r="G258" s="189" t="s">
        <v>1929</v>
      </c>
      <c r="H258" s="178"/>
    </row>
    <row r="259" spans="1:9" x14ac:dyDescent="0.3">
      <c r="B259" s="194" t="s">
        <v>518</v>
      </c>
      <c r="C259" s="189" t="s">
        <v>1930</v>
      </c>
      <c r="D259" s="189" t="s">
        <v>1918</v>
      </c>
      <c r="E259" s="189" t="s">
        <v>1914</v>
      </c>
      <c r="F259" s="189" t="s">
        <v>1916</v>
      </c>
      <c r="G259" s="189" t="s">
        <v>1921</v>
      </c>
      <c r="H259" s="178"/>
    </row>
    <row r="260" spans="1:9" x14ac:dyDescent="0.3">
      <c r="B260" s="194" t="s">
        <v>495</v>
      </c>
      <c r="C260" s="189" t="s">
        <v>1931</v>
      </c>
      <c r="D260" s="189" t="s">
        <v>1932</v>
      </c>
      <c r="E260" s="189" t="s">
        <v>1933</v>
      </c>
      <c r="F260" s="189" t="s">
        <v>734</v>
      </c>
      <c r="G260" s="189" t="s">
        <v>1934</v>
      </c>
      <c r="H260" s="178"/>
    </row>
    <row r="261" spans="1:9" x14ac:dyDescent="0.3">
      <c r="B261" s="194" t="s">
        <v>510</v>
      </c>
      <c r="C261" s="189" t="s">
        <v>1918</v>
      </c>
      <c r="D261" s="189" t="s">
        <v>1916</v>
      </c>
      <c r="E261" s="189" t="s">
        <v>1913</v>
      </c>
      <c r="F261" s="189" t="s">
        <v>1935</v>
      </c>
      <c r="G261" s="189" t="s">
        <v>1423</v>
      </c>
      <c r="H261" s="178"/>
    </row>
    <row r="262" spans="1:9" x14ac:dyDescent="0.3">
      <c r="B262" s="194" t="s">
        <v>2897</v>
      </c>
      <c r="C262" s="189" t="s">
        <v>1936</v>
      </c>
      <c r="D262" s="189" t="s">
        <v>1921</v>
      </c>
      <c r="E262" s="189">
        <v>0</v>
      </c>
      <c r="F262" s="189">
        <v>0</v>
      </c>
      <c r="G262" s="463" t="s">
        <v>1922</v>
      </c>
      <c r="H262" s="178"/>
    </row>
    <row r="263" spans="1:9" x14ac:dyDescent="0.3">
      <c r="B263" s="194" t="s">
        <v>520</v>
      </c>
      <c r="C263" s="189" t="s">
        <v>1421</v>
      </c>
      <c r="D263" s="189" t="s">
        <v>1913</v>
      </c>
      <c r="E263" s="189" t="s">
        <v>1916</v>
      </c>
      <c r="F263" s="189" t="s">
        <v>1918</v>
      </c>
      <c r="G263" s="189" t="s">
        <v>1423</v>
      </c>
      <c r="H263" s="178"/>
    </row>
    <row r="264" spans="1:9" x14ac:dyDescent="0.3">
      <c r="B264" s="194" t="s">
        <v>526</v>
      </c>
      <c r="C264" s="189">
        <v>0</v>
      </c>
      <c r="D264" s="280" t="s">
        <v>1937</v>
      </c>
      <c r="E264" s="189" t="s">
        <v>1938</v>
      </c>
      <c r="F264" s="189" t="s">
        <v>1926</v>
      </c>
      <c r="G264" s="189" t="s">
        <v>1356</v>
      </c>
      <c r="H264" s="178"/>
    </row>
    <row r="265" spans="1:9" ht="23.55" customHeight="1" x14ac:dyDescent="0.3">
      <c r="B265" s="739" t="s">
        <v>1939</v>
      </c>
      <c r="C265" s="739"/>
      <c r="D265" s="739"/>
      <c r="E265" s="739"/>
      <c r="F265" s="739"/>
      <c r="G265" s="739"/>
      <c r="H265" s="739"/>
    </row>
    <row r="266" spans="1:9" ht="21" x14ac:dyDescent="0.4">
      <c r="B266" s="303"/>
      <c r="C266" s="300"/>
      <c r="D266" s="301"/>
      <c r="E266" s="301"/>
      <c r="F266" s="178"/>
      <c r="G266" s="178"/>
      <c r="H266" s="178"/>
    </row>
    <row r="267" spans="1:9" ht="21" x14ac:dyDescent="0.4">
      <c r="B267" s="6"/>
      <c r="C267" s="18"/>
      <c r="D267" s="20"/>
      <c r="E267" s="20"/>
    </row>
    <row r="268" spans="1:9" s="46" customFormat="1" ht="17.399999999999999" x14ac:dyDescent="0.3">
      <c r="B268" s="710" t="s">
        <v>1940</v>
      </c>
      <c r="C268" s="710"/>
      <c r="D268" s="45"/>
      <c r="E268" s="45"/>
    </row>
    <row r="269" spans="1:9" ht="21" x14ac:dyDescent="0.4">
      <c r="A269" s="707"/>
      <c r="B269" s="6"/>
      <c r="C269" s="18"/>
      <c r="D269" s="20"/>
      <c r="E269" s="20"/>
    </row>
    <row r="270" spans="1:9" ht="21" customHeight="1" x14ac:dyDescent="0.3">
      <c r="A270" s="707"/>
      <c r="B270" s="763" t="s">
        <v>1941</v>
      </c>
      <c r="C270" s="763"/>
      <c r="D270" s="763"/>
      <c r="E270" s="763"/>
      <c r="F270" s="763"/>
      <c r="G270" s="763"/>
      <c r="H270" s="763"/>
    </row>
    <row r="271" spans="1:9" ht="21" x14ac:dyDescent="0.4">
      <c r="A271" s="707"/>
      <c r="B271" s="6"/>
      <c r="C271" s="18"/>
      <c r="D271" s="20"/>
      <c r="E271" s="20"/>
    </row>
    <row r="272" spans="1:9" x14ac:dyDescent="0.3">
      <c r="A272" s="707"/>
      <c r="B272" s="50" t="s">
        <v>344</v>
      </c>
      <c r="C272" s="712" t="s">
        <v>843</v>
      </c>
      <c r="D272" s="712"/>
      <c r="E272" s="712"/>
      <c r="F272" s="712"/>
      <c r="G272" s="712"/>
      <c r="H272" s="712"/>
      <c r="I272" s="49" t="s">
        <v>346</v>
      </c>
    </row>
    <row r="273" spans="1:10" ht="100.05" customHeight="1" x14ac:dyDescent="0.3">
      <c r="A273" s="707"/>
      <c r="B273" s="51">
        <v>2020</v>
      </c>
      <c r="C273" s="709" t="s">
        <v>1942</v>
      </c>
      <c r="D273" s="709"/>
      <c r="E273" s="709"/>
      <c r="F273" s="709"/>
      <c r="G273" s="709"/>
      <c r="H273" s="709"/>
      <c r="I273" s="56" t="s">
        <v>350</v>
      </c>
    </row>
    <row r="274" spans="1:10" ht="90" customHeight="1" x14ac:dyDescent="0.3">
      <c r="A274" s="707"/>
      <c r="B274" s="51">
        <v>2021</v>
      </c>
      <c r="C274" s="709" t="s">
        <v>1943</v>
      </c>
      <c r="D274" s="709"/>
      <c r="E274" s="709"/>
      <c r="F274" s="709"/>
      <c r="G274" s="709"/>
      <c r="H274" s="709"/>
      <c r="I274" s="56" t="s">
        <v>442</v>
      </c>
      <c r="J274" s="54"/>
    </row>
    <row r="275" spans="1:10" ht="110.1" customHeight="1" x14ac:dyDescent="0.3">
      <c r="A275" s="707"/>
      <c r="B275" s="51">
        <v>2022</v>
      </c>
      <c r="C275" s="709" t="s">
        <v>1944</v>
      </c>
      <c r="D275" s="709"/>
      <c r="E275" s="709"/>
      <c r="F275" s="709"/>
      <c r="G275" s="709"/>
      <c r="H275" s="709"/>
      <c r="I275" s="56" t="s">
        <v>442</v>
      </c>
    </row>
    <row r="276" spans="1:10" ht="116.1" customHeight="1" x14ac:dyDescent="0.3">
      <c r="A276" s="707"/>
      <c r="B276" s="51">
        <v>2023</v>
      </c>
      <c r="C276" s="709" t="s">
        <v>1945</v>
      </c>
      <c r="D276" s="709"/>
      <c r="E276" s="709"/>
      <c r="F276" s="709"/>
      <c r="G276" s="709"/>
      <c r="H276" s="709"/>
      <c r="I276" s="56" t="s">
        <v>442</v>
      </c>
    </row>
    <row r="277" spans="1:10" ht="74.55" customHeight="1" x14ac:dyDescent="0.3">
      <c r="B277" s="709" t="s">
        <v>1946</v>
      </c>
      <c r="C277" s="709"/>
      <c r="D277" s="709"/>
      <c r="E277" s="709"/>
      <c r="F277" s="709"/>
      <c r="G277" s="709"/>
      <c r="H277" s="709"/>
    </row>
    <row r="278" spans="1:10" ht="14.1" customHeight="1" x14ac:dyDescent="0.4">
      <c r="B278" s="6"/>
      <c r="C278" s="18"/>
      <c r="D278" s="20"/>
      <c r="E278" s="20"/>
    </row>
    <row r="280" spans="1:10" s="46" customFormat="1" ht="17.399999999999999" x14ac:dyDescent="0.3">
      <c r="B280" s="710" t="s">
        <v>1947</v>
      </c>
      <c r="C280" s="710"/>
      <c r="D280" s="45"/>
      <c r="E280" s="45"/>
    </row>
    <row r="281" spans="1:10" ht="21" x14ac:dyDescent="0.4">
      <c r="B281" s="6"/>
      <c r="C281" s="18"/>
      <c r="D281" s="20"/>
      <c r="E281" s="20"/>
    </row>
    <row r="282" spans="1:10" x14ac:dyDescent="0.3">
      <c r="B282" s="725"/>
      <c r="C282" s="725"/>
      <c r="D282" s="725" t="s">
        <v>843</v>
      </c>
      <c r="E282" s="725"/>
      <c r="F282" s="725"/>
      <c r="G282" s="725"/>
      <c r="H282" s="725"/>
      <c r="I282" s="725" t="s">
        <v>346</v>
      </c>
    </row>
    <row r="283" spans="1:10" x14ac:dyDescent="0.3">
      <c r="B283" s="725"/>
      <c r="C283" s="725"/>
      <c r="D283" s="726" t="s">
        <v>1948</v>
      </c>
      <c r="E283" s="726"/>
      <c r="F283" s="726"/>
      <c r="G283" s="726"/>
      <c r="H283" s="726"/>
      <c r="I283" s="725"/>
    </row>
    <row r="284" spans="1:10" s="495" customFormat="1" x14ac:dyDescent="0.3">
      <c r="A284"/>
      <c r="B284" s="725"/>
      <c r="C284" s="725"/>
      <c r="D284" s="60">
        <v>2019</v>
      </c>
      <c r="E284" s="60">
        <v>2020</v>
      </c>
      <c r="F284" s="60">
        <v>2021</v>
      </c>
      <c r="G284" s="60">
        <v>2022</v>
      </c>
      <c r="H284" s="60">
        <v>2023</v>
      </c>
      <c r="I284" s="725"/>
    </row>
    <row r="285" spans="1:10" s="495" customFormat="1" x14ac:dyDescent="0.3">
      <c r="A285"/>
      <c r="B285" s="737" t="s">
        <v>1948</v>
      </c>
      <c r="C285" s="737"/>
      <c r="D285" s="581" t="s">
        <v>1949</v>
      </c>
      <c r="E285" s="581" t="s">
        <v>1950</v>
      </c>
      <c r="F285" s="581" t="s">
        <v>1951</v>
      </c>
      <c r="G285" s="581" t="s">
        <v>1952</v>
      </c>
      <c r="H285" s="581" t="s">
        <v>1953</v>
      </c>
      <c r="I285" s="485" t="s">
        <v>6</v>
      </c>
    </row>
    <row r="286" spans="1:10" ht="21" x14ac:dyDescent="0.4">
      <c r="B286" s="6"/>
      <c r="C286" s="18"/>
      <c r="D286" s="20"/>
      <c r="E286" s="20"/>
    </row>
    <row r="287" spans="1:10" ht="21" x14ac:dyDescent="0.4">
      <c r="B287" s="6"/>
      <c r="C287" s="18"/>
      <c r="D287" s="20"/>
      <c r="E287" s="20"/>
    </row>
    <row r="288" spans="1:10" x14ac:dyDescent="0.3">
      <c r="B288" s="725" t="s">
        <v>344</v>
      </c>
      <c r="C288" s="725" t="s">
        <v>843</v>
      </c>
      <c r="D288" s="725"/>
      <c r="E288" s="725"/>
      <c r="F288" s="725"/>
      <c r="G288" s="725"/>
      <c r="H288" s="725"/>
      <c r="I288" s="725" t="s">
        <v>346</v>
      </c>
    </row>
    <row r="289" spans="1:9" x14ac:dyDescent="0.3">
      <c r="B289" s="725"/>
      <c r="C289" s="726" t="s">
        <v>1954</v>
      </c>
      <c r="D289" s="726"/>
      <c r="E289" s="726"/>
      <c r="F289" s="726"/>
      <c r="G289" s="726"/>
      <c r="H289" s="726"/>
      <c r="I289" s="725"/>
    </row>
    <row r="290" spans="1:9" ht="27.6" x14ac:dyDescent="0.3">
      <c r="B290" s="725"/>
      <c r="C290" s="60" t="s">
        <v>1955</v>
      </c>
      <c r="D290" s="60" t="s">
        <v>1956</v>
      </c>
      <c r="E290" s="60" t="s">
        <v>1957</v>
      </c>
      <c r="F290" s="60" t="s">
        <v>1958</v>
      </c>
      <c r="G290" s="60" t="s">
        <v>1959</v>
      </c>
      <c r="H290" s="61" t="s">
        <v>1960</v>
      </c>
      <c r="I290" s="725"/>
    </row>
    <row r="291" spans="1:9" x14ac:dyDescent="0.3">
      <c r="B291" s="51">
        <v>2023</v>
      </c>
      <c r="C291" s="581" t="s">
        <v>1961</v>
      </c>
      <c r="D291" s="581" t="s">
        <v>1962</v>
      </c>
      <c r="E291" s="581" t="s">
        <v>1963</v>
      </c>
      <c r="F291" s="581" t="s">
        <v>1964</v>
      </c>
      <c r="G291" s="581" t="s">
        <v>1965</v>
      </c>
      <c r="H291" s="581" t="s">
        <v>1966</v>
      </c>
      <c r="I291" s="485" t="s">
        <v>6</v>
      </c>
    </row>
    <row r="292" spans="1:9" ht="25.5" customHeight="1" x14ac:dyDescent="0.3"/>
    <row r="293" spans="1:9" x14ac:dyDescent="0.3">
      <c r="B293" s="725" t="s">
        <v>344</v>
      </c>
      <c r="C293" s="725" t="s">
        <v>843</v>
      </c>
      <c r="D293" s="725"/>
      <c r="E293" s="725"/>
      <c r="F293" s="725"/>
      <c r="G293" s="725"/>
      <c r="H293" s="725"/>
      <c r="I293" s="725" t="s">
        <v>346</v>
      </c>
    </row>
    <row r="294" spans="1:9" x14ac:dyDescent="0.3">
      <c r="B294" s="725"/>
      <c r="C294" s="726" t="s">
        <v>1967</v>
      </c>
      <c r="D294" s="726"/>
      <c r="E294" s="726"/>
      <c r="F294" s="726"/>
      <c r="G294" s="726"/>
      <c r="H294" s="726"/>
      <c r="I294" s="725"/>
    </row>
    <row r="295" spans="1:9" x14ac:dyDescent="0.3">
      <c r="B295" s="725"/>
      <c r="C295" s="753" t="s">
        <v>1968</v>
      </c>
      <c r="D295" s="753"/>
      <c r="E295" s="753" t="s">
        <v>1969</v>
      </c>
      <c r="F295" s="753"/>
      <c r="G295" s="747" t="s">
        <v>1970</v>
      </c>
      <c r="H295" s="747"/>
      <c r="I295" s="725"/>
    </row>
    <row r="296" spans="1:9" x14ac:dyDescent="0.3">
      <c r="B296" s="51">
        <v>2023</v>
      </c>
      <c r="C296" s="790" t="s">
        <v>1971</v>
      </c>
      <c r="D296" s="790"/>
      <c r="E296" s="790" t="s">
        <v>1972</v>
      </c>
      <c r="F296" s="790"/>
      <c r="G296" s="790" t="s">
        <v>1973</v>
      </c>
      <c r="H296" s="790"/>
      <c r="I296" s="485" t="s">
        <v>6</v>
      </c>
    </row>
    <row r="299" spans="1:9" ht="14.55" customHeight="1" x14ac:dyDescent="0.3"/>
    <row r="303" spans="1:9" x14ac:dyDescent="0.3">
      <c r="A303" s="188"/>
    </row>
    <row r="304" spans="1:9" ht="21" x14ac:dyDescent="0.4">
      <c r="A304" s="188"/>
      <c r="B304" s="6"/>
      <c r="C304" s="18"/>
      <c r="D304" s="20"/>
      <c r="E304" s="20"/>
    </row>
    <row r="305" spans="1:1" x14ac:dyDescent="0.3">
      <c r="A305" s="188"/>
    </row>
    <row r="306" spans="1:1" x14ac:dyDescent="0.3">
      <c r="A306" s="188"/>
    </row>
    <row r="307" spans="1:1" x14ac:dyDescent="0.3">
      <c r="A307" s="188"/>
    </row>
    <row r="308" spans="1:1" x14ac:dyDescent="0.3">
      <c r="A308" s="188"/>
    </row>
    <row r="309" spans="1:1" x14ac:dyDescent="0.3">
      <c r="A309" s="188"/>
    </row>
    <row r="310" spans="1:1" x14ac:dyDescent="0.3">
      <c r="A310" s="188"/>
    </row>
    <row r="311" spans="1:1" x14ac:dyDescent="0.3">
      <c r="A311" s="188"/>
    </row>
    <row r="312" spans="1:1" x14ac:dyDescent="0.3">
      <c r="A312" s="188"/>
    </row>
    <row r="313" spans="1:1" x14ac:dyDescent="0.3">
      <c r="A313" s="188"/>
    </row>
    <row r="314" spans="1:1" x14ac:dyDescent="0.3">
      <c r="A314" s="188"/>
    </row>
    <row r="315" spans="1:1" x14ac:dyDescent="0.3">
      <c r="A315" s="188"/>
    </row>
    <row r="316" spans="1:1" x14ac:dyDescent="0.3">
      <c r="A316" s="188"/>
    </row>
    <row r="317" spans="1:1" x14ac:dyDescent="0.3">
      <c r="A317" s="188"/>
    </row>
    <row r="318" spans="1:1" x14ac:dyDescent="0.3">
      <c r="A318" s="188"/>
    </row>
    <row r="319" spans="1:1" x14ac:dyDescent="0.3">
      <c r="A319" s="188"/>
    </row>
    <row r="320" spans="1:1" x14ac:dyDescent="0.3">
      <c r="A320" s="188"/>
    </row>
    <row r="321" spans="1:6" x14ac:dyDescent="0.3">
      <c r="A321" s="188"/>
    </row>
    <row r="322" spans="1:6" x14ac:dyDescent="0.3">
      <c r="A322" s="188"/>
    </row>
    <row r="323" spans="1:6" x14ac:dyDescent="0.3">
      <c r="A323" s="188"/>
    </row>
    <row r="324" spans="1:6" x14ac:dyDescent="0.3">
      <c r="A324" s="188"/>
    </row>
    <row r="325" spans="1:6" x14ac:dyDescent="0.3">
      <c r="A325" s="188"/>
    </row>
    <row r="326" spans="1:6" x14ac:dyDescent="0.3">
      <c r="A326" s="188"/>
    </row>
    <row r="327" spans="1:6" x14ac:dyDescent="0.3">
      <c r="A327" s="188"/>
      <c r="B327" s="149"/>
      <c r="C327" s="150"/>
      <c r="D327" s="150"/>
      <c r="E327" s="150"/>
      <c r="F327" s="150"/>
    </row>
    <row r="328" spans="1:6" x14ac:dyDescent="0.3">
      <c r="A328" s="188"/>
      <c r="B328" s="149"/>
      <c r="C328" s="150"/>
      <c r="D328" s="150"/>
      <c r="E328" s="150"/>
      <c r="F328" s="150"/>
    </row>
    <row r="329" spans="1:6" x14ac:dyDescent="0.3">
      <c r="A329" s="188"/>
      <c r="B329" s="149"/>
      <c r="C329" s="150"/>
      <c r="D329" s="150"/>
      <c r="E329" s="150"/>
      <c r="F329" s="150"/>
    </row>
    <row r="330" spans="1:6" x14ac:dyDescent="0.3">
      <c r="A330" s="188"/>
      <c r="B330" s="149"/>
      <c r="C330" s="150"/>
      <c r="D330" s="150"/>
      <c r="E330" s="150"/>
      <c r="F330" s="150"/>
    </row>
    <row r="331" spans="1:6" x14ac:dyDescent="0.3">
      <c r="A331" s="188"/>
      <c r="B331" s="149"/>
      <c r="C331" s="150"/>
      <c r="D331" s="150"/>
      <c r="E331" s="150"/>
      <c r="F331" s="150"/>
    </row>
    <row r="332" spans="1:6" x14ac:dyDescent="0.3">
      <c r="A332" s="188"/>
      <c r="B332" s="149"/>
      <c r="C332" s="150"/>
      <c r="D332" s="150"/>
      <c r="E332" s="150"/>
      <c r="F332" s="150"/>
    </row>
    <row r="333" spans="1:6" x14ac:dyDescent="0.3">
      <c r="A333" s="188"/>
      <c r="B333" s="149"/>
      <c r="C333" s="150"/>
      <c r="D333" s="150"/>
      <c r="E333" s="150"/>
      <c r="F333" s="150"/>
    </row>
    <row r="334" spans="1:6" x14ac:dyDescent="0.3">
      <c r="A334" s="188"/>
      <c r="B334" s="149"/>
      <c r="C334" s="150"/>
      <c r="D334" s="150"/>
      <c r="E334" s="150"/>
      <c r="F334" s="150"/>
    </row>
    <row r="335" spans="1:6" x14ac:dyDescent="0.3">
      <c r="A335" s="188"/>
      <c r="B335" s="149"/>
      <c r="C335" s="150"/>
      <c r="D335" s="150"/>
      <c r="E335" s="150"/>
      <c r="F335" s="150"/>
    </row>
    <row r="336" spans="1:6" x14ac:dyDescent="0.3">
      <c r="A336" s="188"/>
      <c r="B336" s="149"/>
      <c r="C336" s="150"/>
      <c r="D336" s="150"/>
      <c r="E336" s="150"/>
      <c r="F336" s="150"/>
    </row>
    <row r="337" spans="1:12" x14ac:dyDescent="0.3">
      <c r="A337" s="188"/>
      <c r="B337" s="149"/>
      <c r="C337" s="150"/>
      <c r="D337" s="150"/>
      <c r="E337" s="150"/>
      <c r="F337" s="150"/>
    </row>
    <row r="338" spans="1:12" x14ac:dyDescent="0.3">
      <c r="A338" s="188"/>
      <c r="B338" s="149"/>
      <c r="C338" s="150"/>
      <c r="D338" s="150"/>
      <c r="E338" s="150"/>
      <c r="F338" s="150"/>
    </row>
    <row r="339" spans="1:12" x14ac:dyDescent="0.3">
      <c r="A339" s="188"/>
      <c r="B339" s="149"/>
      <c r="C339" s="150"/>
      <c r="D339" s="150"/>
      <c r="E339" s="150"/>
      <c r="F339" s="150"/>
    </row>
    <row r="340" spans="1:12" ht="52.8" hidden="1" x14ac:dyDescent="0.3">
      <c r="B340" s="148" t="s">
        <v>344</v>
      </c>
      <c r="C340" s="148" t="s">
        <v>1974</v>
      </c>
      <c r="D340" s="148" t="s">
        <v>1957</v>
      </c>
      <c r="E340" s="148" t="s">
        <v>1956</v>
      </c>
      <c r="F340" s="148" t="s">
        <v>1975</v>
      </c>
      <c r="G340" s="148" t="s">
        <v>1959</v>
      </c>
      <c r="H340" s="148" t="s">
        <v>1960</v>
      </c>
      <c r="I340" s="148" t="s">
        <v>1969</v>
      </c>
      <c r="J340" s="148" t="s">
        <v>1968</v>
      </c>
      <c r="K340" s="148" t="s">
        <v>1970</v>
      </c>
      <c r="L340" s="148" t="s">
        <v>848</v>
      </c>
    </row>
    <row r="341" spans="1:12" hidden="1" x14ac:dyDescent="0.3">
      <c r="B341" s="496">
        <v>2023</v>
      </c>
      <c r="C341" s="497">
        <v>9</v>
      </c>
      <c r="D341" s="497">
        <v>23.4</v>
      </c>
      <c r="E341" s="497">
        <v>12.5</v>
      </c>
      <c r="F341" s="497">
        <v>48.9</v>
      </c>
      <c r="G341" s="497">
        <v>67.099999999999994</v>
      </c>
      <c r="H341" s="497">
        <v>13.3</v>
      </c>
      <c r="I341" s="497">
        <v>50.7</v>
      </c>
      <c r="J341" s="497">
        <v>95.9</v>
      </c>
      <c r="K341" s="497">
        <v>43.4</v>
      </c>
      <c r="L341" s="497">
        <v>78.8</v>
      </c>
    </row>
    <row r="342" spans="1:12" hidden="1" x14ac:dyDescent="0.3">
      <c r="F342" s="150"/>
    </row>
    <row r="343" spans="1:12" hidden="1" x14ac:dyDescent="0.3">
      <c r="B343" s="148" t="s">
        <v>358</v>
      </c>
      <c r="C343" s="148" t="s">
        <v>1976</v>
      </c>
      <c r="D343" s="148" t="s">
        <v>1977</v>
      </c>
      <c r="F343" s="150"/>
    </row>
    <row r="344" spans="1:12" hidden="1" x14ac:dyDescent="0.3">
      <c r="B344" s="148" t="s">
        <v>1974</v>
      </c>
      <c r="C344" s="498">
        <v>9.0786538461538449</v>
      </c>
      <c r="D344" s="498">
        <v>8.9277499999999996</v>
      </c>
      <c r="F344" s="150"/>
    </row>
    <row r="345" spans="1:12" hidden="1" x14ac:dyDescent="0.3">
      <c r="B345" s="148" t="s">
        <v>1957</v>
      </c>
      <c r="C345" s="498">
        <v>23.054392523364488</v>
      </c>
      <c r="D345" s="498">
        <v>23.540464824120601</v>
      </c>
      <c r="F345" s="150"/>
    </row>
    <row r="346" spans="1:12" hidden="1" x14ac:dyDescent="0.3">
      <c r="B346" s="148" t="s">
        <v>1956</v>
      </c>
      <c r="C346" s="498">
        <v>9.1615584415584426</v>
      </c>
      <c r="D346" s="498">
        <v>13.640434782608697</v>
      </c>
      <c r="F346" s="150"/>
    </row>
    <row r="347" spans="1:12" hidden="1" x14ac:dyDescent="0.3">
      <c r="B347" s="148" t="s">
        <v>1975</v>
      </c>
      <c r="C347" s="498">
        <v>42.290676156583629</v>
      </c>
      <c r="D347" s="498">
        <v>51.616832116788316</v>
      </c>
      <c r="F347" s="150"/>
    </row>
    <row r="348" spans="1:12" hidden="1" x14ac:dyDescent="0.3">
      <c r="B348" s="148" t="s">
        <v>1959</v>
      </c>
      <c r="C348" s="498">
        <v>76.271804979253119</v>
      </c>
      <c r="D348" s="498">
        <v>65.144610646722398</v>
      </c>
      <c r="F348" s="150"/>
    </row>
    <row r="349" spans="1:12" hidden="1" x14ac:dyDescent="0.3">
      <c r="B349" s="148" t="s">
        <v>1960</v>
      </c>
      <c r="C349" s="498">
        <v>12.125531914893617</v>
      </c>
      <c r="D349" s="498">
        <v>13.716760563380282</v>
      </c>
      <c r="F349" s="150"/>
    </row>
    <row r="350" spans="1:12" hidden="1" x14ac:dyDescent="0.3">
      <c r="B350" s="148" t="s">
        <v>1969</v>
      </c>
      <c r="C350" s="498">
        <v>54.222391826923072</v>
      </c>
      <c r="D350" s="498">
        <v>46.765535714285711</v>
      </c>
      <c r="F350" s="150"/>
    </row>
    <row r="351" spans="1:12" hidden="1" x14ac:dyDescent="0.3">
      <c r="B351" s="148" t="s">
        <v>1968</v>
      </c>
      <c r="C351" s="498">
        <v>112.17496724240618</v>
      </c>
      <c r="D351" s="498">
        <v>92.951502428868849</v>
      </c>
      <c r="F351" s="150"/>
    </row>
    <row r="352" spans="1:12" ht="26.4" hidden="1" x14ac:dyDescent="0.3">
      <c r="B352" s="148" t="s">
        <v>1970</v>
      </c>
      <c r="C352" s="498">
        <v>52.92230218741561</v>
      </c>
      <c r="D352" s="498">
        <v>34.358817972938468</v>
      </c>
      <c r="F352" s="150"/>
    </row>
    <row r="353" spans="1:9" hidden="1" x14ac:dyDescent="0.3">
      <c r="B353" s="148" t="s">
        <v>848</v>
      </c>
      <c r="C353" s="498">
        <v>76.983918835574201</v>
      </c>
      <c r="D353" s="498">
        <v>79.389757125253411</v>
      </c>
    </row>
    <row r="354" spans="1:9" ht="20.100000000000001" customHeight="1" x14ac:dyDescent="0.3"/>
    <row r="355" spans="1:9" s="46" customFormat="1" ht="17.399999999999999" x14ac:dyDescent="0.3">
      <c r="B355" s="710" t="s">
        <v>1978</v>
      </c>
      <c r="C355" s="710"/>
      <c r="D355" s="45"/>
      <c r="E355" s="45"/>
    </row>
    <row r="356" spans="1:9" ht="21" x14ac:dyDescent="0.4">
      <c r="A356" s="707"/>
      <c r="B356" s="6"/>
      <c r="C356" s="18"/>
      <c r="D356" s="20"/>
      <c r="E356" s="20"/>
    </row>
    <row r="357" spans="1:9" ht="14.55" customHeight="1" x14ac:dyDescent="0.3">
      <c r="A357" s="707"/>
      <c r="B357" s="763" t="s">
        <v>1979</v>
      </c>
      <c r="C357" s="763"/>
      <c r="D357" s="763"/>
      <c r="E357" s="763"/>
      <c r="F357" s="763"/>
      <c r="G357" s="763"/>
      <c r="H357" s="763"/>
    </row>
    <row r="358" spans="1:9" ht="21" x14ac:dyDescent="0.4">
      <c r="A358" s="707"/>
      <c r="B358" s="6"/>
      <c r="C358" s="18"/>
      <c r="D358" s="20"/>
      <c r="E358" s="20"/>
    </row>
    <row r="359" spans="1:9" x14ac:dyDescent="0.3">
      <c r="A359" s="707"/>
      <c r="B359" s="50" t="s">
        <v>344</v>
      </c>
      <c r="C359" s="712" t="s">
        <v>843</v>
      </c>
      <c r="D359" s="712"/>
      <c r="E359" s="712"/>
      <c r="F359" s="712"/>
      <c r="G359" s="712"/>
      <c r="H359" s="712"/>
      <c r="I359" s="49" t="s">
        <v>346</v>
      </c>
    </row>
    <row r="360" spans="1:9" ht="89.55" customHeight="1" x14ac:dyDescent="0.3">
      <c r="A360" s="707"/>
      <c r="B360" s="51">
        <v>2019</v>
      </c>
      <c r="C360" s="709" t="s">
        <v>1980</v>
      </c>
      <c r="D360" s="709"/>
      <c r="E360" s="709"/>
      <c r="F360" s="709"/>
      <c r="G360" s="709"/>
      <c r="H360" s="709"/>
      <c r="I360" s="56" t="s">
        <v>348</v>
      </c>
    </row>
    <row r="361" spans="1:9" ht="100.05" customHeight="1" x14ac:dyDescent="0.3">
      <c r="A361" s="707"/>
      <c r="B361" s="51">
        <v>2020</v>
      </c>
      <c r="C361" s="709" t="s">
        <v>1981</v>
      </c>
      <c r="D361" s="709"/>
      <c r="E361" s="709"/>
      <c r="F361" s="709"/>
      <c r="G361" s="709"/>
      <c r="H361" s="709"/>
      <c r="I361" s="56" t="s">
        <v>350</v>
      </c>
    </row>
    <row r="362" spans="1:9" ht="65.099999999999994" customHeight="1" x14ac:dyDescent="0.3">
      <c r="A362" s="707"/>
      <c r="B362" s="51">
        <v>2021</v>
      </c>
      <c r="C362" s="709" t="s">
        <v>1982</v>
      </c>
      <c r="D362" s="709"/>
      <c r="E362" s="709"/>
      <c r="F362" s="709"/>
      <c r="G362" s="709"/>
      <c r="H362" s="709"/>
      <c r="I362" s="485" t="s">
        <v>6</v>
      </c>
    </row>
    <row r="363" spans="1:9" ht="65.099999999999994" customHeight="1" x14ac:dyDescent="0.3">
      <c r="A363" s="707"/>
      <c r="B363" s="51">
        <v>2022</v>
      </c>
      <c r="C363" s="709" t="s">
        <v>1983</v>
      </c>
      <c r="D363" s="709"/>
      <c r="E363" s="709"/>
      <c r="F363" s="709"/>
      <c r="G363" s="709"/>
      <c r="H363" s="709"/>
      <c r="I363" s="485" t="s">
        <v>6</v>
      </c>
    </row>
    <row r="364" spans="1:9" ht="100.05" customHeight="1" x14ac:dyDescent="0.3">
      <c r="A364" s="707"/>
      <c r="B364" s="51">
        <v>2023</v>
      </c>
      <c r="C364" s="709" t="s">
        <v>1984</v>
      </c>
      <c r="D364" s="709"/>
      <c r="E364" s="709"/>
      <c r="F364" s="709"/>
      <c r="G364" s="709"/>
      <c r="H364" s="709"/>
      <c r="I364" s="485" t="s">
        <v>6</v>
      </c>
    </row>
    <row r="365" spans="1:9" ht="21" x14ac:dyDescent="0.4">
      <c r="B365" s="6"/>
      <c r="C365" s="18"/>
      <c r="D365" s="20"/>
      <c r="E365" s="20"/>
    </row>
    <row r="366" spans="1:9" ht="21" x14ac:dyDescent="0.4">
      <c r="B366" s="6"/>
      <c r="C366" s="18"/>
      <c r="D366" s="20"/>
      <c r="E366" s="20"/>
    </row>
    <row r="367" spans="1:9" s="46" customFormat="1" ht="17.399999999999999" x14ac:dyDescent="0.3">
      <c r="B367" s="710" t="s">
        <v>1985</v>
      </c>
      <c r="C367" s="710"/>
      <c r="D367" s="45"/>
      <c r="E367" s="45"/>
    </row>
    <row r="368" spans="1:9" ht="21" x14ac:dyDescent="0.4">
      <c r="A368" s="707"/>
      <c r="B368" s="6"/>
      <c r="C368" s="18"/>
      <c r="D368" s="20"/>
      <c r="E368" s="20"/>
    </row>
    <row r="369" spans="1:9" ht="14.55" customHeight="1" x14ac:dyDescent="0.3">
      <c r="A369" s="707"/>
      <c r="B369" s="763" t="s">
        <v>1986</v>
      </c>
      <c r="C369" s="763"/>
      <c r="D369" s="763"/>
      <c r="E369" s="763"/>
      <c r="F369" s="763"/>
      <c r="G369" s="763"/>
      <c r="H369" s="763"/>
      <c r="I369" s="48"/>
    </row>
    <row r="370" spans="1:9" ht="21" x14ac:dyDescent="0.4">
      <c r="A370" s="707"/>
      <c r="B370" s="6"/>
      <c r="C370" s="18"/>
      <c r="D370" s="20"/>
      <c r="E370" s="20"/>
    </row>
    <row r="371" spans="1:9" x14ac:dyDescent="0.3">
      <c r="A371" s="707"/>
      <c r="B371" s="535"/>
      <c r="C371" s="712" t="s">
        <v>843</v>
      </c>
      <c r="D371" s="712"/>
      <c r="E371" s="712"/>
      <c r="F371" s="712"/>
      <c r="G371" s="712"/>
      <c r="H371" s="712"/>
      <c r="I371" s="725" t="s">
        <v>346</v>
      </c>
    </row>
    <row r="372" spans="1:9" x14ac:dyDescent="0.3">
      <c r="A372" s="707"/>
      <c r="B372" s="535"/>
      <c r="C372" s="712" t="s">
        <v>1987</v>
      </c>
      <c r="D372" s="712"/>
      <c r="E372" s="712"/>
      <c r="F372" s="712"/>
      <c r="G372" s="712"/>
      <c r="H372" s="712"/>
      <c r="I372" s="725"/>
    </row>
    <row r="373" spans="1:9" ht="32.549999999999997" customHeight="1" x14ac:dyDescent="0.3">
      <c r="A373" s="707"/>
      <c r="B373" s="725"/>
      <c r="C373" s="725"/>
      <c r="D373" s="60">
        <v>2019</v>
      </c>
      <c r="E373" s="60">
        <v>2020</v>
      </c>
      <c r="F373" s="60">
        <v>2021</v>
      </c>
      <c r="G373" s="60">
        <v>2022</v>
      </c>
      <c r="H373" s="60">
        <v>2023</v>
      </c>
      <c r="I373" s="725"/>
    </row>
    <row r="374" spans="1:9" ht="32.1" customHeight="1" x14ac:dyDescent="0.3">
      <c r="A374" s="707"/>
      <c r="B374" s="737" t="s">
        <v>1988</v>
      </c>
      <c r="C374" s="737"/>
      <c r="D374" s="596" t="s">
        <v>1989</v>
      </c>
      <c r="E374" s="596" t="s">
        <v>1990</v>
      </c>
      <c r="F374" s="596" t="s">
        <v>1990</v>
      </c>
      <c r="G374" s="596" t="s">
        <v>1991</v>
      </c>
      <c r="H374" s="596" t="s">
        <v>1992</v>
      </c>
      <c r="I374" s="485" t="s">
        <v>6</v>
      </c>
    </row>
    <row r="375" spans="1:9" x14ac:dyDescent="0.3">
      <c r="A375" s="707"/>
      <c r="B375" s="725" t="s">
        <v>344</v>
      </c>
      <c r="C375" s="725" t="s">
        <v>843</v>
      </c>
      <c r="D375" s="725"/>
      <c r="E375" s="725"/>
      <c r="F375" s="725"/>
      <c r="G375" s="725"/>
      <c r="H375" s="725"/>
      <c r="I375" s="725" t="s">
        <v>346</v>
      </c>
    </row>
    <row r="376" spans="1:9" ht="14.55" customHeight="1" x14ac:dyDescent="0.3">
      <c r="A376" s="707"/>
      <c r="B376" s="725"/>
      <c r="C376" s="712" t="s">
        <v>1987</v>
      </c>
      <c r="D376" s="712"/>
      <c r="E376" s="712"/>
      <c r="F376" s="712"/>
      <c r="G376" s="712"/>
      <c r="H376" s="712"/>
      <c r="I376" s="725"/>
    </row>
    <row r="377" spans="1:9" ht="27.6" x14ac:dyDescent="0.3">
      <c r="A377" s="707"/>
      <c r="B377" s="725"/>
      <c r="C377" s="60" t="s">
        <v>1955</v>
      </c>
      <c r="D377" s="60" t="s">
        <v>1956</v>
      </c>
      <c r="E377" s="60" t="s">
        <v>1957</v>
      </c>
      <c r="F377" s="60" t="s">
        <v>1958</v>
      </c>
      <c r="G377" s="60" t="s">
        <v>1959</v>
      </c>
      <c r="H377" s="61" t="s">
        <v>1960</v>
      </c>
      <c r="I377" s="725"/>
    </row>
    <row r="378" spans="1:9" ht="23.55" customHeight="1" x14ac:dyDescent="0.3">
      <c r="A378" s="707"/>
      <c r="B378" s="51">
        <v>2023</v>
      </c>
      <c r="C378" s="595" t="s">
        <v>1993</v>
      </c>
      <c r="D378" s="595" t="s">
        <v>492</v>
      </c>
      <c r="E378" s="595" t="s">
        <v>1994</v>
      </c>
      <c r="F378" s="595" t="s">
        <v>1995</v>
      </c>
      <c r="G378" s="595" t="s">
        <v>1996</v>
      </c>
      <c r="H378" s="595" t="s">
        <v>1997</v>
      </c>
      <c r="I378" s="485" t="s">
        <v>6</v>
      </c>
    </row>
    <row r="379" spans="1:9" x14ac:dyDescent="0.3">
      <c r="A379" s="707"/>
      <c r="B379" s="725" t="s">
        <v>344</v>
      </c>
      <c r="C379" s="725" t="s">
        <v>843</v>
      </c>
      <c r="D379" s="725"/>
      <c r="E379" s="725"/>
      <c r="F379" s="725"/>
      <c r="G379" s="725"/>
      <c r="H379" s="725"/>
      <c r="I379" s="725" t="s">
        <v>346</v>
      </c>
    </row>
    <row r="380" spans="1:9" ht="14.55" customHeight="1" x14ac:dyDescent="0.3">
      <c r="A380" s="707"/>
      <c r="B380" s="725"/>
      <c r="C380" s="712" t="s">
        <v>1987</v>
      </c>
      <c r="D380" s="712"/>
      <c r="E380" s="712"/>
      <c r="F380" s="712"/>
      <c r="G380" s="712"/>
      <c r="H380" s="712"/>
      <c r="I380" s="725"/>
    </row>
    <row r="381" spans="1:9" x14ac:dyDescent="0.3">
      <c r="A381" s="707"/>
      <c r="B381" s="725"/>
      <c r="C381" s="753" t="s">
        <v>1968</v>
      </c>
      <c r="D381" s="753"/>
      <c r="E381" s="753" t="s">
        <v>1969</v>
      </c>
      <c r="F381" s="753"/>
      <c r="G381" s="747" t="s">
        <v>1970</v>
      </c>
      <c r="H381" s="747"/>
      <c r="I381" s="725"/>
    </row>
    <row r="382" spans="1:9" x14ac:dyDescent="0.3">
      <c r="A382" s="707"/>
      <c r="B382" s="51">
        <v>2023</v>
      </c>
      <c r="C382" s="791" t="s">
        <v>1998</v>
      </c>
      <c r="D382" s="790"/>
      <c r="E382" s="791" t="s">
        <v>1999</v>
      </c>
      <c r="F382" s="790"/>
      <c r="G382" s="791" t="s">
        <v>2000</v>
      </c>
      <c r="H382" s="790"/>
      <c r="I382" s="485" t="s">
        <v>6</v>
      </c>
    </row>
    <row r="383" spans="1:9" x14ac:dyDescent="0.3">
      <c r="A383" s="707"/>
      <c r="B383" s="51"/>
      <c r="C383" s="499"/>
      <c r="D383" s="499"/>
      <c r="E383" s="499"/>
      <c r="F383" s="499"/>
      <c r="G383" s="499"/>
      <c r="H383" s="499"/>
    </row>
    <row r="384" spans="1:9" ht="21" x14ac:dyDescent="0.4">
      <c r="A384" s="707"/>
      <c r="B384" s="6"/>
      <c r="C384" s="18"/>
      <c r="D384" s="20"/>
      <c r="E384" s="20"/>
    </row>
    <row r="385" spans="2:5" ht="14.55" customHeight="1" x14ac:dyDescent="0.4">
      <c r="B385" s="6"/>
      <c r="C385" s="18"/>
      <c r="D385" s="20"/>
      <c r="E385" s="20"/>
    </row>
    <row r="386" spans="2:5" ht="14.55" customHeight="1" x14ac:dyDescent="0.4">
      <c r="B386" s="6"/>
      <c r="C386" s="18"/>
      <c r="D386" s="20"/>
      <c r="E386" s="20"/>
    </row>
    <row r="387" spans="2:5" ht="14.55" customHeight="1" x14ac:dyDescent="0.4">
      <c r="B387" s="6"/>
      <c r="C387" s="18"/>
      <c r="D387" s="20"/>
      <c r="E387" s="20"/>
    </row>
    <row r="388" spans="2:5" ht="14.55" customHeight="1" x14ac:dyDescent="0.4">
      <c r="B388" s="6"/>
      <c r="C388" s="18"/>
      <c r="D388" s="20"/>
      <c r="E388" s="20"/>
    </row>
    <row r="389" spans="2:5" ht="14.55" customHeight="1" x14ac:dyDescent="0.4">
      <c r="B389" s="6"/>
      <c r="C389" s="18"/>
      <c r="D389" s="20"/>
      <c r="E389" s="20"/>
    </row>
    <row r="390" spans="2:5" ht="14.55" customHeight="1" x14ac:dyDescent="0.4">
      <c r="B390" s="6"/>
      <c r="C390" s="18"/>
      <c r="D390" s="20"/>
      <c r="E390" s="20"/>
    </row>
    <row r="391" spans="2:5" ht="14.55" customHeight="1" x14ac:dyDescent="0.4">
      <c r="B391" s="6"/>
      <c r="C391" s="18"/>
      <c r="D391" s="20"/>
      <c r="E391" s="20"/>
    </row>
    <row r="392" spans="2:5" ht="14.55" customHeight="1" x14ac:dyDescent="0.4">
      <c r="B392" s="6"/>
      <c r="C392" s="18"/>
      <c r="D392" s="20"/>
      <c r="E392" s="20"/>
    </row>
    <row r="393" spans="2:5" ht="14.55" customHeight="1" x14ac:dyDescent="0.4">
      <c r="B393" s="6"/>
      <c r="C393" s="18"/>
      <c r="D393" s="20"/>
      <c r="E393" s="20"/>
    </row>
    <row r="394" spans="2:5" ht="14.55" customHeight="1" x14ac:dyDescent="0.4">
      <c r="B394" s="6"/>
      <c r="C394" s="18"/>
      <c r="D394" s="20"/>
      <c r="E394" s="20"/>
    </row>
    <row r="395" spans="2:5" ht="14.55" customHeight="1" x14ac:dyDescent="0.4">
      <c r="B395" s="6"/>
      <c r="C395" s="18"/>
      <c r="D395" s="20"/>
      <c r="E395" s="20"/>
    </row>
    <row r="396" spans="2:5" ht="14.55" customHeight="1" x14ac:dyDescent="0.4">
      <c r="B396" s="6"/>
      <c r="C396" s="18"/>
      <c r="D396" s="20"/>
      <c r="E396" s="20"/>
    </row>
    <row r="397" spans="2:5" ht="14.55" customHeight="1" x14ac:dyDescent="0.4">
      <c r="B397" s="6"/>
      <c r="C397" s="18"/>
      <c r="D397" s="20"/>
      <c r="E397" s="20"/>
    </row>
    <row r="398" spans="2:5" ht="14.55" customHeight="1" x14ac:dyDescent="0.4">
      <c r="B398" s="6"/>
      <c r="C398" s="18"/>
      <c r="D398" s="20"/>
      <c r="E398" s="20"/>
    </row>
    <row r="399" spans="2:5" ht="14.55" customHeight="1" x14ac:dyDescent="0.4">
      <c r="B399" s="6"/>
      <c r="C399" s="18"/>
      <c r="D399" s="20"/>
      <c r="E399" s="20"/>
    </row>
    <row r="400" spans="2:5" ht="14.55" customHeight="1" x14ac:dyDescent="0.4">
      <c r="B400" s="6"/>
      <c r="C400" s="18"/>
      <c r="D400" s="20"/>
      <c r="E400" s="20"/>
    </row>
    <row r="401" spans="1:11" ht="14.55" customHeight="1" x14ac:dyDescent="0.4">
      <c r="B401" s="6"/>
      <c r="C401" s="18"/>
      <c r="D401" s="20"/>
      <c r="E401" s="20"/>
    </row>
    <row r="402" spans="1:11" ht="14.55" customHeight="1" x14ac:dyDescent="0.4">
      <c r="B402" s="6"/>
      <c r="C402" s="18"/>
      <c r="D402" s="20"/>
      <c r="E402" s="20"/>
    </row>
    <row r="403" spans="1:11" ht="14.55" customHeight="1" x14ac:dyDescent="0.4">
      <c r="B403" s="6"/>
      <c r="C403" s="18"/>
      <c r="D403" s="20"/>
      <c r="E403" s="20"/>
    </row>
    <row r="404" spans="1:11" ht="14.55" customHeight="1" x14ac:dyDescent="0.4">
      <c r="B404" s="6"/>
      <c r="C404" s="18"/>
      <c r="D404" s="20"/>
      <c r="E404" s="20"/>
    </row>
    <row r="405" spans="1:11" ht="14.55" customHeight="1" x14ac:dyDescent="0.4">
      <c r="B405" s="6"/>
      <c r="C405" s="18"/>
      <c r="D405" s="20"/>
      <c r="E405" s="20"/>
    </row>
    <row r="406" spans="1:11" ht="14.55" customHeight="1" x14ac:dyDescent="0.4">
      <c r="B406" s="6"/>
      <c r="C406" s="18"/>
      <c r="D406" s="20"/>
      <c r="E406" s="20"/>
    </row>
    <row r="407" spans="1:11" ht="14.55" customHeight="1" x14ac:dyDescent="0.4">
      <c r="B407" s="6"/>
      <c r="C407" s="18"/>
      <c r="D407" s="20"/>
      <c r="E407" s="20"/>
    </row>
    <row r="408" spans="1:11" ht="27.6" hidden="1" x14ac:dyDescent="0.3">
      <c r="B408" s="481" t="s">
        <v>2001</v>
      </c>
      <c r="C408" s="60" t="s">
        <v>1955</v>
      </c>
      <c r="D408" s="60" t="s">
        <v>1956</v>
      </c>
      <c r="E408" s="60" t="s">
        <v>1957</v>
      </c>
      <c r="F408" s="60" t="s">
        <v>1958</v>
      </c>
      <c r="G408" s="60" t="s">
        <v>1959</v>
      </c>
      <c r="H408" s="61" t="s">
        <v>1960</v>
      </c>
      <c r="I408" s="60" t="s">
        <v>1968</v>
      </c>
      <c r="J408" s="60" t="s">
        <v>1969</v>
      </c>
      <c r="K408" s="60" t="s">
        <v>1970</v>
      </c>
    </row>
    <row r="409" spans="1:11" hidden="1" x14ac:dyDescent="0.3">
      <c r="B409" s="139" t="s">
        <v>1777</v>
      </c>
      <c r="C409" s="536">
        <v>0.91228070175438591</v>
      </c>
      <c r="D409" s="536">
        <v>1</v>
      </c>
      <c r="E409" s="536">
        <v>0.97558139534883725</v>
      </c>
      <c r="F409" s="536">
        <v>0.97697841726618706</v>
      </c>
      <c r="G409" s="536">
        <v>0.98587819947043243</v>
      </c>
      <c r="H409" s="536">
        <v>0.87610619469026552</v>
      </c>
      <c r="I409" s="536">
        <v>0.78183116848760614</v>
      </c>
      <c r="J409" s="536">
        <v>0.86170212765957444</v>
      </c>
      <c r="K409" s="536">
        <v>0.93504452592980614</v>
      </c>
    </row>
    <row r="410" spans="1:11" hidden="1" x14ac:dyDescent="0.3">
      <c r="B410" s="139" t="s">
        <v>1778</v>
      </c>
      <c r="C410" s="536">
        <v>0.81818181818181823</v>
      </c>
      <c r="D410" s="536">
        <v>1</v>
      </c>
      <c r="E410" s="536">
        <v>0.96745562130177509</v>
      </c>
      <c r="F410" s="536">
        <v>0.9754385964912281</v>
      </c>
      <c r="G410" s="536">
        <v>0.95454545454545459</v>
      </c>
      <c r="H410" s="536">
        <v>0.77777777777777779</v>
      </c>
      <c r="I410" s="536">
        <v>0.78462278907472027</v>
      </c>
      <c r="J410" s="536">
        <v>0.8294117647058824</v>
      </c>
      <c r="K410" s="536">
        <v>0.90003411804844757</v>
      </c>
    </row>
    <row r="411" spans="1:11" hidden="1" x14ac:dyDescent="0.3">
      <c r="B411" s="154"/>
      <c r="C411" s="482"/>
      <c r="D411" s="482"/>
      <c r="E411" s="482"/>
      <c r="F411" s="482"/>
    </row>
    <row r="412" spans="1:11" hidden="1" x14ac:dyDescent="0.3">
      <c r="B412" s="139"/>
      <c r="C412" s="329"/>
      <c r="D412" s="329"/>
      <c r="E412" s="329"/>
      <c r="F412" s="329"/>
    </row>
    <row r="413" spans="1:11" x14ac:dyDescent="0.3">
      <c r="B413" s="483"/>
      <c r="C413" s="483"/>
      <c r="D413" s="483"/>
      <c r="E413" s="483"/>
      <c r="F413" s="483"/>
      <c r="G413" s="483"/>
      <c r="H413" s="483"/>
    </row>
    <row r="414" spans="1:11" s="46" customFormat="1" ht="17.399999999999999" x14ac:dyDescent="0.3">
      <c r="B414" s="710" t="s">
        <v>2002</v>
      </c>
      <c r="C414" s="710"/>
      <c r="D414" s="45"/>
      <c r="E414" s="45"/>
    </row>
    <row r="415" spans="1:11" ht="21" x14ac:dyDescent="0.4">
      <c r="A415" s="707"/>
      <c r="B415" s="6"/>
      <c r="C415" s="18"/>
      <c r="D415" s="20"/>
      <c r="E415" s="20"/>
    </row>
    <row r="416" spans="1:11" ht="21.6" customHeight="1" x14ac:dyDescent="0.3">
      <c r="A416" s="707"/>
      <c r="B416" s="763" t="s">
        <v>2003</v>
      </c>
      <c r="C416" s="763"/>
      <c r="D416" s="763"/>
      <c r="E416" s="763"/>
      <c r="F416" s="763"/>
      <c r="G416" s="763"/>
      <c r="H416" s="763"/>
      <c r="I416" s="48"/>
    </row>
    <row r="417" spans="1:9" ht="21" x14ac:dyDescent="0.4">
      <c r="A417" s="707"/>
      <c r="B417" s="6"/>
      <c r="C417" s="18"/>
      <c r="D417" s="20"/>
      <c r="E417" s="20"/>
    </row>
    <row r="418" spans="1:9" ht="18" customHeight="1" x14ac:dyDescent="0.3">
      <c r="A418" s="707"/>
      <c r="B418" s="8"/>
      <c r="C418" s="712" t="s">
        <v>843</v>
      </c>
      <c r="D418" s="712"/>
      <c r="E418" s="712"/>
      <c r="F418" s="712"/>
      <c r="G418" s="712"/>
      <c r="H418" s="712"/>
      <c r="I418" s="8"/>
    </row>
    <row r="419" spans="1:9" ht="18" customHeight="1" x14ac:dyDescent="0.3">
      <c r="A419" s="707"/>
      <c r="B419" s="50"/>
      <c r="C419" s="712" t="s">
        <v>2004</v>
      </c>
      <c r="D419" s="712"/>
      <c r="E419" s="712"/>
      <c r="F419" s="712"/>
      <c r="G419" s="712"/>
      <c r="H419" s="712"/>
      <c r="I419" s="49"/>
    </row>
    <row r="420" spans="1:9" ht="36" customHeight="1" x14ac:dyDescent="0.3">
      <c r="A420" s="707"/>
      <c r="B420" s="50" t="s">
        <v>344</v>
      </c>
      <c r="C420" s="60" t="s">
        <v>1955</v>
      </c>
      <c r="D420" s="60" t="s">
        <v>1956</v>
      </c>
      <c r="E420" s="60" t="s">
        <v>1957</v>
      </c>
      <c r="F420" s="60" t="s">
        <v>1975</v>
      </c>
      <c r="G420" s="60" t="s">
        <v>1959</v>
      </c>
      <c r="H420" s="61" t="s">
        <v>1960</v>
      </c>
      <c r="I420" s="50" t="s">
        <v>346</v>
      </c>
    </row>
    <row r="421" spans="1:9" ht="45" customHeight="1" x14ac:dyDescent="0.3">
      <c r="A421" s="707"/>
      <c r="B421" s="51">
        <v>2023</v>
      </c>
      <c r="C421" s="595" t="s">
        <v>2005</v>
      </c>
      <c r="D421" s="595" t="s">
        <v>2006</v>
      </c>
      <c r="E421" s="595" t="s">
        <v>2007</v>
      </c>
      <c r="F421" s="595" t="s">
        <v>2008</v>
      </c>
      <c r="G421" s="595" t="s">
        <v>2009</v>
      </c>
      <c r="H421" s="595" t="s">
        <v>2010</v>
      </c>
      <c r="I421" s="485" t="s">
        <v>6</v>
      </c>
    </row>
    <row r="422" spans="1:9" ht="19.05" customHeight="1" x14ac:dyDescent="0.3">
      <c r="A422" s="707"/>
      <c r="B422" s="50"/>
      <c r="C422" s="712" t="s">
        <v>2011</v>
      </c>
      <c r="D422" s="712"/>
      <c r="E422" s="712"/>
      <c r="F422" s="712"/>
      <c r="G422" s="712"/>
      <c r="H422" s="712"/>
      <c r="I422" s="50"/>
    </row>
    <row r="423" spans="1:9" ht="36" customHeight="1" x14ac:dyDescent="0.3">
      <c r="A423" s="707"/>
      <c r="B423" s="50" t="s">
        <v>344</v>
      </c>
      <c r="C423" s="753" t="s">
        <v>1968</v>
      </c>
      <c r="D423" s="753"/>
      <c r="E423" s="753" t="s">
        <v>1969</v>
      </c>
      <c r="F423" s="753"/>
      <c r="G423" s="747" t="s">
        <v>1970</v>
      </c>
      <c r="H423" s="747"/>
      <c r="I423" s="50" t="s">
        <v>346</v>
      </c>
    </row>
    <row r="424" spans="1:9" ht="45" customHeight="1" x14ac:dyDescent="0.3">
      <c r="A424" s="707"/>
      <c r="B424" s="51">
        <v>2023</v>
      </c>
      <c r="C424" s="791" t="s">
        <v>2012</v>
      </c>
      <c r="D424" s="790"/>
      <c r="E424" s="791" t="s">
        <v>2013</v>
      </c>
      <c r="F424" s="790"/>
      <c r="G424" s="791" t="s">
        <v>2014</v>
      </c>
      <c r="H424" s="790"/>
      <c r="I424" s="485" t="s">
        <v>6</v>
      </c>
    </row>
    <row r="425" spans="1:9" ht="12.6" customHeight="1" x14ac:dyDescent="0.3">
      <c r="A425" s="707"/>
      <c r="B425" s="771"/>
      <c r="C425" s="771"/>
      <c r="D425" s="771"/>
      <c r="E425" s="771"/>
      <c r="F425" s="771"/>
      <c r="G425" s="771"/>
      <c r="H425" s="771"/>
      <c r="I425" s="771"/>
    </row>
    <row r="426" spans="1:9" x14ac:dyDescent="0.3">
      <c r="A426" s="707"/>
    </row>
    <row r="427" spans="1:9" x14ac:dyDescent="0.3">
      <c r="A427" s="707"/>
    </row>
    <row r="428" spans="1:9" x14ac:dyDescent="0.3">
      <c r="A428" s="707"/>
    </row>
    <row r="429" spans="1:9" x14ac:dyDescent="0.3">
      <c r="A429" s="707"/>
    </row>
    <row r="430" spans="1:9" x14ac:dyDescent="0.3">
      <c r="A430" s="707"/>
    </row>
    <row r="432" spans="1:9" ht="21" x14ac:dyDescent="0.4">
      <c r="B432" s="6"/>
      <c r="C432" s="18"/>
      <c r="D432" s="20"/>
      <c r="E432" s="20"/>
    </row>
    <row r="433" spans="2:5" ht="21" x14ac:dyDescent="0.4">
      <c r="B433" s="6"/>
      <c r="C433" s="18"/>
      <c r="D433" s="20"/>
      <c r="E433" s="20"/>
    </row>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78" spans="2:8" hidden="1" x14ac:dyDescent="0.3">
      <c r="B478" s="760" t="s">
        <v>2015</v>
      </c>
      <c r="C478" s="760"/>
      <c r="D478" s="760"/>
      <c r="E478" s="760"/>
      <c r="F478" s="760"/>
      <c r="G478" s="760"/>
      <c r="H478" s="760"/>
    </row>
    <row r="479" spans="2:8" ht="26.4" hidden="1" x14ac:dyDescent="0.3">
      <c r="B479" s="161" t="s">
        <v>344</v>
      </c>
      <c r="C479" s="161" t="s">
        <v>2016</v>
      </c>
      <c r="D479" s="161" t="s">
        <v>1955</v>
      </c>
      <c r="E479" s="161" t="s">
        <v>2017</v>
      </c>
      <c r="F479" s="161" t="s">
        <v>2018</v>
      </c>
      <c r="G479" s="161" t="s">
        <v>2019</v>
      </c>
      <c r="H479" s="161" t="s">
        <v>2020</v>
      </c>
    </row>
    <row r="480" spans="2:8" hidden="1" x14ac:dyDescent="0.3">
      <c r="B480" s="51">
        <v>2018</v>
      </c>
      <c r="C480" s="349">
        <v>6.2E-2</v>
      </c>
      <c r="D480" s="349">
        <v>2E-3</v>
      </c>
      <c r="E480" s="349">
        <v>1.7999999999999999E-2</v>
      </c>
      <c r="F480" s="349">
        <v>4.2000000000000003E-2</v>
      </c>
      <c r="G480" s="349">
        <v>0.152</v>
      </c>
      <c r="H480" s="349">
        <v>0.78600000000000003</v>
      </c>
    </row>
    <row r="481" spans="1:10" hidden="1" x14ac:dyDescent="0.3">
      <c r="B481" s="51">
        <v>2019</v>
      </c>
      <c r="C481" s="349">
        <v>6.7000000000000004E-2</v>
      </c>
      <c r="D481" s="349">
        <v>3.0000000000000001E-3</v>
      </c>
      <c r="E481" s="349">
        <v>2.4E-2</v>
      </c>
      <c r="F481" s="349">
        <v>0.04</v>
      </c>
      <c r="G481" s="349">
        <v>0.16500000000000001</v>
      </c>
      <c r="H481" s="349">
        <v>0.76800000000000002</v>
      </c>
    </row>
    <row r="482" spans="1:10" hidden="1" x14ac:dyDescent="0.3">
      <c r="B482" s="51">
        <v>2020</v>
      </c>
      <c r="C482" s="349">
        <v>7.2999999999999995E-2</v>
      </c>
      <c r="D482" s="349">
        <v>3.0000000000000001E-3</v>
      </c>
      <c r="E482" s="349">
        <v>2.9000000000000001E-2</v>
      </c>
      <c r="F482" s="349">
        <v>4.1000000000000002E-2</v>
      </c>
      <c r="G482" s="349">
        <v>0.17</v>
      </c>
      <c r="H482" s="349">
        <v>0.75700000000000001</v>
      </c>
    </row>
    <row r="483" spans="1:10" hidden="1" x14ac:dyDescent="0.3">
      <c r="B483" s="51">
        <v>2021</v>
      </c>
      <c r="C483" s="349">
        <v>7.9000000000000001E-2</v>
      </c>
      <c r="D483" s="349">
        <v>3.0000000000000001E-3</v>
      </c>
      <c r="E483" s="349">
        <v>3.4000000000000002E-2</v>
      </c>
      <c r="F483" s="349">
        <v>4.2000000000000003E-2</v>
      </c>
      <c r="G483" s="349">
        <v>0.19800000000000001</v>
      </c>
      <c r="H483" s="349">
        <v>0.72199999999999998</v>
      </c>
    </row>
    <row r="484" spans="1:10" hidden="1" x14ac:dyDescent="0.3">
      <c r="B484" s="51">
        <v>2022</v>
      </c>
      <c r="C484" s="349">
        <v>8.3000000000000004E-2</v>
      </c>
      <c r="D484" s="349">
        <v>3.0000000000000001E-3</v>
      </c>
      <c r="E484" s="349">
        <v>3.6999999999999998E-2</v>
      </c>
      <c r="F484" s="349">
        <v>4.2999999999999997E-2</v>
      </c>
      <c r="G484" s="349">
        <v>0.2</v>
      </c>
      <c r="H484" s="349">
        <v>0.71699999999999997</v>
      </c>
    </row>
    <row r="485" spans="1:10" hidden="1" x14ac:dyDescent="0.3">
      <c r="B485" s="51">
        <v>2023</v>
      </c>
      <c r="C485" s="349"/>
      <c r="D485" s="349"/>
      <c r="E485" s="349"/>
      <c r="F485" s="349"/>
      <c r="G485" s="349"/>
      <c r="H485" s="349"/>
    </row>
    <row r="486" spans="1:10" hidden="1" x14ac:dyDescent="0.3">
      <c r="B486" s="172">
        <v>5</v>
      </c>
      <c r="C486" s="163"/>
      <c r="D486" s="163"/>
      <c r="E486" s="163"/>
      <c r="F486" s="163"/>
      <c r="G486" s="163"/>
      <c r="H486" s="163"/>
    </row>
    <row r="487" spans="1:10" hidden="1" x14ac:dyDescent="0.3">
      <c r="B487" s="169" cm="1">
        <f t="array" ref="B487">INDEX(B480:B485,B486)</f>
        <v>2022</v>
      </c>
    </row>
    <row r="488" spans="1:10" hidden="1" x14ac:dyDescent="0.3">
      <c r="B488" s="51"/>
      <c r="C488" s="163"/>
      <c r="D488" s="163"/>
      <c r="E488" s="163"/>
      <c r="F488" s="163"/>
      <c r="G488" s="163"/>
      <c r="H488" s="163"/>
    </row>
    <row r="489" spans="1:10" ht="26.4" hidden="1" x14ac:dyDescent="0.3">
      <c r="B489" s="161" t="s">
        <v>344</v>
      </c>
      <c r="C489" s="161" t="s">
        <v>2016</v>
      </c>
      <c r="D489" s="161" t="s">
        <v>1955</v>
      </c>
      <c r="E489" s="161" t="s">
        <v>2017</v>
      </c>
      <c r="F489" s="161" t="s">
        <v>2018</v>
      </c>
      <c r="G489" s="161" t="s">
        <v>2019</v>
      </c>
      <c r="H489" s="161" t="s">
        <v>2020</v>
      </c>
    </row>
    <row r="490" spans="1:10" hidden="1" x14ac:dyDescent="0.3">
      <c r="B490" s="168">
        <f>B487</f>
        <v>2022</v>
      </c>
      <c r="C490" s="349">
        <f>IF($B$490=B480,C480,IF($B$490=$B$481,C481,IF($B$490=$B$482,C482,IF($B$490=$B$483,C483,IF($B$490=$B$484,C484,IF($B$490=$B$485,C485))))))</f>
        <v>8.3000000000000004E-2</v>
      </c>
      <c r="D490" s="349">
        <f t="shared" ref="D490:H490" si="0">IF($B$490=C480,D480,IF($B$490=$B$481,D481,IF($B$490=$B$482,D482,IF($B$490=$B$483,D483,IF($B$490=$B$484,D484,IF($B$490=$B$485,D485))))))</f>
        <v>3.0000000000000001E-3</v>
      </c>
      <c r="E490" s="349">
        <f t="shared" si="0"/>
        <v>3.6999999999999998E-2</v>
      </c>
      <c r="F490" s="349">
        <f t="shared" si="0"/>
        <v>4.2999999999999997E-2</v>
      </c>
      <c r="G490" s="349">
        <f t="shared" si="0"/>
        <v>0.2</v>
      </c>
      <c r="H490" s="349">
        <f t="shared" si="0"/>
        <v>0.71699999999999997</v>
      </c>
    </row>
    <row r="491" spans="1:10" hidden="1" x14ac:dyDescent="0.3">
      <c r="B491" s="51"/>
      <c r="C491" s="163"/>
      <c r="D491" s="163"/>
      <c r="E491" s="163"/>
      <c r="F491" s="163"/>
      <c r="G491" s="163"/>
      <c r="H491" s="163"/>
    </row>
    <row r="492" spans="1:10" hidden="1" x14ac:dyDescent="0.3">
      <c r="B492" s="51"/>
      <c r="C492" s="163"/>
      <c r="D492" s="163"/>
      <c r="E492" s="163"/>
      <c r="F492" s="163"/>
      <c r="G492" s="163"/>
      <c r="H492" s="163"/>
    </row>
    <row r="493" spans="1:10" ht="52.8" hidden="1" x14ac:dyDescent="0.3">
      <c r="B493" s="501" t="s">
        <v>1955</v>
      </c>
      <c r="C493" s="501" t="s">
        <v>1956</v>
      </c>
      <c r="D493" s="501" t="s">
        <v>1957</v>
      </c>
      <c r="E493" s="501" t="s">
        <v>1975</v>
      </c>
      <c r="F493" s="501" t="s">
        <v>1959</v>
      </c>
      <c r="G493" s="501" t="s">
        <v>2021</v>
      </c>
      <c r="H493" s="501" t="s">
        <v>1968</v>
      </c>
      <c r="I493" s="501" t="s">
        <v>1969</v>
      </c>
      <c r="J493" s="502" t="s">
        <v>1970</v>
      </c>
    </row>
    <row r="494" spans="1:10" hidden="1" x14ac:dyDescent="0.3">
      <c r="A494" s="192">
        <v>2023</v>
      </c>
      <c r="B494" s="208">
        <v>0.2046783625730994</v>
      </c>
      <c r="C494" s="208">
        <v>0.25120772946859904</v>
      </c>
      <c r="D494" s="208">
        <v>0.31828703703703703</v>
      </c>
      <c r="E494" s="208">
        <v>0.29502762430939228</v>
      </c>
      <c r="F494" s="208">
        <v>0.24</v>
      </c>
      <c r="G494" s="208">
        <v>0.24161073825503357</v>
      </c>
      <c r="H494" s="208">
        <v>0.19829904961959166</v>
      </c>
      <c r="I494" s="208">
        <v>0.54529914529914525</v>
      </c>
      <c r="J494" s="208">
        <v>0.44997776789684302</v>
      </c>
    </row>
    <row r="495" spans="1:10" hidden="1" x14ac:dyDescent="0.3">
      <c r="B495" s="51"/>
      <c r="C495" s="163"/>
      <c r="D495" s="163"/>
      <c r="E495" s="163"/>
      <c r="F495" s="163"/>
      <c r="G495" s="163"/>
      <c r="H495" s="163"/>
    </row>
    <row r="496" spans="1:10" hidden="1" x14ac:dyDescent="0.3">
      <c r="B496" s="51"/>
      <c r="C496" s="163"/>
      <c r="D496" s="163"/>
      <c r="E496" s="163"/>
      <c r="F496" s="163"/>
      <c r="G496" s="163"/>
      <c r="H496" s="163"/>
    </row>
    <row r="497" spans="1:11" hidden="1" x14ac:dyDescent="0.3">
      <c r="B497" s="51"/>
      <c r="C497" s="163"/>
      <c r="D497" s="163"/>
      <c r="E497" s="163"/>
      <c r="F497" s="163"/>
      <c r="G497" s="163"/>
      <c r="H497" s="163"/>
    </row>
    <row r="498" spans="1:11" hidden="1" x14ac:dyDescent="0.3">
      <c r="B498" s="51"/>
      <c r="C498" s="163"/>
      <c r="D498" s="163"/>
      <c r="E498" s="163"/>
      <c r="F498" s="163"/>
      <c r="G498" s="163"/>
      <c r="H498" s="163"/>
    </row>
    <row r="499" spans="1:11" hidden="1" x14ac:dyDescent="0.3">
      <c r="B499" s="51"/>
      <c r="C499" s="163"/>
      <c r="D499" s="163"/>
      <c r="E499" s="163"/>
      <c r="F499" s="163"/>
      <c r="G499" s="163"/>
      <c r="H499" s="163"/>
    </row>
    <row r="500" spans="1:11" hidden="1" x14ac:dyDescent="0.3">
      <c r="B500" s="51"/>
      <c r="C500" s="163"/>
      <c r="D500" s="163"/>
      <c r="E500" s="163"/>
      <c r="F500" s="163"/>
      <c r="G500" s="163"/>
      <c r="H500" s="163"/>
    </row>
    <row r="501" spans="1:11" hidden="1" x14ac:dyDescent="0.3">
      <c r="B501" s="792" t="s">
        <v>2022</v>
      </c>
      <c r="C501" s="792"/>
      <c r="D501" s="792"/>
      <c r="E501" s="792"/>
      <c r="F501" s="792"/>
      <c r="G501" s="792"/>
      <c r="H501" s="792"/>
      <c r="I501" s="792"/>
      <c r="J501" s="792"/>
      <c r="K501" s="792"/>
    </row>
    <row r="502" spans="1:11" ht="57.6" hidden="1" x14ac:dyDescent="0.3">
      <c r="B502" s="503" t="s">
        <v>2023</v>
      </c>
      <c r="C502" s="504" t="s">
        <v>1955</v>
      </c>
      <c r="D502" s="504" t="s">
        <v>1956</v>
      </c>
      <c r="E502" s="504" t="s">
        <v>1957</v>
      </c>
      <c r="F502" s="504" t="s">
        <v>1975</v>
      </c>
      <c r="G502" s="504" t="s">
        <v>1959</v>
      </c>
      <c r="H502" s="504" t="s">
        <v>1960</v>
      </c>
      <c r="I502" s="504" t="s">
        <v>1968</v>
      </c>
      <c r="J502" s="503" t="s">
        <v>1969</v>
      </c>
      <c r="K502" s="503" t="s">
        <v>1970</v>
      </c>
    </row>
    <row r="503" spans="1:11" hidden="1" x14ac:dyDescent="0.3">
      <c r="B503" s="117" t="s">
        <v>2024</v>
      </c>
      <c r="C503" s="505">
        <v>0</v>
      </c>
      <c r="D503" s="505">
        <v>3.4246575342465752E-3</v>
      </c>
      <c r="E503" s="505">
        <v>2.5041736227045075E-3</v>
      </c>
      <c r="F503" s="505">
        <v>2.5510204081632654E-2</v>
      </c>
      <c r="G503" s="505">
        <v>4.2181818181818181E-2</v>
      </c>
      <c r="H503" s="505">
        <v>2.0134228187919462E-2</v>
      </c>
      <c r="I503" s="505">
        <v>0.16904493407356003</v>
      </c>
      <c r="J503" s="505">
        <v>0.1285892634207241</v>
      </c>
      <c r="K503" s="505">
        <v>0.13527930063713142</v>
      </c>
    </row>
    <row r="504" spans="1:11" hidden="1" x14ac:dyDescent="0.3">
      <c r="A504" s="306"/>
      <c r="B504" s="117" t="s">
        <v>2025</v>
      </c>
      <c r="C504" s="505">
        <v>0.65486725663716816</v>
      </c>
      <c r="D504" s="505">
        <v>0.77054794520547942</v>
      </c>
      <c r="E504" s="505">
        <v>0.79883138564273792</v>
      </c>
      <c r="F504" s="505">
        <v>0.90612244897959182</v>
      </c>
      <c r="G504" s="505">
        <v>0.78290909090909089</v>
      </c>
      <c r="H504" s="505">
        <v>0.70469798657718119</v>
      </c>
      <c r="I504" s="505">
        <v>0.71751387925052046</v>
      </c>
      <c r="J504" s="505">
        <v>0.7415730337078652</v>
      </c>
      <c r="K504" s="505">
        <v>0.75492665580085938</v>
      </c>
    </row>
    <row r="505" spans="1:11" hidden="1" x14ac:dyDescent="0.3">
      <c r="A505" s="306"/>
      <c r="B505" s="117" t="s">
        <v>2026</v>
      </c>
      <c r="C505" s="505">
        <v>0.34513274336283184</v>
      </c>
      <c r="D505" s="505">
        <v>0.22602739726027396</v>
      </c>
      <c r="E505" s="505">
        <v>0.19866444073455761</v>
      </c>
      <c r="F505" s="505">
        <v>6.8367346938775511E-2</v>
      </c>
      <c r="G505" s="505">
        <v>0.1749090909090909</v>
      </c>
      <c r="H505" s="505">
        <v>0.27516778523489932</v>
      </c>
      <c r="I505" s="505">
        <v>0.1134411866759195</v>
      </c>
      <c r="J505" s="505">
        <v>0.12983770287141075</v>
      </c>
      <c r="K505" s="505">
        <v>0.10979404356200918</v>
      </c>
    </row>
    <row r="506" spans="1:11" hidden="1" x14ac:dyDescent="0.3">
      <c r="A506" s="306"/>
      <c r="B506" s="117" t="s">
        <v>606</v>
      </c>
      <c r="C506" s="505">
        <f t="shared" ref="C506:K506" si="1">SUM(C503:C505)</f>
        <v>1</v>
      </c>
      <c r="D506" s="505">
        <f t="shared" si="1"/>
        <v>1</v>
      </c>
      <c r="E506" s="505">
        <f t="shared" si="1"/>
        <v>1</v>
      </c>
      <c r="F506" s="505">
        <f t="shared" si="1"/>
        <v>1</v>
      </c>
      <c r="G506" s="505">
        <f t="shared" si="1"/>
        <v>1</v>
      </c>
      <c r="H506" s="505">
        <f t="shared" si="1"/>
        <v>1</v>
      </c>
      <c r="I506" s="505">
        <f t="shared" si="1"/>
        <v>1</v>
      </c>
      <c r="J506" s="505">
        <f t="shared" si="1"/>
        <v>1</v>
      </c>
      <c r="K506" s="505">
        <f t="shared" si="1"/>
        <v>1</v>
      </c>
    </row>
    <row r="507" spans="1:11" hidden="1" x14ac:dyDescent="0.3">
      <c r="A507" s="306"/>
      <c r="H507" s="163"/>
    </row>
    <row r="508" spans="1:11" x14ac:dyDescent="0.3">
      <c r="H508" s="163"/>
    </row>
    <row r="509" spans="1:11" x14ac:dyDescent="0.3">
      <c r="H509" s="163"/>
    </row>
    <row r="510" spans="1:11" x14ac:dyDescent="0.3">
      <c r="H510" s="163"/>
    </row>
    <row r="511" spans="1:11" x14ac:dyDescent="0.3">
      <c r="H511" s="163"/>
    </row>
    <row r="512" spans="1:11" x14ac:dyDescent="0.3">
      <c r="H512" s="163"/>
    </row>
    <row r="513" spans="2:8" x14ac:dyDescent="0.3">
      <c r="H513" s="163"/>
    </row>
    <row r="514" spans="2:8" x14ac:dyDescent="0.3">
      <c r="H514" s="163"/>
    </row>
    <row r="515" spans="2:8" x14ac:dyDescent="0.3">
      <c r="H515" s="163"/>
    </row>
    <row r="516" spans="2:8" x14ac:dyDescent="0.3">
      <c r="H516" s="163"/>
    </row>
    <row r="517" spans="2:8" x14ac:dyDescent="0.3">
      <c r="H517" s="163"/>
    </row>
    <row r="518" spans="2:8" x14ac:dyDescent="0.3">
      <c r="H518" s="163"/>
    </row>
    <row r="519" spans="2:8" x14ac:dyDescent="0.3">
      <c r="H519" s="163"/>
    </row>
    <row r="520" spans="2:8" x14ac:dyDescent="0.3">
      <c r="H520" s="163"/>
    </row>
    <row r="521" spans="2:8" x14ac:dyDescent="0.3">
      <c r="H521" s="163"/>
    </row>
    <row r="522" spans="2:8" x14ac:dyDescent="0.3">
      <c r="H522" s="163"/>
    </row>
    <row r="523" spans="2:8" x14ac:dyDescent="0.3">
      <c r="H523" s="163"/>
    </row>
    <row r="524" spans="2:8" x14ac:dyDescent="0.3">
      <c r="H524" s="163"/>
    </row>
    <row r="525" spans="2:8" x14ac:dyDescent="0.3">
      <c r="H525" s="163"/>
    </row>
    <row r="526" spans="2:8" hidden="1" x14ac:dyDescent="0.3">
      <c r="B526" s="793" t="s">
        <v>2027</v>
      </c>
      <c r="C526" s="793"/>
      <c r="D526" s="75"/>
      <c r="E526" s="793" t="s">
        <v>2028</v>
      </c>
      <c r="F526" s="793"/>
      <c r="H526" s="163"/>
    </row>
    <row r="527" spans="2:8" hidden="1" x14ac:dyDescent="0.3">
      <c r="B527" s="192" t="s">
        <v>1777</v>
      </c>
      <c r="C527" s="192">
        <v>24</v>
      </c>
      <c r="E527" s="192" t="s">
        <v>2024</v>
      </c>
      <c r="F527" s="192">
        <v>0</v>
      </c>
      <c r="H527" s="163"/>
    </row>
    <row r="528" spans="2:8" hidden="1" x14ac:dyDescent="0.3">
      <c r="B528" s="192" t="s">
        <v>1778</v>
      </c>
      <c r="C528" s="192">
        <v>7</v>
      </c>
      <c r="E528" s="192" t="s">
        <v>2025</v>
      </c>
      <c r="F528" s="192">
        <v>8</v>
      </c>
      <c r="H528" s="163"/>
    </row>
    <row r="529" spans="1:9" hidden="1" x14ac:dyDescent="0.3">
      <c r="E529" s="192" t="s">
        <v>2026</v>
      </c>
      <c r="F529" s="192">
        <v>23</v>
      </c>
      <c r="H529" s="163"/>
    </row>
    <row r="530" spans="1:9" hidden="1" x14ac:dyDescent="0.3">
      <c r="E530" s="495"/>
      <c r="F530" s="495"/>
      <c r="H530" s="163"/>
    </row>
    <row r="532" spans="1:9" s="46" customFormat="1" ht="17.399999999999999" x14ac:dyDescent="0.3">
      <c r="B532" s="710" t="s">
        <v>2029</v>
      </c>
      <c r="C532" s="710"/>
      <c r="D532" s="45"/>
      <c r="E532" s="45"/>
    </row>
    <row r="533" spans="1:9" ht="21" x14ac:dyDescent="0.4">
      <c r="A533" s="707"/>
      <c r="B533" s="6"/>
      <c r="C533" s="18"/>
      <c r="D533" s="20"/>
      <c r="E533" s="20"/>
    </row>
    <row r="534" spans="1:9" x14ac:dyDescent="0.3">
      <c r="A534" s="707"/>
      <c r="B534" s="763" t="s">
        <v>2030</v>
      </c>
      <c r="C534" s="763"/>
      <c r="D534" s="763"/>
      <c r="E534" s="763"/>
      <c r="F534" s="763"/>
      <c r="G534" s="763"/>
      <c r="H534" s="763"/>
    </row>
    <row r="535" spans="1:9" ht="21" x14ac:dyDescent="0.4">
      <c r="A535" s="707"/>
      <c r="B535" s="6"/>
      <c r="C535" s="18"/>
      <c r="D535" s="20"/>
      <c r="E535" s="20"/>
    </row>
    <row r="536" spans="1:9" x14ac:dyDescent="0.3">
      <c r="A536" s="707"/>
      <c r="B536" s="50" t="s">
        <v>344</v>
      </c>
      <c r="C536" s="712" t="s">
        <v>843</v>
      </c>
      <c r="D536" s="712"/>
      <c r="E536" s="712"/>
      <c r="F536" s="712"/>
      <c r="G536" s="712"/>
      <c r="H536" s="712"/>
      <c r="I536" s="49" t="s">
        <v>346</v>
      </c>
    </row>
    <row r="537" spans="1:9" ht="45" customHeight="1" x14ac:dyDescent="0.3">
      <c r="A537" s="707"/>
      <c r="B537" s="51">
        <v>2019</v>
      </c>
      <c r="C537" s="709" t="s">
        <v>2031</v>
      </c>
      <c r="D537" s="709"/>
      <c r="E537" s="709"/>
      <c r="F537" s="709"/>
      <c r="G537" s="709"/>
      <c r="H537" s="709"/>
      <c r="I537" s="56" t="s">
        <v>348</v>
      </c>
    </row>
    <row r="538" spans="1:9" ht="45" customHeight="1" x14ac:dyDescent="0.3">
      <c r="A538" s="707"/>
      <c r="B538" s="51">
        <v>2020</v>
      </c>
      <c r="C538" s="709" t="s">
        <v>2031</v>
      </c>
      <c r="D538" s="709"/>
      <c r="E538" s="709"/>
      <c r="F538" s="709"/>
      <c r="G538" s="709"/>
      <c r="H538" s="709"/>
      <c r="I538" s="56" t="s">
        <v>350</v>
      </c>
    </row>
    <row r="539" spans="1:9" ht="45" customHeight="1" x14ac:dyDescent="0.3">
      <c r="A539" s="707"/>
      <c r="B539" s="51">
        <v>2021</v>
      </c>
      <c r="C539" s="709" t="s">
        <v>2031</v>
      </c>
      <c r="D539" s="709"/>
      <c r="E539" s="709"/>
      <c r="F539" s="709"/>
      <c r="G539" s="709"/>
      <c r="H539" s="709"/>
      <c r="I539" s="485" t="s">
        <v>6</v>
      </c>
    </row>
    <row r="540" spans="1:9" ht="45" customHeight="1" x14ac:dyDescent="0.3">
      <c r="A540" s="707"/>
      <c r="B540" s="51">
        <v>2022</v>
      </c>
      <c r="C540" s="709" t="s">
        <v>2032</v>
      </c>
      <c r="D540" s="709"/>
      <c r="E540" s="709"/>
      <c r="F540" s="709"/>
      <c r="G540" s="709"/>
      <c r="H540" s="709"/>
      <c r="I540" s="485" t="s">
        <v>6</v>
      </c>
    </row>
    <row r="541" spans="1:9" ht="45" customHeight="1" x14ac:dyDescent="0.3">
      <c r="A541" s="707"/>
      <c r="B541" s="51">
        <v>2023</v>
      </c>
      <c r="C541" s="709" t="s">
        <v>2033</v>
      </c>
      <c r="D541" s="709"/>
      <c r="E541" s="709"/>
      <c r="F541" s="709"/>
      <c r="G541" s="709"/>
      <c r="H541" s="709"/>
      <c r="I541" s="485" t="s">
        <v>6</v>
      </c>
    </row>
    <row r="542" spans="1:9" ht="29.1" customHeight="1" x14ac:dyDescent="0.3">
      <c r="A542" s="707"/>
      <c r="B542" s="713" t="s">
        <v>2034</v>
      </c>
      <c r="C542" s="713"/>
      <c r="D542" s="713"/>
      <c r="E542" s="713"/>
      <c r="F542" s="713"/>
      <c r="G542" s="713"/>
      <c r="H542" s="713"/>
      <c r="I542" s="713"/>
    </row>
    <row r="543" spans="1:9" x14ac:dyDescent="0.3">
      <c r="B543" s="71"/>
      <c r="C543" s="71"/>
      <c r="D543" s="71"/>
      <c r="E543" s="71"/>
      <c r="F543" s="71"/>
      <c r="G543" s="71"/>
      <c r="H543" s="71"/>
      <c r="I543" s="71"/>
    </row>
    <row r="544" spans="1:9" ht="14.1" customHeight="1" x14ac:dyDescent="0.4">
      <c r="B544" s="6"/>
      <c r="C544" s="18"/>
      <c r="D544" s="20"/>
      <c r="E544" s="20"/>
    </row>
    <row r="545" spans="1:9" s="46" customFormat="1" ht="17.399999999999999" x14ac:dyDescent="0.3">
      <c r="B545" s="710" t="s">
        <v>2035</v>
      </c>
      <c r="C545" s="710"/>
      <c r="D545" s="45"/>
      <c r="E545" s="45"/>
    </row>
    <row r="546" spans="1:9" x14ac:dyDescent="0.3">
      <c r="A546" s="707"/>
      <c r="B546" s="51"/>
    </row>
    <row r="547" spans="1:9" x14ac:dyDescent="0.3">
      <c r="A547" s="707"/>
      <c r="B547" s="763" t="s">
        <v>2036</v>
      </c>
      <c r="C547" s="763"/>
      <c r="D547" s="763"/>
      <c r="E547" s="763"/>
      <c r="F547" s="763"/>
      <c r="G547" s="763"/>
      <c r="H547" s="763"/>
    </row>
    <row r="548" spans="1:9" x14ac:dyDescent="0.3">
      <c r="A548" s="707"/>
      <c r="B548" s="51"/>
    </row>
    <row r="549" spans="1:9" x14ac:dyDescent="0.3">
      <c r="A549" s="707"/>
      <c r="B549" s="50" t="s">
        <v>344</v>
      </c>
      <c r="C549" s="712" t="s">
        <v>843</v>
      </c>
      <c r="D549" s="712"/>
      <c r="E549" s="712"/>
      <c r="F549" s="712"/>
      <c r="G549" s="712"/>
      <c r="H549" s="712"/>
      <c r="I549" s="49" t="s">
        <v>346</v>
      </c>
    </row>
    <row r="550" spans="1:9" ht="48.6" customHeight="1" x14ac:dyDescent="0.3">
      <c r="A550" s="707"/>
      <c r="B550" s="51">
        <v>2019</v>
      </c>
      <c r="C550" s="709" t="s">
        <v>2037</v>
      </c>
      <c r="D550" s="709"/>
      <c r="E550" s="709"/>
      <c r="F550" s="709"/>
      <c r="G550" s="709"/>
      <c r="H550" s="709"/>
      <c r="I550" s="55" t="s">
        <v>348</v>
      </c>
    </row>
    <row r="551" spans="1:9" ht="50.55" customHeight="1" x14ac:dyDescent="0.3">
      <c r="A551" s="707"/>
      <c r="B551" s="51">
        <v>2020</v>
      </c>
      <c r="C551" s="709" t="s">
        <v>2038</v>
      </c>
      <c r="D551" s="709"/>
      <c r="E551" s="709"/>
      <c r="F551" s="709"/>
      <c r="G551" s="709"/>
      <c r="H551" s="709"/>
      <c r="I551" s="55" t="s">
        <v>350</v>
      </c>
    </row>
    <row r="552" spans="1:9" ht="56.55" customHeight="1" x14ac:dyDescent="0.3">
      <c r="A552" s="707"/>
      <c r="B552" s="51">
        <v>2021</v>
      </c>
      <c r="C552" s="709" t="s">
        <v>2039</v>
      </c>
      <c r="D552" s="709"/>
      <c r="E552" s="709"/>
      <c r="F552" s="709"/>
      <c r="G552" s="709"/>
      <c r="H552" s="709"/>
      <c r="I552" s="55" t="s">
        <v>442</v>
      </c>
    </row>
    <row r="553" spans="1:9" ht="71.099999999999994" customHeight="1" x14ac:dyDescent="0.3">
      <c r="A553" s="707"/>
      <c r="B553" s="51">
        <v>2022</v>
      </c>
      <c r="C553" s="709" t="s">
        <v>2040</v>
      </c>
      <c r="D553" s="709"/>
      <c r="E553" s="709"/>
      <c r="F553" s="709"/>
      <c r="G553" s="709"/>
      <c r="H553" s="709"/>
      <c r="I553" s="55" t="s">
        <v>442</v>
      </c>
    </row>
    <row r="554" spans="1:9" ht="92.25" customHeight="1" x14ac:dyDescent="0.3">
      <c r="A554" s="707"/>
      <c r="B554" s="51">
        <v>2023</v>
      </c>
      <c r="C554" s="709" t="s">
        <v>2041</v>
      </c>
      <c r="D554" s="709"/>
      <c r="E554" s="709"/>
      <c r="F554" s="709"/>
      <c r="G554" s="709"/>
      <c r="H554" s="709"/>
      <c r="I554" s="55" t="s">
        <v>442</v>
      </c>
    </row>
    <row r="555" spans="1:9" ht="25.5" customHeight="1" x14ac:dyDescent="0.3">
      <c r="B555" s="51"/>
    </row>
    <row r="556" spans="1:9" s="46" customFormat="1" ht="17.399999999999999" x14ac:dyDescent="0.3">
      <c r="B556" s="710" t="s">
        <v>2042</v>
      </c>
      <c r="C556" s="710"/>
      <c r="D556" s="45"/>
      <c r="E556" s="45"/>
    </row>
    <row r="557" spans="1:9" ht="21" x14ac:dyDescent="0.4">
      <c r="A557" s="707"/>
      <c r="B557" s="6"/>
      <c r="C557" s="18"/>
      <c r="D557" s="20"/>
      <c r="E557" s="20"/>
    </row>
    <row r="558" spans="1:9" x14ac:dyDescent="0.3">
      <c r="A558" s="707"/>
      <c r="B558" s="763" t="s">
        <v>2043</v>
      </c>
      <c r="C558" s="763"/>
      <c r="D558" s="763"/>
      <c r="E558" s="763"/>
      <c r="F558" s="763"/>
      <c r="G558" s="763"/>
      <c r="H558" s="763"/>
    </row>
    <row r="559" spans="1:9" ht="21" x14ac:dyDescent="0.4">
      <c r="A559" s="707"/>
      <c r="B559" s="6"/>
      <c r="C559" s="18"/>
      <c r="D559" s="20"/>
      <c r="E559" s="20"/>
    </row>
    <row r="560" spans="1:9" x14ac:dyDescent="0.3">
      <c r="A560" s="707"/>
      <c r="B560" s="50" t="s">
        <v>344</v>
      </c>
      <c r="C560" s="712" t="s">
        <v>843</v>
      </c>
      <c r="D560" s="712"/>
      <c r="E560" s="712"/>
      <c r="F560" s="712"/>
      <c r="G560" s="712"/>
      <c r="H560" s="712"/>
      <c r="I560" s="49" t="s">
        <v>346</v>
      </c>
    </row>
    <row r="561" spans="1:9" ht="50.1" customHeight="1" x14ac:dyDescent="0.3">
      <c r="A561" s="707"/>
      <c r="B561" s="51">
        <v>2019</v>
      </c>
      <c r="C561" s="709" t="s">
        <v>2044</v>
      </c>
      <c r="D561" s="709"/>
      <c r="E561" s="709"/>
      <c r="F561" s="709"/>
      <c r="G561" s="709"/>
      <c r="H561" s="709"/>
      <c r="I561" s="55" t="s">
        <v>348</v>
      </c>
    </row>
    <row r="562" spans="1:9" ht="75" customHeight="1" x14ac:dyDescent="0.3">
      <c r="A562" s="707"/>
      <c r="B562" s="51">
        <v>2020</v>
      </c>
      <c r="C562" s="709" t="s">
        <v>2045</v>
      </c>
      <c r="D562" s="709"/>
      <c r="E562" s="709"/>
      <c r="F562" s="709"/>
      <c r="G562" s="709"/>
      <c r="H562" s="709"/>
      <c r="I562" s="55" t="s">
        <v>350</v>
      </c>
    </row>
    <row r="563" spans="1:9" ht="66.75" customHeight="1" x14ac:dyDescent="0.3">
      <c r="A563" s="707"/>
      <c r="B563" s="51">
        <v>2021</v>
      </c>
      <c r="C563" s="709" t="s">
        <v>2046</v>
      </c>
      <c r="D563" s="709"/>
      <c r="E563" s="709"/>
      <c r="F563" s="709"/>
      <c r="G563" s="709"/>
      <c r="H563" s="709"/>
      <c r="I563" s="485" t="s">
        <v>6</v>
      </c>
    </row>
    <row r="564" spans="1:9" ht="50.1" customHeight="1" x14ac:dyDescent="0.3">
      <c r="A564" s="707"/>
      <c r="B564" s="51">
        <v>2022</v>
      </c>
      <c r="C564" s="709" t="s">
        <v>2046</v>
      </c>
      <c r="D564" s="709"/>
      <c r="E564" s="709"/>
      <c r="F564" s="709"/>
      <c r="G564" s="709"/>
      <c r="H564" s="709"/>
      <c r="I564" s="485" t="s">
        <v>6</v>
      </c>
    </row>
    <row r="565" spans="1:9" ht="55.05" customHeight="1" x14ac:dyDescent="0.3">
      <c r="A565" s="707"/>
      <c r="B565" s="51">
        <v>2023</v>
      </c>
      <c r="C565" s="709" t="s">
        <v>2046</v>
      </c>
      <c r="D565" s="709"/>
      <c r="E565" s="709"/>
      <c r="F565" s="709"/>
      <c r="G565" s="709"/>
      <c r="H565" s="709"/>
      <c r="I565" s="485" t="s">
        <v>6</v>
      </c>
    </row>
    <row r="566" spans="1:9" ht="21" x14ac:dyDescent="0.4">
      <c r="B566" s="6"/>
      <c r="C566" s="18"/>
      <c r="D566" s="20"/>
      <c r="E566" s="20"/>
    </row>
    <row r="567" spans="1:9" ht="21" x14ac:dyDescent="0.4">
      <c r="B567" s="6"/>
      <c r="C567" s="18"/>
      <c r="D567" s="20"/>
      <c r="E567" s="20"/>
    </row>
    <row r="568" spans="1:9" s="46" customFormat="1" ht="17.399999999999999" x14ac:dyDescent="0.3">
      <c r="B568" s="710" t="s">
        <v>2047</v>
      </c>
      <c r="C568" s="710"/>
      <c r="D568" s="45"/>
      <c r="E568" s="45"/>
    </row>
    <row r="569" spans="1:9" ht="20.100000000000001" customHeight="1" x14ac:dyDescent="0.3">
      <c r="A569" s="707"/>
    </row>
    <row r="570" spans="1:9" x14ac:dyDescent="0.3">
      <c r="A570" s="707"/>
      <c r="B570" s="763" t="s">
        <v>2048</v>
      </c>
      <c r="C570" s="763"/>
      <c r="D570" s="763"/>
      <c r="E570" s="763"/>
      <c r="F570" s="763"/>
      <c r="G570" s="763"/>
      <c r="H570" s="763"/>
    </row>
    <row r="571" spans="1:9" ht="20.100000000000001" customHeight="1" x14ac:dyDescent="0.3">
      <c r="A571" s="707"/>
    </row>
    <row r="572" spans="1:9" x14ac:dyDescent="0.3">
      <c r="A572" s="707"/>
      <c r="B572" s="50" t="s">
        <v>344</v>
      </c>
      <c r="C572" s="712" t="s">
        <v>843</v>
      </c>
      <c r="D572" s="712"/>
      <c r="E572" s="712"/>
      <c r="F572" s="712"/>
      <c r="G572" s="712"/>
      <c r="H572" s="712"/>
      <c r="I572" s="49" t="s">
        <v>346</v>
      </c>
    </row>
    <row r="573" spans="1:9" ht="84.6" customHeight="1" x14ac:dyDescent="0.3">
      <c r="A573" s="707"/>
      <c r="B573" s="51">
        <v>2019</v>
      </c>
      <c r="C573" s="709" t="s">
        <v>2049</v>
      </c>
      <c r="D573" s="709"/>
      <c r="E573" s="709"/>
      <c r="F573" s="709"/>
      <c r="G573" s="709"/>
      <c r="H573" s="709"/>
      <c r="I573" s="55" t="s">
        <v>348</v>
      </c>
    </row>
    <row r="574" spans="1:9" ht="109.05" customHeight="1" x14ac:dyDescent="0.3">
      <c r="A574" s="707"/>
      <c r="B574" s="51">
        <v>2020</v>
      </c>
      <c r="C574" s="709" t="s">
        <v>2050</v>
      </c>
      <c r="D574" s="709"/>
      <c r="E574" s="709"/>
      <c r="F574" s="709"/>
      <c r="G574" s="709"/>
      <c r="H574" s="709"/>
      <c r="I574" s="55" t="s">
        <v>350</v>
      </c>
    </row>
    <row r="575" spans="1:9" ht="166.5" customHeight="1" x14ac:dyDescent="0.3">
      <c r="A575" s="707"/>
      <c r="B575" s="51">
        <v>2021</v>
      </c>
      <c r="C575" s="709" t="s">
        <v>2051</v>
      </c>
      <c r="D575" s="709"/>
      <c r="E575" s="709"/>
      <c r="F575" s="709"/>
      <c r="G575" s="709"/>
      <c r="H575" s="709"/>
      <c r="I575" s="485" t="s">
        <v>6</v>
      </c>
    </row>
    <row r="576" spans="1:9" ht="85.5" customHeight="1" x14ac:dyDescent="0.3">
      <c r="B576" s="51">
        <v>2022</v>
      </c>
      <c r="C576" s="709" t="s">
        <v>2052</v>
      </c>
      <c r="D576" s="709"/>
      <c r="E576" s="709"/>
      <c r="F576" s="709"/>
      <c r="G576" s="709"/>
      <c r="H576" s="709"/>
      <c r="I576" s="55" t="s">
        <v>442</v>
      </c>
    </row>
    <row r="577" spans="1:9" ht="95.1" customHeight="1" x14ac:dyDescent="0.3">
      <c r="B577" s="51">
        <v>2023</v>
      </c>
      <c r="C577" s="709" t="s">
        <v>2053</v>
      </c>
      <c r="D577" s="709"/>
      <c r="E577" s="709"/>
      <c r="F577" s="709"/>
      <c r="G577" s="709"/>
      <c r="H577" s="709"/>
      <c r="I577" s="55" t="s">
        <v>442</v>
      </c>
    </row>
    <row r="578" spans="1:9" ht="20.100000000000001" customHeight="1" x14ac:dyDescent="0.3"/>
    <row r="579" spans="1:9" s="46" customFormat="1" ht="17.399999999999999" x14ac:dyDescent="0.3">
      <c r="B579" s="710" t="s">
        <v>2054</v>
      </c>
      <c r="C579" s="710"/>
      <c r="D579" s="45"/>
      <c r="E579" s="45"/>
    </row>
    <row r="580" spans="1:9" x14ac:dyDescent="0.3">
      <c r="A580" s="707"/>
    </row>
    <row r="581" spans="1:9" x14ac:dyDescent="0.3">
      <c r="A581" s="707"/>
      <c r="B581" s="763" t="s">
        <v>2055</v>
      </c>
      <c r="C581" s="763"/>
      <c r="D581" s="763"/>
      <c r="E581" s="763"/>
      <c r="F581" s="763"/>
      <c r="G581" s="763"/>
      <c r="H581" s="763"/>
    </row>
    <row r="582" spans="1:9" x14ac:dyDescent="0.3">
      <c r="A582" s="707"/>
    </row>
    <row r="583" spans="1:9" x14ac:dyDescent="0.3">
      <c r="A583" s="707"/>
      <c r="B583" s="50" t="s">
        <v>344</v>
      </c>
      <c r="C583" s="712" t="s">
        <v>843</v>
      </c>
      <c r="D583" s="712"/>
      <c r="E583" s="712"/>
      <c r="F583" s="712"/>
      <c r="G583" s="712"/>
      <c r="H583" s="712"/>
      <c r="I583" s="49" t="s">
        <v>346</v>
      </c>
    </row>
    <row r="584" spans="1:9" ht="108" customHeight="1" x14ac:dyDescent="0.3">
      <c r="A584" s="707"/>
      <c r="B584" s="51">
        <v>2019</v>
      </c>
      <c r="C584" s="709" t="s">
        <v>2049</v>
      </c>
      <c r="D584" s="709"/>
      <c r="E584" s="709"/>
      <c r="F584" s="709"/>
      <c r="G584" s="709"/>
      <c r="H584" s="709"/>
      <c r="I584" s="55" t="s">
        <v>348</v>
      </c>
    </row>
    <row r="585" spans="1:9" ht="103.5" customHeight="1" x14ac:dyDescent="0.3">
      <c r="A585" s="707"/>
      <c r="B585" s="51">
        <v>2020</v>
      </c>
      <c r="C585" s="709" t="s">
        <v>2050</v>
      </c>
      <c r="D585" s="709"/>
      <c r="E585" s="709"/>
      <c r="F585" s="709"/>
      <c r="G585" s="709"/>
      <c r="H585" s="709"/>
      <c r="I585" s="55" t="s">
        <v>350</v>
      </c>
    </row>
    <row r="586" spans="1:9" ht="178.05" customHeight="1" x14ac:dyDescent="0.3">
      <c r="A586" s="707"/>
      <c r="B586" s="51">
        <v>2021</v>
      </c>
      <c r="C586" s="709" t="s">
        <v>2051</v>
      </c>
      <c r="D586" s="709"/>
      <c r="E586" s="709"/>
      <c r="F586" s="709"/>
      <c r="G586" s="709"/>
      <c r="H586" s="709"/>
      <c r="I586" s="485" t="s">
        <v>6</v>
      </c>
    </row>
    <row r="587" spans="1:9" ht="121.05" customHeight="1" x14ac:dyDescent="0.3">
      <c r="B587" s="51">
        <v>2022</v>
      </c>
      <c r="C587" s="709" t="s">
        <v>2056</v>
      </c>
      <c r="D587" s="709"/>
      <c r="E587" s="709"/>
      <c r="F587" s="709"/>
      <c r="G587" s="709"/>
      <c r="H587" s="709"/>
      <c r="I587" s="55" t="s">
        <v>442</v>
      </c>
    </row>
    <row r="588" spans="1:9" ht="71.55" customHeight="1" x14ac:dyDescent="0.3">
      <c r="B588" s="51">
        <v>2023</v>
      </c>
      <c r="C588" s="709" t="s">
        <v>2057</v>
      </c>
      <c r="D588" s="709"/>
      <c r="E588" s="709"/>
      <c r="F588" s="709"/>
      <c r="G588" s="709"/>
      <c r="H588" s="709"/>
      <c r="I588" s="55" t="s">
        <v>442</v>
      </c>
    </row>
    <row r="589" spans="1:9" ht="20.100000000000001" customHeight="1" x14ac:dyDescent="0.3"/>
    <row r="590" spans="1:9" s="46" customFormat="1" ht="17.399999999999999" x14ac:dyDescent="0.3">
      <c r="B590" s="710" t="s">
        <v>2058</v>
      </c>
      <c r="C590" s="710"/>
      <c r="D590" s="45"/>
      <c r="E590" s="45"/>
    </row>
    <row r="591" spans="1:9" ht="21" x14ac:dyDescent="0.4">
      <c r="A591" s="707"/>
      <c r="B591" s="6"/>
      <c r="C591" s="18"/>
      <c r="D591" s="20"/>
      <c r="E591" s="20"/>
    </row>
    <row r="592" spans="1:9" x14ac:dyDescent="0.3">
      <c r="A592" s="707"/>
      <c r="B592" s="763" t="s">
        <v>2059</v>
      </c>
      <c r="C592" s="763"/>
      <c r="D592" s="763"/>
      <c r="E592" s="763"/>
      <c r="F592" s="763"/>
      <c r="G592" s="763"/>
      <c r="H592" s="763"/>
    </row>
    <row r="593" spans="1:9" ht="21" x14ac:dyDescent="0.4">
      <c r="A593" s="707"/>
      <c r="B593" s="6"/>
      <c r="C593" s="18"/>
      <c r="D593" s="20"/>
      <c r="E593" s="20"/>
    </row>
    <row r="594" spans="1:9" x14ac:dyDescent="0.3">
      <c r="A594" s="707"/>
      <c r="B594" s="725" t="s">
        <v>344</v>
      </c>
      <c r="C594" s="712" t="s">
        <v>843</v>
      </c>
      <c r="D594" s="712"/>
      <c r="E594" s="712"/>
      <c r="F594" s="712"/>
      <c r="G594" s="712"/>
      <c r="H594" s="712"/>
      <c r="I594" s="725" t="s">
        <v>346</v>
      </c>
    </row>
    <row r="595" spans="1:9" x14ac:dyDescent="0.3">
      <c r="A595" s="707"/>
      <c r="B595" s="725"/>
      <c r="C595" s="712" t="s">
        <v>2060</v>
      </c>
      <c r="D595" s="712"/>
      <c r="E595" s="712"/>
      <c r="F595" s="712"/>
      <c r="G595" s="712"/>
      <c r="H595" s="712"/>
      <c r="I595" s="725"/>
    </row>
    <row r="596" spans="1:9" ht="18.600000000000001" customHeight="1" x14ac:dyDescent="0.3">
      <c r="A596" s="707"/>
      <c r="B596" s="725"/>
      <c r="C596" s="780" t="s">
        <v>2061</v>
      </c>
      <c r="D596" s="780"/>
      <c r="E596" s="780"/>
      <c r="F596" s="780" t="s">
        <v>2062</v>
      </c>
      <c r="G596" s="780"/>
      <c r="H596" s="780"/>
      <c r="I596" s="725"/>
    </row>
    <row r="597" spans="1:9" ht="45" customHeight="1" x14ac:dyDescent="0.3">
      <c r="A597" s="707"/>
      <c r="B597" s="51">
        <v>2019</v>
      </c>
      <c r="C597" s="779">
        <v>0.28999999999999998</v>
      </c>
      <c r="D597" s="779"/>
      <c r="E597" s="779"/>
      <c r="F597" s="779">
        <v>0.5</v>
      </c>
      <c r="G597" s="779"/>
      <c r="H597" s="779"/>
      <c r="I597" s="55" t="s">
        <v>348</v>
      </c>
    </row>
    <row r="598" spans="1:9" ht="45" customHeight="1" x14ac:dyDescent="0.3">
      <c r="A598" s="707"/>
      <c r="B598" s="51">
        <v>2020</v>
      </c>
      <c r="C598" s="779">
        <v>0.63</v>
      </c>
      <c r="D598" s="779"/>
      <c r="E598" s="779"/>
      <c r="F598" s="779">
        <v>0.69</v>
      </c>
      <c r="G598" s="779"/>
      <c r="H598" s="779"/>
      <c r="I598" s="55" t="s">
        <v>350</v>
      </c>
    </row>
    <row r="599" spans="1:9" ht="45" customHeight="1" x14ac:dyDescent="0.3">
      <c r="A599" s="707"/>
      <c r="B599" s="51">
        <v>2021</v>
      </c>
      <c r="C599" s="779">
        <v>0.98</v>
      </c>
      <c r="D599" s="779"/>
      <c r="E599" s="779"/>
      <c r="F599" s="779">
        <v>0.79</v>
      </c>
      <c r="G599" s="779"/>
      <c r="H599" s="779"/>
      <c r="I599" s="485" t="s">
        <v>6</v>
      </c>
    </row>
    <row r="600" spans="1:9" ht="45" customHeight="1" x14ac:dyDescent="0.3">
      <c r="A600" s="707"/>
      <c r="B600" s="51">
        <v>2022</v>
      </c>
      <c r="C600" s="779">
        <v>1</v>
      </c>
      <c r="D600" s="779"/>
      <c r="E600" s="779"/>
      <c r="F600" s="779">
        <v>0.96850000000000003</v>
      </c>
      <c r="G600" s="779"/>
      <c r="H600" s="779"/>
      <c r="I600" s="485" t="s">
        <v>6</v>
      </c>
    </row>
    <row r="601" spans="1:9" ht="45" customHeight="1" x14ac:dyDescent="0.3">
      <c r="A601" s="707"/>
      <c r="B601" s="51">
        <v>2023</v>
      </c>
      <c r="C601" s="779">
        <v>0.99</v>
      </c>
      <c r="D601" s="779"/>
      <c r="E601" s="779"/>
      <c r="F601" s="779">
        <v>1</v>
      </c>
      <c r="G601" s="779"/>
      <c r="H601" s="779"/>
      <c r="I601" s="485" t="s">
        <v>6</v>
      </c>
    </row>
    <row r="602" spans="1:9" ht="21" x14ac:dyDescent="0.4">
      <c r="B602" s="6"/>
      <c r="C602" s="18"/>
      <c r="D602" s="20"/>
      <c r="E602" s="20"/>
    </row>
    <row r="604" spans="1:9" s="46" customFormat="1" ht="17.399999999999999" x14ac:dyDescent="0.3">
      <c r="B604" s="710" t="s">
        <v>2063</v>
      </c>
      <c r="C604" s="710"/>
      <c r="D604" s="45"/>
      <c r="E604" s="45"/>
    </row>
    <row r="605" spans="1:9" x14ac:dyDescent="0.3">
      <c r="A605" s="707"/>
    </row>
    <row r="606" spans="1:9" x14ac:dyDescent="0.3">
      <c r="A606" s="707"/>
      <c r="B606" s="763" t="s">
        <v>2064</v>
      </c>
      <c r="C606" s="763"/>
      <c r="D606" s="763"/>
      <c r="E606" s="763"/>
      <c r="F606" s="763"/>
      <c r="G606" s="763"/>
      <c r="H606" s="763"/>
    </row>
    <row r="607" spans="1:9" ht="19.5" customHeight="1" x14ac:dyDescent="0.3">
      <c r="A607" s="707"/>
    </row>
    <row r="608" spans="1:9" x14ac:dyDescent="0.3">
      <c r="A608" s="707"/>
      <c r="B608" s="50" t="s">
        <v>344</v>
      </c>
      <c r="C608" s="712" t="s">
        <v>843</v>
      </c>
      <c r="D608" s="712"/>
      <c r="E608" s="712"/>
      <c r="F608" s="712"/>
      <c r="G608" s="712"/>
      <c r="H608" s="712"/>
      <c r="I608" s="49" t="s">
        <v>346</v>
      </c>
    </row>
    <row r="609" spans="1:9" s="7" customFormat="1" ht="40.5" customHeight="1" x14ac:dyDescent="0.3">
      <c r="A609" s="707"/>
      <c r="B609" s="51">
        <v>2019</v>
      </c>
      <c r="C609" s="709" t="s">
        <v>2065</v>
      </c>
      <c r="D609" s="709"/>
      <c r="E609" s="709"/>
      <c r="F609" s="709"/>
      <c r="G609" s="709"/>
      <c r="H609" s="709"/>
      <c r="I609" s="55" t="s">
        <v>348</v>
      </c>
    </row>
    <row r="610" spans="1:9" ht="55.05" customHeight="1" x14ac:dyDescent="0.3">
      <c r="A610" s="707"/>
      <c r="B610" s="51">
        <v>2020</v>
      </c>
      <c r="C610" s="709" t="s">
        <v>2066</v>
      </c>
      <c r="D610" s="709"/>
      <c r="E610" s="709"/>
      <c r="F610" s="709"/>
      <c r="G610" s="709"/>
      <c r="H610" s="709"/>
      <c r="I610" s="485" t="s">
        <v>6</v>
      </c>
    </row>
    <row r="611" spans="1:9" ht="55.05" customHeight="1" x14ac:dyDescent="0.3">
      <c r="A611" s="707"/>
      <c r="B611" s="51">
        <v>2021</v>
      </c>
      <c r="C611" s="709" t="s">
        <v>2067</v>
      </c>
      <c r="D611" s="709"/>
      <c r="E611" s="709"/>
      <c r="F611" s="709"/>
      <c r="G611" s="709"/>
      <c r="H611" s="709"/>
      <c r="I611" s="55" t="s">
        <v>442</v>
      </c>
    </row>
    <row r="612" spans="1:9" ht="70.05" customHeight="1" x14ac:dyDescent="0.3">
      <c r="A612" s="707"/>
      <c r="B612" s="51">
        <v>2022</v>
      </c>
      <c r="C612" s="709" t="s">
        <v>2068</v>
      </c>
      <c r="D612" s="709"/>
      <c r="E612" s="709"/>
      <c r="F612" s="709"/>
      <c r="G612" s="709"/>
      <c r="H612" s="709"/>
      <c r="I612" s="55" t="s">
        <v>442</v>
      </c>
    </row>
    <row r="613" spans="1:9" ht="58.05" customHeight="1" x14ac:dyDescent="0.3">
      <c r="A613" s="707"/>
      <c r="B613" s="51">
        <v>2023</v>
      </c>
      <c r="C613" s="709" t="s">
        <v>2069</v>
      </c>
      <c r="D613" s="709"/>
      <c r="E613" s="709"/>
      <c r="F613" s="709"/>
      <c r="G613" s="709"/>
      <c r="H613" s="709"/>
      <c r="I613" s="55" t="s">
        <v>442</v>
      </c>
    </row>
    <row r="614" spans="1:9" ht="34.5" customHeight="1" x14ac:dyDescent="0.3">
      <c r="A614" s="707"/>
      <c r="B614" s="709" t="s">
        <v>2070</v>
      </c>
      <c r="C614" s="709"/>
      <c r="D614" s="709"/>
      <c r="E614" s="709"/>
      <c r="F614" s="709"/>
      <c r="G614" s="709"/>
      <c r="H614" s="709"/>
      <c r="I614" s="709"/>
    </row>
    <row r="615" spans="1:9" ht="20.100000000000001" customHeight="1" x14ac:dyDescent="0.3"/>
    <row r="616" spans="1:9" ht="20.100000000000001" customHeight="1" x14ac:dyDescent="0.3"/>
    <row r="617" spans="1:9" s="46" customFormat="1" ht="17.399999999999999" x14ac:dyDescent="0.3">
      <c r="B617" s="710" t="s">
        <v>2071</v>
      </c>
      <c r="C617" s="710"/>
      <c r="D617" s="45"/>
      <c r="E617" s="45"/>
    </row>
    <row r="618" spans="1:9" x14ac:dyDescent="0.3">
      <c r="A618" s="707"/>
    </row>
    <row r="619" spans="1:9" x14ac:dyDescent="0.3">
      <c r="A619" s="707"/>
      <c r="B619" s="763" t="s">
        <v>2072</v>
      </c>
      <c r="C619" s="763"/>
      <c r="D619" s="763"/>
      <c r="E619" s="763"/>
      <c r="F619" s="763"/>
      <c r="G619" s="763"/>
      <c r="H619" s="763"/>
    </row>
    <row r="620" spans="1:9" ht="24.6" customHeight="1" x14ac:dyDescent="0.3">
      <c r="A620" s="707"/>
    </row>
    <row r="621" spans="1:9" x14ac:dyDescent="0.3">
      <c r="A621" s="707"/>
      <c r="B621" s="50" t="s">
        <v>344</v>
      </c>
      <c r="C621" s="712" t="s">
        <v>843</v>
      </c>
      <c r="D621" s="712"/>
      <c r="E621" s="712"/>
      <c r="F621" s="712"/>
      <c r="G621" s="712"/>
      <c r="H621" s="712"/>
      <c r="I621" s="49" t="s">
        <v>346</v>
      </c>
    </row>
    <row r="622" spans="1:9" ht="62.1" customHeight="1" x14ac:dyDescent="0.3">
      <c r="A622" s="707"/>
      <c r="B622" s="51">
        <v>2019</v>
      </c>
      <c r="C622" s="709" t="s">
        <v>2073</v>
      </c>
      <c r="D622" s="709"/>
      <c r="E622" s="709"/>
      <c r="F622" s="709"/>
      <c r="G622" s="709"/>
      <c r="H622" s="709"/>
      <c r="I622" s="55" t="s">
        <v>348</v>
      </c>
    </row>
    <row r="623" spans="1:9" ht="95.55" customHeight="1" x14ac:dyDescent="0.3">
      <c r="A623" s="707"/>
      <c r="B623" s="51">
        <v>2020</v>
      </c>
      <c r="C623" s="709" t="s">
        <v>2074</v>
      </c>
      <c r="D623" s="709"/>
      <c r="E623" s="709"/>
      <c r="F623" s="709"/>
      <c r="G623" s="709"/>
      <c r="H623" s="709"/>
      <c r="I623" s="55" t="s">
        <v>350</v>
      </c>
    </row>
    <row r="624" spans="1:9" ht="168.6" customHeight="1" x14ac:dyDescent="0.3">
      <c r="A624" s="707"/>
      <c r="B624" s="51">
        <v>2021</v>
      </c>
      <c r="C624" s="709" t="s">
        <v>2075</v>
      </c>
      <c r="D624" s="709"/>
      <c r="E624" s="709"/>
      <c r="F624" s="709"/>
      <c r="G624" s="709"/>
      <c r="H624" s="709"/>
      <c r="I624" s="55" t="s">
        <v>442</v>
      </c>
    </row>
    <row r="625" spans="1:9" ht="290.55" customHeight="1" x14ac:dyDescent="0.3">
      <c r="B625" s="51">
        <v>2022</v>
      </c>
      <c r="C625" s="709" t="s">
        <v>2076</v>
      </c>
      <c r="D625" s="709"/>
      <c r="E625" s="709"/>
      <c r="F625" s="709"/>
      <c r="G625" s="709"/>
      <c r="H625" s="709"/>
      <c r="I625" s="55" t="s">
        <v>442</v>
      </c>
    </row>
    <row r="626" spans="1:9" ht="284.55" customHeight="1" x14ac:dyDescent="0.3">
      <c r="B626" s="51">
        <v>2023</v>
      </c>
      <c r="C626" s="709" t="s">
        <v>2077</v>
      </c>
      <c r="D626" s="709"/>
      <c r="E626" s="709"/>
      <c r="F626" s="709"/>
      <c r="G626" s="709"/>
      <c r="H626" s="709"/>
      <c r="I626" s="55" t="s">
        <v>442</v>
      </c>
    </row>
    <row r="627" spans="1:9" ht="20.100000000000001" customHeight="1" x14ac:dyDescent="0.3"/>
    <row r="628" spans="1:9" s="46" customFormat="1" ht="17.399999999999999" x14ac:dyDescent="0.3">
      <c r="B628" s="710" t="s">
        <v>2078</v>
      </c>
      <c r="C628" s="710"/>
      <c r="D628" s="45"/>
      <c r="E628" s="45"/>
    </row>
    <row r="629" spans="1:9" ht="21" x14ac:dyDescent="0.4">
      <c r="A629" s="707"/>
      <c r="B629" s="6"/>
      <c r="C629" s="18"/>
      <c r="D629" s="20"/>
      <c r="E629" s="20"/>
    </row>
    <row r="630" spans="1:9" x14ac:dyDescent="0.3">
      <c r="A630" s="707"/>
      <c r="B630" s="763" t="s">
        <v>2079</v>
      </c>
      <c r="C630" s="763"/>
      <c r="D630" s="763"/>
      <c r="E630" s="763"/>
      <c r="F630" s="763"/>
      <c r="G630" s="763"/>
      <c r="H630" s="763"/>
    </row>
    <row r="631" spans="1:9" ht="21" x14ac:dyDescent="0.4">
      <c r="A631" s="707"/>
      <c r="B631" s="6"/>
      <c r="C631" s="18"/>
      <c r="D631" s="20"/>
      <c r="E631" s="20"/>
    </row>
    <row r="632" spans="1:9" x14ac:dyDescent="0.3">
      <c r="A632" s="707"/>
      <c r="B632" s="50" t="s">
        <v>344</v>
      </c>
      <c r="C632" s="712" t="s">
        <v>843</v>
      </c>
      <c r="D632" s="712"/>
      <c r="E632" s="712"/>
      <c r="F632" s="712"/>
      <c r="G632" s="712"/>
      <c r="H632" s="712"/>
      <c r="I632" s="49" t="s">
        <v>346</v>
      </c>
    </row>
    <row r="633" spans="1:9" ht="50.1" customHeight="1" x14ac:dyDescent="0.3">
      <c r="A633" s="707"/>
      <c r="B633" s="51">
        <v>2019</v>
      </c>
      <c r="C633" s="709" t="s">
        <v>2080</v>
      </c>
      <c r="D633" s="709"/>
      <c r="E633" s="709"/>
      <c r="F633" s="709"/>
      <c r="G633" s="709"/>
      <c r="H633" s="709"/>
      <c r="I633" s="55" t="s">
        <v>348</v>
      </c>
    </row>
    <row r="634" spans="1:9" ht="61.5" customHeight="1" x14ac:dyDescent="0.3">
      <c r="A634" s="707"/>
      <c r="B634" s="51">
        <v>2020</v>
      </c>
      <c r="C634" s="709" t="s">
        <v>2081</v>
      </c>
      <c r="D634" s="709"/>
      <c r="E634" s="709"/>
      <c r="F634" s="709"/>
      <c r="G634" s="709"/>
      <c r="H634" s="709"/>
      <c r="I634" s="55" t="s">
        <v>350</v>
      </c>
    </row>
    <row r="635" spans="1:9" ht="158.55000000000001" customHeight="1" x14ac:dyDescent="0.3">
      <c r="A635" s="707"/>
      <c r="B635" s="51">
        <v>2021</v>
      </c>
      <c r="C635" s="709" t="s">
        <v>2082</v>
      </c>
      <c r="D635" s="709"/>
      <c r="E635" s="709"/>
      <c r="F635" s="709"/>
      <c r="G635" s="709"/>
      <c r="H635" s="709"/>
      <c r="I635" s="55" t="s">
        <v>442</v>
      </c>
    </row>
    <row r="636" spans="1:9" ht="269.10000000000002" customHeight="1" x14ac:dyDescent="0.3">
      <c r="B636" s="51">
        <v>2022</v>
      </c>
      <c r="C636" s="709" t="s">
        <v>2083</v>
      </c>
      <c r="D636" s="709"/>
      <c r="E636" s="709"/>
      <c r="F636" s="709"/>
      <c r="G636" s="709"/>
      <c r="H636" s="709"/>
      <c r="I636" s="55" t="s">
        <v>442</v>
      </c>
    </row>
    <row r="637" spans="1:9" ht="182.1" customHeight="1" x14ac:dyDescent="0.3">
      <c r="B637" s="51">
        <v>2023</v>
      </c>
      <c r="C637" s="709" t="s">
        <v>2084</v>
      </c>
      <c r="D637" s="709"/>
      <c r="E637" s="709"/>
      <c r="F637" s="709"/>
      <c r="G637" s="709"/>
      <c r="H637" s="709"/>
      <c r="I637" s="55" t="s">
        <v>442</v>
      </c>
    </row>
    <row r="638" spans="1:9" ht="21" x14ac:dyDescent="0.4">
      <c r="B638" s="6"/>
      <c r="C638" s="18"/>
      <c r="D638" s="20"/>
      <c r="E638" s="20"/>
    </row>
    <row r="639" spans="1:9" s="46" customFormat="1" ht="17.399999999999999" x14ac:dyDescent="0.3">
      <c r="B639" s="710" t="s">
        <v>2085</v>
      </c>
      <c r="C639" s="710"/>
      <c r="D639" s="45"/>
      <c r="E639" s="45"/>
    </row>
    <row r="640" spans="1:9" ht="21" x14ac:dyDescent="0.4">
      <c r="A640" s="707"/>
      <c r="B640" s="6"/>
      <c r="C640" s="18"/>
      <c r="D640" s="20"/>
      <c r="E640" s="20"/>
    </row>
    <row r="641" spans="1:9" ht="19.05" customHeight="1" x14ac:dyDescent="0.3">
      <c r="A641" s="707"/>
      <c r="B641" s="763" t="s">
        <v>2086</v>
      </c>
      <c r="C641" s="763"/>
      <c r="D641" s="763"/>
      <c r="E641" s="763"/>
      <c r="F641" s="763"/>
      <c r="G641" s="763"/>
      <c r="H641" s="763"/>
      <c r="I641" s="48"/>
    </row>
    <row r="642" spans="1:9" ht="21" x14ac:dyDescent="0.4">
      <c r="A642" s="707"/>
      <c r="B642" s="6"/>
      <c r="C642" s="18"/>
      <c r="D642" s="20"/>
      <c r="E642" s="20"/>
    </row>
    <row r="643" spans="1:9" x14ac:dyDescent="0.3">
      <c r="A643" s="707"/>
      <c r="B643" s="50" t="s">
        <v>344</v>
      </c>
      <c r="C643" s="712" t="s">
        <v>843</v>
      </c>
      <c r="D643" s="712"/>
      <c r="E643" s="712"/>
      <c r="F643" s="712"/>
      <c r="G643" s="712"/>
      <c r="H643" s="712"/>
      <c r="I643" s="49" t="s">
        <v>346</v>
      </c>
    </row>
    <row r="644" spans="1:9" ht="102.6" customHeight="1" x14ac:dyDescent="0.3">
      <c r="A644" s="707"/>
      <c r="B644" s="51">
        <v>2019</v>
      </c>
      <c r="C644" s="709" t="s">
        <v>2087</v>
      </c>
      <c r="D644" s="709"/>
      <c r="E644" s="709"/>
      <c r="F644" s="709"/>
      <c r="G644" s="709"/>
      <c r="H644" s="709"/>
      <c r="I644" s="485" t="s">
        <v>6</v>
      </c>
    </row>
    <row r="645" spans="1:9" ht="113.55" customHeight="1" x14ac:dyDescent="0.3">
      <c r="A645" s="707"/>
      <c r="B645" s="51">
        <v>2020</v>
      </c>
      <c r="C645" s="709" t="s">
        <v>2088</v>
      </c>
      <c r="D645" s="709"/>
      <c r="E645" s="709"/>
      <c r="F645" s="709"/>
      <c r="G645" s="709"/>
      <c r="H645" s="709"/>
      <c r="I645" s="55" t="s">
        <v>350</v>
      </c>
    </row>
    <row r="646" spans="1:9" ht="114.6" customHeight="1" x14ac:dyDescent="0.3">
      <c r="A646" s="707"/>
      <c r="B646" s="51">
        <v>2021</v>
      </c>
      <c r="C646" s="709" t="s">
        <v>2089</v>
      </c>
      <c r="D646" s="709"/>
      <c r="E646" s="709"/>
      <c r="F646" s="709"/>
      <c r="G646" s="709"/>
      <c r="H646" s="709"/>
      <c r="I646" s="485" t="s">
        <v>6</v>
      </c>
    </row>
    <row r="647" spans="1:9" ht="75" customHeight="1" x14ac:dyDescent="0.3">
      <c r="B647" s="51">
        <v>2022</v>
      </c>
      <c r="C647" s="709" t="s">
        <v>2089</v>
      </c>
      <c r="D647" s="709"/>
      <c r="E647" s="709"/>
      <c r="F647" s="709"/>
      <c r="G647" s="709"/>
      <c r="H647" s="709"/>
      <c r="I647" s="485" t="s">
        <v>6</v>
      </c>
    </row>
    <row r="648" spans="1:9" ht="90" customHeight="1" x14ac:dyDescent="0.3">
      <c r="B648" s="51">
        <v>2023</v>
      </c>
      <c r="C648" s="709" t="s">
        <v>2090</v>
      </c>
      <c r="D648" s="709"/>
      <c r="E648" s="709"/>
      <c r="F648" s="709"/>
      <c r="G648" s="709"/>
      <c r="H648" s="709"/>
      <c r="I648" s="485" t="s">
        <v>6</v>
      </c>
    </row>
    <row r="651" spans="1:9" s="46" customFormat="1" ht="17.399999999999999" x14ac:dyDescent="0.3">
      <c r="B651" s="710" t="s">
        <v>2091</v>
      </c>
      <c r="C651" s="710"/>
      <c r="D651" s="45"/>
      <c r="E651" s="45"/>
    </row>
    <row r="652" spans="1:9" ht="21" x14ac:dyDescent="0.4">
      <c r="A652" s="707"/>
      <c r="B652" s="6"/>
      <c r="C652" s="18"/>
      <c r="D652" s="20"/>
      <c r="E652" s="20"/>
    </row>
    <row r="653" spans="1:9" x14ac:dyDescent="0.3">
      <c r="A653" s="707"/>
      <c r="B653" s="763" t="s">
        <v>2092</v>
      </c>
      <c r="C653" s="763"/>
      <c r="D653" s="763"/>
      <c r="E653" s="763"/>
      <c r="F653" s="763"/>
      <c r="G653" s="763"/>
      <c r="H653" s="763"/>
      <c r="I653" s="48"/>
    </row>
    <row r="654" spans="1:9" ht="21" x14ac:dyDescent="0.4">
      <c r="A654" s="707"/>
      <c r="B654" s="6"/>
      <c r="C654" s="18"/>
      <c r="D654" s="20"/>
      <c r="E654" s="20"/>
    </row>
    <row r="655" spans="1:9" x14ac:dyDescent="0.3">
      <c r="A655" s="707"/>
      <c r="B655" s="50" t="s">
        <v>344</v>
      </c>
      <c r="C655" s="712" t="s">
        <v>843</v>
      </c>
      <c r="D655" s="712"/>
      <c r="E655" s="712"/>
      <c r="F655" s="712"/>
      <c r="G655" s="712"/>
      <c r="H655" s="712"/>
      <c r="I655" s="49" t="s">
        <v>346</v>
      </c>
    </row>
    <row r="656" spans="1:9" ht="90" customHeight="1" x14ac:dyDescent="0.3">
      <c r="A656" s="707"/>
      <c r="B656" s="51">
        <v>2019</v>
      </c>
      <c r="C656" s="709" t="s">
        <v>2093</v>
      </c>
      <c r="D656" s="709"/>
      <c r="E656" s="709"/>
      <c r="F656" s="709"/>
      <c r="G656" s="709"/>
      <c r="H656" s="709"/>
      <c r="I656" s="485" t="s">
        <v>6</v>
      </c>
    </row>
    <row r="657" spans="1:9" ht="90" customHeight="1" x14ac:dyDescent="0.3">
      <c r="A657" s="707"/>
      <c r="B657" s="51">
        <v>2020</v>
      </c>
      <c r="C657" s="709" t="s">
        <v>2094</v>
      </c>
      <c r="D657" s="709"/>
      <c r="E657" s="709"/>
      <c r="F657" s="709"/>
      <c r="G657" s="709"/>
      <c r="H657" s="709"/>
      <c r="I657" s="55" t="s">
        <v>350</v>
      </c>
    </row>
    <row r="658" spans="1:9" ht="52.05" customHeight="1" x14ac:dyDescent="0.3">
      <c r="A658" s="707"/>
      <c r="B658" s="51">
        <v>2021</v>
      </c>
      <c r="C658" s="709" t="s">
        <v>2095</v>
      </c>
      <c r="D658" s="709"/>
      <c r="E658" s="709"/>
      <c r="F658" s="709"/>
      <c r="G658" s="709"/>
      <c r="H658" s="709"/>
      <c r="I658" s="485" t="s">
        <v>6</v>
      </c>
    </row>
    <row r="659" spans="1:9" ht="45" customHeight="1" x14ac:dyDescent="0.3">
      <c r="A659" s="707"/>
      <c r="B659" s="51">
        <v>2022</v>
      </c>
      <c r="C659" s="709" t="s">
        <v>2095</v>
      </c>
      <c r="D659" s="709"/>
      <c r="E659" s="709"/>
      <c r="F659" s="709"/>
      <c r="G659" s="709"/>
      <c r="H659" s="709"/>
      <c r="I659" s="485" t="s">
        <v>6</v>
      </c>
    </row>
    <row r="660" spans="1:9" ht="60" customHeight="1" x14ac:dyDescent="0.3">
      <c r="A660" s="707"/>
      <c r="B660" s="51">
        <v>2023</v>
      </c>
      <c r="C660" s="709" t="s">
        <v>2095</v>
      </c>
      <c r="D660" s="709"/>
      <c r="E660" s="709"/>
      <c r="F660" s="709"/>
      <c r="G660" s="709"/>
      <c r="H660" s="709"/>
      <c r="I660" s="485" t="s">
        <v>6</v>
      </c>
    </row>
    <row r="661" spans="1:9" ht="20.100000000000001" customHeight="1" x14ac:dyDescent="0.3"/>
    <row r="662" spans="1:9" ht="20.100000000000001" customHeight="1" x14ac:dyDescent="0.3"/>
    <row r="663" spans="1:9" s="46" customFormat="1" ht="17.399999999999999" x14ac:dyDescent="0.3">
      <c r="B663" s="710" t="s">
        <v>2096</v>
      </c>
      <c r="C663" s="710"/>
      <c r="D663" s="45"/>
      <c r="E663" s="45"/>
    </row>
    <row r="664" spans="1:9" ht="21" x14ac:dyDescent="0.4">
      <c r="A664" s="707"/>
      <c r="B664" s="6"/>
      <c r="C664" s="18"/>
      <c r="D664" s="20"/>
      <c r="E664" s="20"/>
    </row>
    <row r="665" spans="1:9" ht="28.05" customHeight="1" x14ac:dyDescent="0.3">
      <c r="A665" s="707"/>
      <c r="B665" s="763" t="s">
        <v>2097</v>
      </c>
      <c r="C665" s="763"/>
      <c r="D665" s="763"/>
      <c r="E665" s="763"/>
      <c r="F665" s="763"/>
    </row>
    <row r="666" spans="1:9" ht="21" x14ac:dyDescent="0.4">
      <c r="A666" s="707"/>
      <c r="B666" s="6"/>
      <c r="C666" s="18"/>
      <c r="D666" s="20"/>
      <c r="E666" s="20"/>
    </row>
    <row r="667" spans="1:9" x14ac:dyDescent="0.3">
      <c r="A667" s="707"/>
      <c r="B667" s="50" t="s">
        <v>344</v>
      </c>
      <c r="C667" s="712" t="s">
        <v>843</v>
      </c>
      <c r="D667" s="712"/>
      <c r="E667" s="712"/>
      <c r="F667" s="712"/>
      <c r="G667" s="712"/>
      <c r="H667" s="712"/>
      <c r="I667" s="49" t="s">
        <v>346</v>
      </c>
    </row>
    <row r="668" spans="1:9" ht="45" customHeight="1" x14ac:dyDescent="0.3">
      <c r="A668" s="707"/>
      <c r="B668" s="51">
        <v>2019</v>
      </c>
      <c r="C668" s="713" t="s">
        <v>2098</v>
      </c>
      <c r="D668" s="713"/>
      <c r="E668" s="713"/>
      <c r="F668" s="713"/>
      <c r="G668" s="713"/>
      <c r="H668" s="713"/>
      <c r="I668" s="55" t="s">
        <v>348</v>
      </c>
    </row>
    <row r="669" spans="1:9" ht="45" customHeight="1" x14ac:dyDescent="0.3">
      <c r="A669" s="707"/>
      <c r="B669" s="51">
        <v>2020</v>
      </c>
      <c r="C669" s="713" t="s">
        <v>2098</v>
      </c>
      <c r="D669" s="713"/>
      <c r="E669" s="713"/>
      <c r="F669" s="713"/>
      <c r="G669" s="713"/>
      <c r="H669" s="713"/>
      <c r="I669" s="485" t="s">
        <v>6</v>
      </c>
    </row>
    <row r="670" spans="1:9" ht="45" customHeight="1" x14ac:dyDescent="0.3">
      <c r="A670" s="707"/>
      <c r="B670" s="51">
        <v>2021</v>
      </c>
      <c r="C670" s="713" t="s">
        <v>2098</v>
      </c>
      <c r="D670" s="713"/>
      <c r="E670" s="713"/>
      <c r="F670" s="713"/>
      <c r="G670" s="713"/>
      <c r="H670" s="713"/>
      <c r="I670" s="485" t="s">
        <v>6</v>
      </c>
    </row>
    <row r="671" spans="1:9" ht="45" customHeight="1" x14ac:dyDescent="0.3">
      <c r="A671" s="707"/>
      <c r="B671" s="51">
        <v>2022</v>
      </c>
      <c r="C671" s="713" t="s">
        <v>2098</v>
      </c>
      <c r="D671" s="713"/>
      <c r="E671" s="713"/>
      <c r="F671" s="713"/>
      <c r="G671" s="713"/>
      <c r="H671" s="713"/>
      <c r="I671" s="485" t="s">
        <v>6</v>
      </c>
    </row>
    <row r="672" spans="1:9" ht="45" customHeight="1" x14ac:dyDescent="0.3">
      <c r="A672" s="707"/>
      <c r="B672" s="51">
        <v>2023</v>
      </c>
      <c r="C672" s="713" t="s">
        <v>2098</v>
      </c>
      <c r="D672" s="713"/>
      <c r="E672" s="713"/>
      <c r="F672" s="713"/>
      <c r="G672" s="713"/>
      <c r="H672" s="713"/>
      <c r="I672" s="485" t="s">
        <v>6</v>
      </c>
    </row>
    <row r="675" spans="1:6" s="46" customFormat="1" ht="17.399999999999999" x14ac:dyDescent="0.3">
      <c r="B675" s="710" t="s">
        <v>2099</v>
      </c>
      <c r="C675" s="710"/>
      <c r="D675" s="45"/>
      <c r="E675" s="45"/>
    </row>
    <row r="676" spans="1:6" ht="20.100000000000001" customHeight="1" x14ac:dyDescent="0.3">
      <c r="A676" s="707"/>
      <c r="B676" s="178"/>
      <c r="C676" s="178"/>
      <c r="D676" s="178"/>
    </row>
    <row r="677" spans="1:6" x14ac:dyDescent="0.3">
      <c r="A677" s="707"/>
      <c r="B677" s="763" t="s">
        <v>2100</v>
      </c>
      <c r="C677" s="763"/>
      <c r="D677" s="763"/>
      <c r="E677" s="763"/>
      <c r="F677" s="763"/>
    </row>
    <row r="678" spans="1:6" x14ac:dyDescent="0.3">
      <c r="A678" s="707"/>
      <c r="B678" s="178"/>
      <c r="C678" s="178"/>
      <c r="D678" s="178"/>
    </row>
    <row r="679" spans="1:6" x14ac:dyDescent="0.3">
      <c r="A679" s="707"/>
      <c r="B679" s="763" t="s">
        <v>2101</v>
      </c>
      <c r="C679" s="763"/>
      <c r="D679" s="763"/>
      <c r="E679" s="763"/>
      <c r="F679" s="763"/>
    </row>
    <row r="680" spans="1:6" x14ac:dyDescent="0.3">
      <c r="A680" s="707"/>
      <c r="B680" s="178"/>
      <c r="C680" s="178"/>
      <c r="D680" s="178"/>
    </row>
    <row r="681" spans="1:6" ht="18" customHeight="1" x14ac:dyDescent="0.3">
      <c r="A681" s="707"/>
      <c r="B681" s="751" t="s">
        <v>2102</v>
      </c>
      <c r="C681" s="752"/>
      <c r="D681" s="752"/>
      <c r="E681" s="752"/>
      <c r="F681" s="752"/>
    </row>
    <row r="682" spans="1:6" x14ac:dyDescent="0.3">
      <c r="A682" s="707"/>
      <c r="B682" s="290" t="s">
        <v>476</v>
      </c>
      <c r="C682" s="291">
        <v>2020</v>
      </c>
      <c r="D682" s="291">
        <v>2021</v>
      </c>
      <c r="E682" s="291">
        <v>2022</v>
      </c>
      <c r="F682" s="291">
        <v>2023</v>
      </c>
    </row>
    <row r="683" spans="1:6" x14ac:dyDescent="0.3">
      <c r="A683" s="707"/>
      <c r="B683" s="158" t="s">
        <v>484</v>
      </c>
      <c r="C683" s="580" t="s">
        <v>2103</v>
      </c>
      <c r="D683" s="580" t="s">
        <v>2104</v>
      </c>
      <c r="E683" s="580" t="s">
        <v>2105</v>
      </c>
      <c r="F683" s="580" t="s">
        <v>485</v>
      </c>
    </row>
    <row r="684" spans="1:6" x14ac:dyDescent="0.3">
      <c r="A684" s="707"/>
      <c r="B684" s="158" t="s">
        <v>495</v>
      </c>
      <c r="C684" s="580" t="s">
        <v>2106</v>
      </c>
      <c r="D684" s="580" t="s">
        <v>2107</v>
      </c>
      <c r="E684" s="580" t="s">
        <v>2108</v>
      </c>
      <c r="F684" s="580" t="s">
        <v>496</v>
      </c>
    </row>
    <row r="685" spans="1:6" x14ac:dyDescent="0.3">
      <c r="A685" s="707"/>
      <c r="B685" s="158" t="s">
        <v>510</v>
      </c>
      <c r="C685" s="580" t="s">
        <v>2109</v>
      </c>
      <c r="D685" s="580" t="s">
        <v>2110</v>
      </c>
      <c r="E685" s="580" t="s">
        <v>2111</v>
      </c>
      <c r="F685" s="580" t="s">
        <v>511</v>
      </c>
    </row>
    <row r="686" spans="1:6" x14ac:dyDescent="0.3">
      <c r="A686" s="707"/>
      <c r="B686" s="158" t="s">
        <v>518</v>
      </c>
      <c r="C686" s="580">
        <v>389</v>
      </c>
      <c r="D686" s="580">
        <v>392</v>
      </c>
      <c r="E686" s="580">
        <v>360</v>
      </c>
      <c r="F686" s="580">
        <v>377</v>
      </c>
    </row>
    <row r="687" spans="1:6" x14ac:dyDescent="0.3">
      <c r="A687" s="707"/>
      <c r="B687" s="158" t="s">
        <v>520</v>
      </c>
      <c r="C687" s="580">
        <v>637</v>
      </c>
      <c r="D687" s="580">
        <v>611</v>
      </c>
      <c r="E687" s="580">
        <v>597</v>
      </c>
      <c r="F687" s="580">
        <v>594</v>
      </c>
    </row>
    <row r="688" spans="1:6" x14ac:dyDescent="0.3">
      <c r="A688" s="707"/>
      <c r="B688" s="158" t="s">
        <v>376</v>
      </c>
      <c r="C688" s="580" t="s">
        <v>2112</v>
      </c>
      <c r="D688" s="580" t="s">
        <v>2113</v>
      </c>
      <c r="E688" s="580">
        <v>634</v>
      </c>
      <c r="F688" s="580">
        <v>613.00000000000011</v>
      </c>
    </row>
    <row r="689" spans="1:6" x14ac:dyDescent="0.3">
      <c r="A689" s="707"/>
      <c r="B689" s="276" t="s">
        <v>848</v>
      </c>
      <c r="C689" s="597" t="s">
        <v>2114</v>
      </c>
      <c r="D689" s="597" t="s">
        <v>2115</v>
      </c>
      <c r="E689" s="597" t="s">
        <v>2116</v>
      </c>
      <c r="F689" s="597" t="s">
        <v>533</v>
      </c>
    </row>
    <row r="690" spans="1:6" x14ac:dyDescent="0.3">
      <c r="A690" s="707"/>
    </row>
    <row r="691" spans="1:6" x14ac:dyDescent="0.3">
      <c r="A691" s="707"/>
    </row>
    <row r="692" spans="1:6" ht="14.55" customHeight="1" x14ac:dyDescent="0.3">
      <c r="A692" s="707"/>
      <c r="B692" s="751" t="s">
        <v>2117</v>
      </c>
      <c r="C692" s="752"/>
      <c r="D692" s="752"/>
      <c r="E692" s="752"/>
      <c r="F692" s="752"/>
    </row>
    <row r="693" spans="1:6" x14ac:dyDescent="0.3">
      <c r="A693" s="707"/>
      <c r="B693" s="290" t="s">
        <v>476</v>
      </c>
      <c r="C693" s="291">
        <v>2020</v>
      </c>
      <c r="D693" s="291">
        <v>2021</v>
      </c>
      <c r="E693" s="291">
        <v>2022</v>
      </c>
      <c r="F693" s="291">
        <v>2023</v>
      </c>
    </row>
    <row r="694" spans="1:6" x14ac:dyDescent="0.3">
      <c r="A694" s="707"/>
      <c r="B694" s="158" t="s">
        <v>484</v>
      </c>
      <c r="C694" s="580" t="s">
        <v>2118</v>
      </c>
      <c r="D694" s="598" t="s">
        <v>2119</v>
      </c>
      <c r="E694" s="598" t="s">
        <v>2120</v>
      </c>
      <c r="F694" s="598" t="s">
        <v>2121</v>
      </c>
    </row>
    <row r="695" spans="1:6" x14ac:dyDescent="0.3">
      <c r="A695" s="707"/>
      <c r="B695" s="158" t="s">
        <v>495</v>
      </c>
      <c r="C695" s="580" t="s">
        <v>2122</v>
      </c>
      <c r="D695" s="580" t="s">
        <v>2123</v>
      </c>
      <c r="E695" s="580" t="s">
        <v>2124</v>
      </c>
      <c r="F695" s="580" t="s">
        <v>2125</v>
      </c>
    </row>
    <row r="696" spans="1:6" x14ac:dyDescent="0.3">
      <c r="A696" s="707"/>
      <c r="B696" s="158" t="s">
        <v>510</v>
      </c>
      <c r="C696" s="580" t="s">
        <v>2126</v>
      </c>
      <c r="D696" s="580" t="s">
        <v>2127</v>
      </c>
      <c r="E696" s="580" t="s">
        <v>2128</v>
      </c>
      <c r="F696" s="580" t="s">
        <v>2129</v>
      </c>
    </row>
    <row r="697" spans="1:6" x14ac:dyDescent="0.3">
      <c r="A697" s="707"/>
      <c r="B697" s="158" t="s">
        <v>518</v>
      </c>
      <c r="C697" s="580">
        <v>730</v>
      </c>
      <c r="D697" s="580">
        <v>909</v>
      </c>
      <c r="E697" s="580">
        <v>916</v>
      </c>
      <c r="F697" s="580">
        <v>964</v>
      </c>
    </row>
    <row r="698" spans="1:6" x14ac:dyDescent="0.3">
      <c r="A698" s="707"/>
      <c r="B698" s="158" t="s">
        <v>520</v>
      </c>
      <c r="C698" s="580">
        <v>686</v>
      </c>
      <c r="D698" s="580" t="s">
        <v>2130</v>
      </c>
      <c r="E698" s="580" t="s">
        <v>2131</v>
      </c>
      <c r="F698" s="580" t="s">
        <v>2132</v>
      </c>
    </row>
    <row r="699" spans="1:6" x14ac:dyDescent="0.3">
      <c r="A699" s="707"/>
      <c r="B699" s="158" t="s">
        <v>376</v>
      </c>
      <c r="C699" s="580" t="s">
        <v>2133</v>
      </c>
      <c r="D699" s="580" t="s">
        <v>2134</v>
      </c>
      <c r="E699" s="580">
        <v>422</v>
      </c>
      <c r="F699" s="580">
        <v>216.99999999999997</v>
      </c>
    </row>
    <row r="700" spans="1:6" x14ac:dyDescent="0.3">
      <c r="A700" s="707"/>
      <c r="B700" s="276" t="s">
        <v>848</v>
      </c>
      <c r="C700" s="597" t="s">
        <v>2135</v>
      </c>
      <c r="D700" s="597" t="s">
        <v>2136</v>
      </c>
      <c r="E700" s="597" t="s">
        <v>2137</v>
      </c>
      <c r="F700" s="597" t="s">
        <v>2138</v>
      </c>
    </row>
    <row r="701" spans="1:6" x14ac:dyDescent="0.3">
      <c r="B701" s="278"/>
      <c r="C701" s="279"/>
      <c r="D701" s="279"/>
      <c r="E701" s="279"/>
    </row>
    <row r="720" spans="7:9" x14ac:dyDescent="0.3">
      <c r="G720" s="789"/>
      <c r="H720" s="789"/>
      <c r="I720" s="789"/>
    </row>
    <row r="721" spans="10:10" x14ac:dyDescent="0.3">
      <c r="J721" s="203"/>
    </row>
    <row r="739" spans="2:5" hidden="1" x14ac:dyDescent="0.3">
      <c r="B739" s="788" t="s">
        <v>2139</v>
      </c>
      <c r="C739" s="788"/>
      <c r="D739" s="788"/>
      <c r="E739" s="788"/>
    </row>
    <row r="740" spans="2:5" ht="26.4" hidden="1" x14ac:dyDescent="0.3">
      <c r="B740" s="187" t="s">
        <v>344</v>
      </c>
      <c r="C740" s="190" t="s">
        <v>2061</v>
      </c>
      <c r="D740" s="190" t="s">
        <v>2140</v>
      </c>
      <c r="E740" s="187" t="s">
        <v>848</v>
      </c>
    </row>
    <row r="741" spans="2:5" hidden="1" x14ac:dyDescent="0.3">
      <c r="B741" s="199">
        <v>2019</v>
      </c>
      <c r="C741" s="288">
        <v>71149</v>
      </c>
      <c r="D741" s="288">
        <v>78143</v>
      </c>
      <c r="E741" s="288">
        <f>SUM(C741:D741)</f>
        <v>149292</v>
      </c>
    </row>
    <row r="742" spans="2:5" hidden="1" x14ac:dyDescent="0.3">
      <c r="B742" s="199">
        <v>2020</v>
      </c>
      <c r="C742" s="288">
        <v>74316</v>
      </c>
      <c r="D742" s="288">
        <v>111921</v>
      </c>
      <c r="E742" s="288">
        <f t="shared" ref="E742" si="2">SUM(C742:D742)</f>
        <v>186237</v>
      </c>
    </row>
    <row r="743" spans="2:5" hidden="1" x14ac:dyDescent="0.3">
      <c r="B743" s="199">
        <v>2021</v>
      </c>
      <c r="C743" s="288">
        <v>72266</v>
      </c>
      <c r="D743" s="289">
        <v>188314</v>
      </c>
      <c r="E743" s="289">
        <f>SUM(C743:D743)</f>
        <v>260580</v>
      </c>
    </row>
    <row r="744" spans="2:5" hidden="1" x14ac:dyDescent="0.3">
      <c r="B744" s="199">
        <v>2022</v>
      </c>
      <c r="C744" s="288">
        <v>64516</v>
      </c>
      <c r="D744" s="289">
        <v>150831</v>
      </c>
      <c r="E744" s="289">
        <f>SUM(C744:D744)</f>
        <v>215347</v>
      </c>
    </row>
    <row r="745" spans="2:5" hidden="1" x14ac:dyDescent="0.3">
      <c r="B745" s="464">
        <v>2023</v>
      </c>
      <c r="C745" s="288">
        <v>66807</v>
      </c>
      <c r="D745" s="288">
        <v>167759</v>
      </c>
      <c r="E745" s="288">
        <f>SUM(C745:D745)</f>
        <v>234566</v>
      </c>
    </row>
    <row r="746" spans="2:5" hidden="1" x14ac:dyDescent="0.3"/>
    <row r="747" spans="2:5" hidden="1" x14ac:dyDescent="0.3">
      <c r="B747" s="787" t="s">
        <v>2141</v>
      </c>
      <c r="C747" s="787"/>
      <c r="D747" s="787"/>
    </row>
    <row r="748" spans="2:5" hidden="1" x14ac:dyDescent="0.3">
      <c r="B748" s="787"/>
      <c r="C748" s="787"/>
      <c r="D748" s="787"/>
    </row>
    <row r="749" spans="2:5" hidden="1" x14ac:dyDescent="0.3">
      <c r="B749" s="153"/>
      <c r="C749" s="151" t="s">
        <v>1777</v>
      </c>
      <c r="D749" s="151" t="s">
        <v>1778</v>
      </c>
    </row>
    <row r="750" spans="2:5" hidden="1" x14ac:dyDescent="0.3">
      <c r="B750" s="323" t="s">
        <v>2142</v>
      </c>
      <c r="C750" s="198">
        <v>284</v>
      </c>
      <c r="D750" s="198">
        <v>1668</v>
      </c>
    </row>
    <row r="751" spans="2:5" hidden="1" x14ac:dyDescent="0.3">
      <c r="B751" s="323" t="s">
        <v>1829</v>
      </c>
      <c r="C751" s="198">
        <v>205</v>
      </c>
      <c r="D751" s="198">
        <v>208</v>
      </c>
    </row>
    <row r="752" spans="2:5" hidden="1" x14ac:dyDescent="0.3">
      <c r="B752" s="323" t="s">
        <v>2143</v>
      </c>
      <c r="C752" s="198">
        <v>2102</v>
      </c>
      <c r="D752" s="198">
        <v>834</v>
      </c>
    </row>
    <row r="753" spans="2:4" hidden="1" x14ac:dyDescent="0.3">
      <c r="B753" s="323" t="s">
        <v>2144</v>
      </c>
      <c r="C753" s="198">
        <v>47918</v>
      </c>
      <c r="D753" s="198">
        <v>13588</v>
      </c>
    </row>
    <row r="754" spans="2:4" hidden="1" x14ac:dyDescent="0.3">
      <c r="B754" s="274" t="s">
        <v>606</v>
      </c>
      <c r="C754" s="275">
        <v>50509</v>
      </c>
      <c r="D754" s="275">
        <v>16298</v>
      </c>
    </row>
    <row r="755" spans="2:4" hidden="1" x14ac:dyDescent="0.3"/>
    <row r="756" spans="2:4" hidden="1" x14ac:dyDescent="0.3">
      <c r="B756" s="781" t="s">
        <v>2145</v>
      </c>
      <c r="C756" s="781"/>
      <c r="D756" s="781"/>
    </row>
    <row r="757" spans="2:4" hidden="1" x14ac:dyDescent="0.3">
      <c r="B757" s="191" t="s">
        <v>562</v>
      </c>
      <c r="C757" s="119" t="s">
        <v>1778</v>
      </c>
      <c r="D757" s="119" t="s">
        <v>1777</v>
      </c>
    </row>
    <row r="758" spans="2:4" hidden="1" x14ac:dyDescent="0.3">
      <c r="B758" s="153" t="s">
        <v>376</v>
      </c>
      <c r="C758" s="200">
        <v>363</v>
      </c>
      <c r="D758" s="200">
        <v>1221</v>
      </c>
    </row>
    <row r="759" spans="2:4" hidden="1" x14ac:dyDescent="0.3">
      <c r="B759" s="153" t="s">
        <v>510</v>
      </c>
      <c r="C759" s="200">
        <v>330</v>
      </c>
      <c r="D759" s="200">
        <v>2836</v>
      </c>
    </row>
    <row r="760" spans="2:4" hidden="1" x14ac:dyDescent="0.3">
      <c r="B760" s="153" t="s">
        <v>495</v>
      </c>
      <c r="C760" s="200">
        <v>1142</v>
      </c>
      <c r="D760" s="200">
        <v>5668</v>
      </c>
    </row>
    <row r="761" spans="2:4" hidden="1" x14ac:dyDescent="0.3">
      <c r="B761" s="153" t="s">
        <v>484</v>
      </c>
      <c r="C761" s="200">
        <v>14463</v>
      </c>
      <c r="D761" s="200">
        <v>40784</v>
      </c>
    </row>
    <row r="762" spans="2:4" hidden="1" x14ac:dyDescent="0.3">
      <c r="B762" s="191" t="s">
        <v>606</v>
      </c>
      <c r="C762" s="201">
        <v>16298</v>
      </c>
      <c r="D762" s="201">
        <v>50509</v>
      </c>
    </row>
    <row r="763" spans="2:4" hidden="1" x14ac:dyDescent="0.3"/>
    <row r="764" spans="2:4" hidden="1" x14ac:dyDescent="0.3">
      <c r="B764" s="191" t="s">
        <v>358</v>
      </c>
      <c r="C764" s="119" t="s">
        <v>2146</v>
      </c>
    </row>
    <row r="765" spans="2:4" hidden="1" x14ac:dyDescent="0.3">
      <c r="B765" s="202" t="s">
        <v>2147</v>
      </c>
      <c r="C765" s="200">
        <v>54142</v>
      </c>
    </row>
    <row r="766" spans="2:4" ht="28.8" hidden="1" x14ac:dyDescent="0.3">
      <c r="B766" s="202" t="s">
        <v>2148</v>
      </c>
      <c r="C766" s="200">
        <v>104427</v>
      </c>
    </row>
    <row r="767" spans="2:4" hidden="1" x14ac:dyDescent="0.3">
      <c r="B767" s="153" t="s">
        <v>2149</v>
      </c>
      <c r="C767" s="200">
        <v>9190</v>
      </c>
      <c r="D767" s="277"/>
    </row>
    <row r="768" spans="2:4" hidden="1" x14ac:dyDescent="0.3">
      <c r="C768" s="282">
        <f>SUM(C765:C767)</f>
        <v>167759</v>
      </c>
    </row>
    <row r="770" spans="1:10" s="46" customFormat="1" ht="17.399999999999999" x14ac:dyDescent="0.3">
      <c r="B770" s="47" t="s">
        <v>2150</v>
      </c>
      <c r="C770" s="47"/>
      <c r="D770" s="45"/>
      <c r="E770" s="45"/>
    </row>
    <row r="771" spans="1:10" ht="21" x14ac:dyDescent="0.4">
      <c r="A771" s="707"/>
      <c r="B771" s="6"/>
      <c r="C771" s="18"/>
      <c r="D771" s="20"/>
      <c r="E771" s="20"/>
    </row>
    <row r="772" spans="1:10" ht="24.6" customHeight="1" x14ac:dyDescent="0.3">
      <c r="A772" s="707"/>
      <c r="B772" s="763" t="s">
        <v>2151</v>
      </c>
      <c r="C772" s="763"/>
      <c r="D772" s="763"/>
      <c r="E772" s="763"/>
      <c r="F772" s="763"/>
      <c r="G772" s="763"/>
      <c r="H772" s="763"/>
      <c r="I772" s="763"/>
      <c r="J772" s="763"/>
    </row>
    <row r="773" spans="1:10" ht="22.5" customHeight="1" x14ac:dyDescent="0.3">
      <c r="A773" s="707"/>
      <c r="B773" s="763" t="s">
        <v>2152</v>
      </c>
      <c r="C773" s="763"/>
      <c r="D773" s="763"/>
      <c r="E773" s="763"/>
      <c r="F773" s="763"/>
      <c r="G773" s="763"/>
      <c r="H773" s="763"/>
      <c r="I773" s="763"/>
      <c r="J773" s="763"/>
    </row>
    <row r="774" spans="1:10" ht="21" x14ac:dyDescent="0.4">
      <c r="A774" s="707"/>
      <c r="B774" s="6"/>
      <c r="C774" s="18"/>
      <c r="D774" s="20"/>
      <c r="E774" s="20"/>
    </row>
    <row r="775" spans="1:10" x14ac:dyDescent="0.3">
      <c r="A775" s="707"/>
      <c r="B775" s="50" t="s">
        <v>344</v>
      </c>
      <c r="C775" s="712" t="s">
        <v>843</v>
      </c>
      <c r="D775" s="712"/>
      <c r="E775" s="712"/>
      <c r="F775" s="712"/>
      <c r="G775" s="712"/>
      <c r="H775" s="712"/>
      <c r="I775" s="49" t="s">
        <v>346</v>
      </c>
    </row>
    <row r="776" spans="1:10" ht="45" customHeight="1" x14ac:dyDescent="0.3">
      <c r="A776" s="707"/>
      <c r="B776" s="51">
        <v>2019</v>
      </c>
      <c r="C776" s="713" t="s">
        <v>2153</v>
      </c>
      <c r="D776" s="713"/>
      <c r="E776" s="713"/>
      <c r="F776" s="713"/>
      <c r="G776" s="713"/>
      <c r="H776" s="713"/>
      <c r="I776" s="55" t="s">
        <v>348</v>
      </c>
    </row>
    <row r="777" spans="1:10" ht="45" customHeight="1" x14ac:dyDescent="0.3">
      <c r="A777" s="707"/>
      <c r="B777" s="51">
        <v>2020</v>
      </c>
      <c r="C777" s="713" t="s">
        <v>2153</v>
      </c>
      <c r="D777" s="713"/>
      <c r="E777" s="713"/>
      <c r="F777" s="713"/>
      <c r="G777" s="713"/>
      <c r="H777" s="713"/>
      <c r="I777" s="485" t="s">
        <v>6</v>
      </c>
    </row>
    <row r="778" spans="1:10" ht="45" customHeight="1" x14ac:dyDescent="0.3">
      <c r="A778" s="707"/>
      <c r="B778" s="51">
        <v>2021</v>
      </c>
      <c r="C778" s="713" t="s">
        <v>2154</v>
      </c>
      <c r="D778" s="713"/>
      <c r="E778" s="713"/>
      <c r="F778" s="713"/>
      <c r="G778" s="713"/>
      <c r="H778" s="713"/>
      <c r="I778" s="485" t="s">
        <v>6</v>
      </c>
    </row>
    <row r="779" spans="1:10" ht="45" customHeight="1" x14ac:dyDescent="0.3">
      <c r="A779" s="707"/>
      <c r="B779" s="51">
        <v>2022</v>
      </c>
      <c r="C779" s="713" t="s">
        <v>2153</v>
      </c>
      <c r="D779" s="713"/>
      <c r="E779" s="713"/>
      <c r="F779" s="713"/>
      <c r="G779" s="713"/>
      <c r="H779" s="713"/>
      <c r="I779" s="485" t="s">
        <v>6</v>
      </c>
    </row>
    <row r="780" spans="1:10" ht="45" customHeight="1" x14ac:dyDescent="0.3">
      <c r="A780" s="707"/>
      <c r="B780" s="51">
        <v>2023</v>
      </c>
      <c r="C780" s="713" t="s">
        <v>2153</v>
      </c>
      <c r="D780" s="713"/>
      <c r="E780" s="713"/>
      <c r="F780" s="713"/>
      <c r="G780" s="713"/>
      <c r="H780" s="713"/>
      <c r="I780" s="485" t="s">
        <v>6</v>
      </c>
    </row>
    <row r="781" spans="1:10" ht="20.100000000000001" customHeight="1" x14ac:dyDescent="0.3"/>
    <row r="782" spans="1:10" s="46" customFormat="1" ht="17.399999999999999" x14ac:dyDescent="0.3">
      <c r="B782" s="710" t="s">
        <v>2155</v>
      </c>
      <c r="C782" s="710"/>
      <c r="D782" s="710"/>
      <c r="E782" s="710"/>
    </row>
    <row r="783" spans="1:10" ht="21" x14ac:dyDescent="0.4">
      <c r="A783" s="707"/>
      <c r="B783" s="6"/>
      <c r="C783" s="18"/>
      <c r="D783" s="20"/>
      <c r="E783" s="20"/>
    </row>
    <row r="784" spans="1:10" ht="39" customHeight="1" x14ac:dyDescent="0.3">
      <c r="A784" s="707"/>
      <c r="B784" s="782" t="s">
        <v>2156</v>
      </c>
      <c r="C784" s="782"/>
      <c r="D784" s="782"/>
      <c r="E784" s="782"/>
      <c r="F784" s="782"/>
      <c r="G784" s="782"/>
      <c r="H784" s="782"/>
      <c r="I784" s="782"/>
    </row>
    <row r="785" spans="1:9" ht="39" customHeight="1" x14ac:dyDescent="0.3">
      <c r="A785" s="707"/>
      <c r="B785" s="782" t="s">
        <v>2157</v>
      </c>
      <c r="C785" s="782"/>
      <c r="D785" s="782"/>
      <c r="E785" s="782"/>
      <c r="F785" s="782"/>
      <c r="G785" s="782"/>
      <c r="H785" s="782"/>
      <c r="I785" s="782"/>
    </row>
    <row r="786" spans="1:9" ht="21" x14ac:dyDescent="0.4">
      <c r="A786" s="707"/>
      <c r="B786" s="6"/>
      <c r="C786" s="18"/>
      <c r="D786" s="20"/>
      <c r="E786" s="20"/>
    </row>
    <row r="787" spans="1:9" x14ac:dyDescent="0.3">
      <c r="A787" s="707"/>
      <c r="B787" s="50" t="s">
        <v>344</v>
      </c>
      <c r="C787" s="712" t="s">
        <v>843</v>
      </c>
      <c r="D787" s="712"/>
      <c r="E787" s="712"/>
      <c r="F787" s="712"/>
      <c r="G787" s="712"/>
      <c r="H787" s="712"/>
      <c r="I787" s="49" t="s">
        <v>346</v>
      </c>
    </row>
    <row r="788" spans="1:9" ht="75" customHeight="1" x14ac:dyDescent="0.3">
      <c r="A788" s="707"/>
      <c r="B788" s="51">
        <v>2019</v>
      </c>
      <c r="C788" s="709" t="s">
        <v>2158</v>
      </c>
      <c r="D788" s="709"/>
      <c r="E788" s="709"/>
      <c r="F788" s="709"/>
      <c r="G788" s="709"/>
      <c r="H788" s="709"/>
      <c r="I788" s="55" t="s">
        <v>348</v>
      </c>
    </row>
    <row r="789" spans="1:9" ht="90" customHeight="1" x14ac:dyDescent="0.3">
      <c r="A789" s="707"/>
      <c r="B789" s="51">
        <v>2020</v>
      </c>
      <c r="C789" s="709" t="s">
        <v>2159</v>
      </c>
      <c r="D789" s="709"/>
      <c r="E789" s="709"/>
      <c r="F789" s="709"/>
      <c r="G789" s="709"/>
      <c r="H789" s="709"/>
      <c r="I789" s="485" t="s">
        <v>6</v>
      </c>
    </row>
    <row r="790" spans="1:9" ht="90" customHeight="1" x14ac:dyDescent="0.3">
      <c r="A790" s="707"/>
      <c r="B790" s="51">
        <v>2021</v>
      </c>
      <c r="C790" s="709" t="s">
        <v>2160</v>
      </c>
      <c r="D790" s="709"/>
      <c r="E790" s="709"/>
      <c r="F790" s="709"/>
      <c r="G790" s="709"/>
      <c r="H790" s="709"/>
      <c r="I790" s="55" t="s">
        <v>442</v>
      </c>
    </row>
    <row r="791" spans="1:9" ht="75" customHeight="1" x14ac:dyDescent="0.3">
      <c r="A791" s="707"/>
      <c r="B791" s="51">
        <v>2022</v>
      </c>
      <c r="C791" s="709" t="s">
        <v>2161</v>
      </c>
      <c r="D791" s="709"/>
      <c r="E791" s="709"/>
      <c r="F791" s="709"/>
      <c r="G791" s="709"/>
      <c r="H791" s="709"/>
      <c r="I791" s="55" t="s">
        <v>442</v>
      </c>
    </row>
    <row r="792" spans="1:9" ht="70.05" customHeight="1" x14ac:dyDescent="0.3">
      <c r="B792" s="51">
        <v>2023</v>
      </c>
      <c r="C792" s="709" t="s">
        <v>2162</v>
      </c>
      <c r="D792" s="709"/>
      <c r="E792" s="709"/>
      <c r="F792" s="709"/>
      <c r="G792" s="709"/>
      <c r="H792" s="709"/>
      <c r="I792" s="55" t="s">
        <v>442</v>
      </c>
    </row>
    <row r="793" spans="1:9" ht="12" customHeight="1" x14ac:dyDescent="0.3">
      <c r="B793" s="51"/>
      <c r="C793" s="196"/>
      <c r="D793" s="196"/>
      <c r="E793" s="196"/>
      <c r="F793" s="196"/>
      <c r="G793" s="196"/>
      <c r="H793" s="196"/>
      <c r="I793" s="55"/>
    </row>
    <row r="794" spans="1:9" x14ac:dyDescent="0.3">
      <c r="B794" s="713" t="s">
        <v>2163</v>
      </c>
      <c r="C794" s="713"/>
      <c r="D794" s="713"/>
      <c r="E794" s="713"/>
      <c r="F794" s="713"/>
      <c r="G794" s="713"/>
      <c r="H794" s="713"/>
      <c r="I794" s="713"/>
    </row>
    <row r="795" spans="1:9" ht="20.100000000000001" customHeight="1" x14ac:dyDescent="0.3"/>
    <row r="796" spans="1:9" ht="20.100000000000001" customHeight="1" x14ac:dyDescent="0.3"/>
    <row r="797" spans="1:9" s="46" customFormat="1" ht="17.399999999999999" x14ac:dyDescent="0.3">
      <c r="B797" s="710" t="s">
        <v>2164</v>
      </c>
      <c r="C797" s="710"/>
      <c r="D797" s="710"/>
      <c r="E797" s="710"/>
    </row>
    <row r="798" spans="1:9" ht="21" x14ac:dyDescent="0.4">
      <c r="A798" s="707"/>
      <c r="B798" s="6"/>
      <c r="C798" s="18"/>
      <c r="D798" s="20"/>
      <c r="E798" s="20"/>
    </row>
    <row r="799" spans="1:9" ht="30" customHeight="1" x14ac:dyDescent="0.3">
      <c r="A799" s="707"/>
      <c r="B799" s="782" t="s">
        <v>2165</v>
      </c>
      <c r="C799" s="782"/>
      <c r="D799" s="782"/>
      <c r="E799" s="782"/>
      <c r="F799" s="782"/>
      <c r="G799" s="782"/>
      <c r="H799" s="782"/>
      <c r="I799" s="782"/>
    </row>
    <row r="800" spans="1:9" ht="21" x14ac:dyDescent="0.4">
      <c r="A800" s="707"/>
      <c r="B800" s="6"/>
      <c r="C800" s="18"/>
      <c r="D800" s="20"/>
      <c r="E800" s="20"/>
    </row>
    <row r="801" spans="1:9" x14ac:dyDescent="0.3">
      <c r="A801" s="707"/>
      <c r="B801" s="50" t="s">
        <v>344</v>
      </c>
      <c r="C801" s="712" t="s">
        <v>843</v>
      </c>
      <c r="D801" s="712"/>
      <c r="E801" s="712"/>
      <c r="F801" s="712"/>
      <c r="G801" s="712"/>
      <c r="H801" s="712"/>
      <c r="I801" s="49" t="s">
        <v>346</v>
      </c>
    </row>
    <row r="802" spans="1:9" ht="51.6" customHeight="1" x14ac:dyDescent="0.3">
      <c r="A802" s="707"/>
      <c r="B802" s="51">
        <v>2019</v>
      </c>
      <c r="C802" s="709" t="s">
        <v>2166</v>
      </c>
      <c r="D802" s="709"/>
      <c r="E802" s="709"/>
      <c r="F802" s="709"/>
      <c r="G802" s="709"/>
      <c r="H802" s="709"/>
      <c r="I802" s="55" t="s">
        <v>348</v>
      </c>
    </row>
    <row r="803" spans="1:9" ht="54" customHeight="1" x14ac:dyDescent="0.3">
      <c r="A803" s="707"/>
      <c r="B803" s="51">
        <v>2020</v>
      </c>
      <c r="C803" s="709" t="s">
        <v>2167</v>
      </c>
      <c r="D803" s="709"/>
      <c r="E803" s="709"/>
      <c r="F803" s="709"/>
      <c r="G803" s="709"/>
      <c r="H803" s="709"/>
      <c r="I803" s="55" t="s">
        <v>350</v>
      </c>
    </row>
    <row r="804" spans="1:9" ht="136.5" customHeight="1" x14ac:dyDescent="0.3">
      <c r="A804" s="707"/>
      <c r="B804" s="51">
        <v>2021</v>
      </c>
      <c r="C804" s="709" t="s">
        <v>2168</v>
      </c>
      <c r="D804" s="709"/>
      <c r="E804" s="709"/>
      <c r="F804" s="709"/>
      <c r="G804" s="709"/>
      <c r="H804" s="709"/>
      <c r="I804" s="55" t="s">
        <v>442</v>
      </c>
    </row>
    <row r="805" spans="1:9" ht="288.60000000000002" customHeight="1" x14ac:dyDescent="0.3">
      <c r="B805" s="51">
        <v>2022</v>
      </c>
      <c r="C805" s="709" t="s">
        <v>2169</v>
      </c>
      <c r="D805" s="709"/>
      <c r="E805" s="709"/>
      <c r="F805" s="709"/>
      <c r="G805" s="709"/>
      <c r="H805" s="709"/>
      <c r="I805" s="55" t="s">
        <v>442</v>
      </c>
    </row>
    <row r="806" spans="1:9" ht="199.05" customHeight="1" x14ac:dyDescent="0.3">
      <c r="B806" s="51">
        <v>2023</v>
      </c>
      <c r="C806" s="709" t="s">
        <v>2170</v>
      </c>
      <c r="D806" s="709"/>
      <c r="E806" s="709"/>
      <c r="F806" s="709"/>
      <c r="G806" s="709"/>
      <c r="H806" s="709"/>
      <c r="I806" s="55" t="s">
        <v>442</v>
      </c>
    </row>
    <row r="807" spans="1:9" x14ac:dyDescent="0.3">
      <c r="B807" s="713" t="s">
        <v>2163</v>
      </c>
      <c r="C807" s="713"/>
      <c r="D807" s="713"/>
      <c r="E807" s="713"/>
      <c r="F807" s="713"/>
      <c r="G807" s="713"/>
      <c r="H807" s="713"/>
      <c r="I807" s="713"/>
    </row>
    <row r="810" spans="1:9" s="46" customFormat="1" ht="17.399999999999999" x14ac:dyDescent="0.3">
      <c r="B810" s="710" t="s">
        <v>2171</v>
      </c>
      <c r="C810" s="710"/>
      <c r="D810" s="45"/>
      <c r="E810" s="45"/>
    </row>
    <row r="811" spans="1:9" ht="21" x14ac:dyDescent="0.4">
      <c r="A811" s="707"/>
      <c r="B811" s="6"/>
      <c r="C811" s="18"/>
      <c r="D811" s="20"/>
      <c r="E811" s="20"/>
    </row>
    <row r="812" spans="1:9" ht="39" customHeight="1" x14ac:dyDescent="0.3">
      <c r="A812" s="707"/>
      <c r="B812" s="782" t="s">
        <v>2172</v>
      </c>
      <c r="C812" s="782"/>
      <c r="D812" s="782"/>
      <c r="E812" s="782"/>
      <c r="F812" s="782"/>
      <c r="G812" s="782"/>
      <c r="H812" s="782"/>
      <c r="I812" s="782"/>
    </row>
    <row r="813" spans="1:9" ht="21" x14ac:dyDescent="0.4">
      <c r="A813" s="707"/>
      <c r="B813" s="6"/>
      <c r="C813" s="18"/>
      <c r="D813" s="20"/>
      <c r="E813" s="20"/>
    </row>
    <row r="814" spans="1:9" x14ac:dyDescent="0.3">
      <c r="A814" s="707"/>
      <c r="B814" s="50" t="s">
        <v>344</v>
      </c>
      <c r="C814" s="712" t="s">
        <v>843</v>
      </c>
      <c r="D814" s="712"/>
      <c r="E814" s="712"/>
      <c r="F814" s="712"/>
      <c r="G814" s="712"/>
      <c r="H814" s="712"/>
      <c r="I814" s="49" t="s">
        <v>346</v>
      </c>
    </row>
    <row r="815" spans="1:9" ht="55.05" customHeight="1" x14ac:dyDescent="0.3">
      <c r="A815" s="707"/>
      <c r="B815" s="51">
        <v>2019</v>
      </c>
      <c r="C815" s="709" t="s">
        <v>2173</v>
      </c>
      <c r="D815" s="709"/>
      <c r="E815" s="709"/>
      <c r="F815" s="709"/>
      <c r="G815" s="709"/>
      <c r="H815" s="709"/>
      <c r="I815" s="55" t="s">
        <v>348</v>
      </c>
    </row>
    <row r="816" spans="1:9" ht="60" customHeight="1" x14ac:dyDescent="0.3">
      <c r="A816" s="707"/>
      <c r="B816" s="51">
        <v>2020</v>
      </c>
      <c r="C816" s="709" t="s">
        <v>2174</v>
      </c>
      <c r="D816" s="709"/>
      <c r="E816" s="709"/>
      <c r="F816" s="709"/>
      <c r="G816" s="709"/>
      <c r="H816" s="709"/>
      <c r="I816" s="55" t="s">
        <v>350</v>
      </c>
    </row>
    <row r="817" spans="1:9" ht="57.6" customHeight="1" x14ac:dyDescent="0.3">
      <c r="A817" s="707"/>
      <c r="B817" s="51">
        <v>2021</v>
      </c>
      <c r="C817" s="709" t="s">
        <v>2175</v>
      </c>
      <c r="D817" s="709"/>
      <c r="E817" s="709"/>
      <c r="F817" s="709"/>
      <c r="G817" s="709"/>
      <c r="H817" s="709"/>
      <c r="I817" s="485" t="s">
        <v>6</v>
      </c>
    </row>
    <row r="818" spans="1:9" ht="67.5" customHeight="1" x14ac:dyDescent="0.3">
      <c r="A818" s="707"/>
      <c r="B818" s="51">
        <v>2022</v>
      </c>
      <c r="C818" s="709" t="s">
        <v>2175</v>
      </c>
      <c r="D818" s="709"/>
      <c r="E818" s="709"/>
      <c r="F818" s="709"/>
      <c r="G818" s="709"/>
      <c r="H818" s="709"/>
      <c r="I818" s="485" t="s">
        <v>6</v>
      </c>
    </row>
    <row r="819" spans="1:9" ht="73.5" customHeight="1" x14ac:dyDescent="0.3">
      <c r="A819" s="707"/>
      <c r="B819" s="51">
        <v>2023</v>
      </c>
      <c r="C819" s="709" t="s">
        <v>2175</v>
      </c>
      <c r="D819" s="709"/>
      <c r="E819" s="709"/>
      <c r="F819" s="709"/>
      <c r="G819" s="709"/>
      <c r="H819" s="709"/>
      <c r="I819" s="485" t="s">
        <v>6</v>
      </c>
    </row>
    <row r="820" spans="1:9" ht="27" customHeight="1" x14ac:dyDescent="0.3">
      <c r="A820" s="707"/>
      <c r="B820" s="711" t="s">
        <v>2176</v>
      </c>
      <c r="C820" s="711"/>
      <c r="D820" s="711"/>
      <c r="E820" s="711"/>
      <c r="F820" s="711"/>
      <c r="G820" s="711"/>
      <c r="H820" s="711"/>
      <c r="I820" s="711"/>
    </row>
    <row r="823" spans="1:9" s="46" customFormat="1" ht="17.399999999999999" x14ac:dyDescent="0.3">
      <c r="B823" s="710" t="s">
        <v>2177</v>
      </c>
      <c r="C823" s="710"/>
      <c r="D823" s="45"/>
      <c r="E823" s="45"/>
    </row>
    <row r="824" spans="1:9" ht="21" x14ac:dyDescent="0.4">
      <c r="A824" s="707"/>
      <c r="B824" s="6"/>
      <c r="C824" s="18"/>
      <c r="D824" s="20"/>
      <c r="E824" s="20"/>
    </row>
    <row r="825" spans="1:9" ht="39" customHeight="1" x14ac:dyDescent="0.3">
      <c r="A825" s="707"/>
      <c r="B825" s="782" t="s">
        <v>2178</v>
      </c>
      <c r="C825" s="782"/>
      <c r="D825" s="782"/>
      <c r="E825" s="782"/>
      <c r="F825" s="782"/>
      <c r="G825" s="782"/>
      <c r="H825" s="782"/>
      <c r="I825" s="782"/>
    </row>
    <row r="826" spans="1:9" ht="21" x14ac:dyDescent="0.4">
      <c r="A826" s="707"/>
      <c r="B826" s="6"/>
      <c r="C826" s="18"/>
      <c r="D826" s="20"/>
      <c r="E826" s="20"/>
    </row>
    <row r="827" spans="1:9" x14ac:dyDescent="0.3">
      <c r="A827" s="707"/>
      <c r="B827" s="50" t="s">
        <v>344</v>
      </c>
      <c r="C827" s="712" t="s">
        <v>843</v>
      </c>
      <c r="D827" s="712"/>
      <c r="E827" s="712"/>
      <c r="F827" s="712"/>
      <c r="G827" s="712"/>
      <c r="H827" s="712"/>
      <c r="I827" s="49" t="s">
        <v>346</v>
      </c>
    </row>
    <row r="828" spans="1:9" ht="70.05" customHeight="1" x14ac:dyDescent="0.3">
      <c r="A828" s="707"/>
      <c r="B828" s="51">
        <v>2019</v>
      </c>
      <c r="C828" s="709" t="s">
        <v>2179</v>
      </c>
      <c r="D828" s="709"/>
      <c r="E828" s="709"/>
      <c r="F828" s="709"/>
      <c r="G828" s="709"/>
      <c r="H828" s="709"/>
      <c r="I828" s="55" t="s">
        <v>348</v>
      </c>
    </row>
    <row r="829" spans="1:9" ht="65.099999999999994" customHeight="1" x14ac:dyDescent="0.3">
      <c r="A829" s="707"/>
      <c r="B829" s="51">
        <v>2020</v>
      </c>
      <c r="C829" s="709" t="s">
        <v>2180</v>
      </c>
      <c r="D829" s="709"/>
      <c r="E829" s="709"/>
      <c r="F829" s="709"/>
      <c r="G829" s="709"/>
      <c r="H829" s="709"/>
      <c r="I829" s="55" t="s">
        <v>350</v>
      </c>
    </row>
    <row r="830" spans="1:9" ht="307.5" customHeight="1" x14ac:dyDescent="0.3">
      <c r="B830" s="51">
        <v>2021</v>
      </c>
      <c r="C830" s="709" t="s">
        <v>2181</v>
      </c>
      <c r="D830" s="709"/>
      <c r="E830" s="709"/>
      <c r="F830" s="709"/>
      <c r="G830" s="709"/>
      <c r="H830" s="709"/>
      <c r="I830" s="55" t="s">
        <v>442</v>
      </c>
    </row>
    <row r="831" spans="1:9" ht="300" customHeight="1" x14ac:dyDescent="0.3">
      <c r="B831" s="51">
        <v>2022</v>
      </c>
      <c r="C831" s="709" t="s">
        <v>2182</v>
      </c>
      <c r="D831" s="709"/>
      <c r="E831" s="709"/>
      <c r="F831" s="709"/>
      <c r="G831" s="709"/>
      <c r="H831" s="709"/>
      <c r="I831" s="55" t="s">
        <v>442</v>
      </c>
    </row>
    <row r="832" spans="1:9" ht="203.1" customHeight="1" x14ac:dyDescent="0.3">
      <c r="B832" s="51">
        <v>2023</v>
      </c>
      <c r="C832" s="709" t="s">
        <v>2183</v>
      </c>
      <c r="D832" s="709"/>
      <c r="E832" s="709"/>
      <c r="F832" s="709"/>
      <c r="G832" s="709"/>
      <c r="H832" s="709"/>
      <c r="I832" s="55" t="s">
        <v>442</v>
      </c>
    </row>
    <row r="835" spans="1:9" s="46" customFormat="1" ht="17.399999999999999" x14ac:dyDescent="0.3">
      <c r="B835" s="710" t="s">
        <v>2184</v>
      </c>
      <c r="C835" s="710"/>
      <c r="D835" s="45"/>
      <c r="E835" s="45"/>
    </row>
    <row r="836" spans="1:9" ht="21" x14ac:dyDescent="0.4">
      <c r="A836" s="707"/>
      <c r="B836" s="6"/>
      <c r="C836" s="18"/>
      <c r="D836" s="20"/>
      <c r="E836" s="20"/>
    </row>
    <row r="837" spans="1:9" ht="14.55" customHeight="1" x14ac:dyDescent="0.3">
      <c r="A837" s="707"/>
      <c r="B837" s="782" t="s">
        <v>2185</v>
      </c>
      <c r="C837" s="782"/>
      <c r="D837" s="782"/>
      <c r="E837" s="782"/>
      <c r="F837" s="782"/>
      <c r="G837" s="782"/>
      <c r="H837" s="782"/>
      <c r="I837" s="782"/>
    </row>
    <row r="838" spans="1:9" ht="21" x14ac:dyDescent="0.4">
      <c r="A838" s="707"/>
      <c r="B838" s="6"/>
      <c r="C838" s="18"/>
      <c r="D838" s="20"/>
      <c r="E838" s="20"/>
    </row>
    <row r="839" spans="1:9" x14ac:dyDescent="0.3">
      <c r="A839" s="707"/>
      <c r="B839" s="50" t="s">
        <v>344</v>
      </c>
      <c r="C839" s="712" t="s">
        <v>843</v>
      </c>
      <c r="D839" s="712"/>
      <c r="E839" s="712"/>
      <c r="F839" s="712"/>
      <c r="G839" s="712"/>
      <c r="H839" s="712"/>
      <c r="I839" s="49" t="s">
        <v>346</v>
      </c>
    </row>
    <row r="840" spans="1:9" ht="199.5" customHeight="1" x14ac:dyDescent="0.3">
      <c r="A840" s="707"/>
      <c r="B840" s="51">
        <v>2019</v>
      </c>
      <c r="C840" s="709" t="s">
        <v>2186</v>
      </c>
      <c r="D840" s="709"/>
      <c r="E840" s="709"/>
      <c r="F840" s="709"/>
      <c r="G840" s="709"/>
      <c r="H840" s="709"/>
      <c r="I840" s="485" t="s">
        <v>6</v>
      </c>
    </row>
    <row r="841" spans="1:9" ht="206.1" customHeight="1" x14ac:dyDescent="0.3">
      <c r="A841" s="707"/>
      <c r="B841" s="51">
        <v>2020</v>
      </c>
      <c r="C841" s="709" t="s">
        <v>2187</v>
      </c>
      <c r="D841" s="709"/>
      <c r="E841" s="709"/>
      <c r="F841" s="709"/>
      <c r="G841" s="709"/>
      <c r="H841" s="709"/>
      <c r="I841" s="485" t="s">
        <v>6</v>
      </c>
    </row>
    <row r="842" spans="1:9" ht="55.05" customHeight="1" x14ac:dyDescent="0.3">
      <c r="B842" s="51">
        <v>2021</v>
      </c>
      <c r="C842" s="709" t="s">
        <v>2188</v>
      </c>
      <c r="D842" s="709"/>
      <c r="E842" s="709"/>
      <c r="F842" s="709"/>
      <c r="G842" s="709"/>
      <c r="H842" s="709"/>
      <c r="I842" s="485" t="s">
        <v>6</v>
      </c>
    </row>
    <row r="843" spans="1:9" ht="65.099999999999994" customHeight="1" x14ac:dyDescent="0.3">
      <c r="B843" s="51">
        <v>2022</v>
      </c>
      <c r="C843" s="709" t="s">
        <v>2189</v>
      </c>
      <c r="D843" s="709"/>
      <c r="E843" s="709"/>
      <c r="F843" s="709"/>
      <c r="G843" s="709"/>
      <c r="H843" s="709"/>
      <c r="I843" s="485" t="s">
        <v>6</v>
      </c>
    </row>
    <row r="844" spans="1:9" ht="99" customHeight="1" x14ac:dyDescent="0.3">
      <c r="B844" s="51">
        <v>2023</v>
      </c>
      <c r="C844" s="732" t="s">
        <v>2190</v>
      </c>
      <c r="D844" s="732"/>
      <c r="E844" s="732"/>
      <c r="F844" s="732"/>
      <c r="G844" s="732"/>
      <c r="H844" s="732"/>
      <c r="I844" s="485" t="s">
        <v>6</v>
      </c>
    </row>
    <row r="845" spans="1:9" x14ac:dyDescent="0.3">
      <c r="B845" s="711" t="s">
        <v>2191</v>
      </c>
      <c r="C845" s="711"/>
      <c r="D845" s="711"/>
      <c r="E845" s="711"/>
      <c r="F845" s="711"/>
      <c r="G845" s="711"/>
      <c r="H845" s="711"/>
      <c r="I845" s="711"/>
    </row>
    <row r="848" spans="1:9" s="46" customFormat="1" ht="17.399999999999999" x14ac:dyDescent="0.3">
      <c r="B848" s="710" t="s">
        <v>2192</v>
      </c>
      <c r="C848" s="710"/>
      <c r="D848" s="45"/>
      <c r="E848" s="45"/>
    </row>
    <row r="849" spans="1:9" ht="21" x14ac:dyDescent="0.4">
      <c r="A849" s="707"/>
      <c r="B849" s="6"/>
      <c r="C849" s="18"/>
      <c r="D849" s="20"/>
      <c r="E849" s="20"/>
    </row>
    <row r="850" spans="1:9" ht="14.55" customHeight="1" x14ac:dyDescent="0.3">
      <c r="A850" s="707"/>
      <c r="B850" s="782" t="s">
        <v>2193</v>
      </c>
      <c r="C850" s="782"/>
      <c r="D850" s="782"/>
      <c r="E850" s="782"/>
      <c r="F850" s="782"/>
      <c r="G850" s="782"/>
      <c r="H850" s="782"/>
      <c r="I850" s="782"/>
    </row>
    <row r="851" spans="1:9" ht="21" x14ac:dyDescent="0.4">
      <c r="A851" s="707"/>
      <c r="B851" s="6"/>
      <c r="C851" s="18"/>
      <c r="D851" s="20"/>
      <c r="E851" s="20"/>
    </row>
    <row r="852" spans="1:9" x14ac:dyDescent="0.3">
      <c r="A852" s="707"/>
      <c r="B852" s="50" t="s">
        <v>344</v>
      </c>
      <c r="C852" s="712" t="s">
        <v>843</v>
      </c>
      <c r="D852" s="712"/>
      <c r="E852" s="712"/>
      <c r="F852" s="712"/>
      <c r="G852" s="712"/>
      <c r="H852" s="712"/>
      <c r="I852" s="49" t="s">
        <v>346</v>
      </c>
    </row>
    <row r="853" spans="1:9" ht="79.05" customHeight="1" x14ac:dyDescent="0.3">
      <c r="A853" s="707"/>
      <c r="B853" s="51">
        <v>2019</v>
      </c>
      <c r="C853" s="709" t="s">
        <v>2194</v>
      </c>
      <c r="D853" s="709"/>
      <c r="E853" s="709"/>
      <c r="F853" s="709"/>
      <c r="G853" s="709"/>
      <c r="H853" s="709"/>
      <c r="I853" s="485" t="s">
        <v>6</v>
      </c>
    </row>
    <row r="854" spans="1:9" ht="70.05" customHeight="1" x14ac:dyDescent="0.3">
      <c r="A854" s="707"/>
      <c r="B854" s="51">
        <v>2020</v>
      </c>
      <c r="C854" s="709" t="s">
        <v>2195</v>
      </c>
      <c r="D854" s="709"/>
      <c r="E854" s="709"/>
      <c r="F854" s="709"/>
      <c r="G854" s="709"/>
      <c r="H854" s="709"/>
      <c r="I854" s="485" t="s">
        <v>6</v>
      </c>
    </row>
    <row r="855" spans="1:9" ht="187.5" customHeight="1" x14ac:dyDescent="0.3">
      <c r="A855" s="707"/>
      <c r="B855" s="51">
        <v>2021</v>
      </c>
      <c r="C855" s="709" t="s">
        <v>2196</v>
      </c>
      <c r="D855" s="709"/>
      <c r="E855" s="709"/>
      <c r="F855" s="709"/>
      <c r="G855" s="709"/>
      <c r="H855" s="709"/>
      <c r="I855" s="485" t="s">
        <v>6</v>
      </c>
    </row>
    <row r="856" spans="1:9" ht="220.05" customHeight="1" x14ac:dyDescent="0.3">
      <c r="B856" s="51">
        <v>2022</v>
      </c>
      <c r="C856" s="709" t="s">
        <v>2197</v>
      </c>
      <c r="D856" s="709"/>
      <c r="E856" s="709"/>
      <c r="F856" s="709"/>
      <c r="G856" s="709"/>
      <c r="H856" s="709"/>
      <c r="I856" s="485" t="s">
        <v>6</v>
      </c>
    </row>
    <row r="857" spans="1:9" ht="172.05" customHeight="1" x14ac:dyDescent="0.3">
      <c r="B857" s="51">
        <v>2023</v>
      </c>
      <c r="C857" s="732" t="s">
        <v>2198</v>
      </c>
      <c r="D857" s="732"/>
      <c r="E857" s="732"/>
      <c r="F857" s="732"/>
      <c r="G857" s="732"/>
      <c r="H857" s="732"/>
      <c r="I857" s="485" t="s">
        <v>6</v>
      </c>
    </row>
    <row r="858" spans="1:9" ht="17.55" customHeight="1" x14ac:dyDescent="0.3"/>
    <row r="859" spans="1:9" ht="20.100000000000001" customHeight="1" x14ac:dyDescent="0.3">
      <c r="B859" s="51" t="s">
        <v>354</v>
      </c>
      <c r="C859" s="734" t="s">
        <v>2199</v>
      </c>
      <c r="D859" s="734"/>
    </row>
    <row r="861" spans="1:9" s="46" customFormat="1" ht="17.399999999999999" x14ac:dyDescent="0.3">
      <c r="B861" s="710" t="s">
        <v>2200</v>
      </c>
      <c r="C861" s="710"/>
      <c r="D861" s="45"/>
      <c r="E861" s="45"/>
    </row>
    <row r="862" spans="1:9" ht="21" x14ac:dyDescent="0.4">
      <c r="A862" s="707"/>
      <c r="B862" s="6"/>
      <c r="C862" s="18"/>
      <c r="D862" s="20"/>
      <c r="E862" s="20"/>
    </row>
    <row r="863" spans="1:9" ht="14.55" customHeight="1" x14ac:dyDescent="0.3">
      <c r="A863" s="707"/>
      <c r="B863" s="782" t="s">
        <v>2201</v>
      </c>
      <c r="C863" s="782"/>
      <c r="D863" s="782"/>
      <c r="E863" s="782"/>
      <c r="F863" s="782"/>
      <c r="G863" s="782"/>
      <c r="H863" s="782"/>
      <c r="I863" s="782"/>
    </row>
    <row r="864" spans="1:9" ht="21" x14ac:dyDescent="0.4">
      <c r="A864" s="707"/>
      <c r="B864" s="6"/>
      <c r="C864" s="18"/>
      <c r="D864" s="20"/>
      <c r="E864" s="20"/>
    </row>
    <row r="865" spans="1:9" x14ac:dyDescent="0.3">
      <c r="A865" s="707"/>
      <c r="B865" s="50" t="s">
        <v>344</v>
      </c>
      <c r="C865" s="712" t="s">
        <v>843</v>
      </c>
      <c r="D865" s="712"/>
      <c r="E865" s="712"/>
      <c r="F865" s="712"/>
      <c r="G865" s="712"/>
      <c r="H865" s="712"/>
      <c r="I865" s="49" t="s">
        <v>346</v>
      </c>
    </row>
    <row r="866" spans="1:9" ht="20.100000000000001" customHeight="1" x14ac:dyDescent="0.3">
      <c r="A866" s="707"/>
      <c r="B866" s="51">
        <v>2019</v>
      </c>
      <c r="C866" s="713" t="s">
        <v>2202</v>
      </c>
      <c r="D866" s="713"/>
      <c r="E866" s="713"/>
      <c r="F866" s="713"/>
      <c r="G866" s="713"/>
      <c r="H866" s="713"/>
      <c r="I866" s="485" t="s">
        <v>6</v>
      </c>
    </row>
    <row r="867" spans="1:9" ht="20.100000000000001" customHeight="1" x14ac:dyDescent="0.3">
      <c r="A867" s="707"/>
      <c r="B867" s="51">
        <v>2020</v>
      </c>
      <c r="C867" s="713" t="s">
        <v>2202</v>
      </c>
      <c r="D867" s="713"/>
      <c r="E867" s="713"/>
      <c r="F867" s="713"/>
      <c r="G867" s="713"/>
      <c r="H867" s="713"/>
      <c r="I867" s="485" t="s">
        <v>6</v>
      </c>
    </row>
    <row r="868" spans="1:9" ht="20.100000000000001" customHeight="1" x14ac:dyDescent="0.3">
      <c r="A868" s="707"/>
      <c r="B868" s="51">
        <v>2021</v>
      </c>
      <c r="C868" s="713" t="s">
        <v>2202</v>
      </c>
      <c r="D868" s="713"/>
      <c r="E868" s="713"/>
      <c r="F868" s="713"/>
      <c r="G868" s="713"/>
      <c r="H868" s="713"/>
      <c r="I868" s="485" t="s">
        <v>6</v>
      </c>
    </row>
    <row r="869" spans="1:9" ht="20.100000000000001" customHeight="1" x14ac:dyDescent="0.3">
      <c r="A869" s="707"/>
      <c r="B869" s="51">
        <v>2022</v>
      </c>
      <c r="C869" s="713" t="s">
        <v>2202</v>
      </c>
      <c r="D869" s="713"/>
      <c r="E869" s="713"/>
      <c r="F869" s="713"/>
      <c r="G869" s="713"/>
      <c r="H869" s="713"/>
      <c r="I869" s="485" t="s">
        <v>6</v>
      </c>
    </row>
    <row r="870" spans="1:9" ht="20.100000000000001" customHeight="1" x14ac:dyDescent="0.3">
      <c r="A870" s="707"/>
      <c r="B870" s="51">
        <v>2023</v>
      </c>
      <c r="C870" s="713" t="s">
        <v>2202</v>
      </c>
      <c r="D870" s="713"/>
      <c r="E870" s="713"/>
      <c r="F870" s="713"/>
      <c r="G870" s="713"/>
      <c r="H870" s="713"/>
      <c r="I870" s="485" t="s">
        <v>6</v>
      </c>
    </row>
    <row r="871" spans="1:9" x14ac:dyDescent="0.3">
      <c r="A871" s="707"/>
    </row>
    <row r="872" spans="1:9" ht="20.100000000000001" customHeight="1" x14ac:dyDescent="0.3"/>
    <row r="873" spans="1:9" s="46" customFormat="1" ht="17.399999999999999" x14ac:dyDescent="0.3">
      <c r="B873" s="710" t="s">
        <v>2203</v>
      </c>
      <c r="C873" s="710"/>
      <c r="D873" s="45"/>
      <c r="E873" s="45"/>
    </row>
    <row r="874" spans="1:9" ht="21" x14ac:dyDescent="0.4">
      <c r="A874" s="707"/>
      <c r="B874" s="6"/>
      <c r="C874" s="18"/>
      <c r="D874" s="20"/>
      <c r="E874" s="20"/>
    </row>
    <row r="875" spans="1:9" ht="14.55" customHeight="1" x14ac:dyDescent="0.3">
      <c r="A875" s="707"/>
      <c r="B875" s="782" t="s">
        <v>2204</v>
      </c>
      <c r="C875" s="782"/>
      <c r="D875" s="782"/>
      <c r="E875" s="782"/>
      <c r="F875" s="782"/>
      <c r="G875" s="782"/>
      <c r="H875" s="782"/>
      <c r="I875" s="782"/>
    </row>
    <row r="876" spans="1:9" ht="21" x14ac:dyDescent="0.4">
      <c r="A876" s="707"/>
      <c r="B876" s="6"/>
      <c r="C876" s="18"/>
      <c r="D876" s="20"/>
      <c r="E876" s="20"/>
    </row>
    <row r="877" spans="1:9" x14ac:dyDescent="0.3">
      <c r="A877" s="707"/>
      <c r="B877" s="50" t="s">
        <v>344</v>
      </c>
      <c r="C877" s="712" t="s">
        <v>843</v>
      </c>
      <c r="D877" s="712"/>
      <c r="E877" s="712"/>
      <c r="F877" s="712"/>
      <c r="G877" s="712"/>
      <c r="H877" s="712"/>
      <c r="I877" s="49" t="s">
        <v>346</v>
      </c>
    </row>
    <row r="878" spans="1:9" ht="20.100000000000001" customHeight="1" x14ac:dyDescent="0.3">
      <c r="A878" s="707"/>
      <c r="B878" s="51">
        <v>2019</v>
      </c>
      <c r="C878" s="713" t="s">
        <v>2205</v>
      </c>
      <c r="D878" s="713"/>
      <c r="E878" s="713"/>
      <c r="F878" s="713"/>
      <c r="G878" s="713"/>
      <c r="H878" s="713"/>
      <c r="I878" s="485" t="s">
        <v>6</v>
      </c>
    </row>
    <row r="879" spans="1:9" ht="20.100000000000001" customHeight="1" x14ac:dyDescent="0.3">
      <c r="A879" s="707"/>
      <c r="B879" s="51">
        <v>2020</v>
      </c>
      <c r="C879" s="713" t="s">
        <v>2206</v>
      </c>
      <c r="D879" s="713"/>
      <c r="E879" s="713"/>
      <c r="F879" s="713"/>
      <c r="G879" s="713"/>
      <c r="H879" s="713"/>
      <c r="I879" s="485" t="s">
        <v>6</v>
      </c>
    </row>
    <row r="880" spans="1:9" ht="20.100000000000001" customHeight="1" x14ac:dyDescent="0.3">
      <c r="A880" s="707"/>
      <c r="B880" s="51">
        <v>2021</v>
      </c>
      <c r="C880" s="713" t="s">
        <v>2207</v>
      </c>
      <c r="D880" s="713"/>
      <c r="E880" s="713"/>
      <c r="F880" s="713"/>
      <c r="G880" s="713"/>
      <c r="H880" s="713"/>
      <c r="I880" s="485" t="s">
        <v>6</v>
      </c>
    </row>
    <row r="881" spans="1:9" ht="20.100000000000001" customHeight="1" x14ac:dyDescent="0.3">
      <c r="A881" s="707"/>
      <c r="B881" s="51">
        <v>2022</v>
      </c>
      <c r="C881" s="713" t="s">
        <v>2208</v>
      </c>
      <c r="D881" s="713"/>
      <c r="E881" s="713"/>
      <c r="F881" s="713"/>
      <c r="G881" s="713"/>
      <c r="H881" s="713"/>
      <c r="I881" s="485" t="s">
        <v>6</v>
      </c>
    </row>
    <row r="882" spans="1:9" ht="20.100000000000001" customHeight="1" x14ac:dyDescent="0.3">
      <c r="A882" s="707"/>
      <c r="B882" s="51">
        <v>2023</v>
      </c>
      <c r="C882" s="713" t="s">
        <v>2208</v>
      </c>
      <c r="D882" s="713"/>
      <c r="E882" s="713"/>
      <c r="F882" s="713"/>
      <c r="G882" s="713"/>
      <c r="H882" s="713"/>
      <c r="I882" s="485" t="s">
        <v>6</v>
      </c>
    </row>
    <row r="883" spans="1:9" x14ac:dyDescent="0.3">
      <c r="A883" s="707"/>
    </row>
    <row r="884" spans="1:9" ht="20.100000000000001" customHeight="1" x14ac:dyDescent="0.3"/>
    <row r="885" spans="1:9" s="46" customFormat="1" ht="17.399999999999999" x14ac:dyDescent="0.3">
      <c r="B885" s="710" t="s">
        <v>2209</v>
      </c>
      <c r="C885" s="710"/>
      <c r="D885" s="45"/>
      <c r="E885" s="45"/>
    </row>
    <row r="886" spans="1:9" ht="21" x14ac:dyDescent="0.4">
      <c r="A886" s="707"/>
      <c r="B886" s="6"/>
      <c r="C886" s="18"/>
      <c r="D886" s="20"/>
      <c r="E886" s="20"/>
    </row>
    <row r="887" spans="1:9" ht="29.55" customHeight="1" x14ac:dyDescent="0.3">
      <c r="A887" s="707"/>
      <c r="B887" s="782" t="s">
        <v>2210</v>
      </c>
      <c r="C887" s="782"/>
      <c r="D887" s="782"/>
      <c r="E887" s="782"/>
      <c r="F887" s="782"/>
      <c r="G887" s="782"/>
      <c r="H887" s="782"/>
      <c r="I887" s="782"/>
    </row>
    <row r="888" spans="1:9" ht="21" x14ac:dyDescent="0.4">
      <c r="A888" s="707"/>
      <c r="B888" s="6"/>
      <c r="C888" s="18"/>
      <c r="D888" s="20"/>
      <c r="E888" s="20"/>
    </row>
    <row r="889" spans="1:9" x14ac:dyDescent="0.3">
      <c r="A889" s="707"/>
      <c r="B889" s="50" t="s">
        <v>344</v>
      </c>
      <c r="C889" s="712" t="s">
        <v>843</v>
      </c>
      <c r="D889" s="712"/>
      <c r="E889" s="712"/>
      <c r="F889" s="712"/>
      <c r="G889" s="712"/>
      <c r="H889" s="712"/>
      <c r="I889" s="49" t="s">
        <v>346</v>
      </c>
    </row>
    <row r="890" spans="1:9" ht="85.05" customHeight="1" x14ac:dyDescent="0.3">
      <c r="A890" s="707"/>
      <c r="B890" s="51">
        <v>2019</v>
      </c>
      <c r="C890" s="713" t="s">
        <v>2211</v>
      </c>
      <c r="D890" s="713"/>
      <c r="E890" s="713"/>
      <c r="F890" s="713"/>
      <c r="G890" s="713"/>
      <c r="H890" s="713"/>
      <c r="I890" s="485" t="s">
        <v>6</v>
      </c>
    </row>
    <row r="891" spans="1:9" ht="95.1" customHeight="1" x14ac:dyDescent="0.3">
      <c r="A891" s="707"/>
      <c r="B891" s="51">
        <v>2020</v>
      </c>
      <c r="C891" s="713" t="s">
        <v>2212</v>
      </c>
      <c r="D891" s="713"/>
      <c r="E891" s="713"/>
      <c r="F891" s="713"/>
      <c r="G891" s="713"/>
      <c r="H891" s="713"/>
      <c r="I891" s="485" t="s">
        <v>6</v>
      </c>
    </row>
    <row r="892" spans="1:9" ht="95.1" customHeight="1" x14ac:dyDescent="0.3">
      <c r="A892" s="707"/>
      <c r="B892" s="51">
        <v>2021</v>
      </c>
      <c r="C892" s="713" t="s">
        <v>2213</v>
      </c>
      <c r="D892" s="713"/>
      <c r="E892" s="713"/>
      <c r="F892" s="713"/>
      <c r="G892" s="713"/>
      <c r="H892" s="713"/>
      <c r="I892" s="485" t="s">
        <v>6</v>
      </c>
    </row>
    <row r="893" spans="1:9" ht="95.1" customHeight="1" x14ac:dyDescent="0.3">
      <c r="B893" s="51">
        <v>2022</v>
      </c>
      <c r="C893" s="713" t="s">
        <v>2214</v>
      </c>
      <c r="D893" s="713"/>
      <c r="E893" s="713"/>
      <c r="F893" s="713"/>
      <c r="G893" s="713"/>
      <c r="H893" s="713"/>
      <c r="I893" s="485" t="s">
        <v>6</v>
      </c>
    </row>
    <row r="894" spans="1:9" ht="95.1" customHeight="1" x14ac:dyDescent="0.3">
      <c r="B894" s="51">
        <v>2023</v>
      </c>
      <c r="C894" s="713" t="s">
        <v>2215</v>
      </c>
      <c r="D894" s="713"/>
      <c r="E894" s="713"/>
      <c r="F894" s="713"/>
      <c r="G894" s="713"/>
      <c r="H894" s="713"/>
      <c r="I894" s="485" t="s">
        <v>6</v>
      </c>
    </row>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sheetData>
  <sheetProtection algorithmName="SHA-512" hashValue="lmKFoU8k+VN7ta5V+7sP6qnPHFSrNbrhyKMgu0FdUJxBNOzwo/fBBHV9uOFS8IPtl8/s3WVMFVm+Gr/4+q9Tew==" saltValue="/Z/L1liO7WBww+PWVIQJlw==" spinCount="100000" sheet="1" objects="1" autoFilter="0" pivotTables="0"/>
  <mergeCells count="439">
    <mergeCell ref="B373:C373"/>
    <mergeCell ref="B374:C374"/>
    <mergeCell ref="B375:B377"/>
    <mergeCell ref="C375:H375"/>
    <mergeCell ref="I375:I377"/>
    <mergeCell ref="C376:H376"/>
    <mergeCell ref="B379:B381"/>
    <mergeCell ref="C379:H379"/>
    <mergeCell ref="I379:I381"/>
    <mergeCell ref="C380:H380"/>
    <mergeCell ref="C381:D381"/>
    <mergeCell ref="E381:F381"/>
    <mergeCell ref="G381:H381"/>
    <mergeCell ref="C552:H552"/>
    <mergeCell ref="C549:H549"/>
    <mergeCell ref="B556:C556"/>
    <mergeCell ref="C550:H550"/>
    <mergeCell ref="C551:H551"/>
    <mergeCell ref="C539:H539"/>
    <mergeCell ref="C541:H541"/>
    <mergeCell ref="B542:I542"/>
    <mergeCell ref="C382:D382"/>
    <mergeCell ref="E382:F382"/>
    <mergeCell ref="G382:H382"/>
    <mergeCell ref="C538:H538"/>
    <mergeCell ref="B545:C545"/>
    <mergeCell ref="C554:H554"/>
    <mergeCell ref="G423:H423"/>
    <mergeCell ref="C424:D424"/>
    <mergeCell ref="E424:F424"/>
    <mergeCell ref="G424:H424"/>
    <mergeCell ref="B425:I425"/>
    <mergeCell ref="B478:H478"/>
    <mergeCell ref="B501:K501"/>
    <mergeCell ref="B526:C526"/>
    <mergeCell ref="E526:F526"/>
    <mergeCell ref="C536:H536"/>
    <mergeCell ref="B594:B596"/>
    <mergeCell ref="B558:H558"/>
    <mergeCell ref="B570:H570"/>
    <mergeCell ref="B581:H581"/>
    <mergeCell ref="B592:H592"/>
    <mergeCell ref="B606:H606"/>
    <mergeCell ref="F596:H596"/>
    <mergeCell ref="B590:C590"/>
    <mergeCell ref="C594:H594"/>
    <mergeCell ref="B579:C579"/>
    <mergeCell ref="C584:H584"/>
    <mergeCell ref="C583:H583"/>
    <mergeCell ref="C595:H595"/>
    <mergeCell ref="C560:H560"/>
    <mergeCell ref="C565:H565"/>
    <mergeCell ref="C574:H574"/>
    <mergeCell ref="C561:H561"/>
    <mergeCell ref="C562:H562"/>
    <mergeCell ref="C575:H575"/>
    <mergeCell ref="C563:H563"/>
    <mergeCell ref="C572:H572"/>
    <mergeCell ref="C577:H577"/>
    <mergeCell ref="B568:C568"/>
    <mergeCell ref="C573:H573"/>
    <mergeCell ref="C632:H632"/>
    <mergeCell ref="C609:H609"/>
    <mergeCell ref="C624:H624"/>
    <mergeCell ref="C633:H633"/>
    <mergeCell ref="C608:H608"/>
    <mergeCell ref="C598:E598"/>
    <mergeCell ref="C601:E601"/>
    <mergeCell ref="B628:C628"/>
    <mergeCell ref="C621:H621"/>
    <mergeCell ref="F598:H598"/>
    <mergeCell ref="F599:H599"/>
    <mergeCell ref="F601:H601"/>
    <mergeCell ref="C599:E599"/>
    <mergeCell ref="C611:H611"/>
    <mergeCell ref="C622:H622"/>
    <mergeCell ref="C623:H623"/>
    <mergeCell ref="B604:C604"/>
    <mergeCell ref="B617:C617"/>
    <mergeCell ref="C610:H610"/>
    <mergeCell ref="C613:H613"/>
    <mergeCell ref="B355:C355"/>
    <mergeCell ref="B243:G243"/>
    <mergeCell ref="B280:C280"/>
    <mergeCell ref="C359:H359"/>
    <mergeCell ref="C273:H273"/>
    <mergeCell ref="B268:C268"/>
    <mergeCell ref="C275:H275"/>
    <mergeCell ref="B255:G255"/>
    <mergeCell ref="C272:H272"/>
    <mergeCell ref="C274:H274"/>
    <mergeCell ref="C276:H276"/>
    <mergeCell ref="B265:H265"/>
    <mergeCell ref="B253:H253"/>
    <mergeCell ref="C296:D296"/>
    <mergeCell ref="E296:F296"/>
    <mergeCell ref="B277:H277"/>
    <mergeCell ref="B357:H357"/>
    <mergeCell ref="G296:H296"/>
    <mergeCell ref="B282:C284"/>
    <mergeCell ref="D282:H282"/>
    <mergeCell ref="C361:H361"/>
    <mergeCell ref="C362:H362"/>
    <mergeCell ref="B367:C367"/>
    <mergeCell ref="C668:H668"/>
    <mergeCell ref="C659:H659"/>
    <mergeCell ref="B681:F681"/>
    <mergeCell ref="B692:F692"/>
    <mergeCell ref="B773:H773"/>
    <mergeCell ref="B747:D748"/>
    <mergeCell ref="B739:E739"/>
    <mergeCell ref="G720:I720"/>
    <mergeCell ref="I371:I373"/>
    <mergeCell ref="B416:H416"/>
    <mergeCell ref="C418:H418"/>
    <mergeCell ref="C419:H419"/>
    <mergeCell ref="C422:H422"/>
    <mergeCell ref="C540:H540"/>
    <mergeCell ref="C553:H553"/>
    <mergeCell ref="B369:H369"/>
    <mergeCell ref="B534:H534"/>
    <mergeCell ref="B547:H547"/>
    <mergeCell ref="B532:C532"/>
    <mergeCell ref="C423:D423"/>
    <mergeCell ref="E423:F423"/>
    <mergeCell ref="J14:K16"/>
    <mergeCell ref="C201:H201"/>
    <mergeCell ref="C202:H202"/>
    <mergeCell ref="B172:C172"/>
    <mergeCell ref="B193:H193"/>
    <mergeCell ref="C190:H190"/>
    <mergeCell ref="B196:C196"/>
    <mergeCell ref="B124:C124"/>
    <mergeCell ref="C128:H128"/>
    <mergeCell ref="B136:C136"/>
    <mergeCell ref="C140:H140"/>
    <mergeCell ref="C200:H200"/>
    <mergeCell ref="B148:C148"/>
    <mergeCell ref="C152:H152"/>
    <mergeCell ref="C89:H89"/>
    <mergeCell ref="C90:H90"/>
    <mergeCell ref="C155:H155"/>
    <mergeCell ref="J17:K17"/>
    <mergeCell ref="J18:K18"/>
    <mergeCell ref="J19:K19"/>
    <mergeCell ref="J20:K20"/>
    <mergeCell ref="J21:K21"/>
    <mergeCell ref="B97:F97"/>
    <mergeCell ref="C91:H91"/>
    <mergeCell ref="C360:H360"/>
    <mergeCell ref="C372:H372"/>
    <mergeCell ref="B782:E782"/>
    <mergeCell ref="B794:I794"/>
    <mergeCell ref="C801:H801"/>
    <mergeCell ref="B799:I799"/>
    <mergeCell ref="C792:H792"/>
    <mergeCell ref="C804:H804"/>
    <mergeCell ref="C364:H364"/>
    <mergeCell ref="C371:H371"/>
    <mergeCell ref="B414:C414"/>
    <mergeCell ref="C363:H363"/>
    <mergeCell ref="B614:I614"/>
    <mergeCell ref="C597:E597"/>
    <mergeCell ref="F597:H597"/>
    <mergeCell ref="C775:H775"/>
    <mergeCell ref="C670:H670"/>
    <mergeCell ref="C656:H656"/>
    <mergeCell ref="B663:C663"/>
    <mergeCell ref="C667:H667"/>
    <mergeCell ref="C669:H669"/>
    <mergeCell ref="B675:C675"/>
    <mergeCell ref="C776:H776"/>
    <mergeCell ref="C778:H778"/>
    <mergeCell ref="B785:I785"/>
    <mergeCell ref="C788:H788"/>
    <mergeCell ref="C789:H789"/>
    <mergeCell ref="C790:H790"/>
    <mergeCell ref="C802:H802"/>
    <mergeCell ref="B797:E797"/>
    <mergeCell ref="C779:H779"/>
    <mergeCell ref="C777:H777"/>
    <mergeCell ref="C780:H780"/>
    <mergeCell ref="C787:H787"/>
    <mergeCell ref="B784:I784"/>
    <mergeCell ref="B10:C10"/>
    <mergeCell ref="B85:C85"/>
    <mergeCell ref="B112:C112"/>
    <mergeCell ref="B160:C160"/>
    <mergeCell ref="C188:H188"/>
    <mergeCell ref="C164:H164"/>
    <mergeCell ref="C165:H165"/>
    <mergeCell ref="C166:H166"/>
    <mergeCell ref="C167:H167"/>
    <mergeCell ref="B184:C184"/>
    <mergeCell ref="C129:H129"/>
    <mergeCell ref="C130:H130"/>
    <mergeCell ref="C131:H131"/>
    <mergeCell ref="C133:H133"/>
    <mergeCell ref="C141:H141"/>
    <mergeCell ref="C14:I14"/>
    <mergeCell ref="C46:D46"/>
    <mergeCell ref="E46:F46"/>
    <mergeCell ref="G46:H46"/>
    <mergeCell ref="B46:B47"/>
    <mergeCell ref="B157:H157"/>
    <mergeCell ref="C120:H120"/>
    <mergeCell ref="D15:E15"/>
    <mergeCell ref="C94:H94"/>
    <mergeCell ref="C866:H866"/>
    <mergeCell ref="C841:H841"/>
    <mergeCell ref="C853:H853"/>
    <mergeCell ref="C839:H839"/>
    <mergeCell ref="B850:I850"/>
    <mergeCell ref="C843:H843"/>
    <mergeCell ref="C854:H854"/>
    <mergeCell ref="C855:H855"/>
    <mergeCell ref="B810:C810"/>
    <mergeCell ref="B812:I812"/>
    <mergeCell ref="B823:C823"/>
    <mergeCell ref="B825:I825"/>
    <mergeCell ref="C827:H827"/>
    <mergeCell ref="C842:H842"/>
    <mergeCell ref="C830:H830"/>
    <mergeCell ref="C832:H832"/>
    <mergeCell ref="B837:I837"/>
    <mergeCell ref="B820:I820"/>
    <mergeCell ref="B848:C848"/>
    <mergeCell ref="C852:H852"/>
    <mergeCell ref="B835:C835"/>
    <mergeCell ref="C840:H840"/>
    <mergeCell ref="C819:H819"/>
    <mergeCell ref="C829:H829"/>
    <mergeCell ref="C893:H893"/>
    <mergeCell ref="C890:H890"/>
    <mergeCell ref="C867:H867"/>
    <mergeCell ref="C868:H868"/>
    <mergeCell ref="C869:H869"/>
    <mergeCell ref="B873:C873"/>
    <mergeCell ref="B875:I875"/>
    <mergeCell ref="C877:H877"/>
    <mergeCell ref="C878:H878"/>
    <mergeCell ref="C879:H879"/>
    <mergeCell ref="C880:H880"/>
    <mergeCell ref="C881:H881"/>
    <mergeCell ref="C889:H889"/>
    <mergeCell ref="B887:I887"/>
    <mergeCell ref="C892:H892"/>
    <mergeCell ref="B885:C885"/>
    <mergeCell ref="C891:H891"/>
    <mergeCell ref="C882:H882"/>
    <mergeCell ref="C870:H870"/>
    <mergeCell ref="C828:H828"/>
    <mergeCell ref="C791:H791"/>
    <mergeCell ref="C805:H805"/>
    <mergeCell ref="C818:H818"/>
    <mergeCell ref="C865:H865"/>
    <mergeCell ref="C856:H856"/>
    <mergeCell ref="B861:C861"/>
    <mergeCell ref="B863:I863"/>
    <mergeCell ref="C815:H815"/>
    <mergeCell ref="C844:H844"/>
    <mergeCell ref="C857:H857"/>
    <mergeCell ref="C831:H831"/>
    <mergeCell ref="B807:I807"/>
    <mergeCell ref="C806:H806"/>
    <mergeCell ref="C803:H803"/>
    <mergeCell ref="C859:D859"/>
    <mergeCell ref="C92:H92"/>
    <mergeCell ref="B95:I95"/>
    <mergeCell ref="B14:B16"/>
    <mergeCell ref="C143:H143"/>
    <mergeCell ref="C121:H121"/>
    <mergeCell ref="C144:H144"/>
    <mergeCell ref="C154:H154"/>
    <mergeCell ref="C227:H227"/>
    <mergeCell ref="C189:H189"/>
    <mergeCell ref="C215:H215"/>
    <mergeCell ref="C191:H191"/>
    <mergeCell ref="C203:H203"/>
    <mergeCell ref="C225:H225"/>
    <mergeCell ref="B186:H186"/>
    <mergeCell ref="B198:H198"/>
    <mergeCell ref="B210:H210"/>
    <mergeCell ref="B222:H222"/>
    <mergeCell ref="C179:H179"/>
    <mergeCell ref="C588:H588"/>
    <mergeCell ref="C585:H585"/>
    <mergeCell ref="C586:H586"/>
    <mergeCell ref="C634:H634"/>
    <mergeCell ref="C626:H626"/>
    <mergeCell ref="C671:H671"/>
    <mergeCell ref="B665:F665"/>
    <mergeCell ref="C672:H672"/>
    <mergeCell ref="B12:H12"/>
    <mergeCell ref="B87:H87"/>
    <mergeCell ref="B114:H114"/>
    <mergeCell ref="B126:H126"/>
    <mergeCell ref="B138:H138"/>
    <mergeCell ref="B150:H150"/>
    <mergeCell ref="B145:I145"/>
    <mergeCell ref="B162:H162"/>
    <mergeCell ref="B174:H174"/>
    <mergeCell ref="C118:H118"/>
    <mergeCell ref="C119:H119"/>
    <mergeCell ref="C98:D98"/>
    <mergeCell ref="E98:F98"/>
    <mergeCell ref="G98:H98"/>
    <mergeCell ref="B108:I108"/>
    <mergeCell ref="F15:H15"/>
    <mergeCell ref="I773:J773"/>
    <mergeCell ref="C637:H637"/>
    <mergeCell ref="C635:H635"/>
    <mergeCell ref="C643:H643"/>
    <mergeCell ref="B639:C639"/>
    <mergeCell ref="C657:H657"/>
    <mergeCell ref="C658:H658"/>
    <mergeCell ref="C660:H660"/>
    <mergeCell ref="B651:C651"/>
    <mergeCell ref="C655:H655"/>
    <mergeCell ref="B756:D756"/>
    <mergeCell ref="C644:H644"/>
    <mergeCell ref="C645:H645"/>
    <mergeCell ref="C646:H646"/>
    <mergeCell ref="C648:H648"/>
    <mergeCell ref="B234:H234"/>
    <mergeCell ref="B270:H270"/>
    <mergeCell ref="B208:C208"/>
    <mergeCell ref="C213:H213"/>
    <mergeCell ref="C214:H214"/>
    <mergeCell ref="C239:H239"/>
    <mergeCell ref="B217:H217"/>
    <mergeCell ref="B229:H229"/>
    <mergeCell ref="B241:H241"/>
    <mergeCell ref="C226:H226"/>
    <mergeCell ref="C237:H237"/>
    <mergeCell ref="C238:H238"/>
    <mergeCell ref="B232:C232"/>
    <mergeCell ref="C236:H236"/>
    <mergeCell ref="A811:A820"/>
    <mergeCell ref="A824:A829"/>
    <mergeCell ref="A836:A841"/>
    <mergeCell ref="A849:A855"/>
    <mergeCell ref="A862:A871"/>
    <mergeCell ref="A874:A883"/>
    <mergeCell ref="A886:A892"/>
    <mergeCell ref="A11:A21"/>
    <mergeCell ref="A86:A94"/>
    <mergeCell ref="A113:A120"/>
    <mergeCell ref="A125:A133"/>
    <mergeCell ref="A137:A144"/>
    <mergeCell ref="A149:A153"/>
    <mergeCell ref="A161:A166"/>
    <mergeCell ref="A173:A179"/>
    <mergeCell ref="A185:A191"/>
    <mergeCell ref="A618:A624"/>
    <mergeCell ref="A629:A635"/>
    <mergeCell ref="A640:A646"/>
    <mergeCell ref="A652:A660"/>
    <mergeCell ref="A664:A672"/>
    <mergeCell ref="A676:A700"/>
    <mergeCell ref="A771:A780"/>
    <mergeCell ref="A783:A791"/>
    <mergeCell ref="A798:A804"/>
    <mergeCell ref="C537:H537"/>
    <mergeCell ref="C93:H93"/>
    <mergeCell ref="C132:H132"/>
    <mergeCell ref="C156:H156"/>
    <mergeCell ref="C240:H240"/>
    <mergeCell ref="C228:H228"/>
    <mergeCell ref="C216:H216"/>
    <mergeCell ref="C204:H204"/>
    <mergeCell ref="C192:H192"/>
    <mergeCell ref="C180:H180"/>
    <mergeCell ref="C168:H168"/>
    <mergeCell ref="C224:H224"/>
    <mergeCell ref="B220:C220"/>
    <mergeCell ref="B205:H205"/>
    <mergeCell ref="C116:H116"/>
    <mergeCell ref="B181:H181"/>
    <mergeCell ref="C177:H177"/>
    <mergeCell ref="C176:H176"/>
    <mergeCell ref="B169:H169"/>
    <mergeCell ref="C117:H117"/>
    <mergeCell ref="C142:H142"/>
    <mergeCell ref="C153:H153"/>
    <mergeCell ref="C178:H178"/>
    <mergeCell ref="C894:H894"/>
    <mergeCell ref="C564:H564"/>
    <mergeCell ref="C576:H576"/>
    <mergeCell ref="C587:H587"/>
    <mergeCell ref="C600:E600"/>
    <mergeCell ref="F600:H600"/>
    <mergeCell ref="C612:H612"/>
    <mergeCell ref="C625:H625"/>
    <mergeCell ref="C636:H636"/>
    <mergeCell ref="C647:H647"/>
    <mergeCell ref="B845:I845"/>
    <mergeCell ref="B619:H619"/>
    <mergeCell ref="B630:H630"/>
    <mergeCell ref="B641:H641"/>
    <mergeCell ref="B653:H653"/>
    <mergeCell ref="B677:F677"/>
    <mergeCell ref="B679:F679"/>
    <mergeCell ref="B772:H772"/>
    <mergeCell ref="I772:J772"/>
    <mergeCell ref="I594:I596"/>
    <mergeCell ref="C596:E596"/>
    <mergeCell ref="C816:H816"/>
    <mergeCell ref="C817:H817"/>
    <mergeCell ref="C814:H814"/>
    <mergeCell ref="I282:I284"/>
    <mergeCell ref="D283:H283"/>
    <mergeCell ref="B285:C285"/>
    <mergeCell ref="B288:B290"/>
    <mergeCell ref="C288:H288"/>
    <mergeCell ref="I288:I290"/>
    <mergeCell ref="C289:H289"/>
    <mergeCell ref="B293:B295"/>
    <mergeCell ref="C293:H293"/>
    <mergeCell ref="I293:I295"/>
    <mergeCell ref="C294:H294"/>
    <mergeCell ref="C295:D295"/>
    <mergeCell ref="E295:F295"/>
    <mergeCell ref="G295:H295"/>
    <mergeCell ref="A415:A430"/>
    <mergeCell ref="A533:A542"/>
    <mergeCell ref="A546:A554"/>
    <mergeCell ref="A557:A565"/>
    <mergeCell ref="A569:A575"/>
    <mergeCell ref="A580:A586"/>
    <mergeCell ref="A591:A601"/>
    <mergeCell ref="A605:A614"/>
    <mergeCell ref="A197:A202"/>
    <mergeCell ref="A209:A214"/>
    <mergeCell ref="A221:A228"/>
    <mergeCell ref="A233:A238"/>
    <mergeCell ref="A269:A276"/>
    <mergeCell ref="A356:A364"/>
    <mergeCell ref="A368:A384"/>
  </mergeCells>
  <phoneticPr fontId="9" type="noConversion"/>
  <hyperlinks>
    <hyperlink ref="C859" r:id="rId1" display="Link 1" xr:uid="{2E59CC87-2FEA-4B75-A09E-918A9DDEA3FC}"/>
    <hyperlink ref="C859:D859" r:id="rId2" display="Atuação Social" xr:uid="{46BB2824-14D1-4964-AA84-E7356C84784A}"/>
  </hyperlinks>
  <pageMargins left="0.70866141732283472" right="0.70866141732283472" top="0.74803149606299213" bottom="0.74803149606299213" header="0.31496062992125984" footer="0.31496062992125984"/>
  <pageSetup paperSize="9" scale="44" fitToHeight="0" orientation="portrait" horizontalDpi="300" r:id="rId3"/>
  <headerFooter>
    <oddHeader xml:space="preserve">&amp;C </oddHeader>
  </headerFooter>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2E5C-7F11-43CD-9E6F-59EF9BBD5DE6}">
  <sheetPr codeName="Planilha28">
    <tabColor rgb="FFECB11F"/>
    <pageSetUpPr fitToPage="1"/>
  </sheetPr>
  <dimension ref="A1:XFC21"/>
  <sheetViews>
    <sheetView showGridLines="0" showRowColHeaders="0" showRuler="0" zoomScale="110" zoomScaleNormal="110" workbookViewId="0">
      <pane ySplit="2" topLeftCell="A7" activePane="bottomLeft" state="frozen"/>
      <selection pane="bottomLeft"/>
    </sheetView>
  </sheetViews>
  <sheetFormatPr defaultColWidth="0" defaultRowHeight="14.4" x14ac:dyDescent="0.3"/>
  <cols>
    <col min="1" max="1" width="8.77734375" customWidth="1"/>
    <col min="2" max="2" width="60.5546875" customWidth="1"/>
    <col min="3" max="3" width="45.5546875" customWidth="1"/>
    <col min="4" max="4" width="19.44140625" customWidth="1"/>
    <col min="5" max="5" width="8.77734375" hidden="1" customWidth="1"/>
    <col min="6" max="16383" width="8.77734375" hidden="1"/>
    <col min="16384" max="16384" width="9.77734375" hidden="1"/>
  </cols>
  <sheetData>
    <row r="1" spans="1:4" ht="14.1" customHeight="1" x14ac:dyDescent="0.3">
      <c r="A1" s="446"/>
    </row>
    <row r="2" spans="1:4" ht="14.1" customHeight="1" x14ac:dyDescent="0.3">
      <c r="A2" s="447"/>
      <c r="B2" s="421"/>
      <c r="C2" s="421"/>
      <c r="D2" s="421"/>
    </row>
    <row r="3" spans="1:4" ht="14.55" customHeight="1" x14ac:dyDescent="0.3"/>
    <row r="4" spans="1:4" ht="14.55" customHeight="1" x14ac:dyDescent="0.3">
      <c r="C4" s="9" t="s">
        <v>0</v>
      </c>
    </row>
    <row r="5" spans="1:4" ht="14.55" customHeight="1" x14ac:dyDescent="0.3"/>
    <row r="8" spans="1:4" ht="21" x14ac:dyDescent="0.4">
      <c r="B8" s="441" t="s">
        <v>26</v>
      </c>
    </row>
    <row r="9" spans="1:4" ht="12" customHeight="1" x14ac:dyDescent="0.3">
      <c r="B9" s="5"/>
      <c r="C9" s="5"/>
    </row>
    <row r="10" spans="1:4" x14ac:dyDescent="0.3">
      <c r="B10" s="5"/>
      <c r="C10" s="5"/>
      <c r="D10" s="5"/>
    </row>
    <row r="11" spans="1:4" ht="15" thickBot="1" x14ac:dyDescent="0.35">
      <c r="B11" s="26" t="s">
        <v>2216</v>
      </c>
      <c r="C11" s="26" t="s">
        <v>325</v>
      </c>
      <c r="D11" s="5"/>
    </row>
    <row r="12" spans="1:4" ht="20.100000000000001" customHeight="1" thickTop="1" x14ac:dyDescent="0.3">
      <c r="B12" s="11" t="s">
        <v>2217</v>
      </c>
      <c r="C12" s="33" t="s">
        <v>36</v>
      </c>
      <c r="D12" s="5"/>
    </row>
    <row r="13" spans="1:4" ht="20.100000000000001" customHeight="1" x14ac:dyDescent="0.3">
      <c r="B13" s="11" t="s">
        <v>2218</v>
      </c>
      <c r="C13" s="33" t="s">
        <v>38</v>
      </c>
      <c r="D13" s="5"/>
    </row>
    <row r="14" spans="1:4" ht="20.100000000000001" customHeight="1" x14ac:dyDescent="0.3">
      <c r="B14" s="11" t="s">
        <v>2219</v>
      </c>
      <c r="C14" s="33" t="s">
        <v>2220</v>
      </c>
      <c r="D14" s="5"/>
    </row>
    <row r="15" spans="1:4" ht="20.100000000000001" customHeight="1" x14ac:dyDescent="0.3">
      <c r="B15" s="11" t="s">
        <v>2221</v>
      </c>
      <c r="C15" s="33" t="s">
        <v>2222</v>
      </c>
      <c r="D15" s="5"/>
    </row>
    <row r="16" spans="1:4" ht="20.100000000000001" customHeight="1" x14ac:dyDescent="0.3">
      <c r="B16" s="11" t="s">
        <v>31</v>
      </c>
      <c r="C16" s="33" t="s">
        <v>32</v>
      </c>
      <c r="D16" s="5"/>
    </row>
    <row r="17" spans="2:4" ht="20.100000000000001" customHeight="1" x14ac:dyDescent="0.3">
      <c r="B17" s="11" t="s">
        <v>33</v>
      </c>
      <c r="C17" s="33" t="s">
        <v>34</v>
      </c>
      <c r="D17" s="5"/>
    </row>
    <row r="18" spans="2:4" ht="20.100000000000001" customHeight="1" x14ac:dyDescent="0.3">
      <c r="B18" s="11" t="s">
        <v>39</v>
      </c>
      <c r="C18" s="33" t="s">
        <v>39</v>
      </c>
      <c r="D18" s="5"/>
    </row>
    <row r="19" spans="2:4" ht="20.100000000000001" customHeight="1" x14ac:dyDescent="0.3">
      <c r="B19" s="11" t="s">
        <v>40</v>
      </c>
      <c r="C19" s="33" t="s">
        <v>40</v>
      </c>
      <c r="D19" s="5"/>
    </row>
    <row r="20" spans="2:4" ht="20.100000000000001" customHeight="1" x14ac:dyDescent="0.3">
      <c r="B20" s="11" t="s">
        <v>41</v>
      </c>
      <c r="C20" s="33" t="s">
        <v>41</v>
      </c>
    </row>
    <row r="21" spans="2:4" ht="20.100000000000001" customHeight="1" x14ac:dyDescent="0.3">
      <c r="B21" s="11" t="s">
        <v>42</v>
      </c>
      <c r="C21" s="33" t="s">
        <v>42</v>
      </c>
      <c r="D21" s="5"/>
    </row>
  </sheetData>
  <sheetProtection algorithmName="SHA-512" hashValue="G3V9lnQdPyz5eQ2dnMtPxr0AujygNTa3VAhBzUNQeesDbCEePuhoFkv+VjE4w77TzY2XW4mXrpHYj8ZTrSU4Jg==" saltValue="A3qw5PcUwSWOqWHtqeTREA==" spinCount="100000" sheet="1" objects="1" autoFilter="0" pivotTables="0"/>
  <hyperlinks>
    <hyperlink ref="C14" location="'GRI index'!A1" display="GRI index" xr:uid="{A7A88505-7F09-440E-8713-430F6D8EAA3D}"/>
    <hyperlink ref="C15" location="'SASB index'!A1" display="SASB index" xr:uid="{1E8E5C3C-D2F7-4077-97B1-66A708717A4E}"/>
    <hyperlink ref="C12" location="'ICMM principles'!A1" display="ICMM Principles" xr:uid="{26F2BB3D-8AD3-4B57-ADAA-68085603FB1E}"/>
    <hyperlink ref="C16" location="TCFD!A1" display="TCFD" xr:uid="{E3E18944-4E29-4956-838F-048E11C57D26}"/>
    <hyperlink ref="C17" location="WEF!A1" display="WEF" xr:uid="{D1C1C85F-7257-4E5B-9CF8-08389B678A39}"/>
    <hyperlink ref="C13" location="'ICMM Report'!A1" display="ICMM Report" xr:uid="{CD15DED5-9C7B-40F4-9668-7938310360FE}"/>
    <hyperlink ref="C20" location="'Responsible Sourcing'!A1" display="Responsible Sourcing" xr:uid="{FC121701-78EC-43C3-BD43-DB6FFBFC63CF}"/>
    <hyperlink ref="C18" location="'ICMM Social &amp; Economic'!A1" display="ICMM Social &amp; Economic" xr:uid="{7BDEDA6C-C521-4C3E-BCC5-DD46E554E540}"/>
    <hyperlink ref="C19" location="'Índice TNFD'!A1" display="TNFD Index" xr:uid="{81BC67FF-17CC-43DC-8CB0-B032212D05FC}"/>
    <hyperlink ref="C21" location="'Swiss Code'!A1" display="Swiss Code" xr:uid="{397CA5F6-0B2C-45A1-A91E-C6FACFBF7D13}"/>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788EF-FEF8-404B-AF12-8CAB567CECB9}">
  <sheetPr codeName="Planilha13">
    <pageSetUpPr fitToPage="1"/>
  </sheetPr>
  <dimension ref="A1:XFC23"/>
  <sheetViews>
    <sheetView showGridLines="0" showRowColHeaders="0" showRuler="0" zoomScale="110" zoomScaleNormal="110" workbookViewId="0">
      <pane ySplit="2" topLeftCell="A3" activePane="bottomLeft" state="frozen"/>
      <selection pane="bottomLeft"/>
    </sheetView>
  </sheetViews>
  <sheetFormatPr defaultColWidth="0" defaultRowHeight="14.4" x14ac:dyDescent="0.3"/>
  <cols>
    <col min="1" max="1" width="8.77734375" customWidth="1"/>
    <col min="2" max="2" width="60.5546875" customWidth="1"/>
    <col min="3" max="3" width="41.5546875" customWidth="1"/>
    <col min="4" max="4" width="21" customWidth="1"/>
    <col min="5" max="5" width="8.77734375" hidden="1" customWidth="1"/>
    <col min="6" max="16383" width="2.44140625" hidden="1"/>
    <col min="16384" max="16384" width="4.5546875" hidden="1"/>
  </cols>
  <sheetData>
    <row r="1" spans="1:4" ht="14.1" customHeight="1" x14ac:dyDescent="0.3">
      <c r="A1" s="446"/>
    </row>
    <row r="2" spans="1:4" ht="14.1" customHeight="1" x14ac:dyDescent="0.3">
      <c r="A2" s="447"/>
      <c r="B2" s="421"/>
      <c r="C2" s="421"/>
      <c r="D2" s="421"/>
    </row>
    <row r="3" spans="1:4" ht="14.55" customHeight="1" x14ac:dyDescent="0.3"/>
    <row r="4" spans="1:4" ht="14.55" customHeight="1" x14ac:dyDescent="0.3">
      <c r="C4" s="9" t="s">
        <v>0</v>
      </c>
    </row>
    <row r="5" spans="1:4" ht="14.55" customHeight="1" x14ac:dyDescent="0.3"/>
    <row r="8" spans="1:4" ht="21" x14ac:dyDescent="0.4">
      <c r="B8" s="441" t="s">
        <v>2223</v>
      </c>
    </row>
    <row r="9" spans="1:4" ht="12" customHeight="1" x14ac:dyDescent="0.3">
      <c r="B9" s="5"/>
      <c r="C9" s="5"/>
    </row>
    <row r="10" spans="1:4" ht="12" customHeight="1" x14ac:dyDescent="0.3">
      <c r="B10" s="5"/>
      <c r="C10" s="5"/>
    </row>
    <row r="11" spans="1:4" ht="12" customHeight="1" x14ac:dyDescent="0.3">
      <c r="B11" s="5"/>
      <c r="C11" s="5"/>
    </row>
    <row r="12" spans="1:4" ht="12" customHeight="1" thickBot="1" x14ac:dyDescent="0.35">
      <c r="B12" s="26" t="s">
        <v>2224</v>
      </c>
      <c r="C12" s="26" t="s">
        <v>325</v>
      </c>
    </row>
    <row r="13" spans="1:4" ht="22.05" customHeight="1" thickTop="1" x14ac:dyDescent="0.3">
      <c r="B13" s="11" t="s">
        <v>2225</v>
      </c>
      <c r="C13" s="656" t="s">
        <v>38</v>
      </c>
    </row>
    <row r="14" spans="1:4" ht="22.05" customHeight="1" x14ac:dyDescent="0.3">
      <c r="B14" s="11" t="s">
        <v>2226</v>
      </c>
      <c r="C14" s="656" t="s">
        <v>38</v>
      </c>
    </row>
    <row r="15" spans="1:4" ht="22.05" customHeight="1" x14ac:dyDescent="0.3">
      <c r="B15" s="11" t="s">
        <v>2227</v>
      </c>
      <c r="C15" s="656" t="s">
        <v>38</v>
      </c>
    </row>
    <row r="16" spans="1:4" ht="22.05" customHeight="1" x14ac:dyDescent="0.3">
      <c r="B16" s="11" t="s">
        <v>2228</v>
      </c>
      <c r="C16" s="656" t="s">
        <v>38</v>
      </c>
      <c r="D16" s="5"/>
    </row>
    <row r="17" spans="2:4" ht="22.05" customHeight="1" x14ac:dyDescent="0.3">
      <c r="B17" s="11" t="s">
        <v>2229</v>
      </c>
      <c r="C17" s="656" t="s">
        <v>38</v>
      </c>
      <c r="D17" s="5"/>
    </row>
    <row r="18" spans="2:4" ht="22.05" customHeight="1" x14ac:dyDescent="0.3">
      <c r="B18" s="11" t="s">
        <v>2230</v>
      </c>
      <c r="C18" s="656" t="s">
        <v>38</v>
      </c>
      <c r="D18" s="5"/>
    </row>
    <row r="19" spans="2:4" ht="22.05" customHeight="1" x14ac:dyDescent="0.3">
      <c r="B19" s="11" t="s">
        <v>2231</v>
      </c>
      <c r="C19" s="656" t="s">
        <v>38</v>
      </c>
      <c r="D19" s="5"/>
    </row>
    <row r="20" spans="2:4" ht="22.05" customHeight="1" x14ac:dyDescent="0.3">
      <c r="B20" s="11" t="s">
        <v>2232</v>
      </c>
      <c r="C20" s="656" t="s">
        <v>38</v>
      </c>
      <c r="D20" s="5"/>
    </row>
    <row r="21" spans="2:4" ht="22.05" customHeight="1" x14ac:dyDescent="0.3">
      <c r="B21" s="11" t="s">
        <v>2233</v>
      </c>
      <c r="C21" s="656" t="s">
        <v>38</v>
      </c>
      <c r="D21" s="5"/>
    </row>
    <row r="22" spans="2:4" ht="22.05" customHeight="1" x14ac:dyDescent="0.3">
      <c r="B22" s="11" t="s">
        <v>2234</v>
      </c>
      <c r="C22" s="656" t="s">
        <v>38</v>
      </c>
      <c r="D22" s="5"/>
    </row>
    <row r="23" spans="2:4" x14ac:dyDescent="0.3">
      <c r="D23" s="5"/>
    </row>
  </sheetData>
  <sheetProtection algorithmName="SHA-512" hashValue="DKjU8KGfu+ZBGppqC2ltAVw7hQ4sNjtA0YGEf6I7fNiCalFuQW8DN9E8GxzhWMm32rz/LIK5+pstrNJi4K4C4g==" saltValue="Q89JotIbO188ww/XaxwWnQ==" spinCount="100000" sheet="1" objects="1" autoFilter="0" pivotTables="0"/>
  <hyperlinks>
    <hyperlink ref="C13" location="'ICMM Report'!C26" display="ICMM Report" xr:uid="{D52FEA50-9BF8-420C-95E5-8973946073BD}"/>
    <hyperlink ref="C14" location="'ICMM Report'!C32" display="ICMM Report" xr:uid="{B13BAF36-6394-476F-988E-4C36495D6A5A}"/>
    <hyperlink ref="C15:C21" location="'ICMM Reporte '!D31" display="ICMM Reporte" xr:uid="{F7DABC71-642A-4AD7-AD25-BCD4A2892ACD}"/>
    <hyperlink ref="C22" location="'ICMM Report'!C70" display="ICMM Report" xr:uid="{1F551D65-38CB-4B86-AD85-C0855771FCB1}"/>
    <hyperlink ref="C15" location="'ICMM Report'!C35" display="ICMM Report" xr:uid="{939A1536-BC1C-4DE8-843F-352ED7C0668F}"/>
    <hyperlink ref="C16" location="'ICMM Report'!C45" display="ICMM Report" xr:uid="{9A01EB4C-E368-442A-B33C-2BD8CD798399}"/>
    <hyperlink ref="C17" location="'ICMM Report'!C50" display="ICMM Report" xr:uid="{3E16EC03-4318-4E74-B236-2B3B623F913E}"/>
    <hyperlink ref="C18" location="'ICMM Report'!C53" display="ICMM Report" xr:uid="{5789FFB3-21C2-43F3-B44C-54C19DF8F6C9}"/>
    <hyperlink ref="C19" location="'ICMM Report'!C59" display="ICMM Report" xr:uid="{CF214E46-8624-4C1D-8A61-04323664BBDF}"/>
    <hyperlink ref="C20" location="'ICMM Report'!C62" display="ICMM Report" xr:uid="{C3B3B4F7-FC37-4B4D-9AD9-BED946C8F348}"/>
    <hyperlink ref="C21" location="'ICMM Report'!C65" display="ICMM Report" xr:uid="{13C8466C-A443-4913-8AAD-3E973CDF3605}"/>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60A7-15FB-4CFB-B517-6B526240D4EC}">
  <sheetPr codeName="Planilha14"/>
  <dimension ref="A1:WWQ74"/>
  <sheetViews>
    <sheetView showGridLines="0" showRowColHeaders="0" zoomScale="85" zoomScaleNormal="100" workbookViewId="0"/>
  </sheetViews>
  <sheetFormatPr defaultColWidth="0" defaultRowHeight="14.4" x14ac:dyDescent="0.3"/>
  <cols>
    <col min="1" max="1" width="1.77734375" style="375" customWidth="1"/>
    <col min="2" max="2" width="7.44140625" style="375" customWidth="1"/>
    <col min="3" max="3" width="51.21875" style="378" customWidth="1"/>
    <col min="4" max="4" width="3" style="378" customWidth="1"/>
    <col min="5" max="5" width="22" style="375" customWidth="1"/>
    <col min="6" max="6" width="15.77734375" style="376" customWidth="1"/>
    <col min="7" max="7" width="15.77734375" customWidth="1"/>
    <col min="8" max="10" width="15.77734375" style="376" customWidth="1"/>
    <col min="11" max="11" width="18.21875" style="376" customWidth="1"/>
    <col min="12" max="31" width="15.77734375" style="376" customWidth="1"/>
    <col min="32" max="33" width="15.77734375" style="377" customWidth="1"/>
    <col min="34" max="34" width="15.77734375" style="376" customWidth="1"/>
    <col min="35" max="37" width="15.77734375" style="375" customWidth="1"/>
    <col min="38" max="38" width="76.77734375" style="375" customWidth="1"/>
    <col min="39" max="39" width="70.77734375" style="375" customWidth="1"/>
    <col min="40" max="41" width="9.21875" style="375" customWidth="1"/>
    <col min="42" max="240" width="9.21875" style="375" hidden="1"/>
    <col min="241" max="241" width="1.77734375" style="375" hidden="1"/>
    <col min="242" max="242" width="7.44140625" style="375" hidden="1"/>
    <col min="243" max="243" width="51.21875" style="375" hidden="1"/>
    <col min="244" max="244" width="3" style="375" hidden="1"/>
    <col min="245" max="245" width="22" style="375" hidden="1"/>
    <col min="246" max="260" width="16.44140625" style="375" hidden="1"/>
    <col min="261" max="261" width="18.77734375" style="375" hidden="1"/>
    <col min="262" max="287" width="16.44140625" style="375" hidden="1"/>
    <col min="288" max="288" width="76.77734375" style="375" hidden="1"/>
    <col min="289" max="289" width="59.77734375" style="375" hidden="1"/>
    <col min="290" max="496" width="9.21875" style="375" hidden="1"/>
    <col min="497" max="497" width="1.77734375" style="375" hidden="1"/>
    <col min="498" max="498" width="7.44140625" style="375" hidden="1"/>
    <col min="499" max="499" width="51.21875" style="375" hidden="1"/>
    <col min="500" max="500" width="3" style="375" hidden="1"/>
    <col min="501" max="501" width="22" style="375" hidden="1"/>
    <col min="502" max="516" width="16.44140625" style="375" hidden="1"/>
    <col min="517" max="517" width="18.77734375" style="375" hidden="1"/>
    <col min="518" max="543" width="16.44140625" style="375" hidden="1"/>
    <col min="544" max="544" width="76.77734375" style="375" hidden="1"/>
    <col min="545" max="545" width="59.77734375" style="375" hidden="1"/>
    <col min="546" max="752" width="9.21875" style="375" hidden="1"/>
    <col min="753" max="753" width="1.77734375" style="375" hidden="1"/>
    <col min="754" max="754" width="7.44140625" style="375" hidden="1"/>
    <col min="755" max="755" width="51.21875" style="375" hidden="1"/>
    <col min="756" max="756" width="3" style="375" hidden="1"/>
    <col min="757" max="757" width="22" style="375" hidden="1"/>
    <col min="758" max="772" width="16.44140625" style="375" hidden="1"/>
    <col min="773" max="773" width="18.77734375" style="375" hidden="1"/>
    <col min="774" max="799" width="16.44140625" style="375" hidden="1"/>
    <col min="800" max="800" width="76.77734375" style="375" hidden="1"/>
    <col min="801" max="801" width="59.77734375" style="375" hidden="1"/>
    <col min="802" max="1008" width="9.21875" style="375" hidden="1"/>
    <col min="1009" max="1009" width="1.77734375" style="375" hidden="1"/>
    <col min="1010" max="1010" width="7.44140625" style="375" hidden="1"/>
    <col min="1011" max="1011" width="51.21875" style="375" hidden="1"/>
    <col min="1012" max="1012" width="3" style="375" hidden="1"/>
    <col min="1013" max="1013" width="22" style="375" hidden="1"/>
    <col min="1014" max="1028" width="16.44140625" style="375" hidden="1"/>
    <col min="1029" max="1029" width="18.77734375" style="375" hidden="1"/>
    <col min="1030" max="1055" width="16.44140625" style="375" hidden="1"/>
    <col min="1056" max="1056" width="76.77734375" style="375" hidden="1"/>
    <col min="1057" max="1057" width="59.77734375" style="375" hidden="1"/>
    <col min="1058" max="1264" width="9.21875" style="375" hidden="1"/>
    <col min="1265" max="1265" width="1.77734375" style="375" hidden="1"/>
    <col min="1266" max="1266" width="7.44140625" style="375" hidden="1"/>
    <col min="1267" max="1267" width="51.21875" style="375" hidden="1"/>
    <col min="1268" max="1268" width="3" style="375" hidden="1"/>
    <col min="1269" max="1269" width="22" style="375" hidden="1"/>
    <col min="1270" max="1284" width="16.44140625" style="375" hidden="1"/>
    <col min="1285" max="1285" width="18.77734375" style="375" hidden="1"/>
    <col min="1286" max="1311" width="16.44140625" style="375" hidden="1"/>
    <col min="1312" max="1312" width="76.77734375" style="375" hidden="1"/>
    <col min="1313" max="1313" width="59.77734375" style="375" hidden="1"/>
    <col min="1314" max="1520" width="9.21875" style="375" hidden="1"/>
    <col min="1521" max="1521" width="1.77734375" style="375" hidden="1"/>
    <col min="1522" max="1522" width="7.44140625" style="375" hidden="1"/>
    <col min="1523" max="1523" width="51.21875" style="375" hidden="1"/>
    <col min="1524" max="1524" width="3" style="375" hidden="1"/>
    <col min="1525" max="1525" width="22" style="375" hidden="1"/>
    <col min="1526" max="1540" width="16.44140625" style="375" hidden="1"/>
    <col min="1541" max="1541" width="18.77734375" style="375" hidden="1"/>
    <col min="1542" max="1567" width="16.44140625" style="375" hidden="1"/>
    <col min="1568" max="1568" width="76.77734375" style="375" hidden="1"/>
    <col min="1569" max="1569" width="59.77734375" style="375" hidden="1"/>
    <col min="1570" max="1776" width="9.21875" style="375" hidden="1"/>
    <col min="1777" max="1777" width="1.77734375" style="375" hidden="1"/>
    <col min="1778" max="1778" width="7.44140625" style="375" hidden="1"/>
    <col min="1779" max="1779" width="51.21875" style="375" hidden="1"/>
    <col min="1780" max="1780" width="3" style="375" hidden="1"/>
    <col min="1781" max="1781" width="22" style="375" hidden="1"/>
    <col min="1782" max="1796" width="16.44140625" style="375" hidden="1"/>
    <col min="1797" max="1797" width="18.77734375" style="375" hidden="1"/>
    <col min="1798" max="1823" width="16.44140625" style="375" hidden="1"/>
    <col min="1824" max="1824" width="76.77734375" style="375" hidden="1"/>
    <col min="1825" max="1825" width="59.77734375" style="375" hidden="1"/>
    <col min="1826" max="2032" width="9.21875" style="375" hidden="1"/>
    <col min="2033" max="2033" width="1.77734375" style="375" hidden="1"/>
    <col min="2034" max="2034" width="7.44140625" style="375" hidden="1"/>
    <col min="2035" max="2035" width="51.21875" style="375" hidden="1"/>
    <col min="2036" max="2036" width="3" style="375" hidden="1"/>
    <col min="2037" max="2037" width="22" style="375" hidden="1"/>
    <col min="2038" max="2052" width="16.44140625" style="375" hidden="1"/>
    <col min="2053" max="2053" width="18.77734375" style="375" hidden="1"/>
    <col min="2054" max="2079" width="16.44140625" style="375" hidden="1"/>
    <col min="2080" max="2080" width="76.77734375" style="375" hidden="1"/>
    <col min="2081" max="2081" width="59.77734375" style="375" hidden="1"/>
    <col min="2082" max="2288" width="9.21875" style="375" hidden="1"/>
    <col min="2289" max="2289" width="1.77734375" style="375" hidden="1"/>
    <col min="2290" max="2290" width="7.44140625" style="375" hidden="1"/>
    <col min="2291" max="2291" width="51.21875" style="375" hidden="1"/>
    <col min="2292" max="2292" width="3" style="375" hidden="1"/>
    <col min="2293" max="2293" width="22" style="375" hidden="1"/>
    <col min="2294" max="2308" width="16.44140625" style="375" hidden="1"/>
    <col min="2309" max="2309" width="18.77734375" style="375" hidden="1"/>
    <col min="2310" max="2335" width="16.44140625" style="375" hidden="1"/>
    <col min="2336" max="2336" width="76.77734375" style="375" hidden="1"/>
    <col min="2337" max="2337" width="59.77734375" style="375" hidden="1"/>
    <col min="2338" max="2544" width="9.21875" style="375" hidden="1"/>
    <col min="2545" max="2545" width="1.77734375" style="375" hidden="1"/>
    <col min="2546" max="2546" width="7.44140625" style="375" hidden="1"/>
    <col min="2547" max="2547" width="51.21875" style="375" hidden="1"/>
    <col min="2548" max="2548" width="3" style="375" hidden="1"/>
    <col min="2549" max="2549" width="22" style="375" hidden="1"/>
    <col min="2550" max="2564" width="16.44140625" style="375" hidden="1"/>
    <col min="2565" max="2565" width="18.77734375" style="375" hidden="1"/>
    <col min="2566" max="2591" width="16.44140625" style="375" hidden="1"/>
    <col min="2592" max="2592" width="76.77734375" style="375" hidden="1"/>
    <col min="2593" max="2593" width="59.77734375" style="375" hidden="1"/>
    <col min="2594" max="2800" width="9.21875" style="375" hidden="1"/>
    <col min="2801" max="2801" width="1.77734375" style="375" hidden="1"/>
    <col min="2802" max="2802" width="7.44140625" style="375" hidden="1"/>
    <col min="2803" max="2803" width="51.21875" style="375" hidden="1"/>
    <col min="2804" max="2804" width="3" style="375" hidden="1"/>
    <col min="2805" max="2805" width="22" style="375" hidden="1"/>
    <col min="2806" max="2820" width="16.44140625" style="375" hidden="1"/>
    <col min="2821" max="2821" width="18.77734375" style="375" hidden="1"/>
    <col min="2822" max="2847" width="16.44140625" style="375" hidden="1"/>
    <col min="2848" max="2848" width="76.77734375" style="375" hidden="1"/>
    <col min="2849" max="2849" width="59.77734375" style="375" hidden="1"/>
    <col min="2850" max="3056" width="9.21875" style="375" hidden="1"/>
    <col min="3057" max="3057" width="1.77734375" style="375" hidden="1"/>
    <col min="3058" max="3058" width="7.44140625" style="375" hidden="1"/>
    <col min="3059" max="3059" width="51.21875" style="375" hidden="1"/>
    <col min="3060" max="3060" width="3" style="375" hidden="1"/>
    <col min="3061" max="3061" width="22" style="375" hidden="1"/>
    <col min="3062" max="3076" width="16.44140625" style="375" hidden="1"/>
    <col min="3077" max="3077" width="18.77734375" style="375" hidden="1"/>
    <col min="3078" max="3103" width="16.44140625" style="375" hidden="1"/>
    <col min="3104" max="3104" width="76.77734375" style="375" hidden="1"/>
    <col min="3105" max="3105" width="59.77734375" style="375" hidden="1"/>
    <col min="3106" max="3312" width="9.21875" style="375" hidden="1"/>
    <col min="3313" max="3313" width="1.77734375" style="375" hidden="1"/>
    <col min="3314" max="3314" width="7.44140625" style="375" hidden="1"/>
    <col min="3315" max="3315" width="51.21875" style="375" hidden="1"/>
    <col min="3316" max="3316" width="3" style="375" hidden="1"/>
    <col min="3317" max="3317" width="22" style="375" hidden="1"/>
    <col min="3318" max="3332" width="16.44140625" style="375" hidden="1"/>
    <col min="3333" max="3333" width="18.77734375" style="375" hidden="1"/>
    <col min="3334" max="3359" width="16.44140625" style="375" hidden="1"/>
    <col min="3360" max="3360" width="76.77734375" style="375" hidden="1"/>
    <col min="3361" max="3361" width="59.77734375" style="375" hidden="1"/>
    <col min="3362" max="3568" width="9.21875" style="375" hidden="1"/>
    <col min="3569" max="3569" width="1.77734375" style="375" hidden="1"/>
    <col min="3570" max="3570" width="7.44140625" style="375" hidden="1"/>
    <col min="3571" max="3571" width="51.21875" style="375" hidden="1"/>
    <col min="3572" max="3572" width="3" style="375" hidden="1"/>
    <col min="3573" max="3573" width="22" style="375" hidden="1"/>
    <col min="3574" max="3588" width="16.44140625" style="375" hidden="1"/>
    <col min="3589" max="3589" width="18.77734375" style="375" hidden="1"/>
    <col min="3590" max="3615" width="16.44140625" style="375" hidden="1"/>
    <col min="3616" max="3616" width="76.77734375" style="375" hidden="1"/>
    <col min="3617" max="3617" width="59.77734375" style="375" hidden="1"/>
    <col min="3618" max="3824" width="9.21875" style="375" hidden="1"/>
    <col min="3825" max="3825" width="1.77734375" style="375" hidden="1"/>
    <col min="3826" max="3826" width="7.44140625" style="375" hidden="1"/>
    <col min="3827" max="3827" width="51.21875" style="375" hidden="1"/>
    <col min="3828" max="3828" width="3" style="375" hidden="1"/>
    <col min="3829" max="3829" width="22" style="375" hidden="1"/>
    <col min="3830" max="3844" width="16.44140625" style="375" hidden="1"/>
    <col min="3845" max="3845" width="18.77734375" style="375" hidden="1"/>
    <col min="3846" max="3871" width="16.44140625" style="375" hidden="1"/>
    <col min="3872" max="3872" width="76.77734375" style="375" hidden="1"/>
    <col min="3873" max="3873" width="59.77734375" style="375" hidden="1"/>
    <col min="3874" max="4080" width="9.21875" style="375" hidden="1"/>
    <col min="4081" max="4081" width="1.77734375" style="375" hidden="1"/>
    <col min="4082" max="4082" width="7.44140625" style="375" hidden="1"/>
    <col min="4083" max="4083" width="51.21875" style="375" hidden="1"/>
    <col min="4084" max="4084" width="3" style="375" hidden="1"/>
    <col min="4085" max="4085" width="22" style="375" hidden="1"/>
    <col min="4086" max="4100" width="16.44140625" style="375" hidden="1"/>
    <col min="4101" max="4101" width="18.77734375" style="375" hidden="1"/>
    <col min="4102" max="4127" width="16.44140625" style="375" hidden="1"/>
    <col min="4128" max="4128" width="76.77734375" style="375" hidden="1"/>
    <col min="4129" max="4129" width="59.77734375" style="375" hidden="1"/>
    <col min="4130" max="4336" width="9.21875" style="375" hidden="1"/>
    <col min="4337" max="4337" width="1.77734375" style="375" hidden="1"/>
    <col min="4338" max="4338" width="7.44140625" style="375" hidden="1"/>
    <col min="4339" max="4339" width="51.21875" style="375" hidden="1"/>
    <col min="4340" max="4340" width="3" style="375" hidden="1"/>
    <col min="4341" max="4341" width="22" style="375" hidden="1"/>
    <col min="4342" max="4356" width="16.44140625" style="375" hidden="1"/>
    <col min="4357" max="4357" width="18.77734375" style="375" hidden="1"/>
    <col min="4358" max="4383" width="16.44140625" style="375" hidden="1"/>
    <col min="4384" max="4384" width="76.77734375" style="375" hidden="1"/>
    <col min="4385" max="4385" width="59.77734375" style="375" hidden="1"/>
    <col min="4386" max="4592" width="9.21875" style="375" hidden="1"/>
    <col min="4593" max="4593" width="1.77734375" style="375" hidden="1"/>
    <col min="4594" max="4594" width="7.44140625" style="375" hidden="1"/>
    <col min="4595" max="4595" width="51.21875" style="375" hidden="1"/>
    <col min="4596" max="4596" width="3" style="375" hidden="1"/>
    <col min="4597" max="4597" width="22" style="375" hidden="1"/>
    <col min="4598" max="4612" width="16.44140625" style="375" hidden="1"/>
    <col min="4613" max="4613" width="18.77734375" style="375" hidden="1"/>
    <col min="4614" max="4639" width="16.44140625" style="375" hidden="1"/>
    <col min="4640" max="4640" width="76.77734375" style="375" hidden="1"/>
    <col min="4641" max="4641" width="59.77734375" style="375" hidden="1"/>
    <col min="4642" max="4848" width="9.21875" style="375" hidden="1"/>
    <col min="4849" max="4849" width="1.77734375" style="375" hidden="1"/>
    <col min="4850" max="4850" width="7.44140625" style="375" hidden="1"/>
    <col min="4851" max="4851" width="51.21875" style="375" hidden="1"/>
    <col min="4852" max="4852" width="3" style="375" hidden="1"/>
    <col min="4853" max="4853" width="22" style="375" hidden="1"/>
    <col min="4854" max="4868" width="16.44140625" style="375" hidden="1"/>
    <col min="4869" max="4869" width="18.77734375" style="375" hidden="1"/>
    <col min="4870" max="4895" width="16.44140625" style="375" hidden="1"/>
    <col min="4896" max="4896" width="76.77734375" style="375" hidden="1"/>
    <col min="4897" max="4897" width="59.77734375" style="375" hidden="1"/>
    <col min="4898" max="5104" width="9.21875" style="375" hidden="1"/>
    <col min="5105" max="5105" width="1.77734375" style="375" hidden="1"/>
    <col min="5106" max="5106" width="7.44140625" style="375" hidden="1"/>
    <col min="5107" max="5107" width="51.21875" style="375" hidden="1"/>
    <col min="5108" max="5108" width="3" style="375" hidden="1"/>
    <col min="5109" max="5109" width="22" style="375" hidden="1"/>
    <col min="5110" max="5124" width="16.44140625" style="375" hidden="1"/>
    <col min="5125" max="5125" width="18.77734375" style="375" hidden="1"/>
    <col min="5126" max="5151" width="16.44140625" style="375" hidden="1"/>
    <col min="5152" max="5152" width="76.77734375" style="375" hidden="1"/>
    <col min="5153" max="5153" width="59.77734375" style="375" hidden="1"/>
    <col min="5154" max="5360" width="9.21875" style="375" hidden="1"/>
    <col min="5361" max="5361" width="1.77734375" style="375" hidden="1"/>
    <col min="5362" max="5362" width="7.44140625" style="375" hidden="1"/>
    <col min="5363" max="5363" width="51.21875" style="375" hidden="1"/>
    <col min="5364" max="5364" width="3" style="375" hidden="1"/>
    <col min="5365" max="5365" width="22" style="375" hidden="1"/>
    <col min="5366" max="5380" width="16.44140625" style="375" hidden="1"/>
    <col min="5381" max="5381" width="18.77734375" style="375" hidden="1"/>
    <col min="5382" max="5407" width="16.44140625" style="375" hidden="1"/>
    <col min="5408" max="5408" width="76.77734375" style="375" hidden="1"/>
    <col min="5409" max="5409" width="59.77734375" style="375" hidden="1"/>
    <col min="5410" max="5616" width="9.21875" style="375" hidden="1"/>
    <col min="5617" max="5617" width="1.77734375" style="375" hidden="1"/>
    <col min="5618" max="5618" width="7.44140625" style="375" hidden="1"/>
    <col min="5619" max="5619" width="51.21875" style="375" hidden="1"/>
    <col min="5620" max="5620" width="3" style="375" hidden="1"/>
    <col min="5621" max="5621" width="22" style="375" hidden="1"/>
    <col min="5622" max="5636" width="16.44140625" style="375" hidden="1"/>
    <col min="5637" max="5637" width="18.77734375" style="375" hidden="1"/>
    <col min="5638" max="5663" width="16.44140625" style="375" hidden="1"/>
    <col min="5664" max="5664" width="76.77734375" style="375" hidden="1"/>
    <col min="5665" max="5665" width="59.77734375" style="375" hidden="1"/>
    <col min="5666" max="5872" width="9.21875" style="375" hidden="1"/>
    <col min="5873" max="5873" width="1.77734375" style="375" hidden="1"/>
    <col min="5874" max="5874" width="7.44140625" style="375" hidden="1"/>
    <col min="5875" max="5875" width="51.21875" style="375" hidden="1"/>
    <col min="5876" max="5876" width="3" style="375" hidden="1"/>
    <col min="5877" max="5877" width="22" style="375" hidden="1"/>
    <col min="5878" max="5892" width="16.44140625" style="375" hidden="1"/>
    <col min="5893" max="5893" width="18.77734375" style="375" hidden="1"/>
    <col min="5894" max="5919" width="16.44140625" style="375" hidden="1"/>
    <col min="5920" max="5920" width="76.77734375" style="375" hidden="1"/>
    <col min="5921" max="5921" width="59.77734375" style="375" hidden="1"/>
    <col min="5922" max="6128" width="9.21875" style="375" hidden="1"/>
    <col min="6129" max="6129" width="1.77734375" style="375" hidden="1"/>
    <col min="6130" max="6130" width="7.44140625" style="375" hidden="1"/>
    <col min="6131" max="6131" width="51.21875" style="375" hidden="1"/>
    <col min="6132" max="6132" width="3" style="375" hidden="1"/>
    <col min="6133" max="6133" width="22" style="375" hidden="1"/>
    <col min="6134" max="6148" width="16.44140625" style="375" hidden="1"/>
    <col min="6149" max="6149" width="18.77734375" style="375" hidden="1"/>
    <col min="6150" max="6175" width="16.44140625" style="375" hidden="1"/>
    <col min="6176" max="6176" width="76.77734375" style="375" hidden="1"/>
    <col min="6177" max="6177" width="59.77734375" style="375" hidden="1"/>
    <col min="6178" max="6384" width="9.21875" style="375" hidden="1"/>
    <col min="6385" max="6385" width="1.77734375" style="375" hidden="1"/>
    <col min="6386" max="6386" width="7.44140625" style="375" hidden="1"/>
    <col min="6387" max="6387" width="51.21875" style="375" hidden="1"/>
    <col min="6388" max="6388" width="3" style="375" hidden="1"/>
    <col min="6389" max="6389" width="22" style="375" hidden="1"/>
    <col min="6390" max="6404" width="16.44140625" style="375" hidden="1"/>
    <col min="6405" max="6405" width="18.77734375" style="375" hidden="1"/>
    <col min="6406" max="6431" width="16.44140625" style="375" hidden="1"/>
    <col min="6432" max="6432" width="76.77734375" style="375" hidden="1"/>
    <col min="6433" max="6433" width="59.77734375" style="375" hidden="1"/>
    <col min="6434" max="6640" width="9.21875" style="375" hidden="1"/>
    <col min="6641" max="6641" width="1.77734375" style="375" hidden="1"/>
    <col min="6642" max="6642" width="7.44140625" style="375" hidden="1"/>
    <col min="6643" max="6643" width="51.21875" style="375" hidden="1"/>
    <col min="6644" max="6644" width="3" style="375" hidden="1"/>
    <col min="6645" max="6645" width="22" style="375" hidden="1"/>
    <col min="6646" max="6660" width="16.44140625" style="375" hidden="1"/>
    <col min="6661" max="6661" width="18.77734375" style="375" hidden="1"/>
    <col min="6662" max="6687" width="16.44140625" style="375" hidden="1"/>
    <col min="6688" max="6688" width="76.77734375" style="375" hidden="1"/>
    <col min="6689" max="6689" width="59.77734375" style="375" hidden="1"/>
    <col min="6690" max="6896" width="9.21875" style="375" hidden="1"/>
    <col min="6897" max="6897" width="1.77734375" style="375" hidden="1"/>
    <col min="6898" max="6898" width="7.44140625" style="375" hidden="1"/>
    <col min="6899" max="6899" width="51.21875" style="375" hidden="1"/>
    <col min="6900" max="6900" width="3" style="375" hidden="1"/>
    <col min="6901" max="6901" width="22" style="375" hidden="1"/>
    <col min="6902" max="6916" width="16.44140625" style="375" hidden="1"/>
    <col min="6917" max="6917" width="18.77734375" style="375" hidden="1"/>
    <col min="6918" max="6943" width="16.44140625" style="375" hidden="1"/>
    <col min="6944" max="6944" width="76.77734375" style="375" hidden="1"/>
    <col min="6945" max="6945" width="59.77734375" style="375" hidden="1"/>
    <col min="6946" max="7152" width="9.21875" style="375" hidden="1"/>
    <col min="7153" max="7153" width="1.77734375" style="375" hidden="1"/>
    <col min="7154" max="7154" width="7.44140625" style="375" hidden="1"/>
    <col min="7155" max="7155" width="51.21875" style="375" hidden="1"/>
    <col min="7156" max="7156" width="3" style="375" hidden="1"/>
    <col min="7157" max="7157" width="22" style="375" hidden="1"/>
    <col min="7158" max="7172" width="16.44140625" style="375" hidden="1"/>
    <col min="7173" max="7173" width="18.77734375" style="375" hidden="1"/>
    <col min="7174" max="7199" width="16.44140625" style="375" hidden="1"/>
    <col min="7200" max="7200" width="76.77734375" style="375" hidden="1"/>
    <col min="7201" max="7201" width="59.77734375" style="375" hidden="1"/>
    <col min="7202" max="7408" width="9.21875" style="375" hidden="1"/>
    <col min="7409" max="7409" width="1.77734375" style="375" hidden="1"/>
    <col min="7410" max="7410" width="7.44140625" style="375" hidden="1"/>
    <col min="7411" max="7411" width="51.21875" style="375" hidden="1"/>
    <col min="7412" max="7412" width="3" style="375" hidden="1"/>
    <col min="7413" max="7413" width="22" style="375" hidden="1"/>
    <col min="7414" max="7428" width="16.44140625" style="375" hidden="1"/>
    <col min="7429" max="7429" width="18.77734375" style="375" hidden="1"/>
    <col min="7430" max="7455" width="16.44140625" style="375" hidden="1"/>
    <col min="7456" max="7456" width="76.77734375" style="375" hidden="1"/>
    <col min="7457" max="7457" width="59.77734375" style="375" hidden="1"/>
    <col min="7458" max="7664" width="9.21875" style="375" hidden="1"/>
    <col min="7665" max="7665" width="1.77734375" style="375" hidden="1"/>
    <col min="7666" max="7666" width="7.44140625" style="375" hidden="1"/>
    <col min="7667" max="7667" width="51.21875" style="375" hidden="1"/>
    <col min="7668" max="7668" width="3" style="375" hidden="1"/>
    <col min="7669" max="7669" width="22" style="375" hidden="1"/>
    <col min="7670" max="7684" width="16.44140625" style="375" hidden="1"/>
    <col min="7685" max="7685" width="18.77734375" style="375" hidden="1"/>
    <col min="7686" max="7711" width="16.44140625" style="375" hidden="1"/>
    <col min="7712" max="7712" width="76.77734375" style="375" hidden="1"/>
    <col min="7713" max="7713" width="59.77734375" style="375" hidden="1"/>
    <col min="7714" max="7920" width="9.21875" style="375" hidden="1"/>
    <col min="7921" max="7921" width="1.77734375" style="375" hidden="1"/>
    <col min="7922" max="7922" width="7.44140625" style="375" hidden="1"/>
    <col min="7923" max="7923" width="51.21875" style="375" hidden="1"/>
    <col min="7924" max="7924" width="3" style="375" hidden="1"/>
    <col min="7925" max="7925" width="22" style="375" hidden="1"/>
    <col min="7926" max="7940" width="16.44140625" style="375" hidden="1"/>
    <col min="7941" max="7941" width="18.77734375" style="375" hidden="1"/>
    <col min="7942" max="7967" width="16.44140625" style="375" hidden="1"/>
    <col min="7968" max="7968" width="76.77734375" style="375" hidden="1"/>
    <col min="7969" max="7969" width="59.77734375" style="375" hidden="1"/>
    <col min="7970" max="8176" width="9.21875" style="375" hidden="1"/>
    <col min="8177" max="8177" width="1.77734375" style="375" hidden="1"/>
    <col min="8178" max="8178" width="7.44140625" style="375" hidden="1"/>
    <col min="8179" max="8179" width="51.21875" style="375" hidden="1"/>
    <col min="8180" max="8180" width="3" style="375" hidden="1"/>
    <col min="8181" max="8181" width="22" style="375" hidden="1"/>
    <col min="8182" max="8196" width="16.44140625" style="375" hidden="1"/>
    <col min="8197" max="8197" width="18.77734375" style="375" hidden="1"/>
    <col min="8198" max="8223" width="16.44140625" style="375" hidden="1"/>
    <col min="8224" max="8224" width="76.77734375" style="375" hidden="1"/>
    <col min="8225" max="8225" width="59.77734375" style="375" hidden="1"/>
    <col min="8226" max="8432" width="9.21875" style="375" hidden="1"/>
    <col min="8433" max="8433" width="1.77734375" style="375" hidden="1"/>
    <col min="8434" max="8434" width="7.44140625" style="375" hidden="1"/>
    <col min="8435" max="8435" width="51.21875" style="375" hidden="1"/>
    <col min="8436" max="8436" width="3" style="375" hidden="1"/>
    <col min="8437" max="8437" width="22" style="375" hidden="1"/>
    <col min="8438" max="8452" width="16.44140625" style="375" hidden="1"/>
    <col min="8453" max="8453" width="18.77734375" style="375" hidden="1"/>
    <col min="8454" max="8479" width="16.44140625" style="375" hidden="1"/>
    <col min="8480" max="8480" width="76.77734375" style="375" hidden="1"/>
    <col min="8481" max="8481" width="59.77734375" style="375" hidden="1"/>
    <col min="8482" max="8688" width="9.21875" style="375" hidden="1"/>
    <col min="8689" max="8689" width="1.77734375" style="375" hidden="1"/>
    <col min="8690" max="8690" width="7.44140625" style="375" hidden="1"/>
    <col min="8691" max="8691" width="51.21875" style="375" hidden="1"/>
    <col min="8692" max="8692" width="3" style="375" hidden="1"/>
    <col min="8693" max="8693" width="22" style="375" hidden="1"/>
    <col min="8694" max="8708" width="16.44140625" style="375" hidden="1"/>
    <col min="8709" max="8709" width="18.77734375" style="375" hidden="1"/>
    <col min="8710" max="8735" width="16.44140625" style="375" hidden="1"/>
    <col min="8736" max="8736" width="76.77734375" style="375" hidden="1"/>
    <col min="8737" max="8737" width="59.77734375" style="375" hidden="1"/>
    <col min="8738" max="8944" width="9.21875" style="375" hidden="1"/>
    <col min="8945" max="8945" width="1.77734375" style="375" hidden="1"/>
    <col min="8946" max="8946" width="7.44140625" style="375" hidden="1"/>
    <col min="8947" max="8947" width="51.21875" style="375" hidden="1"/>
    <col min="8948" max="8948" width="3" style="375" hidden="1"/>
    <col min="8949" max="8949" width="22" style="375" hidden="1"/>
    <col min="8950" max="8964" width="16.44140625" style="375" hidden="1"/>
    <col min="8965" max="8965" width="18.77734375" style="375" hidden="1"/>
    <col min="8966" max="8991" width="16.44140625" style="375" hidden="1"/>
    <col min="8992" max="8992" width="76.77734375" style="375" hidden="1"/>
    <col min="8993" max="8993" width="59.77734375" style="375" hidden="1"/>
    <col min="8994" max="9200" width="9.21875" style="375" hidden="1"/>
    <col min="9201" max="9201" width="1.77734375" style="375" hidden="1"/>
    <col min="9202" max="9202" width="7.44140625" style="375" hidden="1"/>
    <col min="9203" max="9203" width="51.21875" style="375" hidden="1"/>
    <col min="9204" max="9204" width="3" style="375" hidden="1"/>
    <col min="9205" max="9205" width="22" style="375" hidden="1"/>
    <col min="9206" max="9220" width="16.44140625" style="375" hidden="1"/>
    <col min="9221" max="9221" width="18.77734375" style="375" hidden="1"/>
    <col min="9222" max="9247" width="16.44140625" style="375" hidden="1"/>
    <col min="9248" max="9248" width="76.77734375" style="375" hidden="1"/>
    <col min="9249" max="9249" width="59.77734375" style="375" hidden="1"/>
    <col min="9250" max="9456" width="9.21875" style="375" hidden="1"/>
    <col min="9457" max="9457" width="1.77734375" style="375" hidden="1"/>
    <col min="9458" max="9458" width="7.44140625" style="375" hidden="1"/>
    <col min="9459" max="9459" width="51.21875" style="375" hidden="1"/>
    <col min="9460" max="9460" width="3" style="375" hidden="1"/>
    <col min="9461" max="9461" width="22" style="375" hidden="1"/>
    <col min="9462" max="9476" width="16.44140625" style="375" hidden="1"/>
    <col min="9477" max="9477" width="18.77734375" style="375" hidden="1"/>
    <col min="9478" max="9503" width="16.44140625" style="375" hidden="1"/>
    <col min="9504" max="9504" width="76.77734375" style="375" hidden="1"/>
    <col min="9505" max="9505" width="59.77734375" style="375" hidden="1"/>
    <col min="9506" max="9712" width="9.21875" style="375" hidden="1"/>
    <col min="9713" max="9713" width="1.77734375" style="375" hidden="1"/>
    <col min="9714" max="9714" width="7.44140625" style="375" hidden="1"/>
    <col min="9715" max="9715" width="51.21875" style="375" hidden="1"/>
    <col min="9716" max="9716" width="3" style="375" hidden="1"/>
    <col min="9717" max="9717" width="22" style="375" hidden="1"/>
    <col min="9718" max="9732" width="16.44140625" style="375" hidden="1"/>
    <col min="9733" max="9733" width="18.77734375" style="375" hidden="1"/>
    <col min="9734" max="9759" width="16.44140625" style="375" hidden="1"/>
    <col min="9760" max="9760" width="76.77734375" style="375" hidden="1"/>
    <col min="9761" max="9761" width="59.77734375" style="375" hidden="1"/>
    <col min="9762" max="9968" width="9.21875" style="375" hidden="1"/>
    <col min="9969" max="9969" width="1.77734375" style="375" hidden="1"/>
    <col min="9970" max="9970" width="7.44140625" style="375" hidden="1"/>
    <col min="9971" max="9971" width="51.21875" style="375" hidden="1"/>
    <col min="9972" max="9972" width="3" style="375" hidden="1"/>
    <col min="9973" max="9973" width="22" style="375" hidden="1"/>
    <col min="9974" max="9988" width="16.44140625" style="375" hidden="1"/>
    <col min="9989" max="9989" width="18.77734375" style="375" hidden="1"/>
    <col min="9990" max="10015" width="16.44140625" style="375" hidden="1"/>
    <col min="10016" max="10016" width="76.77734375" style="375" hidden="1"/>
    <col min="10017" max="10017" width="59.77734375" style="375" hidden="1"/>
    <col min="10018" max="10224" width="9.21875" style="375" hidden="1"/>
    <col min="10225" max="10225" width="1.77734375" style="375" hidden="1"/>
    <col min="10226" max="10226" width="7.44140625" style="375" hidden="1"/>
    <col min="10227" max="10227" width="51.21875" style="375" hidden="1"/>
    <col min="10228" max="10228" width="3" style="375" hidden="1"/>
    <col min="10229" max="10229" width="22" style="375" hidden="1"/>
    <col min="10230" max="10244" width="16.44140625" style="375" hidden="1"/>
    <col min="10245" max="10245" width="18.77734375" style="375" hidden="1"/>
    <col min="10246" max="10271" width="16.44140625" style="375" hidden="1"/>
    <col min="10272" max="10272" width="76.77734375" style="375" hidden="1"/>
    <col min="10273" max="10273" width="59.77734375" style="375" hidden="1"/>
    <col min="10274" max="10480" width="9.21875" style="375" hidden="1"/>
    <col min="10481" max="10481" width="1.77734375" style="375" hidden="1"/>
    <col min="10482" max="10482" width="7.44140625" style="375" hidden="1"/>
    <col min="10483" max="10483" width="51.21875" style="375" hidden="1"/>
    <col min="10484" max="10484" width="3" style="375" hidden="1"/>
    <col min="10485" max="10485" width="22" style="375" hidden="1"/>
    <col min="10486" max="10500" width="16.44140625" style="375" hidden="1"/>
    <col min="10501" max="10501" width="18.77734375" style="375" hidden="1"/>
    <col min="10502" max="10527" width="16.44140625" style="375" hidden="1"/>
    <col min="10528" max="10528" width="76.77734375" style="375" hidden="1"/>
    <col min="10529" max="10529" width="59.77734375" style="375" hidden="1"/>
    <col min="10530" max="10736" width="9.21875" style="375" hidden="1"/>
    <col min="10737" max="10737" width="1.77734375" style="375" hidden="1"/>
    <col min="10738" max="10738" width="7.44140625" style="375" hidden="1"/>
    <col min="10739" max="10739" width="51.21875" style="375" hidden="1"/>
    <col min="10740" max="10740" width="3" style="375" hidden="1"/>
    <col min="10741" max="10741" width="22" style="375" hidden="1"/>
    <col min="10742" max="10756" width="16.44140625" style="375" hidden="1"/>
    <col min="10757" max="10757" width="18.77734375" style="375" hidden="1"/>
    <col min="10758" max="10783" width="16.44140625" style="375" hidden="1"/>
    <col min="10784" max="10784" width="76.77734375" style="375" hidden="1"/>
    <col min="10785" max="10785" width="59.77734375" style="375" hidden="1"/>
    <col min="10786" max="10992" width="9.21875" style="375" hidden="1"/>
    <col min="10993" max="10993" width="1.77734375" style="375" hidden="1"/>
    <col min="10994" max="10994" width="7.44140625" style="375" hidden="1"/>
    <col min="10995" max="10995" width="51.21875" style="375" hidden="1"/>
    <col min="10996" max="10996" width="3" style="375" hidden="1"/>
    <col min="10997" max="10997" width="22" style="375" hidden="1"/>
    <col min="10998" max="11012" width="16.44140625" style="375" hidden="1"/>
    <col min="11013" max="11013" width="18.77734375" style="375" hidden="1"/>
    <col min="11014" max="11039" width="16.44140625" style="375" hidden="1"/>
    <col min="11040" max="11040" width="76.77734375" style="375" hidden="1"/>
    <col min="11041" max="11041" width="59.77734375" style="375" hidden="1"/>
    <col min="11042" max="11248" width="9.21875" style="375" hidden="1"/>
    <col min="11249" max="11249" width="1.77734375" style="375" hidden="1"/>
    <col min="11250" max="11250" width="7.44140625" style="375" hidden="1"/>
    <col min="11251" max="11251" width="51.21875" style="375" hidden="1"/>
    <col min="11252" max="11252" width="3" style="375" hidden="1"/>
    <col min="11253" max="11253" width="22" style="375" hidden="1"/>
    <col min="11254" max="11268" width="16.44140625" style="375" hidden="1"/>
    <col min="11269" max="11269" width="18.77734375" style="375" hidden="1"/>
    <col min="11270" max="11295" width="16.44140625" style="375" hidden="1"/>
    <col min="11296" max="11296" width="76.77734375" style="375" hidden="1"/>
    <col min="11297" max="11297" width="59.77734375" style="375" hidden="1"/>
    <col min="11298" max="11504" width="9.21875" style="375" hidden="1"/>
    <col min="11505" max="11505" width="1.77734375" style="375" hidden="1"/>
    <col min="11506" max="11506" width="7.44140625" style="375" hidden="1"/>
    <col min="11507" max="11507" width="51.21875" style="375" hidden="1"/>
    <col min="11508" max="11508" width="3" style="375" hidden="1"/>
    <col min="11509" max="11509" width="22" style="375" hidden="1"/>
    <col min="11510" max="11524" width="16.44140625" style="375" hidden="1"/>
    <col min="11525" max="11525" width="18.77734375" style="375" hidden="1"/>
    <col min="11526" max="11551" width="16.44140625" style="375" hidden="1"/>
    <col min="11552" max="11552" width="76.77734375" style="375" hidden="1"/>
    <col min="11553" max="11553" width="59.77734375" style="375" hidden="1"/>
    <col min="11554" max="11760" width="9.21875" style="375" hidden="1"/>
    <col min="11761" max="11761" width="1.77734375" style="375" hidden="1"/>
    <col min="11762" max="11762" width="7.44140625" style="375" hidden="1"/>
    <col min="11763" max="11763" width="51.21875" style="375" hidden="1"/>
    <col min="11764" max="11764" width="3" style="375" hidden="1"/>
    <col min="11765" max="11765" width="22" style="375" hidden="1"/>
    <col min="11766" max="11780" width="16.44140625" style="375" hidden="1"/>
    <col min="11781" max="11781" width="18.77734375" style="375" hidden="1"/>
    <col min="11782" max="11807" width="16.44140625" style="375" hidden="1"/>
    <col min="11808" max="11808" width="76.77734375" style="375" hidden="1"/>
    <col min="11809" max="11809" width="59.77734375" style="375" hidden="1"/>
    <col min="11810" max="12016" width="9.21875" style="375" hidden="1"/>
    <col min="12017" max="12017" width="1.77734375" style="375" hidden="1"/>
    <col min="12018" max="12018" width="7.44140625" style="375" hidden="1"/>
    <col min="12019" max="12019" width="51.21875" style="375" hidden="1"/>
    <col min="12020" max="12020" width="3" style="375" hidden="1"/>
    <col min="12021" max="12021" width="22" style="375" hidden="1"/>
    <col min="12022" max="12036" width="16.44140625" style="375" hidden="1"/>
    <col min="12037" max="12037" width="18.77734375" style="375" hidden="1"/>
    <col min="12038" max="12063" width="16.44140625" style="375" hidden="1"/>
    <col min="12064" max="12064" width="76.77734375" style="375" hidden="1"/>
    <col min="12065" max="12065" width="59.77734375" style="375" hidden="1"/>
    <col min="12066" max="12272" width="9.21875" style="375" hidden="1"/>
    <col min="12273" max="12273" width="1.77734375" style="375" hidden="1"/>
    <col min="12274" max="12274" width="7.44140625" style="375" hidden="1"/>
    <col min="12275" max="12275" width="51.21875" style="375" hidden="1"/>
    <col min="12276" max="12276" width="3" style="375" hidden="1"/>
    <col min="12277" max="12277" width="22" style="375" hidden="1"/>
    <col min="12278" max="12292" width="16.44140625" style="375" hidden="1"/>
    <col min="12293" max="12293" width="18.77734375" style="375" hidden="1"/>
    <col min="12294" max="12319" width="16.44140625" style="375" hidden="1"/>
    <col min="12320" max="12320" width="76.77734375" style="375" hidden="1"/>
    <col min="12321" max="12321" width="59.77734375" style="375" hidden="1"/>
    <col min="12322" max="12528" width="9.21875" style="375" hidden="1"/>
    <col min="12529" max="12529" width="1.77734375" style="375" hidden="1"/>
    <col min="12530" max="12530" width="7.44140625" style="375" hidden="1"/>
    <col min="12531" max="12531" width="51.21875" style="375" hidden="1"/>
    <col min="12532" max="12532" width="3" style="375" hidden="1"/>
    <col min="12533" max="12533" width="22" style="375" hidden="1"/>
    <col min="12534" max="12548" width="16.44140625" style="375" hidden="1"/>
    <col min="12549" max="12549" width="18.77734375" style="375" hidden="1"/>
    <col min="12550" max="12575" width="16.44140625" style="375" hidden="1"/>
    <col min="12576" max="12576" width="76.77734375" style="375" hidden="1"/>
    <col min="12577" max="12577" width="59.77734375" style="375" hidden="1"/>
    <col min="12578" max="12784" width="9.21875" style="375" hidden="1"/>
    <col min="12785" max="12785" width="1.77734375" style="375" hidden="1"/>
    <col min="12786" max="12786" width="7.44140625" style="375" hidden="1"/>
    <col min="12787" max="12787" width="51.21875" style="375" hidden="1"/>
    <col min="12788" max="12788" width="3" style="375" hidden="1"/>
    <col min="12789" max="12789" width="22" style="375" hidden="1"/>
    <col min="12790" max="12804" width="16.44140625" style="375" hidden="1"/>
    <col min="12805" max="12805" width="18.77734375" style="375" hidden="1"/>
    <col min="12806" max="12831" width="16.44140625" style="375" hidden="1"/>
    <col min="12832" max="12832" width="76.77734375" style="375" hidden="1"/>
    <col min="12833" max="12833" width="59.77734375" style="375" hidden="1"/>
    <col min="12834" max="13040" width="9.21875" style="375" hidden="1"/>
    <col min="13041" max="13041" width="1.77734375" style="375" hidden="1"/>
    <col min="13042" max="13042" width="7.44140625" style="375" hidden="1"/>
    <col min="13043" max="13043" width="51.21875" style="375" hidden="1"/>
    <col min="13044" max="13044" width="3" style="375" hidden="1"/>
    <col min="13045" max="13045" width="22" style="375" hidden="1"/>
    <col min="13046" max="13060" width="16.44140625" style="375" hidden="1"/>
    <col min="13061" max="13061" width="18.77734375" style="375" hidden="1"/>
    <col min="13062" max="13087" width="16.44140625" style="375" hidden="1"/>
    <col min="13088" max="13088" width="76.77734375" style="375" hidden="1"/>
    <col min="13089" max="13089" width="59.77734375" style="375" hidden="1"/>
    <col min="13090" max="13296" width="9.21875" style="375" hidden="1"/>
    <col min="13297" max="13297" width="1.77734375" style="375" hidden="1"/>
    <col min="13298" max="13298" width="7.44140625" style="375" hidden="1"/>
    <col min="13299" max="13299" width="51.21875" style="375" hidden="1"/>
    <col min="13300" max="13300" width="3" style="375" hidden="1"/>
    <col min="13301" max="13301" width="22" style="375" hidden="1"/>
    <col min="13302" max="13316" width="16.44140625" style="375" hidden="1"/>
    <col min="13317" max="13317" width="18.77734375" style="375" hidden="1"/>
    <col min="13318" max="13343" width="16.44140625" style="375" hidden="1"/>
    <col min="13344" max="13344" width="76.77734375" style="375" hidden="1"/>
    <col min="13345" max="13345" width="59.77734375" style="375" hidden="1"/>
    <col min="13346" max="13552" width="9.21875" style="375" hidden="1"/>
    <col min="13553" max="13553" width="1.77734375" style="375" hidden="1"/>
    <col min="13554" max="13554" width="7.44140625" style="375" hidden="1"/>
    <col min="13555" max="13555" width="51.21875" style="375" hidden="1"/>
    <col min="13556" max="13556" width="3" style="375" hidden="1"/>
    <col min="13557" max="13557" width="22" style="375" hidden="1"/>
    <col min="13558" max="13572" width="16.44140625" style="375" hidden="1"/>
    <col min="13573" max="13573" width="18.77734375" style="375" hidden="1"/>
    <col min="13574" max="13599" width="16.44140625" style="375" hidden="1"/>
    <col min="13600" max="13600" width="76.77734375" style="375" hidden="1"/>
    <col min="13601" max="13601" width="59.77734375" style="375" hidden="1"/>
    <col min="13602" max="13808" width="9.21875" style="375" hidden="1"/>
    <col min="13809" max="13809" width="1.77734375" style="375" hidden="1"/>
    <col min="13810" max="13810" width="7.44140625" style="375" hidden="1"/>
    <col min="13811" max="13811" width="51.21875" style="375" hidden="1"/>
    <col min="13812" max="13812" width="3" style="375" hidden="1"/>
    <col min="13813" max="13813" width="22" style="375" hidden="1"/>
    <col min="13814" max="13828" width="16.44140625" style="375" hidden="1"/>
    <col min="13829" max="13829" width="18.77734375" style="375" hidden="1"/>
    <col min="13830" max="13855" width="16.44140625" style="375" hidden="1"/>
    <col min="13856" max="13856" width="76.77734375" style="375" hidden="1"/>
    <col min="13857" max="13857" width="59.77734375" style="375" hidden="1"/>
    <col min="13858" max="14064" width="9.21875" style="375" hidden="1"/>
    <col min="14065" max="14065" width="1.77734375" style="375" hidden="1"/>
    <col min="14066" max="14066" width="7.44140625" style="375" hidden="1"/>
    <col min="14067" max="14067" width="51.21875" style="375" hidden="1"/>
    <col min="14068" max="14068" width="3" style="375" hidden="1"/>
    <col min="14069" max="14069" width="22" style="375" hidden="1"/>
    <col min="14070" max="14084" width="16.44140625" style="375" hidden="1"/>
    <col min="14085" max="14085" width="18.77734375" style="375" hidden="1"/>
    <col min="14086" max="14111" width="16.44140625" style="375" hidden="1"/>
    <col min="14112" max="14112" width="76.77734375" style="375" hidden="1"/>
    <col min="14113" max="14113" width="59.77734375" style="375" hidden="1"/>
    <col min="14114" max="14320" width="9.21875" style="375" hidden="1"/>
    <col min="14321" max="14321" width="1.77734375" style="375" hidden="1"/>
    <col min="14322" max="14322" width="7.44140625" style="375" hidden="1"/>
    <col min="14323" max="14323" width="51.21875" style="375" hidden="1"/>
    <col min="14324" max="14324" width="3" style="375" hidden="1"/>
    <col min="14325" max="14325" width="22" style="375" hidden="1"/>
    <col min="14326" max="14340" width="16.44140625" style="375" hidden="1"/>
    <col min="14341" max="14341" width="18.77734375" style="375" hidden="1"/>
    <col min="14342" max="14367" width="16.44140625" style="375" hidden="1"/>
    <col min="14368" max="14368" width="76.77734375" style="375" hidden="1"/>
    <col min="14369" max="14369" width="59.77734375" style="375" hidden="1"/>
    <col min="14370" max="14576" width="9.21875" style="375" hidden="1"/>
    <col min="14577" max="14577" width="1.77734375" style="375" hidden="1"/>
    <col min="14578" max="14578" width="7.44140625" style="375" hidden="1"/>
    <col min="14579" max="14579" width="51.21875" style="375" hidden="1"/>
    <col min="14580" max="14580" width="3" style="375" hidden="1"/>
    <col min="14581" max="14581" width="22" style="375" hidden="1"/>
    <col min="14582" max="14596" width="16.44140625" style="375" hidden="1"/>
    <col min="14597" max="14597" width="18.77734375" style="375" hidden="1"/>
    <col min="14598" max="14623" width="16.44140625" style="375" hidden="1"/>
    <col min="14624" max="14624" width="76.77734375" style="375" hidden="1"/>
    <col min="14625" max="14625" width="59.77734375" style="375" hidden="1"/>
    <col min="14626" max="14832" width="9.21875" style="375" hidden="1"/>
    <col min="14833" max="14833" width="1.77734375" style="375" hidden="1"/>
    <col min="14834" max="14834" width="7.44140625" style="375" hidden="1"/>
    <col min="14835" max="14835" width="51.21875" style="375" hidden="1"/>
    <col min="14836" max="14836" width="3" style="375" hidden="1"/>
    <col min="14837" max="14837" width="22" style="375" hidden="1"/>
    <col min="14838" max="14852" width="16.44140625" style="375" hidden="1"/>
    <col min="14853" max="14853" width="18.77734375" style="375" hidden="1"/>
    <col min="14854" max="14879" width="16.44140625" style="375" hidden="1"/>
    <col min="14880" max="14880" width="76.77734375" style="375" hidden="1"/>
    <col min="14881" max="14881" width="59.77734375" style="375" hidden="1"/>
    <col min="14882" max="15088" width="9.21875" style="375" hidden="1"/>
    <col min="15089" max="15089" width="1.77734375" style="375" hidden="1"/>
    <col min="15090" max="15090" width="7.44140625" style="375" hidden="1"/>
    <col min="15091" max="15091" width="51.21875" style="375" hidden="1"/>
    <col min="15092" max="15092" width="3" style="375" hidden="1"/>
    <col min="15093" max="15093" width="22" style="375" hidden="1"/>
    <col min="15094" max="15108" width="16.44140625" style="375" hidden="1"/>
    <col min="15109" max="15109" width="18.77734375" style="375" hidden="1"/>
    <col min="15110" max="15135" width="16.44140625" style="375" hidden="1"/>
    <col min="15136" max="15136" width="76.77734375" style="375" hidden="1"/>
    <col min="15137" max="15137" width="59.77734375" style="375" hidden="1"/>
    <col min="15138" max="15344" width="9.21875" style="375" hidden="1"/>
    <col min="15345" max="15345" width="1.77734375" style="375" hidden="1"/>
    <col min="15346" max="15346" width="7.44140625" style="375" hidden="1"/>
    <col min="15347" max="15347" width="51.21875" style="375" hidden="1"/>
    <col min="15348" max="15348" width="3" style="375" hidden="1"/>
    <col min="15349" max="15349" width="22" style="375" hidden="1"/>
    <col min="15350" max="15364" width="16.44140625" style="375" hidden="1"/>
    <col min="15365" max="15365" width="18.77734375" style="375" hidden="1"/>
    <col min="15366" max="15391" width="16.44140625" style="375" hidden="1"/>
    <col min="15392" max="15392" width="76.77734375" style="375" hidden="1"/>
    <col min="15393" max="15393" width="59.77734375" style="375" hidden="1"/>
    <col min="15394" max="15600" width="9.21875" style="375" hidden="1"/>
    <col min="15601" max="15601" width="1.77734375" style="375" hidden="1"/>
    <col min="15602" max="15602" width="7.44140625" style="375" hidden="1"/>
    <col min="15603" max="15603" width="51.21875" style="375" hidden="1"/>
    <col min="15604" max="15604" width="3" style="375" hidden="1"/>
    <col min="15605" max="15605" width="22" style="375" hidden="1"/>
    <col min="15606" max="15620" width="16.44140625" style="375" hidden="1"/>
    <col min="15621" max="15621" width="18.77734375" style="375" hidden="1"/>
    <col min="15622" max="15647" width="16.44140625" style="375" hidden="1"/>
    <col min="15648" max="15648" width="76.77734375" style="375" hidden="1"/>
    <col min="15649" max="15649" width="59.77734375" style="375" hidden="1"/>
    <col min="15650" max="15856" width="9.21875" style="375" hidden="1"/>
    <col min="15857" max="15857" width="1.77734375" style="375" hidden="1"/>
    <col min="15858" max="15858" width="7.44140625" style="375" hidden="1"/>
    <col min="15859" max="15859" width="51.21875" style="375" hidden="1"/>
    <col min="15860" max="15860" width="3" style="375" hidden="1"/>
    <col min="15861" max="15861" width="22" style="375" hidden="1"/>
    <col min="15862" max="15876" width="16.44140625" style="375" hidden="1"/>
    <col min="15877" max="15877" width="18.77734375" style="375" hidden="1"/>
    <col min="15878" max="15903" width="16.44140625" style="375" hidden="1"/>
    <col min="15904" max="15904" width="76.77734375" style="375" hidden="1"/>
    <col min="15905" max="15905" width="59.77734375" style="375" hidden="1"/>
    <col min="15906" max="16112" width="9.21875" style="375" hidden="1"/>
    <col min="16113" max="16113" width="1.77734375" style="375" hidden="1"/>
    <col min="16114" max="16114" width="7.44140625" style="375" hidden="1"/>
    <col min="16115" max="16115" width="51.21875" style="375" hidden="1"/>
    <col min="16116" max="16116" width="3" style="375" hidden="1"/>
    <col min="16117" max="16117" width="22" style="375" hidden="1"/>
    <col min="16118" max="16132" width="16.44140625" style="375" hidden="1"/>
    <col min="16133" max="16133" width="18.77734375" style="375" hidden="1"/>
    <col min="16134" max="16159" width="16.44140625" style="375" hidden="1"/>
    <col min="16160" max="16160" width="76.77734375" style="375" hidden="1"/>
    <col min="16161" max="16163" width="59.77734375" style="375" hidden="1"/>
    <col min="16164" max="16384" width="9.21875" style="375" hidden="1"/>
  </cols>
  <sheetData>
    <row r="1" spans="1:39" ht="28.05" customHeight="1" x14ac:dyDescent="0.3">
      <c r="A1" s="452"/>
      <c r="B1" s="452"/>
      <c r="C1" s="434"/>
      <c r="D1" s="434"/>
      <c r="E1" s="433"/>
      <c r="F1" s="435"/>
      <c r="G1" s="421"/>
      <c r="H1" s="435"/>
      <c r="I1" s="435"/>
      <c r="J1" s="435"/>
      <c r="K1" s="435"/>
      <c r="L1" s="435"/>
      <c r="M1" s="435"/>
      <c r="N1" s="435"/>
      <c r="O1" s="435"/>
      <c r="P1" s="435"/>
      <c r="Q1" s="435"/>
      <c r="R1" s="435"/>
      <c r="S1" s="435"/>
      <c r="T1" s="435"/>
      <c r="U1" s="435"/>
      <c r="V1" s="435"/>
      <c r="W1" s="435"/>
      <c r="X1" s="435"/>
      <c r="Y1" s="435"/>
      <c r="Z1" s="435"/>
      <c r="AA1" s="435"/>
      <c r="AB1" s="435"/>
      <c r="AC1" s="435"/>
      <c r="AD1" s="435"/>
      <c r="AE1" s="435"/>
      <c r="AF1" s="436"/>
      <c r="AG1" s="436"/>
      <c r="AH1" s="435"/>
      <c r="AI1" s="433"/>
    </row>
    <row r="2" spans="1:39" ht="18" customHeight="1" x14ac:dyDescent="0.3"/>
    <row r="3" spans="1:39" s="555" customFormat="1" ht="22.5" customHeight="1" x14ac:dyDescent="0.25">
      <c r="B3" s="556" t="s">
        <v>2235</v>
      </c>
      <c r="C3" s="557"/>
      <c r="D3" s="557"/>
      <c r="F3" s="558"/>
      <c r="G3" s="558"/>
      <c r="H3" s="558"/>
      <c r="I3" s="558"/>
      <c r="J3" s="558"/>
      <c r="K3" s="558"/>
      <c r="L3" s="558"/>
      <c r="M3" s="558"/>
      <c r="N3" s="558"/>
      <c r="O3" s="558"/>
      <c r="P3" s="558"/>
      <c r="Q3" s="558"/>
      <c r="R3" s="558"/>
      <c r="S3" s="558"/>
      <c r="T3" s="558"/>
      <c r="U3" s="558"/>
      <c r="V3" s="558"/>
      <c r="W3" s="558"/>
      <c r="X3" s="558"/>
      <c r="Y3" s="558"/>
      <c r="Z3" s="558"/>
      <c r="AA3" s="558"/>
      <c r="AB3" s="558"/>
      <c r="AC3" s="558"/>
      <c r="AD3" s="558"/>
      <c r="AE3" s="558"/>
      <c r="AF3" s="558"/>
      <c r="AG3" s="558"/>
      <c r="AH3" s="558"/>
      <c r="AI3" s="558"/>
      <c r="AJ3" s="558"/>
      <c r="AK3" s="558"/>
      <c r="AL3" s="559"/>
      <c r="AM3" s="558"/>
    </row>
    <row r="4" spans="1:39" ht="10.050000000000001" customHeight="1" x14ac:dyDescent="0.3">
      <c r="D4" s="375"/>
    </row>
    <row r="5" spans="1:39" ht="10.050000000000001" customHeight="1" x14ac:dyDescent="0.3"/>
    <row r="6" spans="1:39" ht="8.25" customHeight="1" x14ac:dyDescent="0.3"/>
    <row r="22" spans="3:39" ht="15" customHeight="1" x14ac:dyDescent="0.25">
      <c r="F22" s="418" t="s">
        <v>2236</v>
      </c>
      <c r="G22" s="418"/>
      <c r="H22" s="418"/>
      <c r="I22" s="418"/>
      <c r="J22" s="418"/>
      <c r="K22" s="418"/>
      <c r="L22" s="418"/>
      <c r="M22" s="418"/>
      <c r="N22" s="418"/>
      <c r="O22" s="418"/>
      <c r="P22" s="418"/>
      <c r="Q22" s="418"/>
      <c r="R22" s="418"/>
      <c r="S22" s="418"/>
      <c r="T22" s="418"/>
      <c r="U22" s="418"/>
      <c r="V22" s="418"/>
      <c r="W22" s="418"/>
      <c r="X22" s="418"/>
      <c r="Y22" s="418"/>
      <c r="Z22" s="418"/>
      <c r="AA22" s="418"/>
      <c r="AB22" s="418"/>
      <c r="AC22" s="418"/>
      <c r="AD22" s="795" t="s">
        <v>2237</v>
      </c>
      <c r="AE22" s="795"/>
      <c r="AF22" s="795"/>
      <c r="AG22" s="795"/>
      <c r="AH22" s="795"/>
      <c r="AI22" s="795"/>
      <c r="AJ22" s="795"/>
    </row>
    <row r="23" spans="3:39" s="414" customFormat="1" ht="82.05" customHeight="1" x14ac:dyDescent="0.25">
      <c r="C23" s="794" t="s">
        <v>2238</v>
      </c>
      <c r="D23" s="412"/>
      <c r="E23" s="375"/>
      <c r="F23" s="553" t="s">
        <v>1214</v>
      </c>
      <c r="G23" s="553" t="s">
        <v>1217</v>
      </c>
      <c r="H23" s="553" t="s">
        <v>2239</v>
      </c>
      <c r="I23" s="416" t="s">
        <v>2240</v>
      </c>
      <c r="J23" s="553" t="s">
        <v>2241</v>
      </c>
      <c r="K23" s="417" t="s">
        <v>2242</v>
      </c>
      <c r="L23" s="416" t="s">
        <v>2243</v>
      </c>
      <c r="M23" s="553" t="s">
        <v>1211</v>
      </c>
      <c r="N23" s="416" t="s">
        <v>2244</v>
      </c>
      <c r="O23" s="553" t="s">
        <v>2245</v>
      </c>
      <c r="P23" s="553" t="s">
        <v>2246</v>
      </c>
      <c r="Q23" s="553" t="s">
        <v>2247</v>
      </c>
      <c r="R23" s="553" t="s">
        <v>2248</v>
      </c>
      <c r="S23" s="553" t="s">
        <v>2249</v>
      </c>
      <c r="T23" s="553" t="s">
        <v>2250</v>
      </c>
      <c r="U23" s="553" t="s">
        <v>1295</v>
      </c>
      <c r="V23" s="416" t="s">
        <v>2251</v>
      </c>
      <c r="W23" s="553" t="s">
        <v>2252</v>
      </c>
      <c r="X23" s="553" t="s">
        <v>2253</v>
      </c>
      <c r="Y23" s="416" t="s">
        <v>2254</v>
      </c>
      <c r="Z23" s="416" t="s">
        <v>2255</v>
      </c>
      <c r="AA23" s="416" t="s">
        <v>2256</v>
      </c>
      <c r="AB23" s="553" t="s">
        <v>2257</v>
      </c>
      <c r="AC23" s="416" t="s">
        <v>2258</v>
      </c>
      <c r="AD23" s="554" t="s">
        <v>2259</v>
      </c>
      <c r="AE23" s="554" t="s">
        <v>2260</v>
      </c>
      <c r="AF23" s="554" t="s">
        <v>1043</v>
      </c>
      <c r="AG23" s="554" t="s">
        <v>2261</v>
      </c>
      <c r="AH23" s="554" t="s">
        <v>2262</v>
      </c>
      <c r="AI23" s="554" t="s">
        <v>2263</v>
      </c>
      <c r="AJ23" s="554" t="s">
        <v>2264</v>
      </c>
      <c r="AK23" s="416" t="s">
        <v>2265</v>
      </c>
      <c r="AL23" s="415" t="s">
        <v>2266</v>
      </c>
      <c r="AM23" s="415" t="s">
        <v>2267</v>
      </c>
    </row>
    <row r="24" spans="3:39" ht="33" customHeight="1" x14ac:dyDescent="0.25">
      <c r="C24" s="794"/>
      <c r="D24" s="412"/>
      <c r="F24" s="413" t="s">
        <v>1207</v>
      </c>
      <c r="G24" s="413" t="s">
        <v>1207</v>
      </c>
      <c r="H24" s="413" t="s">
        <v>1560</v>
      </c>
      <c r="I24" s="413" t="s">
        <v>1560</v>
      </c>
      <c r="J24" s="413" t="s">
        <v>1560</v>
      </c>
      <c r="K24" s="413" t="s">
        <v>1560</v>
      </c>
      <c r="L24" s="413" t="s">
        <v>1560</v>
      </c>
      <c r="M24" s="413" t="s">
        <v>1207</v>
      </c>
      <c r="N24" s="413" t="s">
        <v>1207</v>
      </c>
      <c r="O24" s="413" t="s">
        <v>1207</v>
      </c>
      <c r="P24" s="413" t="s">
        <v>1207</v>
      </c>
      <c r="Q24" s="413" t="s">
        <v>1207</v>
      </c>
      <c r="R24" s="413" t="s">
        <v>1207</v>
      </c>
      <c r="S24" s="413" t="s">
        <v>1207</v>
      </c>
      <c r="T24" s="413" t="s">
        <v>1207</v>
      </c>
      <c r="U24" s="413" t="s">
        <v>1207</v>
      </c>
      <c r="V24" s="413" t="s">
        <v>2268</v>
      </c>
      <c r="W24" s="413" t="s">
        <v>2268</v>
      </c>
      <c r="X24" s="413" t="s">
        <v>2268</v>
      </c>
      <c r="Y24" s="413" t="s">
        <v>2268</v>
      </c>
      <c r="Z24" s="413" t="s">
        <v>2268</v>
      </c>
      <c r="AA24" s="413" t="s">
        <v>2269</v>
      </c>
      <c r="AB24" s="413" t="s">
        <v>2269</v>
      </c>
      <c r="AC24" s="413" t="s">
        <v>2269</v>
      </c>
      <c r="AD24" s="453" t="s">
        <v>2269</v>
      </c>
      <c r="AE24" s="453" t="s">
        <v>2268</v>
      </c>
      <c r="AF24" s="453" t="s">
        <v>2268</v>
      </c>
      <c r="AG24" s="453" t="s">
        <v>2268</v>
      </c>
      <c r="AH24" s="453" t="s">
        <v>1560</v>
      </c>
      <c r="AI24" s="453" t="s">
        <v>1565</v>
      </c>
      <c r="AJ24" s="453" t="s">
        <v>1560</v>
      </c>
      <c r="AK24" s="413" t="s">
        <v>2270</v>
      </c>
      <c r="AL24" s="411"/>
      <c r="AM24" s="413"/>
    </row>
    <row r="25" spans="3:39" s="379" customFormat="1" ht="54.75" customHeight="1" x14ac:dyDescent="0.3">
      <c r="C25" s="794"/>
      <c r="D25" s="412"/>
      <c r="F25" s="411" t="s">
        <v>484</v>
      </c>
      <c r="G25" s="411" t="s">
        <v>484</v>
      </c>
      <c r="H25" s="411" t="s">
        <v>484</v>
      </c>
      <c r="I25" s="411" t="s">
        <v>518</v>
      </c>
      <c r="J25" s="411" t="s">
        <v>484</v>
      </c>
      <c r="K25" s="411" t="s">
        <v>484</v>
      </c>
      <c r="L25" s="411" t="s">
        <v>484</v>
      </c>
      <c r="M25" s="411" t="s">
        <v>484</v>
      </c>
      <c r="N25" s="411" t="s">
        <v>510</v>
      </c>
      <c r="O25" s="411" t="s">
        <v>495</v>
      </c>
      <c r="P25" s="411" t="s">
        <v>495</v>
      </c>
      <c r="Q25" s="411" t="s">
        <v>495</v>
      </c>
      <c r="R25" s="411" t="s">
        <v>495</v>
      </c>
      <c r="S25" s="411" t="s">
        <v>495</v>
      </c>
      <c r="T25" s="411" t="s">
        <v>2271</v>
      </c>
      <c r="U25" s="411" t="s">
        <v>516</v>
      </c>
      <c r="V25" s="411" t="s">
        <v>484</v>
      </c>
      <c r="W25" s="411" t="s">
        <v>484</v>
      </c>
      <c r="X25" s="411" t="s">
        <v>484</v>
      </c>
      <c r="Y25" s="411" t="s">
        <v>484</v>
      </c>
      <c r="Z25" s="411" t="s">
        <v>484</v>
      </c>
      <c r="AA25" s="411" t="s">
        <v>484</v>
      </c>
      <c r="AB25" s="411" t="s">
        <v>484</v>
      </c>
      <c r="AC25" s="411" t="s">
        <v>495</v>
      </c>
      <c r="AD25" s="454" t="s">
        <v>484</v>
      </c>
      <c r="AE25" s="454" t="s">
        <v>484</v>
      </c>
      <c r="AF25" s="454" t="s">
        <v>484</v>
      </c>
      <c r="AG25" s="454" t="s">
        <v>484</v>
      </c>
      <c r="AH25" s="454" t="s">
        <v>484</v>
      </c>
      <c r="AI25" s="454" t="s">
        <v>484</v>
      </c>
      <c r="AJ25" s="454" t="s">
        <v>495</v>
      </c>
      <c r="AK25" s="411" t="s">
        <v>484</v>
      </c>
      <c r="AL25" s="411"/>
      <c r="AM25" s="411"/>
    </row>
    <row r="26" spans="3:39" ht="13.5" customHeight="1" x14ac:dyDescent="0.3">
      <c r="C26" s="387" t="s">
        <v>2272</v>
      </c>
      <c r="D26" s="387"/>
      <c r="E26" s="387"/>
      <c r="F26" s="387"/>
      <c r="G26" s="410"/>
      <c r="H26" s="387"/>
      <c r="I26" s="387"/>
      <c r="J26" s="387"/>
      <c r="K26" s="387"/>
      <c r="L26" s="387"/>
      <c r="M26" s="387"/>
      <c r="N26" s="387"/>
      <c r="O26" s="387"/>
      <c r="P26" s="387"/>
      <c r="Q26" s="387"/>
      <c r="R26" s="387"/>
      <c r="S26" s="387"/>
      <c r="T26" s="387"/>
      <c r="U26" s="387"/>
      <c r="V26" s="387"/>
      <c r="W26" s="387"/>
      <c r="X26" s="387"/>
      <c r="Y26" s="387"/>
      <c r="Z26" s="387"/>
      <c r="AA26" s="387"/>
      <c r="AB26" s="387"/>
      <c r="AC26" s="387"/>
      <c r="AD26" s="387"/>
      <c r="AE26" s="387"/>
      <c r="AF26" s="387"/>
      <c r="AG26" s="387"/>
      <c r="AH26" s="387"/>
      <c r="AI26" s="387"/>
      <c r="AJ26" s="387"/>
      <c r="AK26" s="387"/>
      <c r="AL26" s="387"/>
      <c r="AM26" s="387"/>
    </row>
    <row r="27" spans="3:39" s="379" customFormat="1" ht="102" customHeight="1" x14ac:dyDescent="0.3">
      <c r="C27" s="409" t="s">
        <v>2273</v>
      </c>
      <c r="D27" s="408"/>
      <c r="E27" s="382" t="s">
        <v>2274</v>
      </c>
      <c r="F27" s="608">
        <v>3</v>
      </c>
      <c r="G27" s="608">
        <v>3</v>
      </c>
      <c r="H27" s="608">
        <v>3</v>
      </c>
      <c r="I27" s="608">
        <v>3</v>
      </c>
      <c r="J27" s="608">
        <v>3</v>
      </c>
      <c r="K27" s="608">
        <v>2</v>
      </c>
      <c r="L27" s="608">
        <v>2</v>
      </c>
      <c r="M27" s="608">
        <v>3</v>
      </c>
      <c r="N27" s="608">
        <v>3</v>
      </c>
      <c r="O27" s="608">
        <v>3</v>
      </c>
      <c r="P27" s="608">
        <v>3</v>
      </c>
      <c r="Q27" s="608">
        <v>3</v>
      </c>
      <c r="R27" s="608">
        <v>3</v>
      </c>
      <c r="S27" s="609">
        <v>3</v>
      </c>
      <c r="T27" s="608">
        <v>3</v>
      </c>
      <c r="U27" s="608">
        <v>3</v>
      </c>
      <c r="V27" s="609">
        <v>3</v>
      </c>
      <c r="W27" s="608">
        <v>3</v>
      </c>
      <c r="X27" s="608">
        <v>3</v>
      </c>
      <c r="Y27" s="608">
        <v>3</v>
      </c>
      <c r="Z27" s="608">
        <v>3</v>
      </c>
      <c r="AA27" s="608">
        <v>2</v>
      </c>
      <c r="AB27" s="608">
        <v>2</v>
      </c>
      <c r="AC27" s="608">
        <v>3</v>
      </c>
      <c r="AD27" s="605">
        <v>3</v>
      </c>
      <c r="AE27" s="605">
        <v>3</v>
      </c>
      <c r="AF27" s="606">
        <v>3</v>
      </c>
      <c r="AG27" s="606">
        <v>3</v>
      </c>
      <c r="AH27" s="606">
        <v>3</v>
      </c>
      <c r="AI27" s="606">
        <v>3</v>
      </c>
      <c r="AJ27" s="606">
        <v>3</v>
      </c>
      <c r="AK27" s="608">
        <v>3</v>
      </c>
      <c r="AL27" s="407" t="s">
        <v>2275</v>
      </c>
      <c r="AM27" s="390"/>
    </row>
    <row r="28" spans="3:39" s="379" customFormat="1" ht="102" customHeight="1" x14ac:dyDescent="0.3">
      <c r="C28" s="383" t="s">
        <v>2276</v>
      </c>
      <c r="D28" s="383"/>
      <c r="E28" s="382" t="s">
        <v>2274</v>
      </c>
      <c r="F28" s="610">
        <v>3</v>
      </c>
      <c r="G28" s="610">
        <v>3</v>
      </c>
      <c r="H28" s="610">
        <v>3</v>
      </c>
      <c r="I28" s="610">
        <v>3</v>
      </c>
      <c r="J28" s="608">
        <v>2</v>
      </c>
      <c r="K28" s="610">
        <v>3</v>
      </c>
      <c r="L28" s="610">
        <v>3</v>
      </c>
      <c r="M28" s="610">
        <v>3</v>
      </c>
      <c r="N28" s="610">
        <v>3</v>
      </c>
      <c r="O28" s="610">
        <v>3</v>
      </c>
      <c r="P28" s="610">
        <v>3</v>
      </c>
      <c r="Q28" s="610">
        <v>3</v>
      </c>
      <c r="R28" s="608">
        <v>3</v>
      </c>
      <c r="S28" s="609">
        <v>3</v>
      </c>
      <c r="T28" s="610">
        <v>3</v>
      </c>
      <c r="U28" s="610">
        <v>2</v>
      </c>
      <c r="V28" s="610">
        <v>3</v>
      </c>
      <c r="W28" s="610">
        <v>3</v>
      </c>
      <c r="X28" s="610">
        <v>3</v>
      </c>
      <c r="Y28" s="610">
        <v>3</v>
      </c>
      <c r="Z28" s="610">
        <v>3</v>
      </c>
      <c r="AA28" s="610">
        <v>3</v>
      </c>
      <c r="AB28" s="610">
        <v>3</v>
      </c>
      <c r="AC28" s="610">
        <v>3</v>
      </c>
      <c r="AD28" s="606">
        <v>3</v>
      </c>
      <c r="AE28" s="606">
        <v>3</v>
      </c>
      <c r="AF28" s="606">
        <v>3</v>
      </c>
      <c r="AG28" s="606">
        <v>3</v>
      </c>
      <c r="AH28" s="606">
        <v>3</v>
      </c>
      <c r="AI28" s="606">
        <v>3</v>
      </c>
      <c r="AJ28" s="606">
        <v>3</v>
      </c>
      <c r="AK28" s="610">
        <v>3</v>
      </c>
      <c r="AL28" s="407" t="s">
        <v>2277</v>
      </c>
      <c r="AM28" s="406" t="s">
        <v>2278</v>
      </c>
    </row>
    <row r="29" spans="3:39" s="379" customFormat="1" ht="102" customHeight="1" x14ac:dyDescent="0.3">
      <c r="C29" s="383" t="s">
        <v>2279</v>
      </c>
      <c r="D29" s="383"/>
      <c r="E29" s="382" t="s">
        <v>2280</v>
      </c>
      <c r="F29" s="610">
        <v>0</v>
      </c>
      <c r="G29" s="610">
        <v>0</v>
      </c>
      <c r="H29" s="610">
        <v>0</v>
      </c>
      <c r="I29" s="610">
        <v>0</v>
      </c>
      <c r="J29" s="610">
        <v>0</v>
      </c>
      <c r="K29" s="610">
        <v>0</v>
      </c>
      <c r="L29" s="610">
        <v>0</v>
      </c>
      <c r="M29" s="610">
        <v>0</v>
      </c>
      <c r="N29" s="610">
        <v>0</v>
      </c>
      <c r="O29" s="610">
        <v>0</v>
      </c>
      <c r="P29" s="610">
        <v>0</v>
      </c>
      <c r="Q29" s="610">
        <v>0</v>
      </c>
      <c r="R29" s="610">
        <v>0</v>
      </c>
      <c r="S29" s="610">
        <v>0</v>
      </c>
      <c r="T29" s="610">
        <v>0</v>
      </c>
      <c r="U29" s="610">
        <v>0</v>
      </c>
      <c r="V29" s="610">
        <v>0</v>
      </c>
      <c r="W29" s="610">
        <v>0</v>
      </c>
      <c r="X29" s="610">
        <v>0</v>
      </c>
      <c r="Y29" s="610">
        <v>0</v>
      </c>
      <c r="Z29" s="610">
        <v>0</v>
      </c>
      <c r="AA29" s="610">
        <v>0</v>
      </c>
      <c r="AB29" s="610">
        <v>0</v>
      </c>
      <c r="AC29" s="610">
        <v>0</v>
      </c>
      <c r="AD29" s="606">
        <v>0</v>
      </c>
      <c r="AE29" s="606">
        <v>0</v>
      </c>
      <c r="AF29" s="606">
        <v>0</v>
      </c>
      <c r="AG29" s="606">
        <v>0</v>
      </c>
      <c r="AH29" s="606">
        <v>0</v>
      </c>
      <c r="AI29" s="606">
        <v>0</v>
      </c>
      <c r="AJ29" s="606">
        <v>0</v>
      </c>
      <c r="AK29" s="610">
        <v>3</v>
      </c>
      <c r="AL29" s="381" t="s">
        <v>2281</v>
      </c>
      <c r="AM29" s="381"/>
    </row>
    <row r="30" spans="3:39" s="379" customFormat="1" ht="102" customHeight="1" x14ac:dyDescent="0.3">
      <c r="C30" s="383" t="s">
        <v>2282</v>
      </c>
      <c r="D30" s="383"/>
      <c r="E30" s="382" t="s">
        <v>2280</v>
      </c>
      <c r="F30" s="610">
        <v>0</v>
      </c>
      <c r="G30" s="610">
        <v>0</v>
      </c>
      <c r="H30" s="610">
        <v>0</v>
      </c>
      <c r="I30" s="610">
        <v>0</v>
      </c>
      <c r="J30" s="610">
        <v>0</v>
      </c>
      <c r="K30" s="610">
        <v>0</v>
      </c>
      <c r="L30" s="610">
        <v>0</v>
      </c>
      <c r="M30" s="610">
        <v>0</v>
      </c>
      <c r="N30" s="610">
        <v>0</v>
      </c>
      <c r="O30" s="610">
        <v>0</v>
      </c>
      <c r="P30" s="610">
        <v>0</v>
      </c>
      <c r="Q30" s="610">
        <v>0</v>
      </c>
      <c r="R30" s="610">
        <v>0</v>
      </c>
      <c r="S30" s="610">
        <v>0</v>
      </c>
      <c r="T30" s="610">
        <v>0</v>
      </c>
      <c r="U30" s="610">
        <v>0</v>
      </c>
      <c r="V30" s="610">
        <v>0</v>
      </c>
      <c r="W30" s="610">
        <v>0</v>
      </c>
      <c r="X30" s="610">
        <v>0</v>
      </c>
      <c r="Y30" s="610">
        <v>0</v>
      </c>
      <c r="Z30" s="610">
        <v>0</v>
      </c>
      <c r="AA30" s="610">
        <v>0</v>
      </c>
      <c r="AB30" s="610">
        <v>0</v>
      </c>
      <c r="AC30" s="610">
        <v>0</v>
      </c>
      <c r="AD30" s="606">
        <v>0</v>
      </c>
      <c r="AE30" s="606">
        <v>0</v>
      </c>
      <c r="AF30" s="606">
        <v>0</v>
      </c>
      <c r="AG30" s="606">
        <v>0</v>
      </c>
      <c r="AH30" s="606">
        <v>0</v>
      </c>
      <c r="AI30" s="606">
        <v>0</v>
      </c>
      <c r="AJ30" s="606">
        <v>0</v>
      </c>
      <c r="AK30" s="610">
        <v>3</v>
      </c>
      <c r="AL30" s="381" t="s">
        <v>2283</v>
      </c>
      <c r="AM30" s="381"/>
    </row>
    <row r="31" spans="3:39" s="379" customFormat="1" ht="102" customHeight="1" x14ac:dyDescent="0.3">
      <c r="C31" s="383" t="s">
        <v>2284</v>
      </c>
      <c r="D31" s="383"/>
      <c r="E31" s="382" t="s">
        <v>2280</v>
      </c>
      <c r="F31" s="610">
        <v>0</v>
      </c>
      <c r="G31" s="610">
        <v>0</v>
      </c>
      <c r="H31" s="610">
        <v>0</v>
      </c>
      <c r="I31" s="610">
        <v>0</v>
      </c>
      <c r="J31" s="610">
        <v>0</v>
      </c>
      <c r="K31" s="610">
        <v>0</v>
      </c>
      <c r="L31" s="610">
        <v>0</v>
      </c>
      <c r="M31" s="610">
        <v>0</v>
      </c>
      <c r="N31" s="610">
        <v>0</v>
      </c>
      <c r="O31" s="610">
        <v>0</v>
      </c>
      <c r="P31" s="610">
        <v>0</v>
      </c>
      <c r="Q31" s="610">
        <v>0</v>
      </c>
      <c r="R31" s="610">
        <v>0</v>
      </c>
      <c r="S31" s="610">
        <v>0</v>
      </c>
      <c r="T31" s="610">
        <v>0</v>
      </c>
      <c r="U31" s="610">
        <v>0</v>
      </c>
      <c r="V31" s="610">
        <v>0</v>
      </c>
      <c r="W31" s="610">
        <v>0</v>
      </c>
      <c r="X31" s="610">
        <v>0</v>
      </c>
      <c r="Y31" s="610">
        <v>0</v>
      </c>
      <c r="Z31" s="610">
        <v>0</v>
      </c>
      <c r="AA31" s="610">
        <v>0</v>
      </c>
      <c r="AB31" s="610">
        <v>0</v>
      </c>
      <c r="AC31" s="610">
        <v>0</v>
      </c>
      <c r="AD31" s="606">
        <v>0</v>
      </c>
      <c r="AE31" s="606">
        <v>0</v>
      </c>
      <c r="AF31" s="606">
        <v>0</v>
      </c>
      <c r="AG31" s="606">
        <v>0</v>
      </c>
      <c r="AH31" s="606">
        <v>0</v>
      </c>
      <c r="AI31" s="606">
        <v>0</v>
      </c>
      <c r="AJ31" s="606">
        <v>0</v>
      </c>
      <c r="AK31" s="610">
        <v>3</v>
      </c>
      <c r="AL31" s="381" t="s">
        <v>2285</v>
      </c>
      <c r="AM31" s="390"/>
    </row>
    <row r="32" spans="3:39" s="379" customFormat="1" ht="15" x14ac:dyDescent="0.3">
      <c r="C32" s="387" t="s">
        <v>2286</v>
      </c>
      <c r="D32" s="385"/>
      <c r="E32" s="385"/>
      <c r="F32" s="385"/>
      <c r="G32" s="386"/>
      <c r="H32" s="386"/>
      <c r="I32" s="386"/>
      <c r="J32" s="386"/>
      <c r="K32" s="386"/>
      <c r="L32" s="386"/>
      <c r="M32" s="386"/>
      <c r="N32" s="386"/>
      <c r="O32" s="386"/>
      <c r="P32" s="386"/>
      <c r="Q32" s="386"/>
      <c r="R32" s="386"/>
      <c r="S32" s="386"/>
      <c r="T32" s="386"/>
      <c r="U32" s="386"/>
      <c r="V32" s="386"/>
      <c r="W32" s="386"/>
      <c r="X32" s="386"/>
      <c r="Y32" s="386"/>
      <c r="Z32" s="386"/>
      <c r="AA32" s="386"/>
      <c r="AB32" s="386"/>
      <c r="AC32" s="386"/>
      <c r="AD32" s="386"/>
      <c r="AE32" s="386"/>
      <c r="AF32" s="386"/>
      <c r="AG32" s="386"/>
      <c r="AH32" s="386"/>
      <c r="AI32" s="386"/>
      <c r="AJ32" s="386"/>
      <c r="AK32" s="386"/>
      <c r="AL32" s="385"/>
      <c r="AM32" s="385"/>
    </row>
    <row r="33" spans="3:39" s="379" customFormat="1" ht="102" customHeight="1" x14ac:dyDescent="0.3">
      <c r="C33" s="383" t="s">
        <v>2287</v>
      </c>
      <c r="D33" s="383"/>
      <c r="E33" s="382" t="s">
        <v>2280</v>
      </c>
      <c r="F33" s="610">
        <v>0</v>
      </c>
      <c r="G33" s="610">
        <v>0</v>
      </c>
      <c r="H33" s="610">
        <v>0</v>
      </c>
      <c r="I33" s="610">
        <v>0</v>
      </c>
      <c r="J33" s="610">
        <v>0</v>
      </c>
      <c r="K33" s="610">
        <v>0</v>
      </c>
      <c r="L33" s="610">
        <v>0</v>
      </c>
      <c r="M33" s="610">
        <v>0</v>
      </c>
      <c r="N33" s="610">
        <v>0</v>
      </c>
      <c r="O33" s="610">
        <v>0</v>
      </c>
      <c r="P33" s="610">
        <v>0</v>
      </c>
      <c r="Q33" s="610">
        <v>0</v>
      </c>
      <c r="R33" s="610">
        <v>0</v>
      </c>
      <c r="S33" s="610">
        <v>0</v>
      </c>
      <c r="T33" s="610">
        <v>0</v>
      </c>
      <c r="U33" s="610">
        <v>0</v>
      </c>
      <c r="V33" s="610">
        <v>0</v>
      </c>
      <c r="W33" s="610">
        <v>0</v>
      </c>
      <c r="X33" s="610">
        <v>0</v>
      </c>
      <c r="Y33" s="610">
        <v>0</v>
      </c>
      <c r="Z33" s="610">
        <v>0</v>
      </c>
      <c r="AA33" s="610">
        <v>0</v>
      </c>
      <c r="AB33" s="610">
        <v>0</v>
      </c>
      <c r="AC33" s="610">
        <v>0</v>
      </c>
      <c r="AD33" s="606">
        <v>0</v>
      </c>
      <c r="AE33" s="606">
        <v>0</v>
      </c>
      <c r="AF33" s="606">
        <v>0</v>
      </c>
      <c r="AG33" s="606">
        <v>0</v>
      </c>
      <c r="AH33" s="606">
        <v>0</v>
      </c>
      <c r="AI33" s="606">
        <v>0</v>
      </c>
      <c r="AJ33" s="606">
        <v>0</v>
      </c>
      <c r="AK33" s="610">
        <v>3</v>
      </c>
      <c r="AL33" s="381" t="s">
        <v>2288</v>
      </c>
      <c r="AM33" s="381"/>
    </row>
    <row r="34" spans="3:39" s="379" customFormat="1" ht="102" customHeight="1" x14ac:dyDescent="0.3">
      <c r="C34" s="383" t="s">
        <v>2289</v>
      </c>
      <c r="D34" s="383"/>
      <c r="E34" s="382" t="s">
        <v>2274</v>
      </c>
      <c r="F34" s="610">
        <v>3</v>
      </c>
      <c r="G34" s="610">
        <v>3</v>
      </c>
      <c r="H34" s="610">
        <v>3</v>
      </c>
      <c r="I34" s="610">
        <v>3</v>
      </c>
      <c r="J34" s="610">
        <v>3</v>
      </c>
      <c r="K34" s="610">
        <v>3</v>
      </c>
      <c r="L34" s="610">
        <v>3</v>
      </c>
      <c r="M34" s="610">
        <v>3</v>
      </c>
      <c r="N34" s="610">
        <v>3</v>
      </c>
      <c r="O34" s="610">
        <v>3</v>
      </c>
      <c r="P34" s="610">
        <v>3</v>
      </c>
      <c r="Q34" s="610">
        <v>3</v>
      </c>
      <c r="R34" s="610">
        <v>3</v>
      </c>
      <c r="S34" s="610">
        <v>3</v>
      </c>
      <c r="T34" s="610">
        <v>3</v>
      </c>
      <c r="U34" s="610">
        <v>3</v>
      </c>
      <c r="V34" s="610">
        <v>3</v>
      </c>
      <c r="W34" s="610">
        <v>3</v>
      </c>
      <c r="X34" s="610">
        <v>3</v>
      </c>
      <c r="Y34" s="610">
        <v>3</v>
      </c>
      <c r="Z34" s="610">
        <v>3</v>
      </c>
      <c r="AA34" s="610">
        <v>3</v>
      </c>
      <c r="AB34" s="610">
        <v>3</v>
      </c>
      <c r="AC34" s="610">
        <v>3</v>
      </c>
      <c r="AD34" s="606">
        <v>3</v>
      </c>
      <c r="AE34" s="606">
        <v>3</v>
      </c>
      <c r="AF34" s="606">
        <v>3</v>
      </c>
      <c r="AG34" s="606">
        <v>3</v>
      </c>
      <c r="AH34" s="606">
        <v>3</v>
      </c>
      <c r="AI34" s="606">
        <v>3</v>
      </c>
      <c r="AJ34" s="606">
        <v>3</v>
      </c>
      <c r="AK34" s="610">
        <v>3</v>
      </c>
      <c r="AL34" s="381" t="s">
        <v>2290</v>
      </c>
      <c r="AM34" s="381"/>
    </row>
    <row r="35" spans="3:39" s="379" customFormat="1" ht="15" x14ac:dyDescent="0.3">
      <c r="C35" s="387" t="s">
        <v>2291</v>
      </c>
      <c r="D35" s="385"/>
      <c r="E35" s="385"/>
      <c r="F35" s="385"/>
      <c r="G35" s="386"/>
      <c r="H35" s="386"/>
      <c r="I35" s="386"/>
      <c r="J35" s="386"/>
      <c r="K35" s="386"/>
      <c r="L35" s="386"/>
      <c r="M35" s="386"/>
      <c r="N35" s="386"/>
      <c r="O35" s="386"/>
      <c r="P35" s="386"/>
      <c r="Q35" s="386"/>
      <c r="R35" s="386"/>
      <c r="S35" s="386"/>
      <c r="T35" s="386"/>
      <c r="U35" s="386"/>
      <c r="V35" s="386"/>
      <c r="W35" s="386"/>
      <c r="X35" s="386"/>
      <c r="Y35" s="386"/>
      <c r="Z35" s="386"/>
      <c r="AA35" s="386"/>
      <c r="AB35" s="386"/>
      <c r="AC35" s="386"/>
      <c r="AD35" s="386"/>
      <c r="AE35" s="386"/>
      <c r="AF35" s="386"/>
      <c r="AG35" s="386"/>
      <c r="AH35" s="386"/>
      <c r="AI35" s="386"/>
      <c r="AJ35" s="386"/>
      <c r="AK35" s="386"/>
      <c r="AL35" s="385"/>
      <c r="AM35" s="385"/>
    </row>
    <row r="36" spans="3:39" s="379" customFormat="1" ht="102" customHeight="1" x14ac:dyDescent="0.3">
      <c r="C36" s="383" t="s">
        <v>2292</v>
      </c>
      <c r="D36" s="383"/>
      <c r="E36" s="382" t="s">
        <v>2274</v>
      </c>
      <c r="F36" s="610">
        <v>3</v>
      </c>
      <c r="G36" s="610">
        <v>3</v>
      </c>
      <c r="H36" s="610">
        <v>3</v>
      </c>
      <c r="I36" s="610">
        <v>3</v>
      </c>
      <c r="J36" s="610">
        <v>3</v>
      </c>
      <c r="K36" s="610">
        <v>3</v>
      </c>
      <c r="L36" s="610">
        <v>3</v>
      </c>
      <c r="M36" s="610">
        <v>3</v>
      </c>
      <c r="N36" s="610">
        <v>3</v>
      </c>
      <c r="O36" s="610">
        <v>3</v>
      </c>
      <c r="P36" s="610">
        <v>3</v>
      </c>
      <c r="Q36" s="610">
        <v>3</v>
      </c>
      <c r="R36" s="610">
        <v>3</v>
      </c>
      <c r="S36" s="610">
        <v>3</v>
      </c>
      <c r="T36" s="610">
        <v>3</v>
      </c>
      <c r="U36" s="610">
        <v>2</v>
      </c>
      <c r="V36" s="610">
        <v>3</v>
      </c>
      <c r="W36" s="610">
        <v>3</v>
      </c>
      <c r="X36" s="610">
        <v>3</v>
      </c>
      <c r="Y36" s="610">
        <v>3</v>
      </c>
      <c r="Z36" s="610">
        <v>3</v>
      </c>
      <c r="AA36" s="610">
        <v>3</v>
      </c>
      <c r="AB36" s="610">
        <v>3</v>
      </c>
      <c r="AC36" s="610">
        <v>3</v>
      </c>
      <c r="AD36" s="606">
        <v>3</v>
      </c>
      <c r="AE36" s="606">
        <v>3</v>
      </c>
      <c r="AF36" s="606">
        <v>3</v>
      </c>
      <c r="AG36" s="606">
        <v>3</v>
      </c>
      <c r="AH36" s="606">
        <v>3</v>
      </c>
      <c r="AI36" s="606">
        <v>3</v>
      </c>
      <c r="AJ36" s="606">
        <v>3</v>
      </c>
      <c r="AK36" s="610">
        <v>2</v>
      </c>
      <c r="AL36" s="405" t="s">
        <v>2293</v>
      </c>
      <c r="AM36" s="404"/>
    </row>
    <row r="37" spans="3:39" s="379" customFormat="1" ht="152.55000000000001" customHeight="1" x14ac:dyDescent="0.3">
      <c r="C37" s="383" t="s">
        <v>2294</v>
      </c>
      <c r="D37" s="383"/>
      <c r="E37" s="382" t="s">
        <v>2295</v>
      </c>
      <c r="F37" s="610">
        <v>0</v>
      </c>
      <c r="G37" s="610">
        <v>0</v>
      </c>
      <c r="H37" s="610">
        <v>2</v>
      </c>
      <c r="I37" s="610">
        <v>0</v>
      </c>
      <c r="J37" s="610">
        <v>0</v>
      </c>
      <c r="K37" s="610">
        <v>0</v>
      </c>
      <c r="L37" s="610">
        <v>0</v>
      </c>
      <c r="M37" s="610">
        <v>3</v>
      </c>
      <c r="N37" s="610">
        <v>3</v>
      </c>
      <c r="O37" s="610">
        <v>0</v>
      </c>
      <c r="P37" s="610">
        <v>0</v>
      </c>
      <c r="Q37" s="610">
        <v>0</v>
      </c>
      <c r="R37" s="610">
        <v>0</v>
      </c>
      <c r="S37" s="610">
        <v>0</v>
      </c>
      <c r="T37" s="610">
        <v>0</v>
      </c>
      <c r="U37" s="610">
        <v>0</v>
      </c>
      <c r="V37" s="610">
        <v>3</v>
      </c>
      <c r="W37" s="610">
        <v>0</v>
      </c>
      <c r="X37" s="610">
        <v>0</v>
      </c>
      <c r="Y37" s="610">
        <v>2</v>
      </c>
      <c r="Z37" s="610">
        <v>0</v>
      </c>
      <c r="AA37" s="610">
        <v>0</v>
      </c>
      <c r="AB37" s="610">
        <v>0</v>
      </c>
      <c r="AC37" s="610">
        <v>0</v>
      </c>
      <c r="AD37" s="606">
        <v>3</v>
      </c>
      <c r="AE37" s="606">
        <v>0</v>
      </c>
      <c r="AF37" s="606">
        <v>0</v>
      </c>
      <c r="AG37" s="606">
        <v>0</v>
      </c>
      <c r="AH37" s="606">
        <v>3</v>
      </c>
      <c r="AI37" s="606">
        <v>0</v>
      </c>
      <c r="AJ37" s="606">
        <v>3</v>
      </c>
      <c r="AK37" s="610">
        <v>0</v>
      </c>
      <c r="AL37" s="381" t="s">
        <v>2296</v>
      </c>
      <c r="AM37" s="381"/>
    </row>
    <row r="38" spans="3:39" s="379" customFormat="1" ht="102" customHeight="1" x14ac:dyDescent="0.3">
      <c r="C38" s="383" t="s">
        <v>2297</v>
      </c>
      <c r="D38" s="383"/>
      <c r="E38" s="382" t="s">
        <v>2295</v>
      </c>
      <c r="F38" s="610">
        <v>3</v>
      </c>
      <c r="G38" s="610">
        <v>3</v>
      </c>
      <c r="H38" s="610">
        <v>3</v>
      </c>
      <c r="I38" s="610">
        <v>3</v>
      </c>
      <c r="J38" s="610">
        <v>3</v>
      </c>
      <c r="K38" s="610">
        <v>3</v>
      </c>
      <c r="L38" s="610">
        <v>3</v>
      </c>
      <c r="M38" s="610">
        <v>3</v>
      </c>
      <c r="N38" s="610">
        <v>3</v>
      </c>
      <c r="O38" s="610">
        <v>2</v>
      </c>
      <c r="P38" s="610">
        <v>2</v>
      </c>
      <c r="Q38" s="610">
        <v>2</v>
      </c>
      <c r="R38" s="610">
        <v>3</v>
      </c>
      <c r="S38" s="610">
        <v>3</v>
      </c>
      <c r="T38" s="610">
        <v>3</v>
      </c>
      <c r="U38" s="610">
        <v>2</v>
      </c>
      <c r="V38" s="610">
        <v>3</v>
      </c>
      <c r="W38" s="610">
        <v>3</v>
      </c>
      <c r="X38" s="610">
        <v>3</v>
      </c>
      <c r="Y38" s="610">
        <v>3</v>
      </c>
      <c r="Z38" s="610">
        <v>3</v>
      </c>
      <c r="AA38" s="610">
        <v>3</v>
      </c>
      <c r="AB38" s="610">
        <v>3</v>
      </c>
      <c r="AC38" s="610">
        <v>3</v>
      </c>
      <c r="AD38" s="606">
        <v>3</v>
      </c>
      <c r="AE38" s="606">
        <v>3</v>
      </c>
      <c r="AF38" s="606">
        <v>3</v>
      </c>
      <c r="AG38" s="606">
        <v>3</v>
      </c>
      <c r="AH38" s="606">
        <v>3</v>
      </c>
      <c r="AI38" s="606">
        <v>3</v>
      </c>
      <c r="AJ38" s="606">
        <v>3</v>
      </c>
      <c r="AK38" s="610">
        <v>0</v>
      </c>
      <c r="AL38" s="381" t="s">
        <v>2298</v>
      </c>
    </row>
    <row r="39" spans="3:39" s="379" customFormat="1" ht="194.25" customHeight="1" x14ac:dyDescent="0.3">
      <c r="C39" s="383" t="s">
        <v>2299</v>
      </c>
      <c r="D39" s="383"/>
      <c r="E39" s="382" t="s">
        <v>2274</v>
      </c>
      <c r="F39" s="610">
        <v>3</v>
      </c>
      <c r="G39" s="610">
        <v>3</v>
      </c>
      <c r="H39" s="610">
        <v>3</v>
      </c>
      <c r="I39" s="610">
        <v>3</v>
      </c>
      <c r="J39" s="610">
        <v>3</v>
      </c>
      <c r="K39" s="610">
        <v>3</v>
      </c>
      <c r="L39" s="610">
        <v>3</v>
      </c>
      <c r="M39" s="610">
        <v>3</v>
      </c>
      <c r="N39" s="610">
        <v>3</v>
      </c>
      <c r="O39" s="610">
        <v>2</v>
      </c>
      <c r="P39" s="610">
        <v>3</v>
      </c>
      <c r="Q39" s="610">
        <v>3</v>
      </c>
      <c r="R39" s="610">
        <v>3</v>
      </c>
      <c r="S39" s="610">
        <v>3</v>
      </c>
      <c r="T39" s="610">
        <v>3</v>
      </c>
      <c r="U39" s="610">
        <v>3</v>
      </c>
      <c r="V39" s="610">
        <v>3</v>
      </c>
      <c r="W39" s="610">
        <v>3</v>
      </c>
      <c r="X39" s="610">
        <v>3</v>
      </c>
      <c r="Y39" s="610">
        <v>3</v>
      </c>
      <c r="Z39" s="610">
        <v>3</v>
      </c>
      <c r="AA39" s="610">
        <v>3</v>
      </c>
      <c r="AB39" s="610">
        <v>3</v>
      </c>
      <c r="AC39" s="610">
        <v>3</v>
      </c>
      <c r="AD39" s="606">
        <v>3</v>
      </c>
      <c r="AE39" s="606">
        <v>3</v>
      </c>
      <c r="AF39" s="606">
        <v>3</v>
      </c>
      <c r="AG39" s="606">
        <v>3</v>
      </c>
      <c r="AH39" s="606">
        <v>3</v>
      </c>
      <c r="AI39" s="606">
        <v>3</v>
      </c>
      <c r="AJ39" s="606">
        <v>3</v>
      </c>
      <c r="AK39" s="610">
        <v>3</v>
      </c>
      <c r="AL39" s="392" t="s">
        <v>2300</v>
      </c>
      <c r="AM39" s="381"/>
    </row>
    <row r="40" spans="3:39" s="379" customFormat="1" ht="102" customHeight="1" x14ac:dyDescent="0.3">
      <c r="C40" s="383" t="s">
        <v>2301</v>
      </c>
      <c r="D40" s="383"/>
      <c r="E40" s="382" t="s">
        <v>2274</v>
      </c>
      <c r="F40" s="610">
        <v>3</v>
      </c>
      <c r="G40" s="610">
        <v>3</v>
      </c>
      <c r="H40" s="610">
        <v>3</v>
      </c>
      <c r="I40" s="610">
        <v>3</v>
      </c>
      <c r="J40" s="610">
        <v>3</v>
      </c>
      <c r="K40" s="610">
        <v>3</v>
      </c>
      <c r="L40" s="610">
        <v>3</v>
      </c>
      <c r="M40" s="610">
        <v>3</v>
      </c>
      <c r="N40" s="610">
        <v>3</v>
      </c>
      <c r="O40" s="610">
        <v>3</v>
      </c>
      <c r="P40" s="610">
        <v>3</v>
      </c>
      <c r="Q40" s="610">
        <v>3</v>
      </c>
      <c r="R40" s="610">
        <v>3</v>
      </c>
      <c r="S40" s="610">
        <v>3</v>
      </c>
      <c r="T40" s="610">
        <v>3</v>
      </c>
      <c r="U40" s="610">
        <v>3</v>
      </c>
      <c r="V40" s="610">
        <v>3</v>
      </c>
      <c r="W40" s="610">
        <v>3</v>
      </c>
      <c r="X40" s="610">
        <v>3</v>
      </c>
      <c r="Y40" s="610">
        <v>3</v>
      </c>
      <c r="Z40" s="610">
        <v>3</v>
      </c>
      <c r="AA40" s="610">
        <v>3</v>
      </c>
      <c r="AB40" s="610">
        <v>3</v>
      </c>
      <c r="AC40" s="610">
        <v>3</v>
      </c>
      <c r="AD40" s="606">
        <v>3</v>
      </c>
      <c r="AE40" s="606">
        <v>3</v>
      </c>
      <c r="AF40" s="606">
        <v>3</v>
      </c>
      <c r="AG40" s="606">
        <v>3</v>
      </c>
      <c r="AH40" s="606">
        <v>3</v>
      </c>
      <c r="AI40" s="606">
        <v>3</v>
      </c>
      <c r="AJ40" s="606">
        <v>3</v>
      </c>
      <c r="AK40" s="610">
        <v>3</v>
      </c>
      <c r="AL40" s="403" t="s">
        <v>2302</v>
      </c>
      <c r="AM40" s="393"/>
    </row>
    <row r="41" spans="3:39" s="379" customFormat="1" ht="144.75" customHeight="1" x14ac:dyDescent="0.3">
      <c r="C41" s="383" t="s">
        <v>2303</v>
      </c>
      <c r="D41" s="383"/>
      <c r="E41" s="382" t="s">
        <v>2295</v>
      </c>
      <c r="F41" s="610">
        <v>3</v>
      </c>
      <c r="G41" s="610">
        <v>3</v>
      </c>
      <c r="H41" s="610">
        <v>3</v>
      </c>
      <c r="I41" s="610">
        <v>0</v>
      </c>
      <c r="J41" s="610">
        <v>2</v>
      </c>
      <c r="K41" s="610">
        <v>2</v>
      </c>
      <c r="L41" s="610">
        <v>2</v>
      </c>
      <c r="M41" s="610">
        <v>3</v>
      </c>
      <c r="N41" s="610">
        <v>3</v>
      </c>
      <c r="O41" s="610">
        <v>2</v>
      </c>
      <c r="P41" s="610">
        <v>3</v>
      </c>
      <c r="Q41" s="610">
        <v>2</v>
      </c>
      <c r="R41" s="610">
        <v>4</v>
      </c>
      <c r="S41" s="610">
        <v>4</v>
      </c>
      <c r="T41" s="610">
        <v>0</v>
      </c>
      <c r="U41" s="610">
        <v>0</v>
      </c>
      <c r="V41" s="610">
        <v>2</v>
      </c>
      <c r="W41" s="610">
        <v>0</v>
      </c>
      <c r="X41" s="610">
        <v>0</v>
      </c>
      <c r="Y41" s="610">
        <v>2</v>
      </c>
      <c r="Z41" s="610">
        <v>0</v>
      </c>
      <c r="AA41" s="610">
        <v>0</v>
      </c>
      <c r="AB41" s="610">
        <v>2</v>
      </c>
      <c r="AC41" s="610">
        <v>0</v>
      </c>
      <c r="AD41" s="606">
        <v>0</v>
      </c>
      <c r="AE41" s="606">
        <v>0</v>
      </c>
      <c r="AF41" s="606">
        <v>0</v>
      </c>
      <c r="AG41" s="606">
        <v>3</v>
      </c>
      <c r="AH41" s="606">
        <v>3</v>
      </c>
      <c r="AI41" s="606">
        <v>3</v>
      </c>
      <c r="AJ41" s="606">
        <v>0</v>
      </c>
      <c r="AK41" s="610">
        <v>0</v>
      </c>
      <c r="AL41" s="381" t="s">
        <v>2304</v>
      </c>
      <c r="AM41" s="381"/>
    </row>
    <row r="42" spans="3:39" s="379" customFormat="1" ht="185.1" customHeight="1" x14ac:dyDescent="0.3">
      <c r="C42" s="383" t="s">
        <v>2305</v>
      </c>
      <c r="D42" s="383"/>
      <c r="E42" s="382" t="s">
        <v>2295</v>
      </c>
      <c r="F42" s="610">
        <v>3</v>
      </c>
      <c r="G42" s="610">
        <v>0</v>
      </c>
      <c r="H42" s="610">
        <v>3</v>
      </c>
      <c r="I42" s="610">
        <v>0</v>
      </c>
      <c r="J42" s="610">
        <v>2</v>
      </c>
      <c r="K42" s="610">
        <v>2</v>
      </c>
      <c r="L42" s="610">
        <v>2</v>
      </c>
      <c r="M42" s="610">
        <v>3</v>
      </c>
      <c r="N42" s="610">
        <v>3</v>
      </c>
      <c r="O42" s="610">
        <v>0</v>
      </c>
      <c r="P42" s="610">
        <v>3</v>
      </c>
      <c r="Q42" s="610">
        <v>2</v>
      </c>
      <c r="R42" s="610">
        <v>4</v>
      </c>
      <c r="S42" s="610">
        <v>4</v>
      </c>
      <c r="T42" s="610">
        <v>0</v>
      </c>
      <c r="U42" s="610">
        <v>0</v>
      </c>
      <c r="V42" s="610">
        <v>2</v>
      </c>
      <c r="W42" s="610">
        <v>0</v>
      </c>
      <c r="X42" s="610">
        <v>0</v>
      </c>
      <c r="Y42" s="610">
        <v>2</v>
      </c>
      <c r="Z42" s="610">
        <v>0</v>
      </c>
      <c r="AA42" s="610">
        <v>0</v>
      </c>
      <c r="AB42" s="610">
        <v>2</v>
      </c>
      <c r="AC42" s="610">
        <v>0</v>
      </c>
      <c r="AD42" s="606">
        <v>0</v>
      </c>
      <c r="AE42" s="606">
        <v>4</v>
      </c>
      <c r="AF42" s="606">
        <v>0</v>
      </c>
      <c r="AG42" s="606">
        <v>3</v>
      </c>
      <c r="AH42" s="606">
        <v>3</v>
      </c>
      <c r="AI42" s="606">
        <v>3</v>
      </c>
      <c r="AJ42" s="606">
        <v>0</v>
      </c>
      <c r="AK42" s="610">
        <v>0</v>
      </c>
      <c r="AL42" s="381" t="s">
        <v>2306</v>
      </c>
      <c r="AM42" s="381"/>
    </row>
    <row r="43" spans="3:39" s="379" customFormat="1" ht="135" customHeight="1" x14ac:dyDescent="0.3">
      <c r="C43" s="383" t="s">
        <v>2307</v>
      </c>
      <c r="D43" s="383"/>
      <c r="E43" s="382" t="s">
        <v>2274</v>
      </c>
      <c r="F43" s="610">
        <v>3</v>
      </c>
      <c r="G43" s="610">
        <v>3</v>
      </c>
      <c r="H43" s="610">
        <v>3</v>
      </c>
      <c r="I43" s="610">
        <v>4</v>
      </c>
      <c r="J43" s="610">
        <v>3</v>
      </c>
      <c r="K43" s="610">
        <v>3</v>
      </c>
      <c r="L43" s="610">
        <v>3</v>
      </c>
      <c r="M43" s="610">
        <v>3</v>
      </c>
      <c r="N43" s="610">
        <v>3</v>
      </c>
      <c r="O43" s="610">
        <v>3</v>
      </c>
      <c r="P43" s="610">
        <v>3</v>
      </c>
      <c r="Q43" s="610">
        <v>3</v>
      </c>
      <c r="R43" s="610">
        <v>3</v>
      </c>
      <c r="S43" s="610">
        <v>3</v>
      </c>
      <c r="T43" s="610">
        <v>3</v>
      </c>
      <c r="U43" s="610">
        <v>3</v>
      </c>
      <c r="V43" s="610">
        <v>4</v>
      </c>
      <c r="W43" s="610">
        <v>4</v>
      </c>
      <c r="X43" s="610">
        <v>4</v>
      </c>
      <c r="Y43" s="610">
        <v>4</v>
      </c>
      <c r="Z43" s="610">
        <v>4</v>
      </c>
      <c r="AA43" s="610">
        <v>4</v>
      </c>
      <c r="AB43" s="610">
        <v>4</v>
      </c>
      <c r="AC43" s="610">
        <v>3</v>
      </c>
      <c r="AD43" s="606">
        <v>4</v>
      </c>
      <c r="AE43" s="606">
        <v>3</v>
      </c>
      <c r="AF43" s="606">
        <v>3</v>
      </c>
      <c r="AG43" s="606">
        <v>3</v>
      </c>
      <c r="AH43" s="606">
        <v>3</v>
      </c>
      <c r="AI43" s="606">
        <v>3</v>
      </c>
      <c r="AJ43" s="606">
        <v>3</v>
      </c>
      <c r="AK43" s="610">
        <v>3</v>
      </c>
      <c r="AL43" s="381" t="s">
        <v>2308</v>
      </c>
      <c r="AM43" s="381"/>
    </row>
    <row r="44" spans="3:39" s="379" customFormat="1" ht="102.6" customHeight="1" x14ac:dyDescent="0.3">
      <c r="C44" s="552" t="s">
        <v>2309</v>
      </c>
      <c r="D44" s="552"/>
      <c r="E44" s="382" t="s">
        <v>2274</v>
      </c>
      <c r="F44" s="611">
        <v>4</v>
      </c>
      <c r="G44" s="611">
        <v>4</v>
      </c>
      <c r="H44" s="611">
        <v>4</v>
      </c>
      <c r="I44" s="611">
        <v>4</v>
      </c>
      <c r="J44" s="611">
        <v>4</v>
      </c>
      <c r="K44" s="611">
        <v>4</v>
      </c>
      <c r="L44" s="611">
        <v>4</v>
      </c>
      <c r="M44" s="611">
        <v>4</v>
      </c>
      <c r="N44" s="611">
        <v>4</v>
      </c>
      <c r="O44" s="611">
        <v>4</v>
      </c>
      <c r="P44" s="611">
        <v>4</v>
      </c>
      <c r="Q44" s="611">
        <v>4</v>
      </c>
      <c r="R44" s="611">
        <v>4</v>
      </c>
      <c r="S44" s="611">
        <v>4</v>
      </c>
      <c r="T44" s="611">
        <v>4</v>
      </c>
      <c r="U44" s="611">
        <v>4</v>
      </c>
      <c r="V44" s="611">
        <v>4</v>
      </c>
      <c r="W44" s="611">
        <v>4</v>
      </c>
      <c r="X44" s="611">
        <v>4</v>
      </c>
      <c r="Y44" s="611">
        <v>4</v>
      </c>
      <c r="Z44" s="611">
        <v>4</v>
      </c>
      <c r="AA44" s="611">
        <v>4</v>
      </c>
      <c r="AB44" s="611">
        <v>4</v>
      </c>
      <c r="AC44" s="611">
        <v>4</v>
      </c>
      <c r="AD44" s="607">
        <v>4</v>
      </c>
      <c r="AE44" s="607">
        <v>4</v>
      </c>
      <c r="AF44" s="607">
        <v>4</v>
      </c>
      <c r="AG44" s="607">
        <v>4</v>
      </c>
      <c r="AH44" s="607">
        <v>4</v>
      </c>
      <c r="AI44" s="607">
        <v>4</v>
      </c>
      <c r="AJ44" s="607">
        <v>4</v>
      </c>
      <c r="AK44" s="611">
        <v>4</v>
      </c>
      <c r="AL44" s="403" t="s">
        <v>2310</v>
      </c>
      <c r="AM44" s="402"/>
    </row>
    <row r="45" spans="3:39" s="379" customFormat="1" ht="15" x14ac:dyDescent="0.3">
      <c r="C45" s="387" t="s">
        <v>2311</v>
      </c>
      <c r="D45" s="385"/>
      <c r="E45" s="385"/>
      <c r="F45" s="385"/>
      <c r="G45" s="386"/>
      <c r="H45" s="386"/>
      <c r="I45" s="386"/>
      <c r="J45" s="386"/>
      <c r="K45" s="386"/>
      <c r="L45" s="386"/>
      <c r="M45" s="386"/>
      <c r="N45" s="386"/>
      <c r="O45" s="386"/>
      <c r="P45" s="386"/>
      <c r="Q45" s="386"/>
      <c r="R45" s="386"/>
      <c r="S45" s="386"/>
      <c r="T45" s="386"/>
      <c r="U45" s="386"/>
      <c r="V45" s="386"/>
      <c r="W45" s="386"/>
      <c r="X45" s="386"/>
      <c r="Y45" s="386"/>
      <c r="Z45" s="386"/>
      <c r="AA45" s="386"/>
      <c r="AB45" s="386"/>
      <c r="AC45" s="386"/>
      <c r="AD45" s="386"/>
      <c r="AE45" s="386"/>
      <c r="AF45" s="386"/>
      <c r="AG45" s="386"/>
      <c r="AH45" s="386"/>
      <c r="AI45" s="386"/>
      <c r="AJ45" s="386"/>
      <c r="AK45" s="386"/>
      <c r="AL45" s="385"/>
      <c r="AM45" s="385"/>
    </row>
    <row r="46" spans="3:39" s="379" customFormat="1" ht="102" customHeight="1" x14ac:dyDescent="0.3">
      <c r="C46" s="383" t="s">
        <v>2312</v>
      </c>
      <c r="D46" s="383"/>
      <c r="E46" s="382" t="s">
        <v>2274</v>
      </c>
      <c r="F46" s="610">
        <v>3</v>
      </c>
      <c r="G46" s="610">
        <v>3</v>
      </c>
      <c r="H46" s="610">
        <v>3</v>
      </c>
      <c r="I46" s="610">
        <v>3</v>
      </c>
      <c r="J46" s="610">
        <v>3</v>
      </c>
      <c r="K46" s="610">
        <v>3</v>
      </c>
      <c r="L46" s="610">
        <v>3</v>
      </c>
      <c r="M46" s="610">
        <v>3</v>
      </c>
      <c r="N46" s="610">
        <v>3</v>
      </c>
      <c r="O46" s="610">
        <v>3</v>
      </c>
      <c r="P46" s="610">
        <v>3</v>
      </c>
      <c r="Q46" s="610">
        <v>3</v>
      </c>
      <c r="R46" s="610">
        <v>3</v>
      </c>
      <c r="S46" s="610">
        <v>3</v>
      </c>
      <c r="T46" s="610">
        <v>3</v>
      </c>
      <c r="U46" s="610">
        <v>3</v>
      </c>
      <c r="V46" s="610">
        <v>3</v>
      </c>
      <c r="W46" s="610">
        <v>3</v>
      </c>
      <c r="X46" s="610">
        <v>3</v>
      </c>
      <c r="Y46" s="610">
        <v>3</v>
      </c>
      <c r="Z46" s="610">
        <v>3</v>
      </c>
      <c r="AA46" s="610">
        <v>2</v>
      </c>
      <c r="AB46" s="610">
        <v>2</v>
      </c>
      <c r="AC46" s="610">
        <v>3</v>
      </c>
      <c r="AD46" s="606">
        <v>3</v>
      </c>
      <c r="AE46" s="606">
        <v>3</v>
      </c>
      <c r="AF46" s="606">
        <v>3</v>
      </c>
      <c r="AG46" s="606">
        <v>3</v>
      </c>
      <c r="AH46" s="606">
        <v>3</v>
      </c>
      <c r="AI46" s="606">
        <v>3</v>
      </c>
      <c r="AJ46" s="606">
        <v>3</v>
      </c>
      <c r="AK46" s="610">
        <v>3</v>
      </c>
      <c r="AL46" s="390" t="s">
        <v>2313</v>
      </c>
      <c r="AM46" s="389"/>
    </row>
    <row r="47" spans="3:39" s="379" customFormat="1" ht="102" customHeight="1" x14ac:dyDescent="0.3">
      <c r="C47" s="401" t="s">
        <v>2314</v>
      </c>
      <c r="D47" s="383"/>
      <c r="E47" s="382" t="s">
        <v>2274</v>
      </c>
      <c r="F47" s="610">
        <v>0</v>
      </c>
      <c r="G47" s="610">
        <v>0</v>
      </c>
      <c r="H47" s="610">
        <v>0</v>
      </c>
      <c r="I47" s="610">
        <v>0</v>
      </c>
      <c r="J47" s="610">
        <v>0</v>
      </c>
      <c r="K47" s="610">
        <v>0</v>
      </c>
      <c r="L47" s="610">
        <v>0</v>
      </c>
      <c r="M47" s="610">
        <v>0</v>
      </c>
      <c r="N47" s="610">
        <v>0</v>
      </c>
      <c r="O47" s="610">
        <v>0</v>
      </c>
      <c r="P47" s="610">
        <v>0</v>
      </c>
      <c r="Q47" s="610">
        <v>0</v>
      </c>
      <c r="R47" s="610">
        <v>0</v>
      </c>
      <c r="S47" s="610">
        <v>0</v>
      </c>
      <c r="T47" s="610">
        <v>0</v>
      </c>
      <c r="U47" s="610">
        <v>0</v>
      </c>
      <c r="V47" s="610">
        <v>0</v>
      </c>
      <c r="W47" s="610">
        <v>0</v>
      </c>
      <c r="X47" s="610">
        <v>0</v>
      </c>
      <c r="Y47" s="610">
        <v>0</v>
      </c>
      <c r="Z47" s="610">
        <v>0</v>
      </c>
      <c r="AA47" s="610">
        <v>0</v>
      </c>
      <c r="AB47" s="610">
        <v>0</v>
      </c>
      <c r="AC47" s="610">
        <v>0</v>
      </c>
      <c r="AD47" s="606">
        <v>0</v>
      </c>
      <c r="AE47" s="606">
        <v>0</v>
      </c>
      <c r="AF47" s="606">
        <v>0</v>
      </c>
      <c r="AG47" s="606">
        <v>0</v>
      </c>
      <c r="AH47" s="606">
        <v>0</v>
      </c>
      <c r="AI47" s="606">
        <v>0</v>
      </c>
      <c r="AJ47" s="606">
        <v>0</v>
      </c>
      <c r="AK47" s="610">
        <v>0</v>
      </c>
      <c r="AL47" s="396" t="s">
        <v>2315</v>
      </c>
      <c r="AM47" s="381"/>
    </row>
    <row r="48" spans="3:39" s="379" customFormat="1" ht="174" customHeight="1" x14ac:dyDescent="0.3">
      <c r="C48" s="383" t="s">
        <v>2316</v>
      </c>
      <c r="D48" s="383"/>
      <c r="E48" s="382" t="s">
        <v>2295</v>
      </c>
      <c r="F48" s="610">
        <v>2</v>
      </c>
      <c r="G48" s="610">
        <v>2</v>
      </c>
      <c r="H48" s="610">
        <v>2</v>
      </c>
      <c r="I48" s="610">
        <v>3</v>
      </c>
      <c r="J48" s="610">
        <v>2</v>
      </c>
      <c r="K48" s="610">
        <v>2</v>
      </c>
      <c r="L48" s="610">
        <v>2</v>
      </c>
      <c r="M48" s="610">
        <v>2</v>
      </c>
      <c r="N48" s="610">
        <v>3</v>
      </c>
      <c r="O48" s="610">
        <v>2</v>
      </c>
      <c r="P48" s="610">
        <v>3</v>
      </c>
      <c r="Q48" s="610">
        <v>3</v>
      </c>
      <c r="R48" s="610">
        <v>2</v>
      </c>
      <c r="S48" s="610">
        <v>2</v>
      </c>
      <c r="T48" s="610">
        <v>3</v>
      </c>
      <c r="U48" s="610">
        <v>3</v>
      </c>
      <c r="V48" s="610">
        <v>2</v>
      </c>
      <c r="W48" s="610">
        <v>3</v>
      </c>
      <c r="X48" s="610">
        <v>3</v>
      </c>
      <c r="Y48" s="610">
        <v>3</v>
      </c>
      <c r="Z48" s="610">
        <v>3</v>
      </c>
      <c r="AA48" s="610">
        <v>2</v>
      </c>
      <c r="AB48" s="610">
        <v>2</v>
      </c>
      <c r="AC48" s="610">
        <v>3</v>
      </c>
      <c r="AD48" s="606">
        <v>3</v>
      </c>
      <c r="AE48" s="606">
        <v>3</v>
      </c>
      <c r="AF48" s="606">
        <v>2</v>
      </c>
      <c r="AG48" s="606">
        <v>3</v>
      </c>
      <c r="AH48" s="606">
        <v>3</v>
      </c>
      <c r="AI48" s="606">
        <v>3</v>
      </c>
      <c r="AJ48" s="606">
        <v>3</v>
      </c>
      <c r="AK48" s="610">
        <v>0</v>
      </c>
      <c r="AL48" s="381" t="s">
        <v>2317</v>
      </c>
      <c r="AM48" s="393"/>
    </row>
    <row r="49" spans="3:39" s="379" customFormat="1" ht="102" customHeight="1" x14ac:dyDescent="0.3">
      <c r="C49" s="383" t="s">
        <v>2318</v>
      </c>
      <c r="D49" s="383"/>
      <c r="E49" s="382" t="s">
        <v>2295</v>
      </c>
      <c r="F49" s="610">
        <v>2</v>
      </c>
      <c r="G49" s="610">
        <v>3</v>
      </c>
      <c r="H49" s="610">
        <v>2</v>
      </c>
      <c r="I49" s="610">
        <v>3</v>
      </c>
      <c r="J49" s="610">
        <v>2</v>
      </c>
      <c r="K49" s="610">
        <v>3</v>
      </c>
      <c r="L49" s="610">
        <v>3</v>
      </c>
      <c r="M49" s="610">
        <v>2</v>
      </c>
      <c r="N49" s="610">
        <v>3</v>
      </c>
      <c r="O49" s="610">
        <v>2</v>
      </c>
      <c r="P49" s="610">
        <v>2</v>
      </c>
      <c r="Q49" s="610">
        <v>3</v>
      </c>
      <c r="R49" s="610">
        <v>3</v>
      </c>
      <c r="S49" s="610">
        <v>3</v>
      </c>
      <c r="T49" s="610">
        <v>3</v>
      </c>
      <c r="U49" s="610">
        <v>2</v>
      </c>
      <c r="V49" s="610">
        <v>2</v>
      </c>
      <c r="W49" s="610">
        <v>2</v>
      </c>
      <c r="X49" s="610">
        <v>2</v>
      </c>
      <c r="Y49" s="610">
        <v>3</v>
      </c>
      <c r="Z49" s="610">
        <v>3</v>
      </c>
      <c r="AA49" s="610">
        <v>3</v>
      </c>
      <c r="AB49" s="610">
        <v>3</v>
      </c>
      <c r="AC49" s="610">
        <v>3</v>
      </c>
      <c r="AD49" s="606">
        <v>3</v>
      </c>
      <c r="AE49" s="606">
        <v>2</v>
      </c>
      <c r="AF49" s="606">
        <v>2</v>
      </c>
      <c r="AG49" s="606">
        <v>3</v>
      </c>
      <c r="AH49" s="606">
        <v>2</v>
      </c>
      <c r="AI49" s="606">
        <v>3</v>
      </c>
      <c r="AJ49" s="606">
        <v>3</v>
      </c>
      <c r="AK49" s="610">
        <v>0</v>
      </c>
      <c r="AL49" s="392" t="s">
        <v>2319</v>
      </c>
      <c r="AM49" s="381"/>
    </row>
    <row r="50" spans="3:39" s="379" customFormat="1" ht="12.75" customHeight="1" x14ac:dyDescent="0.3">
      <c r="C50" s="387" t="s">
        <v>2320</v>
      </c>
      <c r="D50" s="387"/>
      <c r="E50" s="387"/>
      <c r="F50" s="385"/>
      <c r="G50" s="386"/>
      <c r="H50" s="386"/>
      <c r="I50" s="386"/>
      <c r="J50" s="386"/>
      <c r="K50" s="386"/>
      <c r="L50" s="386"/>
      <c r="M50" s="386"/>
      <c r="N50" s="386"/>
      <c r="O50" s="386"/>
      <c r="P50" s="386"/>
      <c r="Q50" s="386"/>
      <c r="R50" s="386"/>
      <c r="S50" s="386"/>
      <c r="T50" s="386"/>
      <c r="U50" s="386"/>
      <c r="V50" s="386"/>
      <c r="W50" s="386"/>
      <c r="X50" s="386"/>
      <c r="Y50" s="386"/>
      <c r="Z50" s="386"/>
      <c r="AA50" s="386"/>
      <c r="AB50" s="386"/>
      <c r="AC50" s="386"/>
      <c r="AD50" s="386"/>
      <c r="AE50" s="386"/>
      <c r="AF50" s="386"/>
      <c r="AG50" s="386"/>
      <c r="AH50" s="386"/>
      <c r="AI50" s="386"/>
      <c r="AJ50" s="386"/>
      <c r="AK50" s="386"/>
      <c r="AL50" s="387"/>
      <c r="AM50" s="387"/>
    </row>
    <row r="51" spans="3:39" s="379" customFormat="1" ht="117.75" customHeight="1" x14ac:dyDescent="0.3">
      <c r="C51" s="383" t="s">
        <v>2321</v>
      </c>
      <c r="D51" s="383"/>
      <c r="E51" s="382" t="s">
        <v>2274</v>
      </c>
      <c r="F51" s="610">
        <v>3</v>
      </c>
      <c r="G51" s="610">
        <v>3</v>
      </c>
      <c r="H51" s="610">
        <v>2</v>
      </c>
      <c r="I51" s="610">
        <v>3</v>
      </c>
      <c r="J51" s="610">
        <v>3</v>
      </c>
      <c r="K51" s="610">
        <v>3</v>
      </c>
      <c r="L51" s="610">
        <v>3</v>
      </c>
      <c r="M51" s="610">
        <v>3</v>
      </c>
      <c r="N51" s="610">
        <v>3</v>
      </c>
      <c r="O51" s="610">
        <v>3</v>
      </c>
      <c r="P51" s="610">
        <v>3</v>
      </c>
      <c r="Q51" s="610">
        <v>3</v>
      </c>
      <c r="R51" s="610">
        <v>3</v>
      </c>
      <c r="S51" s="610">
        <v>3</v>
      </c>
      <c r="T51" s="610">
        <v>3</v>
      </c>
      <c r="U51" s="610">
        <v>2</v>
      </c>
      <c r="V51" s="610">
        <v>3</v>
      </c>
      <c r="W51" s="610">
        <v>3</v>
      </c>
      <c r="X51" s="610">
        <v>3</v>
      </c>
      <c r="Y51" s="610">
        <v>3</v>
      </c>
      <c r="Z51" s="610">
        <v>3</v>
      </c>
      <c r="AA51" s="610">
        <v>3</v>
      </c>
      <c r="AB51" s="610">
        <v>3</v>
      </c>
      <c r="AC51" s="610">
        <v>3</v>
      </c>
      <c r="AD51" s="606">
        <v>3</v>
      </c>
      <c r="AE51" s="606">
        <v>2</v>
      </c>
      <c r="AF51" s="606">
        <v>2</v>
      </c>
      <c r="AG51" s="606">
        <v>2</v>
      </c>
      <c r="AH51" s="606">
        <v>2</v>
      </c>
      <c r="AI51" s="606">
        <v>2</v>
      </c>
      <c r="AJ51" s="606">
        <v>2</v>
      </c>
      <c r="AK51" s="610">
        <v>3</v>
      </c>
      <c r="AL51" s="392" t="s">
        <v>2322</v>
      </c>
      <c r="AM51" s="400"/>
    </row>
    <row r="52" spans="3:39" s="379" customFormat="1" ht="126.75" customHeight="1" x14ac:dyDescent="0.3">
      <c r="C52" s="383" t="s">
        <v>2323</v>
      </c>
      <c r="D52" s="383"/>
      <c r="E52" s="382" t="s">
        <v>2274</v>
      </c>
      <c r="F52" s="610">
        <v>3</v>
      </c>
      <c r="G52" s="610">
        <v>3</v>
      </c>
      <c r="H52" s="610">
        <v>3</v>
      </c>
      <c r="I52" s="610">
        <v>2</v>
      </c>
      <c r="J52" s="610">
        <v>3</v>
      </c>
      <c r="K52" s="610">
        <v>2</v>
      </c>
      <c r="L52" s="610">
        <v>2</v>
      </c>
      <c r="M52" s="610">
        <v>2</v>
      </c>
      <c r="N52" s="610">
        <v>3</v>
      </c>
      <c r="O52" s="610">
        <v>3</v>
      </c>
      <c r="P52" s="610">
        <v>3</v>
      </c>
      <c r="Q52" s="610">
        <v>3</v>
      </c>
      <c r="R52" s="610">
        <v>3</v>
      </c>
      <c r="S52" s="610">
        <v>3</v>
      </c>
      <c r="T52" s="610">
        <v>3</v>
      </c>
      <c r="U52" s="610">
        <v>2</v>
      </c>
      <c r="V52" s="610">
        <v>3</v>
      </c>
      <c r="W52" s="610">
        <v>3</v>
      </c>
      <c r="X52" s="610">
        <v>3</v>
      </c>
      <c r="Y52" s="610">
        <v>3</v>
      </c>
      <c r="Z52" s="610">
        <v>3</v>
      </c>
      <c r="AA52" s="610">
        <v>3</v>
      </c>
      <c r="AB52" s="610">
        <v>3</v>
      </c>
      <c r="AC52" s="610">
        <v>3</v>
      </c>
      <c r="AD52" s="606">
        <v>3</v>
      </c>
      <c r="AE52" s="606">
        <v>2</v>
      </c>
      <c r="AF52" s="606">
        <v>2</v>
      </c>
      <c r="AG52" s="606">
        <v>2</v>
      </c>
      <c r="AH52" s="606">
        <v>2</v>
      </c>
      <c r="AI52" s="606">
        <v>2</v>
      </c>
      <c r="AJ52" s="606">
        <v>2</v>
      </c>
      <c r="AK52" s="610">
        <v>3</v>
      </c>
      <c r="AL52" s="399" t="s">
        <v>2324</v>
      </c>
      <c r="AM52" s="391"/>
    </row>
    <row r="53" spans="3:39" s="379" customFormat="1" ht="15" x14ac:dyDescent="0.3">
      <c r="C53" s="387" t="s">
        <v>2325</v>
      </c>
      <c r="D53" s="385"/>
      <c r="E53" s="385"/>
      <c r="F53" s="385"/>
      <c r="G53" s="386"/>
      <c r="H53" s="386"/>
      <c r="I53" s="386"/>
      <c r="J53" s="386"/>
      <c r="K53" s="386"/>
      <c r="L53" s="386"/>
      <c r="M53" s="386"/>
      <c r="N53" s="386"/>
      <c r="O53" s="386"/>
      <c r="P53" s="386"/>
      <c r="Q53" s="386"/>
      <c r="R53" s="386"/>
      <c r="S53" s="386"/>
      <c r="T53" s="386"/>
      <c r="U53" s="386"/>
      <c r="V53" s="386"/>
      <c r="W53" s="386"/>
      <c r="X53" s="386"/>
      <c r="Y53" s="386"/>
      <c r="Z53" s="386"/>
      <c r="AA53" s="386"/>
      <c r="AB53" s="386"/>
      <c r="AC53" s="386"/>
      <c r="AD53" s="386"/>
      <c r="AE53" s="386"/>
      <c r="AF53" s="386"/>
      <c r="AG53" s="386"/>
      <c r="AH53" s="386"/>
      <c r="AI53" s="386"/>
      <c r="AJ53" s="386"/>
      <c r="AK53" s="386"/>
      <c r="AL53" s="385"/>
      <c r="AM53" s="385"/>
    </row>
    <row r="54" spans="3:39" s="379" customFormat="1" ht="102" customHeight="1" x14ac:dyDescent="0.3">
      <c r="C54" s="383" t="s">
        <v>2326</v>
      </c>
      <c r="D54" s="383"/>
      <c r="E54" s="382" t="s">
        <v>2274</v>
      </c>
      <c r="F54" s="610">
        <v>3</v>
      </c>
      <c r="G54" s="610">
        <v>3</v>
      </c>
      <c r="H54" s="610">
        <v>0</v>
      </c>
      <c r="I54" s="610">
        <v>2</v>
      </c>
      <c r="J54" s="610">
        <v>0</v>
      </c>
      <c r="K54" s="610">
        <v>0</v>
      </c>
      <c r="L54" s="610">
        <v>0</v>
      </c>
      <c r="M54" s="610">
        <v>3</v>
      </c>
      <c r="N54" s="610">
        <v>3</v>
      </c>
      <c r="O54" s="610">
        <v>3</v>
      </c>
      <c r="P54" s="610">
        <v>3</v>
      </c>
      <c r="Q54" s="610">
        <v>3</v>
      </c>
      <c r="R54" s="610">
        <v>3</v>
      </c>
      <c r="S54" s="610">
        <v>3</v>
      </c>
      <c r="T54" s="610">
        <v>3</v>
      </c>
      <c r="U54" s="610">
        <v>2</v>
      </c>
      <c r="V54" s="610">
        <v>3</v>
      </c>
      <c r="W54" s="610">
        <v>3</v>
      </c>
      <c r="X54" s="610">
        <v>3</v>
      </c>
      <c r="Y54" s="610">
        <v>3</v>
      </c>
      <c r="Z54" s="610">
        <v>3</v>
      </c>
      <c r="AA54" s="610">
        <v>2</v>
      </c>
      <c r="AB54" s="610">
        <v>2</v>
      </c>
      <c r="AC54" s="610">
        <v>0</v>
      </c>
      <c r="AD54" s="606">
        <v>3</v>
      </c>
      <c r="AE54" s="606">
        <v>3</v>
      </c>
      <c r="AF54" s="606">
        <v>3</v>
      </c>
      <c r="AG54" s="606">
        <v>3</v>
      </c>
      <c r="AH54" s="606">
        <v>0</v>
      </c>
      <c r="AI54" s="606">
        <v>3</v>
      </c>
      <c r="AJ54" s="606">
        <v>0</v>
      </c>
      <c r="AK54" s="610">
        <v>3</v>
      </c>
      <c r="AL54" s="397" t="s">
        <v>2327</v>
      </c>
      <c r="AM54" s="381"/>
    </row>
    <row r="55" spans="3:39" s="379" customFormat="1" ht="108" customHeight="1" x14ac:dyDescent="0.3">
      <c r="C55" s="383" t="s">
        <v>2328</v>
      </c>
      <c r="D55" s="383"/>
      <c r="E55" s="382" t="s">
        <v>2274</v>
      </c>
      <c r="F55" s="610">
        <v>3</v>
      </c>
      <c r="G55" s="610">
        <v>3</v>
      </c>
      <c r="H55" s="610">
        <v>2</v>
      </c>
      <c r="I55" s="610">
        <v>2</v>
      </c>
      <c r="J55" s="610">
        <v>2</v>
      </c>
      <c r="K55" s="610">
        <v>2</v>
      </c>
      <c r="L55" s="610">
        <v>2</v>
      </c>
      <c r="M55" s="610">
        <v>3</v>
      </c>
      <c r="N55" s="610">
        <v>3</v>
      </c>
      <c r="O55" s="610">
        <v>3</v>
      </c>
      <c r="P55" s="610">
        <v>3</v>
      </c>
      <c r="Q55" s="610">
        <v>2</v>
      </c>
      <c r="R55" s="610">
        <v>3</v>
      </c>
      <c r="S55" s="610">
        <v>3</v>
      </c>
      <c r="T55" s="610">
        <v>3</v>
      </c>
      <c r="U55" s="610">
        <v>2</v>
      </c>
      <c r="V55" s="610">
        <v>3</v>
      </c>
      <c r="W55" s="610">
        <v>3</v>
      </c>
      <c r="X55" s="610">
        <v>3</v>
      </c>
      <c r="Y55" s="610">
        <v>2</v>
      </c>
      <c r="Z55" s="610">
        <v>2</v>
      </c>
      <c r="AA55" s="610">
        <v>2</v>
      </c>
      <c r="AB55" s="610">
        <v>3</v>
      </c>
      <c r="AC55" s="610">
        <v>3</v>
      </c>
      <c r="AD55" s="606">
        <v>2</v>
      </c>
      <c r="AE55" s="606">
        <v>3</v>
      </c>
      <c r="AF55" s="606">
        <v>2</v>
      </c>
      <c r="AG55" s="606">
        <v>2</v>
      </c>
      <c r="AH55" s="606">
        <v>3</v>
      </c>
      <c r="AI55" s="606">
        <v>3</v>
      </c>
      <c r="AJ55" s="606">
        <v>3</v>
      </c>
      <c r="AK55" s="610">
        <v>3</v>
      </c>
      <c r="AL55" s="396" t="s">
        <v>2329</v>
      </c>
      <c r="AM55" s="398"/>
    </row>
    <row r="56" spans="3:39" s="379" customFormat="1" ht="102" customHeight="1" x14ac:dyDescent="0.3">
      <c r="C56" s="383" t="s">
        <v>2330</v>
      </c>
      <c r="D56" s="383"/>
      <c r="E56" s="382" t="s">
        <v>2274</v>
      </c>
      <c r="F56" s="610">
        <v>2</v>
      </c>
      <c r="G56" s="610">
        <v>2</v>
      </c>
      <c r="H56" s="610">
        <v>0</v>
      </c>
      <c r="I56" s="610">
        <v>0</v>
      </c>
      <c r="J56" s="610">
        <v>0</v>
      </c>
      <c r="K56" s="610">
        <v>0</v>
      </c>
      <c r="L56" s="610">
        <v>0</v>
      </c>
      <c r="M56" s="610">
        <v>3</v>
      </c>
      <c r="N56" s="610">
        <v>0</v>
      </c>
      <c r="O56" s="610">
        <v>0</v>
      </c>
      <c r="P56" s="610">
        <v>2</v>
      </c>
      <c r="Q56" s="610">
        <v>2</v>
      </c>
      <c r="R56" s="610">
        <v>0</v>
      </c>
      <c r="S56" s="610">
        <v>2</v>
      </c>
      <c r="T56" s="610">
        <v>0</v>
      </c>
      <c r="U56" s="610">
        <v>0</v>
      </c>
      <c r="V56" s="610">
        <v>3</v>
      </c>
      <c r="W56" s="610">
        <v>2</v>
      </c>
      <c r="X56" s="610">
        <v>2</v>
      </c>
      <c r="Y56" s="610">
        <v>2</v>
      </c>
      <c r="Z56" s="610">
        <v>2</v>
      </c>
      <c r="AA56" s="610">
        <v>0</v>
      </c>
      <c r="AB56" s="610">
        <v>0</v>
      </c>
      <c r="AC56" s="610">
        <v>0</v>
      </c>
      <c r="AD56" s="606">
        <v>0</v>
      </c>
      <c r="AE56" s="606">
        <v>0</v>
      </c>
      <c r="AF56" s="606">
        <v>0</v>
      </c>
      <c r="AG56" s="606">
        <v>3</v>
      </c>
      <c r="AH56" s="606">
        <v>0</v>
      </c>
      <c r="AI56" s="606">
        <v>3</v>
      </c>
      <c r="AJ56" s="606">
        <v>0</v>
      </c>
      <c r="AK56" s="610">
        <v>2</v>
      </c>
      <c r="AL56" s="396" t="s">
        <v>2331</v>
      </c>
      <c r="AM56" s="396"/>
    </row>
    <row r="57" spans="3:39" s="379" customFormat="1" ht="102" customHeight="1" x14ac:dyDescent="0.3">
      <c r="C57" s="383" t="s">
        <v>2332</v>
      </c>
      <c r="D57" s="383"/>
      <c r="E57" s="382" t="s">
        <v>2295</v>
      </c>
      <c r="F57" s="610">
        <v>3</v>
      </c>
      <c r="G57" s="610">
        <v>3</v>
      </c>
      <c r="H57" s="610">
        <v>3</v>
      </c>
      <c r="I57" s="610">
        <v>3</v>
      </c>
      <c r="J57" s="610">
        <v>3</v>
      </c>
      <c r="K57" s="610">
        <v>3</v>
      </c>
      <c r="L57" s="610">
        <v>3</v>
      </c>
      <c r="M57" s="610">
        <v>3</v>
      </c>
      <c r="N57" s="610">
        <v>3</v>
      </c>
      <c r="O57" s="610">
        <v>3</v>
      </c>
      <c r="P57" s="610">
        <v>3</v>
      </c>
      <c r="Q57" s="610">
        <v>3</v>
      </c>
      <c r="R57" s="610">
        <v>3</v>
      </c>
      <c r="S57" s="610">
        <v>3</v>
      </c>
      <c r="T57" s="610">
        <v>3</v>
      </c>
      <c r="U57" s="610">
        <v>3</v>
      </c>
      <c r="V57" s="610">
        <v>3</v>
      </c>
      <c r="W57" s="610">
        <v>3</v>
      </c>
      <c r="X57" s="610">
        <v>3</v>
      </c>
      <c r="Y57" s="610">
        <v>2</v>
      </c>
      <c r="Z57" s="610">
        <v>2</v>
      </c>
      <c r="AA57" s="610">
        <v>3</v>
      </c>
      <c r="AB57" s="610">
        <v>3</v>
      </c>
      <c r="AC57" s="610">
        <v>2</v>
      </c>
      <c r="AD57" s="606">
        <v>2</v>
      </c>
      <c r="AE57" s="606">
        <v>3</v>
      </c>
      <c r="AF57" s="606">
        <v>3</v>
      </c>
      <c r="AG57" s="606">
        <v>3</v>
      </c>
      <c r="AH57" s="606">
        <v>3</v>
      </c>
      <c r="AI57" s="606">
        <v>3</v>
      </c>
      <c r="AJ57" s="606">
        <v>3</v>
      </c>
      <c r="AK57" s="610">
        <v>0</v>
      </c>
      <c r="AL57" s="397" t="s">
        <v>2333</v>
      </c>
      <c r="AM57" s="397"/>
    </row>
    <row r="58" spans="3:39" s="379" customFormat="1" ht="102" customHeight="1" x14ac:dyDescent="0.3">
      <c r="C58" s="383" t="s">
        <v>2334</v>
      </c>
      <c r="D58" s="383"/>
      <c r="E58" s="382" t="s">
        <v>2274</v>
      </c>
      <c r="F58" s="610">
        <v>3</v>
      </c>
      <c r="G58" s="610">
        <v>3</v>
      </c>
      <c r="H58" s="610">
        <v>3</v>
      </c>
      <c r="I58" s="610">
        <v>2</v>
      </c>
      <c r="J58" s="610">
        <v>3</v>
      </c>
      <c r="K58" s="610">
        <v>2</v>
      </c>
      <c r="L58" s="610">
        <v>3</v>
      </c>
      <c r="M58" s="610">
        <v>3</v>
      </c>
      <c r="N58" s="610">
        <v>3</v>
      </c>
      <c r="O58" s="610">
        <v>3</v>
      </c>
      <c r="P58" s="610">
        <v>3</v>
      </c>
      <c r="Q58" s="610">
        <v>2</v>
      </c>
      <c r="R58" s="610">
        <v>2</v>
      </c>
      <c r="S58" s="610">
        <v>2</v>
      </c>
      <c r="T58" s="610">
        <v>3</v>
      </c>
      <c r="U58" s="610">
        <v>2</v>
      </c>
      <c r="V58" s="610">
        <v>3</v>
      </c>
      <c r="W58" s="610">
        <v>3</v>
      </c>
      <c r="X58" s="610">
        <v>3</v>
      </c>
      <c r="Y58" s="610">
        <v>2</v>
      </c>
      <c r="Z58" s="610">
        <v>2</v>
      </c>
      <c r="AA58" s="610">
        <v>3</v>
      </c>
      <c r="AB58" s="610">
        <v>2</v>
      </c>
      <c r="AC58" s="610">
        <v>1</v>
      </c>
      <c r="AD58" s="606">
        <v>2</v>
      </c>
      <c r="AE58" s="606">
        <v>3</v>
      </c>
      <c r="AF58" s="606">
        <v>2</v>
      </c>
      <c r="AG58" s="606">
        <v>2</v>
      </c>
      <c r="AH58" s="606">
        <v>2</v>
      </c>
      <c r="AI58" s="606">
        <v>2</v>
      </c>
      <c r="AJ58" s="606">
        <v>2</v>
      </c>
      <c r="AK58" s="610">
        <v>3</v>
      </c>
      <c r="AL58" s="396" t="s">
        <v>2335</v>
      </c>
      <c r="AM58" s="381"/>
    </row>
    <row r="59" spans="3:39" s="379" customFormat="1" ht="15" x14ac:dyDescent="0.3">
      <c r="C59" s="387" t="s">
        <v>2336</v>
      </c>
      <c r="D59" s="385"/>
      <c r="E59" s="385"/>
      <c r="F59" s="385"/>
      <c r="G59" s="386"/>
      <c r="H59" s="386"/>
      <c r="I59" s="386"/>
      <c r="J59" s="386"/>
      <c r="K59" s="386"/>
      <c r="L59" s="386"/>
      <c r="M59" s="386"/>
      <c r="N59" s="386"/>
      <c r="O59" s="386"/>
      <c r="P59" s="386"/>
      <c r="Q59" s="386"/>
      <c r="R59" s="386"/>
      <c r="S59" s="386"/>
      <c r="T59" s="386"/>
      <c r="U59" s="386"/>
      <c r="V59" s="386"/>
      <c r="W59" s="386"/>
      <c r="X59" s="386"/>
      <c r="Y59" s="386"/>
      <c r="Z59" s="386"/>
      <c r="AA59" s="386"/>
      <c r="AB59" s="386"/>
      <c r="AC59" s="386"/>
      <c r="AD59" s="386"/>
      <c r="AE59" s="386"/>
      <c r="AF59" s="386"/>
      <c r="AG59" s="386"/>
      <c r="AH59" s="386"/>
      <c r="AI59" s="386"/>
      <c r="AJ59" s="386"/>
      <c r="AK59" s="386"/>
      <c r="AL59" s="385"/>
      <c r="AM59" s="385"/>
    </row>
    <row r="60" spans="3:39" s="379" customFormat="1" ht="135.6" customHeight="1" x14ac:dyDescent="0.3">
      <c r="C60" s="383" t="s">
        <v>2337</v>
      </c>
      <c r="D60" s="383"/>
      <c r="E60" s="382" t="s">
        <v>2274</v>
      </c>
      <c r="F60" s="610">
        <v>3</v>
      </c>
      <c r="G60" s="610">
        <v>3</v>
      </c>
      <c r="H60" s="610">
        <v>3</v>
      </c>
      <c r="I60" s="610">
        <v>3</v>
      </c>
      <c r="J60" s="610">
        <v>3</v>
      </c>
      <c r="K60" s="610">
        <v>3</v>
      </c>
      <c r="L60" s="610">
        <v>3</v>
      </c>
      <c r="M60" s="610">
        <v>3</v>
      </c>
      <c r="N60" s="610">
        <v>3</v>
      </c>
      <c r="O60" s="610">
        <v>3</v>
      </c>
      <c r="P60" s="610">
        <v>4</v>
      </c>
      <c r="Q60" s="610">
        <v>3</v>
      </c>
      <c r="R60" s="610">
        <v>4</v>
      </c>
      <c r="S60" s="610">
        <v>3</v>
      </c>
      <c r="T60" s="610">
        <v>3</v>
      </c>
      <c r="U60" s="610">
        <v>0</v>
      </c>
      <c r="V60" s="610">
        <v>3</v>
      </c>
      <c r="W60" s="610">
        <v>3</v>
      </c>
      <c r="X60" s="610">
        <v>3</v>
      </c>
      <c r="Y60" s="610">
        <v>3</v>
      </c>
      <c r="Z60" s="610">
        <v>3</v>
      </c>
      <c r="AA60" s="610">
        <v>3</v>
      </c>
      <c r="AB60" s="610">
        <v>3</v>
      </c>
      <c r="AC60" s="610">
        <v>3</v>
      </c>
      <c r="AD60" s="606">
        <v>3</v>
      </c>
      <c r="AE60" s="606">
        <v>3</v>
      </c>
      <c r="AF60" s="606">
        <v>3</v>
      </c>
      <c r="AG60" s="606">
        <v>3</v>
      </c>
      <c r="AH60" s="606">
        <v>3</v>
      </c>
      <c r="AI60" s="606">
        <v>3</v>
      </c>
      <c r="AJ60" s="606">
        <v>3</v>
      </c>
      <c r="AK60" s="610">
        <v>3</v>
      </c>
      <c r="AL60" s="392" t="s">
        <v>2338</v>
      </c>
      <c r="AM60" s="395"/>
    </row>
    <row r="61" spans="3:39" s="379" customFormat="1" ht="102" customHeight="1" x14ac:dyDescent="0.3">
      <c r="C61" s="383" t="s">
        <v>2339</v>
      </c>
      <c r="D61" s="383"/>
      <c r="E61" s="382" t="s">
        <v>2274</v>
      </c>
      <c r="F61" s="610">
        <v>2</v>
      </c>
      <c r="G61" s="610">
        <v>2</v>
      </c>
      <c r="H61" s="610">
        <v>3</v>
      </c>
      <c r="I61" s="610">
        <v>3</v>
      </c>
      <c r="J61" s="610">
        <v>3</v>
      </c>
      <c r="K61" s="610">
        <v>2</v>
      </c>
      <c r="L61" s="610">
        <v>2</v>
      </c>
      <c r="M61" s="610">
        <v>3</v>
      </c>
      <c r="N61" s="610">
        <v>3</v>
      </c>
      <c r="O61" s="610">
        <v>3</v>
      </c>
      <c r="P61" s="610">
        <v>3</v>
      </c>
      <c r="Q61" s="610">
        <v>3</v>
      </c>
      <c r="R61" s="610">
        <v>3</v>
      </c>
      <c r="S61" s="610">
        <v>3</v>
      </c>
      <c r="T61" s="610">
        <v>3</v>
      </c>
      <c r="U61" s="610">
        <v>0</v>
      </c>
      <c r="V61" s="610">
        <v>3</v>
      </c>
      <c r="W61" s="610">
        <v>3</v>
      </c>
      <c r="X61" s="610">
        <v>3</v>
      </c>
      <c r="Y61" s="610">
        <v>2</v>
      </c>
      <c r="Z61" s="610">
        <v>2</v>
      </c>
      <c r="AA61" s="610">
        <v>3</v>
      </c>
      <c r="AB61" s="610">
        <v>3</v>
      </c>
      <c r="AC61" s="610">
        <v>3</v>
      </c>
      <c r="AD61" s="606">
        <v>3</v>
      </c>
      <c r="AE61" s="606">
        <v>3</v>
      </c>
      <c r="AF61" s="606">
        <v>3</v>
      </c>
      <c r="AG61" s="606">
        <v>3</v>
      </c>
      <c r="AH61" s="606">
        <v>3</v>
      </c>
      <c r="AI61" s="606">
        <v>3</v>
      </c>
      <c r="AJ61" s="606">
        <v>3</v>
      </c>
      <c r="AK61" s="610">
        <v>3</v>
      </c>
      <c r="AL61" s="394" t="s">
        <v>2340</v>
      </c>
      <c r="AM61" s="393"/>
    </row>
    <row r="62" spans="3:39" s="379" customFormat="1" ht="15" x14ac:dyDescent="0.3">
      <c r="C62" s="387" t="s">
        <v>2341</v>
      </c>
      <c r="D62" s="385"/>
      <c r="E62" s="385"/>
      <c r="F62" s="385"/>
      <c r="G62" s="386"/>
      <c r="H62" s="386"/>
      <c r="I62" s="386"/>
      <c r="J62" s="386"/>
      <c r="K62" s="386"/>
      <c r="L62" s="386"/>
      <c r="M62" s="386"/>
      <c r="N62" s="386"/>
      <c r="O62" s="386"/>
      <c r="P62" s="386"/>
      <c r="Q62" s="386"/>
      <c r="R62" s="386"/>
      <c r="S62" s="386"/>
      <c r="T62" s="386"/>
      <c r="U62" s="386"/>
      <c r="V62" s="386"/>
      <c r="W62" s="386"/>
      <c r="X62" s="386"/>
      <c r="Y62" s="386"/>
      <c r="Z62" s="386"/>
      <c r="AA62" s="386"/>
      <c r="AB62" s="386"/>
      <c r="AC62" s="386"/>
      <c r="AD62" s="386"/>
      <c r="AE62" s="386"/>
      <c r="AF62" s="386"/>
      <c r="AG62" s="386"/>
      <c r="AH62" s="386"/>
      <c r="AI62" s="386"/>
      <c r="AJ62" s="386"/>
      <c r="AK62" s="386"/>
      <c r="AL62" s="385"/>
      <c r="AM62" s="385"/>
    </row>
    <row r="63" spans="3:39" s="379" customFormat="1" ht="192" customHeight="1" x14ac:dyDescent="0.3">
      <c r="C63" s="383" t="s">
        <v>2342</v>
      </c>
      <c r="D63" s="383"/>
      <c r="E63" s="382" t="s">
        <v>2274</v>
      </c>
      <c r="F63" s="610">
        <v>3</v>
      </c>
      <c r="G63" s="610">
        <v>3</v>
      </c>
      <c r="H63" s="610">
        <v>3</v>
      </c>
      <c r="I63" s="610">
        <v>3</v>
      </c>
      <c r="J63" s="610">
        <v>3</v>
      </c>
      <c r="K63" s="610">
        <v>2</v>
      </c>
      <c r="L63" s="610">
        <v>2</v>
      </c>
      <c r="M63" s="610">
        <v>3</v>
      </c>
      <c r="N63" s="610">
        <v>3</v>
      </c>
      <c r="O63" s="610">
        <v>3</v>
      </c>
      <c r="P63" s="610">
        <v>3</v>
      </c>
      <c r="Q63" s="610">
        <v>3</v>
      </c>
      <c r="R63" s="610">
        <v>3</v>
      </c>
      <c r="S63" s="610">
        <v>3</v>
      </c>
      <c r="T63" s="610">
        <v>2</v>
      </c>
      <c r="U63" s="610">
        <v>2</v>
      </c>
      <c r="V63" s="610">
        <v>3</v>
      </c>
      <c r="W63" s="610">
        <v>3</v>
      </c>
      <c r="X63" s="610">
        <v>3</v>
      </c>
      <c r="Y63" s="610">
        <v>2</v>
      </c>
      <c r="Z63" s="610">
        <v>2</v>
      </c>
      <c r="AA63" s="610">
        <v>3</v>
      </c>
      <c r="AB63" s="610">
        <v>2</v>
      </c>
      <c r="AC63" s="610">
        <v>3</v>
      </c>
      <c r="AD63" s="606">
        <v>2</v>
      </c>
      <c r="AE63" s="606">
        <v>3</v>
      </c>
      <c r="AF63" s="606">
        <v>3</v>
      </c>
      <c r="AG63" s="606">
        <v>3</v>
      </c>
      <c r="AH63" s="606">
        <v>3</v>
      </c>
      <c r="AI63" s="606">
        <v>1</v>
      </c>
      <c r="AJ63" s="606">
        <v>3</v>
      </c>
      <c r="AK63" s="610">
        <v>3</v>
      </c>
      <c r="AL63" s="392" t="s">
        <v>2343</v>
      </c>
      <c r="AM63" s="381"/>
    </row>
    <row r="64" spans="3:39" s="379" customFormat="1" ht="102" customHeight="1" x14ac:dyDescent="0.3">
      <c r="C64" s="383" t="s">
        <v>2344</v>
      </c>
      <c r="D64" s="383"/>
      <c r="E64" s="382" t="s">
        <v>2274</v>
      </c>
      <c r="F64" s="610">
        <v>3</v>
      </c>
      <c r="G64" s="610">
        <v>3</v>
      </c>
      <c r="H64" s="610">
        <v>3</v>
      </c>
      <c r="I64" s="610">
        <v>3</v>
      </c>
      <c r="J64" s="610">
        <v>3</v>
      </c>
      <c r="K64" s="610">
        <v>4</v>
      </c>
      <c r="L64" s="610">
        <v>4</v>
      </c>
      <c r="M64" s="610">
        <v>3</v>
      </c>
      <c r="N64" s="610">
        <v>3</v>
      </c>
      <c r="O64" s="610">
        <v>3</v>
      </c>
      <c r="P64" s="610">
        <v>3</v>
      </c>
      <c r="Q64" s="610">
        <v>3</v>
      </c>
      <c r="R64" s="610">
        <v>3</v>
      </c>
      <c r="S64" s="610">
        <v>3</v>
      </c>
      <c r="T64" s="610">
        <v>3</v>
      </c>
      <c r="U64" s="610">
        <v>3</v>
      </c>
      <c r="V64" s="612">
        <v>3</v>
      </c>
      <c r="W64" s="610">
        <v>3</v>
      </c>
      <c r="X64" s="610">
        <v>3</v>
      </c>
      <c r="Y64" s="610">
        <v>0</v>
      </c>
      <c r="Z64" s="610">
        <v>0</v>
      </c>
      <c r="AA64" s="610">
        <v>3</v>
      </c>
      <c r="AB64" s="610">
        <v>3</v>
      </c>
      <c r="AC64" s="610">
        <v>3</v>
      </c>
      <c r="AD64" s="606">
        <v>3</v>
      </c>
      <c r="AE64" s="606">
        <v>2</v>
      </c>
      <c r="AF64" s="606">
        <v>2</v>
      </c>
      <c r="AG64" s="606">
        <v>2</v>
      </c>
      <c r="AH64" s="606">
        <v>3</v>
      </c>
      <c r="AI64" s="606">
        <v>2</v>
      </c>
      <c r="AJ64" s="606">
        <v>3</v>
      </c>
      <c r="AK64" s="610">
        <v>3</v>
      </c>
      <c r="AL64" s="392" t="s">
        <v>2345</v>
      </c>
      <c r="AM64" s="391"/>
    </row>
    <row r="65" spans="3:39" s="379" customFormat="1" ht="15" x14ac:dyDescent="0.3">
      <c r="C65" s="387" t="s">
        <v>2346</v>
      </c>
      <c r="D65" s="385"/>
      <c r="E65" s="385"/>
      <c r="F65" s="385"/>
      <c r="G65" s="386"/>
      <c r="H65" s="386"/>
      <c r="I65" s="386"/>
      <c r="J65" s="386"/>
      <c r="K65" s="386"/>
      <c r="L65" s="386"/>
      <c r="M65" s="386"/>
      <c r="N65" s="386"/>
      <c r="O65" s="386"/>
      <c r="P65" s="386"/>
      <c r="Q65" s="386"/>
      <c r="R65" s="386"/>
      <c r="S65" s="386"/>
      <c r="T65" s="386"/>
      <c r="U65" s="386"/>
      <c r="V65" s="386"/>
      <c r="W65" s="386"/>
      <c r="X65" s="386"/>
      <c r="Y65" s="386"/>
      <c r="Z65" s="386"/>
      <c r="AA65" s="386"/>
      <c r="AB65" s="386"/>
      <c r="AC65" s="386"/>
      <c r="AD65" s="386"/>
      <c r="AE65" s="386"/>
      <c r="AF65" s="386"/>
      <c r="AG65" s="386"/>
      <c r="AH65" s="386"/>
      <c r="AI65" s="386"/>
      <c r="AJ65" s="386"/>
      <c r="AK65" s="386"/>
      <c r="AL65" s="385"/>
      <c r="AM65" s="385"/>
    </row>
    <row r="66" spans="3:39" s="379" customFormat="1" ht="94.5" customHeight="1" x14ac:dyDescent="0.3">
      <c r="C66" s="383" t="s">
        <v>2347</v>
      </c>
      <c r="D66" s="383"/>
      <c r="E66" s="382" t="s">
        <v>2274</v>
      </c>
      <c r="F66" s="610">
        <v>3</v>
      </c>
      <c r="G66" s="610">
        <v>3</v>
      </c>
      <c r="H66" s="610">
        <v>3</v>
      </c>
      <c r="I66" s="610">
        <v>3</v>
      </c>
      <c r="J66" s="610">
        <v>3</v>
      </c>
      <c r="K66" s="610">
        <v>3</v>
      </c>
      <c r="L66" s="610">
        <v>3</v>
      </c>
      <c r="M66" s="610">
        <v>3</v>
      </c>
      <c r="N66" s="610">
        <v>3</v>
      </c>
      <c r="O66" s="610">
        <v>3</v>
      </c>
      <c r="P66" s="610">
        <v>3</v>
      </c>
      <c r="Q66" s="610">
        <v>3</v>
      </c>
      <c r="R66" s="610">
        <v>3</v>
      </c>
      <c r="S66" s="610">
        <v>3</v>
      </c>
      <c r="T66" s="610">
        <v>3</v>
      </c>
      <c r="U66" s="610">
        <v>0</v>
      </c>
      <c r="V66" s="610">
        <v>3</v>
      </c>
      <c r="W66" s="610">
        <v>3</v>
      </c>
      <c r="X66" s="610">
        <v>3</v>
      </c>
      <c r="Y66" s="610">
        <v>3</v>
      </c>
      <c r="Z66" s="610">
        <v>3</v>
      </c>
      <c r="AA66" s="610">
        <v>3</v>
      </c>
      <c r="AB66" s="610">
        <v>3</v>
      </c>
      <c r="AC66" s="610">
        <v>3</v>
      </c>
      <c r="AD66" s="606">
        <v>3</v>
      </c>
      <c r="AE66" s="606">
        <v>3</v>
      </c>
      <c r="AF66" s="606">
        <v>3</v>
      </c>
      <c r="AG66" s="606">
        <v>3</v>
      </c>
      <c r="AH66" s="606">
        <v>3</v>
      </c>
      <c r="AI66" s="606">
        <v>3</v>
      </c>
      <c r="AJ66" s="606">
        <v>3</v>
      </c>
      <c r="AK66" s="610">
        <v>3</v>
      </c>
      <c r="AL66" s="390" t="s">
        <v>2348</v>
      </c>
      <c r="AM66" s="389"/>
    </row>
    <row r="67" spans="3:39" s="379" customFormat="1" ht="102" customHeight="1" x14ac:dyDescent="0.3">
      <c r="C67" s="383" t="s">
        <v>2349</v>
      </c>
      <c r="D67" s="383"/>
      <c r="E67" s="382" t="s">
        <v>2274</v>
      </c>
      <c r="F67" s="610">
        <v>3</v>
      </c>
      <c r="G67" s="610">
        <v>3</v>
      </c>
      <c r="H67" s="610">
        <v>3</v>
      </c>
      <c r="I67" s="610">
        <v>3</v>
      </c>
      <c r="J67" s="610">
        <v>3</v>
      </c>
      <c r="K67" s="610">
        <v>3</v>
      </c>
      <c r="L67" s="610">
        <v>3</v>
      </c>
      <c r="M67" s="610">
        <v>3</v>
      </c>
      <c r="N67" s="610">
        <v>3</v>
      </c>
      <c r="O67" s="610">
        <v>3</v>
      </c>
      <c r="P67" s="610">
        <v>3</v>
      </c>
      <c r="Q67" s="610">
        <v>3</v>
      </c>
      <c r="R67" s="610">
        <v>3</v>
      </c>
      <c r="S67" s="612">
        <v>3</v>
      </c>
      <c r="T67" s="610">
        <v>3</v>
      </c>
      <c r="U67" s="610">
        <v>3</v>
      </c>
      <c r="V67" s="612">
        <v>3</v>
      </c>
      <c r="W67" s="610">
        <v>3</v>
      </c>
      <c r="X67" s="610">
        <v>3</v>
      </c>
      <c r="Y67" s="610">
        <v>3</v>
      </c>
      <c r="Z67" s="610">
        <v>3</v>
      </c>
      <c r="AA67" s="610">
        <v>3</v>
      </c>
      <c r="AB67" s="610">
        <v>3</v>
      </c>
      <c r="AC67" s="610">
        <v>3</v>
      </c>
      <c r="AD67" s="606">
        <v>3</v>
      </c>
      <c r="AE67" s="606">
        <v>3</v>
      </c>
      <c r="AF67" s="606">
        <v>3</v>
      </c>
      <c r="AG67" s="606">
        <v>3</v>
      </c>
      <c r="AH67" s="606">
        <v>3</v>
      </c>
      <c r="AI67" s="606">
        <v>3</v>
      </c>
      <c r="AJ67" s="606">
        <v>3</v>
      </c>
      <c r="AK67" s="610">
        <v>3</v>
      </c>
      <c r="AL67" s="381" t="s">
        <v>2350</v>
      </c>
      <c r="AM67" s="381"/>
    </row>
    <row r="68" spans="3:39" s="379" customFormat="1" ht="119.25" customHeight="1" x14ac:dyDescent="0.3">
      <c r="C68" s="383" t="s">
        <v>2351</v>
      </c>
      <c r="D68" s="383"/>
      <c r="E68" s="382" t="s">
        <v>2295</v>
      </c>
      <c r="F68" s="610">
        <v>3</v>
      </c>
      <c r="G68" s="610">
        <v>3</v>
      </c>
      <c r="H68" s="610">
        <v>3</v>
      </c>
      <c r="I68" s="610">
        <v>3</v>
      </c>
      <c r="J68" s="610">
        <v>3</v>
      </c>
      <c r="K68" s="610">
        <v>3</v>
      </c>
      <c r="L68" s="610">
        <v>3</v>
      </c>
      <c r="M68" s="610">
        <v>3</v>
      </c>
      <c r="N68" s="610">
        <v>3</v>
      </c>
      <c r="O68" s="610">
        <v>3</v>
      </c>
      <c r="P68" s="610">
        <v>3</v>
      </c>
      <c r="Q68" s="610">
        <v>3</v>
      </c>
      <c r="R68" s="610">
        <v>3</v>
      </c>
      <c r="S68" s="610">
        <v>3</v>
      </c>
      <c r="T68" s="610">
        <v>3</v>
      </c>
      <c r="U68" s="610">
        <v>3</v>
      </c>
      <c r="V68" s="612">
        <v>3</v>
      </c>
      <c r="W68" s="610">
        <v>3</v>
      </c>
      <c r="X68" s="610">
        <v>3</v>
      </c>
      <c r="Y68" s="610">
        <v>3</v>
      </c>
      <c r="Z68" s="610">
        <v>3</v>
      </c>
      <c r="AA68" s="610">
        <v>3</v>
      </c>
      <c r="AB68" s="610">
        <v>3</v>
      </c>
      <c r="AC68" s="610">
        <v>3</v>
      </c>
      <c r="AD68" s="606">
        <v>3</v>
      </c>
      <c r="AE68" s="606">
        <v>3</v>
      </c>
      <c r="AF68" s="606">
        <v>3</v>
      </c>
      <c r="AG68" s="606">
        <v>3</v>
      </c>
      <c r="AH68" s="606">
        <v>3</v>
      </c>
      <c r="AI68" s="606">
        <v>3</v>
      </c>
      <c r="AJ68" s="606">
        <v>3</v>
      </c>
      <c r="AK68" s="610">
        <v>0</v>
      </c>
      <c r="AL68" s="388" t="s">
        <v>2352</v>
      </c>
      <c r="AM68" s="389"/>
    </row>
    <row r="69" spans="3:39" s="379" customFormat="1" ht="115.5" customHeight="1" x14ac:dyDescent="0.3">
      <c r="C69" s="383" t="s">
        <v>2353</v>
      </c>
      <c r="D69" s="383"/>
      <c r="E69" s="382" t="s">
        <v>2295</v>
      </c>
      <c r="F69" s="610">
        <v>1</v>
      </c>
      <c r="G69" s="612">
        <v>1</v>
      </c>
      <c r="H69" s="612">
        <v>0</v>
      </c>
      <c r="I69" s="612">
        <v>0</v>
      </c>
      <c r="J69" s="612">
        <v>0</v>
      </c>
      <c r="K69" s="612">
        <v>0</v>
      </c>
      <c r="L69" s="612">
        <v>0</v>
      </c>
      <c r="M69" s="612">
        <v>1</v>
      </c>
      <c r="N69" s="612">
        <v>1</v>
      </c>
      <c r="O69" s="612">
        <v>1</v>
      </c>
      <c r="P69" s="612">
        <v>1</v>
      </c>
      <c r="Q69" s="612">
        <v>1</v>
      </c>
      <c r="R69" s="612">
        <v>0</v>
      </c>
      <c r="S69" s="612">
        <v>1</v>
      </c>
      <c r="T69" s="612">
        <v>0</v>
      </c>
      <c r="U69" s="612">
        <v>0</v>
      </c>
      <c r="V69" s="612">
        <v>1</v>
      </c>
      <c r="W69" s="612">
        <v>1</v>
      </c>
      <c r="X69" s="612">
        <v>1</v>
      </c>
      <c r="Y69" s="612">
        <v>1</v>
      </c>
      <c r="Z69" s="612">
        <v>1</v>
      </c>
      <c r="AA69" s="612">
        <v>0</v>
      </c>
      <c r="AB69" s="612">
        <v>0</v>
      </c>
      <c r="AC69" s="610">
        <v>0</v>
      </c>
      <c r="AD69" s="606">
        <v>0</v>
      </c>
      <c r="AE69" s="606">
        <v>1</v>
      </c>
      <c r="AF69" s="606">
        <v>1</v>
      </c>
      <c r="AG69" s="606">
        <v>1</v>
      </c>
      <c r="AH69" s="606">
        <v>0</v>
      </c>
      <c r="AI69" s="606">
        <v>1</v>
      </c>
      <c r="AJ69" s="606">
        <v>0</v>
      </c>
      <c r="AK69" s="610">
        <v>0</v>
      </c>
      <c r="AL69" s="388" t="s">
        <v>2354</v>
      </c>
      <c r="AM69" s="381"/>
    </row>
    <row r="70" spans="3:39" s="379" customFormat="1" ht="15" x14ac:dyDescent="0.3">
      <c r="C70" s="387" t="s">
        <v>2355</v>
      </c>
      <c r="D70" s="385"/>
      <c r="E70" s="385"/>
      <c r="F70" s="385"/>
      <c r="G70" s="386"/>
      <c r="H70" s="386"/>
      <c r="I70" s="386"/>
      <c r="J70" s="386"/>
      <c r="K70" s="386"/>
      <c r="L70" s="386"/>
      <c r="M70" s="386"/>
      <c r="N70" s="386"/>
      <c r="O70" s="386"/>
      <c r="P70" s="386"/>
      <c r="Q70" s="386"/>
      <c r="R70" s="386"/>
      <c r="S70" s="386"/>
      <c r="T70" s="386"/>
      <c r="U70" s="386"/>
      <c r="V70" s="386"/>
      <c r="W70" s="386"/>
      <c r="X70" s="386"/>
      <c r="Y70" s="386"/>
      <c r="Z70" s="386"/>
      <c r="AA70" s="386"/>
      <c r="AB70" s="386"/>
      <c r="AC70" s="386"/>
      <c r="AD70" s="386"/>
      <c r="AE70" s="386"/>
      <c r="AF70" s="386"/>
      <c r="AG70" s="386"/>
      <c r="AH70" s="386"/>
      <c r="AI70" s="386"/>
      <c r="AJ70" s="386"/>
      <c r="AK70" s="386"/>
      <c r="AL70" s="385"/>
      <c r="AM70" s="385"/>
    </row>
    <row r="71" spans="3:39" s="379" customFormat="1" ht="102" customHeight="1" x14ac:dyDescent="0.3">
      <c r="C71" s="383" t="s">
        <v>2356</v>
      </c>
      <c r="D71" s="383"/>
      <c r="E71" s="382" t="s">
        <v>2280</v>
      </c>
      <c r="F71" s="610">
        <v>0</v>
      </c>
      <c r="G71" s="610">
        <v>0</v>
      </c>
      <c r="H71" s="610">
        <v>0</v>
      </c>
      <c r="I71" s="610">
        <v>0</v>
      </c>
      <c r="J71" s="610">
        <v>0</v>
      </c>
      <c r="K71" s="610">
        <v>0</v>
      </c>
      <c r="L71" s="610">
        <v>0</v>
      </c>
      <c r="M71" s="610">
        <v>0</v>
      </c>
      <c r="N71" s="610">
        <v>0</v>
      </c>
      <c r="O71" s="610">
        <v>0</v>
      </c>
      <c r="P71" s="610">
        <v>0</v>
      </c>
      <c r="Q71" s="610">
        <v>0</v>
      </c>
      <c r="R71" s="610">
        <v>0</v>
      </c>
      <c r="S71" s="610">
        <v>0</v>
      </c>
      <c r="T71" s="610">
        <v>0</v>
      </c>
      <c r="U71" s="610">
        <v>0</v>
      </c>
      <c r="V71" s="612">
        <v>0</v>
      </c>
      <c r="W71" s="610">
        <v>0</v>
      </c>
      <c r="X71" s="610">
        <v>0</v>
      </c>
      <c r="Y71" s="610">
        <v>0</v>
      </c>
      <c r="Z71" s="610">
        <v>0</v>
      </c>
      <c r="AA71" s="610">
        <v>0</v>
      </c>
      <c r="AB71" s="610">
        <v>0</v>
      </c>
      <c r="AC71" s="610">
        <v>0</v>
      </c>
      <c r="AD71" s="606">
        <v>0</v>
      </c>
      <c r="AE71" s="606">
        <v>0</v>
      </c>
      <c r="AF71" s="606">
        <v>0</v>
      </c>
      <c r="AG71" s="606">
        <v>0</v>
      </c>
      <c r="AH71" s="606">
        <v>0</v>
      </c>
      <c r="AI71" s="606">
        <v>0</v>
      </c>
      <c r="AJ71" s="606">
        <v>0</v>
      </c>
      <c r="AK71" s="610">
        <v>3</v>
      </c>
      <c r="AL71" s="381" t="s">
        <v>2357</v>
      </c>
      <c r="AM71" s="384"/>
    </row>
    <row r="72" spans="3:39" s="379" customFormat="1" ht="116.55" customHeight="1" x14ac:dyDescent="0.3">
      <c r="C72" s="383" t="s">
        <v>2358</v>
      </c>
      <c r="D72" s="383"/>
      <c r="E72" s="382" t="s">
        <v>2274</v>
      </c>
      <c r="F72" s="610">
        <v>0</v>
      </c>
      <c r="G72" s="610">
        <v>0</v>
      </c>
      <c r="H72" s="610">
        <v>0</v>
      </c>
      <c r="I72" s="610">
        <v>0</v>
      </c>
      <c r="J72" s="610">
        <v>0</v>
      </c>
      <c r="K72" s="610">
        <v>0</v>
      </c>
      <c r="L72" s="610">
        <v>0</v>
      </c>
      <c r="M72" s="610">
        <v>0</v>
      </c>
      <c r="N72" s="610">
        <v>3</v>
      </c>
      <c r="O72" s="610">
        <v>0</v>
      </c>
      <c r="P72" s="610">
        <v>0</v>
      </c>
      <c r="Q72" s="610">
        <v>0</v>
      </c>
      <c r="R72" s="610">
        <v>0</v>
      </c>
      <c r="S72" s="610">
        <v>0</v>
      </c>
      <c r="T72" s="610">
        <v>0</v>
      </c>
      <c r="U72" s="610">
        <v>0</v>
      </c>
      <c r="V72" s="612">
        <v>0</v>
      </c>
      <c r="W72" s="610">
        <v>0</v>
      </c>
      <c r="X72" s="610">
        <v>0</v>
      </c>
      <c r="Y72" s="610">
        <v>0</v>
      </c>
      <c r="Z72" s="610">
        <v>0</v>
      </c>
      <c r="AA72" s="610">
        <v>0</v>
      </c>
      <c r="AB72" s="610">
        <v>0</v>
      </c>
      <c r="AC72" s="610">
        <v>0</v>
      </c>
      <c r="AD72" s="606">
        <v>0</v>
      </c>
      <c r="AE72" s="606">
        <v>0</v>
      </c>
      <c r="AF72" s="606">
        <v>0</v>
      </c>
      <c r="AG72" s="606">
        <v>0</v>
      </c>
      <c r="AH72" s="606">
        <v>0</v>
      </c>
      <c r="AI72" s="606">
        <v>0</v>
      </c>
      <c r="AJ72" s="606">
        <v>0</v>
      </c>
      <c r="AK72" s="610">
        <v>3</v>
      </c>
      <c r="AL72" s="388" t="s">
        <v>2354</v>
      </c>
      <c r="AM72" s="380"/>
    </row>
    <row r="73" spans="3:39" s="379" customFormat="1" ht="102" customHeight="1" x14ac:dyDescent="0.3">
      <c r="C73" s="383" t="s">
        <v>2359</v>
      </c>
      <c r="D73" s="383"/>
      <c r="E73" s="382" t="s">
        <v>2280</v>
      </c>
      <c r="F73" s="610">
        <v>0</v>
      </c>
      <c r="G73" s="610">
        <v>0</v>
      </c>
      <c r="H73" s="610">
        <v>0</v>
      </c>
      <c r="I73" s="610">
        <v>0</v>
      </c>
      <c r="J73" s="610">
        <v>0</v>
      </c>
      <c r="K73" s="610">
        <v>0</v>
      </c>
      <c r="L73" s="610">
        <v>0</v>
      </c>
      <c r="M73" s="610">
        <v>0</v>
      </c>
      <c r="N73" s="610">
        <v>0</v>
      </c>
      <c r="O73" s="610">
        <v>0</v>
      </c>
      <c r="P73" s="610">
        <v>0</v>
      </c>
      <c r="Q73" s="610">
        <v>0</v>
      </c>
      <c r="R73" s="610">
        <v>0</v>
      </c>
      <c r="S73" s="610">
        <v>0</v>
      </c>
      <c r="T73" s="610">
        <v>0</v>
      </c>
      <c r="U73" s="610">
        <v>0</v>
      </c>
      <c r="V73" s="612">
        <v>0</v>
      </c>
      <c r="W73" s="610">
        <v>0</v>
      </c>
      <c r="X73" s="610">
        <v>0</v>
      </c>
      <c r="Y73" s="610">
        <v>0</v>
      </c>
      <c r="Z73" s="610">
        <v>0</v>
      </c>
      <c r="AA73" s="610">
        <v>0</v>
      </c>
      <c r="AB73" s="610">
        <v>0</v>
      </c>
      <c r="AC73" s="610">
        <v>0</v>
      </c>
      <c r="AD73" s="606">
        <v>0</v>
      </c>
      <c r="AE73" s="606">
        <v>0</v>
      </c>
      <c r="AF73" s="606">
        <v>0</v>
      </c>
      <c r="AG73" s="606">
        <v>0</v>
      </c>
      <c r="AH73" s="606">
        <v>0</v>
      </c>
      <c r="AI73" s="606">
        <v>0</v>
      </c>
      <c r="AJ73" s="606">
        <v>0</v>
      </c>
      <c r="AK73" s="610">
        <v>3</v>
      </c>
      <c r="AL73" s="381" t="s">
        <v>2360</v>
      </c>
      <c r="AM73" s="380"/>
    </row>
    <row r="74" spans="3:39" s="379" customFormat="1" ht="75" customHeight="1" x14ac:dyDescent="0.3">
      <c r="C74" s="383" t="s">
        <v>2361</v>
      </c>
      <c r="D74" s="383"/>
      <c r="E74" s="382" t="s">
        <v>2280</v>
      </c>
      <c r="F74" s="610">
        <v>0</v>
      </c>
      <c r="G74" s="610">
        <v>0</v>
      </c>
      <c r="H74" s="610">
        <v>0</v>
      </c>
      <c r="I74" s="610">
        <v>0</v>
      </c>
      <c r="J74" s="610">
        <v>0</v>
      </c>
      <c r="K74" s="610">
        <v>0</v>
      </c>
      <c r="L74" s="610">
        <v>0</v>
      </c>
      <c r="M74" s="610">
        <v>0</v>
      </c>
      <c r="N74" s="610">
        <v>0</v>
      </c>
      <c r="O74" s="610">
        <v>0</v>
      </c>
      <c r="P74" s="610">
        <v>0</v>
      </c>
      <c r="Q74" s="610">
        <v>0</v>
      </c>
      <c r="R74" s="610">
        <v>0</v>
      </c>
      <c r="S74" s="610">
        <v>0</v>
      </c>
      <c r="T74" s="610">
        <v>0</v>
      </c>
      <c r="U74" s="610">
        <v>0</v>
      </c>
      <c r="V74" s="612">
        <v>0</v>
      </c>
      <c r="W74" s="610">
        <v>0</v>
      </c>
      <c r="X74" s="610">
        <v>0</v>
      </c>
      <c r="Y74" s="610">
        <v>0</v>
      </c>
      <c r="Z74" s="610">
        <v>0</v>
      </c>
      <c r="AA74" s="610">
        <v>0</v>
      </c>
      <c r="AB74" s="610">
        <v>0</v>
      </c>
      <c r="AC74" s="610">
        <v>0</v>
      </c>
      <c r="AD74" s="606">
        <v>0</v>
      </c>
      <c r="AE74" s="606">
        <v>0</v>
      </c>
      <c r="AF74" s="606">
        <v>0</v>
      </c>
      <c r="AG74" s="606">
        <v>0</v>
      </c>
      <c r="AH74" s="606">
        <v>0</v>
      </c>
      <c r="AI74" s="606">
        <v>0</v>
      </c>
      <c r="AJ74" s="606">
        <v>0</v>
      </c>
      <c r="AK74" s="610">
        <v>3</v>
      </c>
      <c r="AL74" s="381" t="s">
        <v>2362</v>
      </c>
      <c r="AM74" s="380"/>
    </row>
  </sheetData>
  <sheetProtection algorithmName="SHA-512" hashValue="CmPpFrxzRYPGCdI8RFn5uheEOwC3iGjJyS3QxYg9QoHONPjVsX+wP82xQVLYQ05IhRNVx75ZUfO3a8buplPZbg==" saltValue="ezm8wl3ej/hxHfXeBT5x3Q==" spinCount="100000" sheet="1" objects="1" autoFilter="0" pivotTables="0"/>
  <mergeCells count="2">
    <mergeCell ref="C23:C25"/>
    <mergeCell ref="AD22:AJ22"/>
  </mergeCells>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8" id="{531B307D-8C28-42E5-857E-C4624770DF1E}">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F32 F35 F45 F50 F53 F59 F62 F65 F70</xm:sqref>
        </x14:conditionalFormatting>
        <x14:conditionalFormatting xmlns:xm="http://schemas.microsoft.com/office/excel/2006/main">
          <x14:cfRule type="iconSet" priority="77" id="{81195AA0-5ACA-48CB-9181-F1A99832E66F}">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F69 AC69:AK69</xm:sqref>
        </x14:conditionalFormatting>
        <x14:conditionalFormatting xmlns:xm="http://schemas.microsoft.com/office/excel/2006/main">
          <x14:cfRule type="iconSet" priority="59" id="{04FE6F6C-FB0F-4120-844C-5FFC48E82CD2}">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F27:AK31</xm:sqref>
        </x14:conditionalFormatting>
        <x14:conditionalFormatting xmlns:xm="http://schemas.microsoft.com/office/excel/2006/main">
          <x14:cfRule type="iconSet" priority="61" id="{38E4AA90-56E2-4005-8722-5CA1A32944C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F33:AK34</xm:sqref>
        </x14:conditionalFormatting>
        <x14:conditionalFormatting xmlns:xm="http://schemas.microsoft.com/office/excel/2006/main">
          <x14:cfRule type="iconSet" priority="63" id="{13F8D992-5E48-4144-811F-267A62EC37E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F36:AK44</xm:sqref>
        </x14:conditionalFormatting>
        <x14:conditionalFormatting xmlns:xm="http://schemas.microsoft.com/office/excel/2006/main">
          <x14:cfRule type="iconSet" priority="65" id="{E9AA0B47-8F75-4A2C-A657-3D0168A2B2D1}">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F46:AK49</xm:sqref>
        </x14:conditionalFormatting>
        <x14:conditionalFormatting xmlns:xm="http://schemas.microsoft.com/office/excel/2006/main">
          <x14:cfRule type="iconSet" priority="67" id="{824FFAA1-D0CF-4B88-A855-7FFA492ADA8E}">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F51:AK52</xm:sqref>
        </x14:conditionalFormatting>
        <x14:conditionalFormatting xmlns:xm="http://schemas.microsoft.com/office/excel/2006/main">
          <x14:cfRule type="iconSet" priority="69" id="{D2CC66F5-045E-4D65-8A88-EEC6FC37B42A}">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F54:AK58</xm:sqref>
        </x14:conditionalFormatting>
        <x14:conditionalFormatting xmlns:xm="http://schemas.microsoft.com/office/excel/2006/main">
          <x14:cfRule type="iconSet" priority="71" id="{C5415F3C-03F6-4314-83BF-B5F69C55D6CF}">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F60:AK61</xm:sqref>
        </x14:conditionalFormatting>
        <x14:conditionalFormatting xmlns:xm="http://schemas.microsoft.com/office/excel/2006/main">
          <x14:cfRule type="iconSet" priority="73" id="{E2D55ADA-2975-4661-A4DB-CF125B22FF8D}">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F63:AK64</xm:sqref>
        </x14:conditionalFormatting>
        <x14:conditionalFormatting xmlns:xm="http://schemas.microsoft.com/office/excel/2006/main">
          <x14:cfRule type="iconSet" priority="75" id="{579994F3-0CA6-4C12-A8A8-5D7C349030F0}">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F66:AK68</xm:sqref>
        </x14:conditionalFormatting>
        <x14:conditionalFormatting xmlns:xm="http://schemas.microsoft.com/office/excel/2006/main">
          <x14:cfRule type="iconSet" priority="79" id="{43907C4A-87CA-4596-8615-0A575A96B3AC}">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F71:AK74</xm:sqref>
        </x14:conditionalFormatting>
        <x14:conditionalFormatting xmlns:xm="http://schemas.microsoft.com/office/excel/2006/main">
          <x14:cfRule type="iconSet" priority="57" id="{D6746FD5-D890-41AC-B2AD-6CC975D46C96}">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G32 G70 G35 G45 G50 G53 G59 G62 G65</xm:sqref>
        </x14:conditionalFormatting>
        <x14:conditionalFormatting xmlns:xm="http://schemas.microsoft.com/office/excel/2006/main">
          <x14:cfRule type="iconSet" priority="1" id="{946A1F7F-35C2-4C97-9EA7-F2120A654541}">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G69:AB69</xm:sqref>
        </x14:conditionalFormatting>
        <x14:conditionalFormatting xmlns:xm="http://schemas.microsoft.com/office/excel/2006/main">
          <x14:cfRule type="iconSet" priority="56" id="{18C55507-17FC-4AB7-995C-C5A7B6A17C3F}">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H32 H65 H70 H35 H45 H50 H53 H59 H62</xm:sqref>
        </x14:conditionalFormatting>
        <x14:conditionalFormatting xmlns:xm="http://schemas.microsoft.com/office/excel/2006/main">
          <x14:cfRule type="iconSet" priority="55" id="{E4900094-B0F2-444C-BD82-47337E1A2A53}">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I32 I65 I70 I35 I45 I50 I53 I59 I62</xm:sqref>
        </x14:conditionalFormatting>
        <x14:conditionalFormatting xmlns:xm="http://schemas.microsoft.com/office/excel/2006/main">
          <x14:cfRule type="iconSet" priority="54" id="{74860532-CCC7-4CA0-9CCD-F97608A73AE0}">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J32 J65 J70 J35 J45 J50 J53 J59 J62</xm:sqref>
        </x14:conditionalFormatting>
        <x14:conditionalFormatting xmlns:xm="http://schemas.microsoft.com/office/excel/2006/main">
          <x14:cfRule type="iconSet" priority="53" id="{BCAB1BA9-329B-445F-89E0-A441F82184AB}">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K32 K35 K45 K50 K53 K59 K62 K65 K70</xm:sqref>
        </x14:conditionalFormatting>
        <x14:conditionalFormatting xmlns:xm="http://schemas.microsoft.com/office/excel/2006/main">
          <x14:cfRule type="iconSet" priority="52" id="{4F84AFDD-1E9D-48E0-8B84-8DD7C11E8A8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L32 L35 L45 L50 L53 L59 L62 L65 L70</xm:sqref>
        </x14:conditionalFormatting>
        <x14:conditionalFormatting xmlns:xm="http://schemas.microsoft.com/office/excel/2006/main">
          <x14:cfRule type="iconSet" priority="51" id="{A23207FB-D8A8-404A-8139-460C2DE6C8A2}">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M32 M35 M45 M50 M53 M59 M62 M65 M70</xm:sqref>
        </x14:conditionalFormatting>
        <x14:conditionalFormatting xmlns:xm="http://schemas.microsoft.com/office/excel/2006/main">
          <x14:cfRule type="iconSet" priority="50" id="{E467DE55-8F23-4795-B100-BA3CD290BFB9}">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N32 N45 N35 N50 N53 N59 N62 N65 N70</xm:sqref>
        </x14:conditionalFormatting>
        <x14:conditionalFormatting xmlns:xm="http://schemas.microsoft.com/office/excel/2006/main">
          <x14:cfRule type="iconSet" priority="49" id="{B648ED9E-9802-4B2D-9B42-865A59ED113A}">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O32 O45 O35 O50 O53 O59 O62 O65 O70</xm:sqref>
        </x14:conditionalFormatting>
        <x14:conditionalFormatting xmlns:xm="http://schemas.microsoft.com/office/excel/2006/main">
          <x14:cfRule type="iconSet" priority="48" id="{0CFE92AB-FC42-46EE-8E81-D0962D826C76}">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P32 P45 P70 P35 P50 P53 P59 P62 P65</xm:sqref>
        </x14:conditionalFormatting>
        <x14:conditionalFormatting xmlns:xm="http://schemas.microsoft.com/office/excel/2006/main">
          <x14:cfRule type="iconSet" priority="47" id="{3D355EA8-DC08-4B39-9EDE-DB2F93F19381}">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Q32 Q35 Q45 Q50 Q53 Q59 Q62 Q65 Q70</xm:sqref>
        </x14:conditionalFormatting>
        <x14:conditionalFormatting xmlns:xm="http://schemas.microsoft.com/office/excel/2006/main">
          <x14:cfRule type="iconSet" priority="46" id="{CF3EA02C-EA92-42FF-9711-D849EBC2DDD6}">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R32 R35 R45 R50 R53 R59 R62 R65 R70</xm:sqref>
        </x14:conditionalFormatting>
        <x14:conditionalFormatting xmlns:xm="http://schemas.microsoft.com/office/excel/2006/main">
          <x14:cfRule type="iconSet" priority="45" id="{9666675E-B943-419A-952B-03809F34697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S32 S35 S45 S50 S53 S59 S62 S65 S70</xm:sqref>
        </x14:conditionalFormatting>
        <x14:conditionalFormatting xmlns:xm="http://schemas.microsoft.com/office/excel/2006/main">
          <x14:cfRule type="iconSet" priority="44" id="{E0B60C63-6DE7-4BD2-8EC8-FEB7A4E33F01}">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T32 T35 T45 T50 T53 T59 T62 T65 T70</xm:sqref>
        </x14:conditionalFormatting>
        <x14:conditionalFormatting xmlns:xm="http://schemas.microsoft.com/office/excel/2006/main">
          <x14:cfRule type="iconSet" priority="43" id="{A2CD4326-ADF1-4BE9-BFFF-205B732F2BE8}">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U32 U35 U45 U50 U53 U59 U62 U65 U70</xm:sqref>
        </x14:conditionalFormatting>
        <x14:conditionalFormatting xmlns:xm="http://schemas.microsoft.com/office/excel/2006/main">
          <x14:cfRule type="iconSet" priority="42" id="{A95EEB44-25E4-4E8D-841F-D076917C81D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V32 V35 V45 V50 V53 V59 V62 V65 V70</xm:sqref>
        </x14:conditionalFormatting>
        <x14:conditionalFormatting xmlns:xm="http://schemas.microsoft.com/office/excel/2006/main">
          <x14:cfRule type="iconSet" priority="41" id="{D0C04894-7AA7-402D-A116-8EF39EF47A12}">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W32 W35 W45 W50 W53 W59 W62 W65 W70</xm:sqref>
        </x14:conditionalFormatting>
        <x14:conditionalFormatting xmlns:xm="http://schemas.microsoft.com/office/excel/2006/main">
          <x14:cfRule type="iconSet" priority="40" id="{AB58C2FE-3C7F-4C18-9B35-01B3A5A2F782}">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X32 X35 X45 X50 X53 X59 X62 X65 X70</xm:sqref>
        </x14:conditionalFormatting>
        <x14:conditionalFormatting xmlns:xm="http://schemas.microsoft.com/office/excel/2006/main">
          <x14:cfRule type="iconSet" priority="39" id="{0DE99E08-6C7B-4D23-A4F9-EE3911A64B4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Y32 Y35 Y45 Y50 Y53 Y59 Y62 Y65 Y70</xm:sqref>
        </x14:conditionalFormatting>
        <x14:conditionalFormatting xmlns:xm="http://schemas.microsoft.com/office/excel/2006/main">
          <x14:cfRule type="iconSet" priority="38" id="{C05CAB49-1D53-40D4-AD2A-23490E314A23}">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Z32 Z35 Z45 Z50 Z53 Z59 Z62 Z65 Z70</xm:sqref>
        </x14:conditionalFormatting>
        <x14:conditionalFormatting xmlns:xm="http://schemas.microsoft.com/office/excel/2006/main">
          <x14:cfRule type="iconSet" priority="36" id="{638A9C45-B9AF-437A-B99A-03430AD27B16}">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AA32</xm:sqref>
        </x14:conditionalFormatting>
        <x14:conditionalFormatting xmlns:xm="http://schemas.microsoft.com/office/excel/2006/main">
          <x14:cfRule type="iconSet" priority="37" id="{C699129B-771C-4B21-AD19-393FD13EF177}">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AA35 AA45 AA50 AA53 AA59 AA62 AA65 AA70</xm:sqref>
        </x14:conditionalFormatting>
        <x14:conditionalFormatting xmlns:xm="http://schemas.microsoft.com/office/excel/2006/main">
          <x14:cfRule type="iconSet" priority="35" id="{D714FE74-27F7-46D0-AF74-85449EACB7D9}">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AB32 AB35 AB45 AB50 AB53 AB59 AB62 AB65 AB70</xm:sqref>
        </x14:conditionalFormatting>
        <x14:conditionalFormatting xmlns:xm="http://schemas.microsoft.com/office/excel/2006/main">
          <x14:cfRule type="iconSet" priority="34" id="{CA2E9235-2163-4B56-BA12-60D640482C1F}">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AC32 AC45 AC35 AC50 AC53 AC59 AC62 AC65 AC70</xm:sqref>
        </x14:conditionalFormatting>
        <x14:conditionalFormatting xmlns:xm="http://schemas.microsoft.com/office/excel/2006/main">
          <x14:cfRule type="iconSet" priority="25" id="{6E3873AC-B06B-4423-A642-8B651A42AB93}">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AD32:AE32 AD65:AE65 AD35:AE35 AD45:AE45 AD50:AE50 AD53:AE53 AD59:AE59 AD62:AE62 AD70:AE70</xm:sqref>
        </x14:conditionalFormatting>
        <x14:conditionalFormatting xmlns:xm="http://schemas.microsoft.com/office/excel/2006/main">
          <x14:cfRule type="iconSet" priority="24" id="{01D02445-DA18-43ED-9CAF-68253B20E55A}">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AF32 AF65 AF35 AF45 AF50 AF53 AF59 AF62 AF70</xm:sqref>
        </x14:conditionalFormatting>
        <x14:conditionalFormatting xmlns:xm="http://schemas.microsoft.com/office/excel/2006/main">
          <x14:cfRule type="iconSet" priority="23" id="{BF02600F-832B-4515-9209-0022E87BD9AA}">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AG32 AG35 AG45 AG50 AG53 AG59 AG62 AG65 AG70</xm:sqref>
        </x14:conditionalFormatting>
        <x14:conditionalFormatting xmlns:xm="http://schemas.microsoft.com/office/excel/2006/main">
          <x14:cfRule type="iconSet" priority="22" id="{962C2394-35E8-43A4-BA3B-336418D0CD69}">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AH32 AH35 AH45 AH50 AH53 AH59 AH62 AH65 AH70</xm:sqref>
        </x14:conditionalFormatting>
        <x14:conditionalFormatting xmlns:xm="http://schemas.microsoft.com/office/excel/2006/main">
          <x14:cfRule type="iconSet" priority="21" id="{BB35DDCB-226B-409D-BDBF-6F6998C916C3}">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AI32 AI35 AI45 AI50 AI53 AI59 AI62 AI65 AI70</xm:sqref>
        </x14:conditionalFormatting>
        <x14:conditionalFormatting xmlns:xm="http://schemas.microsoft.com/office/excel/2006/main">
          <x14:cfRule type="iconSet" priority="20" id="{0B818411-D621-4963-8FCD-D8F12218399D}">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AJ32 AJ35 AJ45 AJ50 AJ53 AJ59 AJ62 AJ65 AJ70</xm:sqref>
        </x14:conditionalFormatting>
        <x14:conditionalFormatting xmlns:xm="http://schemas.microsoft.com/office/excel/2006/main">
          <x14:cfRule type="iconSet" priority="18" id="{CA088EE6-512E-4493-9B52-09E6AB1C1766}">
            <x14:iconSet iconSet="4RedToBlack" custom="1">
              <x14:cfvo type="percent">
                <xm:f>0</xm:f>
              </x14:cfvo>
              <x14:cfvo type="num">
                <xm:f>1</xm:f>
              </x14:cfvo>
              <x14:cfvo type="num">
                <xm:f>2</xm:f>
              </x14:cfvo>
              <x14:cfvo type="num">
                <xm:f>3</xm:f>
              </x14:cfvo>
              <x14:cfIcon iconSet="5Quarters" iconId="0"/>
              <x14:cfIcon iconSet="4RedToBlack" iconId="3"/>
              <x14:cfIcon iconSet="5Quarters" iconId="2"/>
              <x14:cfIcon iconSet="3TrafficLights1" iconId="2"/>
            </x14:iconSet>
          </x14:cfRule>
          <xm:sqref>AK32 AK35 AK45 AK50 AK53 AK59 AK62 AK65 AK70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D4E7-AD2D-4E16-9ACD-74BC3233FF38}">
  <sheetPr codeName="Planilha15">
    <pageSetUpPr fitToPage="1"/>
  </sheetPr>
  <dimension ref="A1:XFC95"/>
  <sheetViews>
    <sheetView showGridLines="0" showRowColHeaders="0" showRuler="0" zoomScale="110" zoomScaleNormal="110" workbookViewId="0">
      <pane ySplit="2" topLeftCell="A3" activePane="bottomLeft" state="frozen"/>
      <selection pane="bottomLeft"/>
    </sheetView>
  </sheetViews>
  <sheetFormatPr defaultColWidth="8.77734375" defaultRowHeight="14.4" x14ac:dyDescent="0.3"/>
  <cols>
    <col min="1" max="1" width="8.77734375" customWidth="1"/>
    <col min="2" max="2" width="18.5546875" customWidth="1"/>
    <col min="3" max="3" width="70.5546875" customWidth="1"/>
    <col min="4" max="4" width="30.5546875" customWidth="1"/>
    <col min="5" max="5" width="8.77734375" customWidth="1"/>
    <col min="6" max="10" width="8.77734375" hidden="1" customWidth="1"/>
    <col min="11" max="16383" width="0" hidden="1" customWidth="1"/>
    <col min="16384" max="16384" width="7" hidden="1" customWidth="1"/>
  </cols>
  <sheetData>
    <row r="1" spans="1:5" ht="14.1" customHeight="1" x14ac:dyDescent="0.3">
      <c r="A1" s="446"/>
      <c r="C1" s="4"/>
      <c r="D1" s="19"/>
      <c r="E1" s="19"/>
    </row>
    <row r="2" spans="1:5" s="421" customFormat="1" ht="14.1" customHeight="1" x14ac:dyDescent="0.3">
      <c r="A2" s="447"/>
      <c r="C2" s="422"/>
      <c r="D2" s="423"/>
      <c r="E2" s="423"/>
    </row>
    <row r="3" spans="1:5" ht="14.55" customHeight="1" x14ac:dyDescent="0.3">
      <c r="C3" s="4"/>
      <c r="D3" s="19"/>
      <c r="E3" s="19"/>
    </row>
    <row r="4" spans="1:5" ht="14.55" customHeight="1" x14ac:dyDescent="0.3">
      <c r="C4" s="4"/>
      <c r="D4" s="9" t="s">
        <v>0</v>
      </c>
      <c r="E4" s="9"/>
    </row>
    <row r="5" spans="1:5" ht="14.55" customHeight="1" x14ac:dyDescent="0.3">
      <c r="C5" s="4"/>
      <c r="D5" s="19"/>
      <c r="E5" s="19"/>
    </row>
    <row r="6" spans="1:5" x14ac:dyDescent="0.3">
      <c r="C6" s="4"/>
      <c r="D6" s="19"/>
      <c r="E6" s="19"/>
    </row>
    <row r="7" spans="1:5" x14ac:dyDescent="0.3">
      <c r="C7" s="4"/>
      <c r="D7" s="19"/>
      <c r="E7" s="19"/>
    </row>
    <row r="8" spans="1:5" ht="21" x14ac:dyDescent="0.4">
      <c r="B8" s="441" t="s">
        <v>2220</v>
      </c>
      <c r="C8" s="18"/>
      <c r="D8" s="20"/>
      <c r="E8" s="20"/>
    </row>
    <row r="9" spans="1:5" ht="21" x14ac:dyDescent="0.4">
      <c r="B9" s="6"/>
      <c r="C9" s="18"/>
      <c r="D9" s="20"/>
      <c r="E9" s="20"/>
    </row>
    <row r="10" spans="1:5" ht="12" customHeight="1" thickBot="1" x14ac:dyDescent="0.35">
      <c r="B10" s="26" t="s">
        <v>323</v>
      </c>
      <c r="C10" s="26" t="s">
        <v>324</v>
      </c>
      <c r="D10" s="27" t="s">
        <v>325</v>
      </c>
      <c r="E10" s="42"/>
    </row>
    <row r="11" spans="1:5" ht="20.100000000000001" customHeight="1" thickTop="1" x14ac:dyDescent="0.3">
      <c r="B11" s="57" t="s">
        <v>1743</v>
      </c>
      <c r="C11" s="11" t="s">
        <v>1744</v>
      </c>
      <c r="D11" s="369" t="s">
        <v>25</v>
      </c>
      <c r="E11" s="42"/>
    </row>
    <row r="12" spans="1:5" ht="20.100000000000001" customHeight="1" x14ac:dyDescent="0.3">
      <c r="B12" s="182" t="s">
        <v>1745</v>
      </c>
      <c r="C12" s="11" t="s">
        <v>1746</v>
      </c>
      <c r="D12" s="369" t="s">
        <v>25</v>
      </c>
      <c r="E12" s="42"/>
    </row>
    <row r="13" spans="1:5" ht="20.100000000000001" customHeight="1" x14ac:dyDescent="0.3">
      <c r="B13" s="181" t="s">
        <v>339</v>
      </c>
      <c r="C13" s="11" t="s">
        <v>340</v>
      </c>
      <c r="D13" s="369" t="s">
        <v>20</v>
      </c>
      <c r="E13" s="42"/>
    </row>
    <row r="14" spans="1:5" ht="20.100000000000001" customHeight="1" x14ac:dyDescent="0.3">
      <c r="B14" s="11" t="s">
        <v>219</v>
      </c>
      <c r="C14" s="11" t="s">
        <v>220</v>
      </c>
      <c r="D14" s="369" t="s">
        <v>20</v>
      </c>
      <c r="E14" s="43"/>
    </row>
    <row r="15" spans="1:5" ht="20.100000000000001" customHeight="1" x14ac:dyDescent="0.3">
      <c r="B15" s="11" t="s">
        <v>190</v>
      </c>
      <c r="C15" s="11" t="s">
        <v>191</v>
      </c>
      <c r="D15" s="369" t="s">
        <v>20</v>
      </c>
      <c r="E15" s="43"/>
    </row>
    <row r="16" spans="1:5" ht="20.100000000000001" customHeight="1" x14ac:dyDescent="0.3">
      <c r="B16" s="11" t="s">
        <v>252</v>
      </c>
      <c r="C16" s="11" t="s">
        <v>253</v>
      </c>
      <c r="D16" s="369" t="s">
        <v>20</v>
      </c>
      <c r="E16" s="43"/>
    </row>
    <row r="17" spans="2:5" ht="20.100000000000001" customHeight="1" x14ac:dyDescent="0.3">
      <c r="B17" s="11" t="s">
        <v>221</v>
      </c>
      <c r="C17" s="11" t="s">
        <v>222</v>
      </c>
      <c r="D17" s="369" t="s">
        <v>20</v>
      </c>
      <c r="E17" s="43"/>
    </row>
    <row r="18" spans="2:5" ht="20.100000000000001" customHeight="1" x14ac:dyDescent="0.3">
      <c r="B18" s="11" t="s">
        <v>326</v>
      </c>
      <c r="C18" s="11" t="s">
        <v>327</v>
      </c>
      <c r="D18" s="369" t="s">
        <v>20</v>
      </c>
      <c r="E18" s="43"/>
    </row>
    <row r="19" spans="2:5" ht="20.100000000000001" customHeight="1" x14ac:dyDescent="0.3">
      <c r="B19" s="11" t="s">
        <v>328</v>
      </c>
      <c r="C19" s="11" t="s">
        <v>329</v>
      </c>
      <c r="D19" s="369" t="s">
        <v>20</v>
      </c>
      <c r="E19" s="43"/>
    </row>
    <row r="20" spans="2:5" ht="20.100000000000001" customHeight="1" x14ac:dyDescent="0.3">
      <c r="B20" s="11" t="s">
        <v>303</v>
      </c>
      <c r="C20" s="11" t="s">
        <v>330</v>
      </c>
      <c r="D20" s="369" t="s">
        <v>20</v>
      </c>
      <c r="E20" s="43"/>
    </row>
    <row r="21" spans="2:5" ht="20.100000000000001" customHeight="1" x14ac:dyDescent="0.3">
      <c r="B21" s="11" t="s">
        <v>305</v>
      </c>
      <c r="C21" s="11" t="s">
        <v>306</v>
      </c>
      <c r="D21" s="369" t="s">
        <v>20</v>
      </c>
      <c r="E21" s="43"/>
    </row>
    <row r="22" spans="2:5" ht="20.100000000000001" customHeight="1" x14ac:dyDescent="0.3">
      <c r="B22" s="11" t="s">
        <v>331</v>
      </c>
      <c r="C22" s="11" t="s">
        <v>332</v>
      </c>
      <c r="D22" s="369" t="s">
        <v>20</v>
      </c>
      <c r="E22" s="43"/>
    </row>
    <row r="23" spans="2:5" ht="20.100000000000001" customHeight="1" x14ac:dyDescent="0.3">
      <c r="B23" s="11" t="s">
        <v>223</v>
      </c>
      <c r="C23" s="11" t="s">
        <v>224</v>
      </c>
      <c r="D23" s="369" t="s">
        <v>20</v>
      </c>
      <c r="E23" s="43"/>
    </row>
    <row r="24" spans="2:5" ht="20.100000000000001" customHeight="1" x14ac:dyDescent="0.3">
      <c r="B24" s="11" t="s">
        <v>225</v>
      </c>
      <c r="C24" s="11" t="s">
        <v>226</v>
      </c>
      <c r="D24" s="369" t="s">
        <v>20</v>
      </c>
      <c r="E24" s="43"/>
    </row>
    <row r="25" spans="2:5" ht="20.100000000000001" customHeight="1" x14ac:dyDescent="0.3">
      <c r="B25" s="11" t="s">
        <v>227</v>
      </c>
      <c r="C25" s="11" t="s">
        <v>228</v>
      </c>
      <c r="D25" s="369" t="s">
        <v>20</v>
      </c>
      <c r="E25" s="43"/>
    </row>
    <row r="26" spans="2:5" ht="20.100000000000001" customHeight="1" x14ac:dyDescent="0.3">
      <c r="B26" s="11" t="s">
        <v>229</v>
      </c>
      <c r="C26" s="11" t="s">
        <v>230</v>
      </c>
      <c r="D26" s="369" t="s">
        <v>20</v>
      </c>
      <c r="E26" s="43"/>
    </row>
    <row r="27" spans="2:5" ht="20.100000000000001" customHeight="1" x14ac:dyDescent="0.3">
      <c r="B27" s="11" t="s">
        <v>333</v>
      </c>
      <c r="C27" s="11" t="s">
        <v>334</v>
      </c>
      <c r="D27" s="369" t="s">
        <v>20</v>
      </c>
      <c r="E27" s="43"/>
    </row>
    <row r="28" spans="2:5" ht="20.100000000000001" customHeight="1" x14ac:dyDescent="0.3">
      <c r="B28" s="11" t="s">
        <v>335</v>
      </c>
      <c r="C28" s="11" t="s">
        <v>336</v>
      </c>
      <c r="D28" s="369" t="s">
        <v>20</v>
      </c>
      <c r="E28" s="43"/>
    </row>
    <row r="29" spans="2:5" ht="20.100000000000001" customHeight="1" x14ac:dyDescent="0.3">
      <c r="B29" s="11" t="s">
        <v>337</v>
      </c>
      <c r="C29" s="11" t="s">
        <v>338</v>
      </c>
      <c r="D29" s="369" t="s">
        <v>20</v>
      </c>
      <c r="E29" s="43"/>
    </row>
    <row r="30" spans="2:5" ht="20.100000000000001" customHeight="1" x14ac:dyDescent="0.3">
      <c r="B30" s="11" t="s">
        <v>192</v>
      </c>
      <c r="C30" s="11" t="s">
        <v>193</v>
      </c>
      <c r="D30" s="369" t="s">
        <v>125</v>
      </c>
      <c r="E30" s="44"/>
    </row>
    <row r="31" spans="2:5" ht="20.100000000000001" customHeight="1" x14ac:dyDescent="0.3">
      <c r="B31" s="11" t="s">
        <v>194</v>
      </c>
      <c r="C31" s="11" t="s">
        <v>195</v>
      </c>
      <c r="D31" s="369" t="s">
        <v>125</v>
      </c>
      <c r="E31" s="43"/>
    </row>
    <row r="32" spans="2:5" ht="20.100000000000001" customHeight="1" x14ac:dyDescent="0.3">
      <c r="B32" s="11" t="s">
        <v>196</v>
      </c>
      <c r="C32" s="11" t="s">
        <v>197</v>
      </c>
      <c r="D32" s="369" t="s">
        <v>125</v>
      </c>
      <c r="E32" s="43"/>
    </row>
    <row r="33" spans="2:5" ht="20.100000000000001" customHeight="1" x14ac:dyDescent="0.3">
      <c r="B33" s="11" t="s">
        <v>198</v>
      </c>
      <c r="C33" s="11" t="s">
        <v>199</v>
      </c>
      <c r="D33" s="369" t="s">
        <v>125</v>
      </c>
      <c r="E33" s="43"/>
    </row>
    <row r="34" spans="2:5" ht="20.100000000000001" customHeight="1" x14ac:dyDescent="0.3">
      <c r="B34" s="11" t="s">
        <v>166</v>
      </c>
      <c r="C34" s="11" t="s">
        <v>167</v>
      </c>
      <c r="D34" s="369" t="s">
        <v>125</v>
      </c>
      <c r="E34" s="43"/>
    </row>
    <row r="35" spans="2:5" ht="20.100000000000001" customHeight="1" x14ac:dyDescent="0.3">
      <c r="B35" s="11" t="s">
        <v>168</v>
      </c>
      <c r="C35" s="11" t="s">
        <v>169</v>
      </c>
      <c r="D35" s="369" t="s">
        <v>125</v>
      </c>
      <c r="E35" s="43"/>
    </row>
    <row r="36" spans="2:5" ht="20.100000000000001" customHeight="1" x14ac:dyDescent="0.3">
      <c r="B36" s="11" t="s">
        <v>170</v>
      </c>
      <c r="C36" s="11" t="s">
        <v>171</v>
      </c>
      <c r="D36" s="369" t="s">
        <v>125</v>
      </c>
      <c r="E36" s="43"/>
    </row>
    <row r="37" spans="2:5" ht="20.100000000000001" customHeight="1" x14ac:dyDescent="0.3">
      <c r="B37" s="11" t="s">
        <v>172</v>
      </c>
      <c r="C37" s="11" t="s">
        <v>173</v>
      </c>
      <c r="D37" s="369" t="s">
        <v>125</v>
      </c>
      <c r="E37" s="43"/>
    </row>
    <row r="38" spans="2:5" ht="20.100000000000001" customHeight="1" x14ac:dyDescent="0.3">
      <c r="B38" s="11" t="s">
        <v>174</v>
      </c>
      <c r="C38" s="11" t="s">
        <v>175</v>
      </c>
      <c r="D38" s="369" t="s">
        <v>125</v>
      </c>
      <c r="E38" s="43"/>
    </row>
    <row r="39" spans="2:5" ht="30" customHeight="1" x14ac:dyDescent="0.3">
      <c r="B39" s="11" t="s">
        <v>147</v>
      </c>
      <c r="C39" s="11" t="s">
        <v>148</v>
      </c>
      <c r="D39" s="369" t="s">
        <v>125</v>
      </c>
      <c r="E39" s="43"/>
    </row>
    <row r="40" spans="2:5" ht="20.100000000000001" customHeight="1" x14ac:dyDescent="0.3">
      <c r="B40" s="11" t="s">
        <v>149</v>
      </c>
      <c r="C40" s="11" t="s">
        <v>150</v>
      </c>
      <c r="D40" s="369" t="s">
        <v>125</v>
      </c>
      <c r="E40" s="43"/>
    </row>
    <row r="41" spans="2:5" ht="20.100000000000001" customHeight="1" x14ac:dyDescent="0.3">
      <c r="B41" s="11" t="s">
        <v>151</v>
      </c>
      <c r="C41" s="11" t="s">
        <v>152</v>
      </c>
      <c r="D41" s="369" t="s">
        <v>125</v>
      </c>
      <c r="E41" s="43"/>
    </row>
    <row r="42" spans="2:5" ht="20.100000000000001" customHeight="1" x14ac:dyDescent="0.3">
      <c r="B42" s="11" t="s">
        <v>153</v>
      </c>
      <c r="C42" s="11" t="s">
        <v>154</v>
      </c>
      <c r="D42" s="369" t="s">
        <v>125</v>
      </c>
      <c r="E42" s="43"/>
    </row>
    <row r="43" spans="2:5" ht="20.100000000000001" customHeight="1" x14ac:dyDescent="0.3">
      <c r="B43" s="11" t="s">
        <v>200</v>
      </c>
      <c r="C43" s="11" t="s">
        <v>201</v>
      </c>
      <c r="D43" s="369" t="s">
        <v>125</v>
      </c>
      <c r="E43" s="43"/>
    </row>
    <row r="44" spans="2:5" ht="20.100000000000001" customHeight="1" x14ac:dyDescent="0.3">
      <c r="B44" s="11" t="s">
        <v>202</v>
      </c>
      <c r="C44" s="11" t="s">
        <v>203</v>
      </c>
      <c r="D44" s="369" t="s">
        <v>125</v>
      </c>
      <c r="E44" s="43"/>
    </row>
    <row r="45" spans="2:5" ht="20.100000000000001" customHeight="1" x14ac:dyDescent="0.3">
      <c r="B45" s="11" t="s">
        <v>204</v>
      </c>
      <c r="C45" s="11" t="s">
        <v>205</v>
      </c>
      <c r="D45" s="369" t="s">
        <v>125</v>
      </c>
      <c r="E45" s="43"/>
    </row>
    <row r="46" spans="2:5" ht="20.100000000000001" customHeight="1" x14ac:dyDescent="0.3">
      <c r="B46" s="11" t="s">
        <v>206</v>
      </c>
      <c r="C46" s="11" t="s">
        <v>207</v>
      </c>
      <c r="D46" s="369" t="s">
        <v>125</v>
      </c>
      <c r="E46" s="43"/>
    </row>
    <row r="47" spans="2:5" ht="20.100000000000001" customHeight="1" x14ac:dyDescent="0.3">
      <c r="B47" s="11" t="s">
        <v>208</v>
      </c>
      <c r="C47" s="11" t="s">
        <v>209</v>
      </c>
      <c r="D47" s="369" t="s">
        <v>125</v>
      </c>
      <c r="E47" s="43"/>
    </row>
    <row r="48" spans="2:5" ht="20.100000000000001" customHeight="1" x14ac:dyDescent="0.3">
      <c r="B48" s="11" t="s">
        <v>176</v>
      </c>
      <c r="C48" s="11" t="s">
        <v>177</v>
      </c>
      <c r="D48" s="369" t="s">
        <v>125</v>
      </c>
      <c r="E48" s="43"/>
    </row>
    <row r="49" spans="2:5" ht="20.100000000000001" customHeight="1" x14ac:dyDescent="0.3">
      <c r="B49" s="11" t="s">
        <v>178</v>
      </c>
      <c r="C49" s="11" t="s">
        <v>179</v>
      </c>
      <c r="D49" s="369" t="s">
        <v>125</v>
      </c>
      <c r="E49" s="43"/>
    </row>
    <row r="50" spans="2:5" ht="20.100000000000001" customHeight="1" x14ac:dyDescent="0.3">
      <c r="B50" s="11" t="s">
        <v>822</v>
      </c>
      <c r="C50" s="11" t="s">
        <v>823</v>
      </c>
      <c r="D50" s="369" t="s">
        <v>125</v>
      </c>
      <c r="E50" s="43"/>
    </row>
    <row r="51" spans="2:5" ht="20.100000000000001" customHeight="1" x14ac:dyDescent="0.3">
      <c r="B51" s="11" t="s">
        <v>824</v>
      </c>
      <c r="C51" s="11" t="s">
        <v>825</v>
      </c>
      <c r="D51" s="369" t="s">
        <v>125</v>
      </c>
      <c r="E51" s="43"/>
    </row>
    <row r="52" spans="2:5" ht="20.100000000000001" customHeight="1" x14ac:dyDescent="0.3">
      <c r="B52" s="11" t="s">
        <v>826</v>
      </c>
      <c r="C52" s="11" t="s">
        <v>827</v>
      </c>
      <c r="D52" s="369" t="s">
        <v>125</v>
      </c>
      <c r="E52" s="43"/>
    </row>
    <row r="53" spans="2:5" ht="20.100000000000001" customHeight="1" x14ac:dyDescent="0.3">
      <c r="B53" s="11" t="s">
        <v>828</v>
      </c>
      <c r="C53" s="11" t="s">
        <v>829</v>
      </c>
      <c r="D53" s="369" t="s">
        <v>125</v>
      </c>
      <c r="E53" s="43"/>
    </row>
    <row r="54" spans="2:5" ht="20.100000000000001" customHeight="1" x14ac:dyDescent="0.3">
      <c r="B54" s="11" t="s">
        <v>830</v>
      </c>
      <c r="C54" s="11" t="s">
        <v>831</v>
      </c>
      <c r="D54" s="369" t="s">
        <v>125</v>
      </c>
      <c r="E54" s="43"/>
    </row>
    <row r="55" spans="2:5" ht="20.100000000000001" customHeight="1" x14ac:dyDescent="0.3">
      <c r="B55" s="11" t="s">
        <v>832</v>
      </c>
      <c r="C55" s="11" t="s">
        <v>833</v>
      </c>
      <c r="D55" s="369" t="s">
        <v>125</v>
      </c>
      <c r="E55" s="43"/>
    </row>
    <row r="56" spans="2:5" ht="20.100000000000001" customHeight="1" x14ac:dyDescent="0.3">
      <c r="B56" s="11" t="s">
        <v>834</v>
      </c>
      <c r="C56" s="11" t="s">
        <v>835</v>
      </c>
      <c r="D56" s="369" t="s">
        <v>125</v>
      </c>
      <c r="E56" s="43"/>
    </row>
    <row r="57" spans="2:5" ht="20.100000000000001" customHeight="1" x14ac:dyDescent="0.3">
      <c r="B57" s="11" t="s">
        <v>254</v>
      </c>
      <c r="C57" s="11" t="s">
        <v>255</v>
      </c>
      <c r="D57" s="369" t="s">
        <v>25</v>
      </c>
      <c r="E57" s="43"/>
    </row>
    <row r="58" spans="2:5" ht="23.55" customHeight="1" x14ac:dyDescent="0.3">
      <c r="B58" s="11" t="s">
        <v>256</v>
      </c>
      <c r="C58" s="11" t="s">
        <v>257</v>
      </c>
      <c r="D58" s="369" t="s">
        <v>25</v>
      </c>
      <c r="E58" s="43"/>
    </row>
    <row r="59" spans="2:5" ht="20.100000000000001" customHeight="1" x14ac:dyDescent="0.3">
      <c r="B59" s="11" t="s">
        <v>258</v>
      </c>
      <c r="C59" s="11" t="s">
        <v>259</v>
      </c>
      <c r="D59" s="369" t="s">
        <v>25</v>
      </c>
      <c r="E59" s="43"/>
    </row>
    <row r="60" spans="2:5" ht="20.100000000000001" customHeight="1" x14ac:dyDescent="0.3">
      <c r="B60" s="11" t="s">
        <v>1747</v>
      </c>
      <c r="C60" s="11" t="s">
        <v>1748</v>
      </c>
      <c r="D60" s="369" t="s">
        <v>25</v>
      </c>
      <c r="E60" s="43"/>
    </row>
    <row r="61" spans="2:5" ht="20.100000000000001" customHeight="1" x14ac:dyDescent="0.3">
      <c r="B61" s="11" t="s">
        <v>279</v>
      </c>
      <c r="C61" s="11" t="s">
        <v>280</v>
      </c>
      <c r="D61" s="369" t="s">
        <v>25</v>
      </c>
      <c r="E61" s="43"/>
    </row>
    <row r="62" spans="2:5" ht="20.100000000000001" customHeight="1" x14ac:dyDescent="0.3">
      <c r="B62" s="11" t="s">
        <v>281</v>
      </c>
      <c r="C62" s="11" t="s">
        <v>282</v>
      </c>
      <c r="D62" s="369" t="s">
        <v>25</v>
      </c>
      <c r="E62" s="43"/>
    </row>
    <row r="63" spans="2:5" ht="20.100000000000001" customHeight="1" x14ac:dyDescent="0.3">
      <c r="B63" s="11" t="s">
        <v>283</v>
      </c>
      <c r="C63" s="11" t="s">
        <v>284</v>
      </c>
      <c r="D63" s="369" t="s">
        <v>25</v>
      </c>
      <c r="E63" s="43"/>
    </row>
    <row r="64" spans="2:5" ht="20.100000000000001" customHeight="1" x14ac:dyDescent="0.3">
      <c r="B64" s="11" t="s">
        <v>285</v>
      </c>
      <c r="C64" s="11" t="s">
        <v>286</v>
      </c>
      <c r="D64" s="369" t="s">
        <v>25</v>
      </c>
      <c r="E64" s="43"/>
    </row>
    <row r="65" spans="2:5" ht="20.100000000000001" customHeight="1" x14ac:dyDescent="0.3">
      <c r="B65" s="11" t="s">
        <v>287</v>
      </c>
      <c r="C65" s="11" t="s">
        <v>288</v>
      </c>
      <c r="D65" s="369" t="s">
        <v>25</v>
      </c>
      <c r="E65" s="43"/>
    </row>
    <row r="66" spans="2:5" ht="20.100000000000001" customHeight="1" x14ac:dyDescent="0.3">
      <c r="B66" s="11" t="s">
        <v>289</v>
      </c>
      <c r="C66" s="11" t="s">
        <v>290</v>
      </c>
      <c r="D66" s="369" t="s">
        <v>25</v>
      </c>
      <c r="E66" s="43"/>
    </row>
    <row r="67" spans="2:5" ht="22.8" x14ac:dyDescent="0.3">
      <c r="B67" s="11" t="s">
        <v>291</v>
      </c>
      <c r="C67" s="11" t="s">
        <v>292</v>
      </c>
      <c r="D67" s="369" t="s">
        <v>25</v>
      </c>
      <c r="E67" s="43"/>
    </row>
    <row r="68" spans="2:5" ht="20.100000000000001" customHeight="1" x14ac:dyDescent="0.3">
      <c r="B68" s="11" t="s">
        <v>293</v>
      </c>
      <c r="C68" s="11" t="s">
        <v>294</v>
      </c>
      <c r="D68" s="369" t="s">
        <v>25</v>
      </c>
      <c r="E68" s="43"/>
    </row>
    <row r="69" spans="2:5" ht="20.100000000000001" customHeight="1" x14ac:dyDescent="0.3">
      <c r="B69" s="11" t="s">
        <v>295</v>
      </c>
      <c r="C69" s="11" t="s">
        <v>296</v>
      </c>
      <c r="D69" s="369" t="s">
        <v>25</v>
      </c>
      <c r="E69" s="43"/>
    </row>
    <row r="70" spans="2:5" ht="20.100000000000001" customHeight="1" x14ac:dyDescent="0.3">
      <c r="B70" s="11" t="s">
        <v>297</v>
      </c>
      <c r="C70" s="11" t="s">
        <v>298</v>
      </c>
      <c r="D70" s="369" t="s">
        <v>25</v>
      </c>
      <c r="E70" s="43"/>
    </row>
    <row r="71" spans="2:5" ht="20.100000000000001" customHeight="1" x14ac:dyDescent="0.3">
      <c r="B71" s="11" t="s">
        <v>260</v>
      </c>
      <c r="C71" s="11" t="s">
        <v>261</v>
      </c>
      <c r="D71" s="369" t="s">
        <v>25</v>
      </c>
      <c r="E71" s="43"/>
    </row>
    <row r="72" spans="2:5" ht="20.100000000000001" customHeight="1" x14ac:dyDescent="0.3">
      <c r="B72" s="11" t="s">
        <v>262</v>
      </c>
      <c r="C72" s="11" t="s">
        <v>263</v>
      </c>
      <c r="D72" s="369" t="s">
        <v>25</v>
      </c>
      <c r="E72" s="43"/>
    </row>
    <row r="73" spans="2:5" x14ac:dyDescent="0.3">
      <c r="B73" s="11" t="s">
        <v>264</v>
      </c>
      <c r="C73" s="11" t="s">
        <v>265</v>
      </c>
      <c r="D73" s="369" t="s">
        <v>25</v>
      </c>
      <c r="E73" s="43"/>
    </row>
    <row r="74" spans="2:5" ht="20.100000000000001" customHeight="1" x14ac:dyDescent="0.3">
      <c r="B74" s="11" t="s">
        <v>266</v>
      </c>
      <c r="C74" s="11" t="s">
        <v>1749</v>
      </c>
      <c r="D74" s="369" t="s">
        <v>25</v>
      </c>
      <c r="E74" s="43"/>
    </row>
    <row r="75" spans="2:5" ht="20.100000000000001" customHeight="1" x14ac:dyDescent="0.3">
      <c r="B75" s="11" t="s">
        <v>268</v>
      </c>
      <c r="C75" s="11" t="s">
        <v>269</v>
      </c>
      <c r="D75" s="369" t="s">
        <v>25</v>
      </c>
      <c r="E75" s="43"/>
    </row>
    <row r="76" spans="2:5" ht="20.100000000000001" customHeight="1" x14ac:dyDescent="0.3">
      <c r="B76" s="11" t="s">
        <v>270</v>
      </c>
      <c r="C76" s="11" t="s">
        <v>271</v>
      </c>
      <c r="D76" s="369" t="s">
        <v>25</v>
      </c>
      <c r="E76" s="43"/>
    </row>
    <row r="77" spans="2:5" ht="22.8" x14ac:dyDescent="0.3">
      <c r="B77" s="11" t="s">
        <v>272</v>
      </c>
      <c r="C77" s="11" t="s">
        <v>273</v>
      </c>
      <c r="D77" s="369" t="s">
        <v>25</v>
      </c>
      <c r="E77" s="43"/>
    </row>
    <row r="78" spans="2:5" ht="20.100000000000001" customHeight="1" x14ac:dyDescent="0.3">
      <c r="B78" s="11" t="s">
        <v>238</v>
      </c>
      <c r="C78" s="11" t="s">
        <v>239</v>
      </c>
      <c r="D78" s="369" t="s">
        <v>25</v>
      </c>
      <c r="E78" s="43"/>
    </row>
    <row r="79" spans="2:5" ht="20.100000000000001" customHeight="1" x14ac:dyDescent="0.3">
      <c r="B79" s="11" t="s">
        <v>240</v>
      </c>
      <c r="C79" s="11" t="s">
        <v>241</v>
      </c>
      <c r="D79" s="369" t="s">
        <v>25</v>
      </c>
      <c r="E79" s="43"/>
    </row>
    <row r="80" spans="2:5" ht="20.100000000000001" customHeight="1" x14ac:dyDescent="0.3">
      <c r="B80" s="11" t="s">
        <v>242</v>
      </c>
      <c r="C80" s="11" t="s">
        <v>243</v>
      </c>
      <c r="D80" s="369" t="s">
        <v>25</v>
      </c>
      <c r="E80" s="43"/>
    </row>
    <row r="81" spans="2:5" ht="20.100000000000001" customHeight="1" x14ac:dyDescent="0.3">
      <c r="B81" s="11" t="s">
        <v>307</v>
      </c>
      <c r="C81" s="11" t="s">
        <v>308</v>
      </c>
      <c r="D81" s="369" t="s">
        <v>25</v>
      </c>
      <c r="E81" s="43"/>
    </row>
    <row r="82" spans="2:5" ht="22.8" x14ac:dyDescent="0.3">
      <c r="B82" s="11" t="s">
        <v>309</v>
      </c>
      <c r="C82" s="11" t="s">
        <v>310</v>
      </c>
      <c r="D82" s="369" t="s">
        <v>25</v>
      </c>
      <c r="E82" s="43"/>
    </row>
    <row r="83" spans="2:5" ht="20.100000000000001" customHeight="1" x14ac:dyDescent="0.3">
      <c r="B83" s="11" t="s">
        <v>311</v>
      </c>
      <c r="C83" s="11" t="s">
        <v>1750</v>
      </c>
      <c r="D83" s="369" t="s">
        <v>25</v>
      </c>
      <c r="E83" s="43"/>
    </row>
    <row r="84" spans="2:5" ht="20.100000000000001" customHeight="1" x14ac:dyDescent="0.3">
      <c r="B84" s="11" t="s">
        <v>1751</v>
      </c>
      <c r="C84" s="11" t="s">
        <v>1752</v>
      </c>
      <c r="D84" s="369" t="s">
        <v>25</v>
      </c>
      <c r="E84" s="43"/>
    </row>
    <row r="85" spans="2:5" ht="20.100000000000001" customHeight="1" x14ac:dyDescent="0.3">
      <c r="B85" s="11" t="s">
        <v>1753</v>
      </c>
      <c r="C85" s="11" t="s">
        <v>1754</v>
      </c>
      <c r="D85" s="369" t="s">
        <v>25</v>
      </c>
      <c r="E85" s="43"/>
    </row>
    <row r="86" spans="2:5" ht="20.100000000000001" customHeight="1" x14ac:dyDescent="0.3">
      <c r="B86" s="11" t="s">
        <v>1755</v>
      </c>
      <c r="C86" s="11" t="s">
        <v>1756</v>
      </c>
      <c r="D86" s="369" t="s">
        <v>25</v>
      </c>
      <c r="E86" s="43"/>
    </row>
    <row r="87" spans="2:5" ht="29.1" customHeight="1" x14ac:dyDescent="0.3">
      <c r="B87" s="11" t="s">
        <v>155</v>
      </c>
      <c r="C87" s="11" t="s">
        <v>156</v>
      </c>
      <c r="D87" s="369" t="s">
        <v>125</v>
      </c>
      <c r="E87" s="43"/>
    </row>
    <row r="88" spans="2:5" ht="37.5" customHeight="1" x14ac:dyDescent="0.3">
      <c r="B88" s="11" t="s">
        <v>157</v>
      </c>
      <c r="C88" s="11" t="s">
        <v>158</v>
      </c>
      <c r="D88" s="369" t="s">
        <v>125</v>
      </c>
      <c r="E88" s="43"/>
    </row>
    <row r="89" spans="2:5" ht="20.55" customHeight="1" x14ac:dyDescent="0.3">
      <c r="B89" s="11" t="s">
        <v>123</v>
      </c>
      <c r="C89" s="11" t="s">
        <v>124</v>
      </c>
      <c r="D89" s="369" t="s">
        <v>125</v>
      </c>
      <c r="E89" s="43"/>
    </row>
    <row r="90" spans="2:5" ht="36.6" customHeight="1" x14ac:dyDescent="0.3">
      <c r="B90" s="11" t="s">
        <v>1757</v>
      </c>
      <c r="C90" s="11" t="s">
        <v>1758</v>
      </c>
      <c r="D90" s="369" t="s">
        <v>25</v>
      </c>
      <c r="E90" s="43"/>
    </row>
    <row r="91" spans="2:5" ht="42" customHeight="1" x14ac:dyDescent="0.3">
      <c r="B91" s="11" t="s">
        <v>313</v>
      </c>
      <c r="C91" s="11" t="s">
        <v>1759</v>
      </c>
      <c r="D91" s="369" t="s">
        <v>25</v>
      </c>
      <c r="E91" s="43"/>
    </row>
    <row r="92" spans="2:5" ht="49.05" customHeight="1" x14ac:dyDescent="0.3">
      <c r="B92" s="11" t="s">
        <v>315</v>
      </c>
      <c r="C92" s="11" t="s">
        <v>316</v>
      </c>
      <c r="D92" s="369" t="s">
        <v>25</v>
      </c>
      <c r="E92" s="43"/>
    </row>
    <row r="93" spans="2:5" ht="40.049999999999997" customHeight="1" x14ac:dyDescent="0.3">
      <c r="B93" s="11" t="s">
        <v>1760</v>
      </c>
      <c r="C93" s="11" t="s">
        <v>1761</v>
      </c>
      <c r="D93" s="369" t="s">
        <v>25</v>
      </c>
      <c r="E93" s="43"/>
    </row>
    <row r="94" spans="2:5" ht="28.5" customHeight="1" x14ac:dyDescent="0.3">
      <c r="B94" s="11" t="s">
        <v>317</v>
      </c>
      <c r="C94" s="11" t="s">
        <v>318</v>
      </c>
      <c r="D94" s="369" t="s">
        <v>25</v>
      </c>
      <c r="E94" s="43"/>
    </row>
    <row r="95" spans="2:5" ht="20.100000000000001" customHeight="1" x14ac:dyDescent="0.3">
      <c r="B95" s="11" t="s">
        <v>187</v>
      </c>
      <c r="C95" s="11" t="s">
        <v>188</v>
      </c>
      <c r="D95" s="369" t="s">
        <v>125</v>
      </c>
      <c r="E95" s="43"/>
    </row>
  </sheetData>
  <sheetProtection algorithmName="SHA-512" hashValue="nFVPQhuVQOw3CuEZmYMfU48FTnXCC2NrjVhNXWlrXOMMWTIrKz+ZdQaL85jhS7OUYR2nBCwqWGw0g7ezum9hqg==" saltValue="7LciiyLELBxcxpOLbvdhlg==" spinCount="100000" sheet="1" objects="1" autoFilter="0" pivotTables="0"/>
  <hyperlinks>
    <hyperlink ref="D11" location="'Social Data'!A681" display="Social Data" xr:uid="{A3D64B4B-992D-429B-B927-D039C873BD8B}"/>
    <hyperlink ref="D12" location="'Social Data'!A681" display="Social Data" xr:uid="{AB260D64-840C-492B-92D3-F5D9E031E4B1}"/>
    <hyperlink ref="D13" location="'Economic Data'!A11" display="Economic Data" xr:uid="{874033C1-F998-4826-BD8B-46B027B9437A}"/>
    <hyperlink ref="D14" location="'Economic Data'!A287" display="Economic Data" xr:uid="{862708F5-66DA-41FF-93C7-1CA876681F4C}"/>
    <hyperlink ref="D15:D29" location="'Economic Data'!A11" display="Economic Data" xr:uid="{04630820-CC39-419D-8734-9DC63BCD9851}"/>
    <hyperlink ref="D15" location="'Economic Data'!A15" display="Economic Data" xr:uid="{DF33FC34-9155-4D8C-A970-1CD0EC66585E}"/>
    <hyperlink ref="D16" location="'Economic Data'!A41" display="Economic Data" xr:uid="{210E267E-A5B9-4931-8CFD-5FCB4CBE85E3}"/>
    <hyperlink ref="D17" location="'Economic Data'!A55" display="Economic Data" xr:uid="{624FB7C5-CE2E-4C92-BF08-6431BE7870E7}"/>
    <hyperlink ref="D18" location="'Economic Data'!A68" display="Economic Data" xr:uid="{20D8CCF2-594F-4ACC-A7C3-D6F3099AB07E}"/>
    <hyperlink ref="D19" location="'Economic Data'!A81" display="Economic Data" xr:uid="{3015DBF9-5390-486D-91ED-68F50C6C5F12}"/>
    <hyperlink ref="D20" location="'Economic Data'!A93" display="Economic Data" xr:uid="{5C10E487-46B1-4A59-B934-8A53038AA1CA}"/>
    <hyperlink ref="D21" location="'Economic Data'!A105" display="Economic Data" xr:uid="{6C8FEB8A-85C7-4167-BAD0-FC00BAA149E7}"/>
    <hyperlink ref="D22" location="'Economic Data'!A118" display="Economic Data" xr:uid="{1133533C-D958-4105-BD4A-98D7B78A0BD2}"/>
    <hyperlink ref="D23" location="'Economic Data'!A130" display="Economic Data" xr:uid="{AC4FF682-0087-4D27-8B97-C6CF0D9E348D}"/>
    <hyperlink ref="D24" location="'Economic Data'!A143" display="Economic Data" xr:uid="{CFB35238-E7D7-4848-BF57-64CC7A338CCC}"/>
    <hyperlink ref="D25" location="'Economic Data'!A178" display="Economic Data" xr:uid="{382273BA-EB2A-4EEA-BD1F-DCE3D53068CD}"/>
    <hyperlink ref="D26" location="'Economic Data'!A190" display="Economic Data" xr:uid="{5B7C8EB9-CA8D-49A6-9456-FAF0C14E9BD9}"/>
    <hyperlink ref="D27" location="'Economic Data'!A203" display="Economic Data" xr:uid="{B518F6D0-B04A-4EE8-BD0C-CC78BA7284E1}"/>
    <hyperlink ref="D28" location="'Economic Data'!A213" display="Economic Data" xr:uid="{52B56396-11B7-4D6F-96B9-73832020D4A6}"/>
    <hyperlink ref="D29" location="'Economic Data'!A223" display="Economic Data" xr:uid="{EC3C1442-27A2-48C9-A3D8-4C26D6B03414}"/>
    <hyperlink ref="D30" location="'Environmental Data'!A17" display="Environmental data" xr:uid="{593A73FE-D58B-44B4-B203-C6C5940002C4}"/>
    <hyperlink ref="D31" location="'Environmental Data'!A96" display="Environmental data" xr:uid="{50D7BB4E-B223-4E3F-B285-08E22C2BBE54}"/>
    <hyperlink ref="D32" location="'Environmental Data'!A110" display="Environmental data" xr:uid="{98A9DA2A-96E2-406F-9CAC-A86C5A68C1BC}"/>
    <hyperlink ref="D33" location="'Environmental Data'!A122" display="Environmental data" xr:uid="{E3B7CF37-8B8C-4DCD-8D3D-621B50F8AE8E}"/>
    <hyperlink ref="D34" location="'Environmental Data'!A135" display="Environmental data" xr:uid="{C9E42879-EA11-4FFE-ACE4-59E85DA0E2D9}"/>
    <hyperlink ref="D35" location="'Environmental Data'!A147" display="Environmental data" xr:uid="{59072111-A4F1-49C1-B666-9D661128F0EE}"/>
    <hyperlink ref="D36" location="'Environmental Data'!A157" display="Environmental data" xr:uid="{D6B99E93-7A81-43F7-A911-529DFC479D0A}"/>
    <hyperlink ref="D37" location="'Environmental Data'!A168" display="Environmental data" xr:uid="{ED91B611-C502-4270-9800-09CF5FC01711}"/>
    <hyperlink ref="D38" location="'Environmental Data'!A180" display="Environmental data" xr:uid="{319ECED3-550C-43FC-AC9D-84CF36FA7465}"/>
    <hyperlink ref="D39" location="'Environmental Data'!A193" display="Environmental data" xr:uid="{69B00900-596D-4DD4-8C1A-A0D59BCFF26A}"/>
    <hyperlink ref="D40" location="'Environmental Data'!A361" display="Environmental data" xr:uid="{90031544-0E3C-42A9-8783-4C270BBC1A84}"/>
    <hyperlink ref="D41" location="'Environmental Data'!A375" display="Environmental data" xr:uid="{5D7414BA-7C7A-4D02-91A9-514C5B030F46}"/>
    <hyperlink ref="D42" location="'Environmental Data'!A422" display="Environmental data" xr:uid="{D9E171F5-6697-4D46-8662-DA0F271C2EC1}"/>
    <hyperlink ref="D43" location="'Environmental Data'!A448" display="Environmental data" xr:uid="{03FFB02F-DD34-46F1-AC28-840D37B57133}"/>
    <hyperlink ref="D44" location="'Environmental Data'!A464" display="Environmental data" xr:uid="{8FAB9A04-E0AD-4CFD-8593-DD3E0F7D7D34}"/>
    <hyperlink ref="D45" location="'Environmental Data'!A478" display="Environmental data" xr:uid="{0CDD3E39-5F35-405C-836A-2ABDD818294C}"/>
    <hyperlink ref="D46" location="'Environmental Data'!A493" display="Environmental data" xr:uid="{035B3D7C-379C-4BE8-8902-2B60FBAACD22}"/>
    <hyperlink ref="D47" location="'Environmental Data'!A505" display="Environmental data" xr:uid="{417AB53C-5022-4F84-8F33-C138BAB3C862}"/>
    <hyperlink ref="D48" location="'Environmental Data'!A518" display="Environmental data" xr:uid="{65B854DA-278E-4E73-A096-CEA6FD41BD9C}"/>
    <hyperlink ref="D49" location="'Environmental Data'!A535" display="Environmental data" xr:uid="{812EBD9B-A79D-45BD-8E01-4E2F06909425}"/>
    <hyperlink ref="D50" location="'Environmental Data'!A644" display="Environmental data" xr:uid="{44FFB24C-B1FE-4552-9BCE-4F803E96C329}"/>
    <hyperlink ref="D51" location="'Environmental Data'!A653" display="Environmental data" xr:uid="{EE7CF129-A6F1-4EB5-8D69-1D9E5DF45F8C}"/>
    <hyperlink ref="D52" location="'Environmental Data'!A664" display="Environmental data" xr:uid="{312A9678-6473-47D2-9239-4C028B71333C}"/>
    <hyperlink ref="D53" location="'Environmental Data'!A702" display="Environmental data" xr:uid="{E9ED6342-7FAB-44AB-A0B9-9C417406424E}"/>
    <hyperlink ref="D55" location="'Environmental Data'!A744" display="Environmental data" xr:uid="{6ADEF88A-0B38-44B1-9E57-61A20CDA0CAF}"/>
    <hyperlink ref="D56" location="'Environmental Data'!A757" display="Environmental data" xr:uid="{BBC21303-2AD8-49FD-8652-8E25911265C1}"/>
    <hyperlink ref="D54" location="'Environmental Data'!A702" display="Environmental data" xr:uid="{AAF9DC30-443D-4C09-81B9-A1E1534AAA44}"/>
    <hyperlink ref="D57" location="'Social Data'!A17" display="Social Data" xr:uid="{5B2DCC9E-F099-4C4A-920B-0E50B179C1FA}"/>
    <hyperlink ref="D58" location="'Social Data'!A91" display="Social Data" xr:uid="{32472D18-2656-4BA1-AFF7-47ECF5457569}"/>
    <hyperlink ref="D59" location="'Social Data'!A119" display="Social Data" xr:uid="{91E51818-0C6E-4798-853E-8A0064EFE44C}"/>
    <hyperlink ref="D60" location="'Social Data'!A130" display="Social Data" xr:uid="{6EF51E70-6ED7-4736-8726-835EAB1E8985}"/>
    <hyperlink ref="D61" location="'Social Data'!A142" display="Social Data" xr:uid="{1F87C321-2CD4-44E7-B599-31A7DF1B39D1}"/>
    <hyperlink ref="D62" location="'Social Data'!A152" display="Social Data" xr:uid="{72D6D00F-D8C3-4BF2-859A-E0ADFD2A92FE}"/>
    <hyperlink ref="D63" location="'Social Data'!A165" display="Social Data" xr:uid="{ACED3A1E-DEAA-4DD8-BFE1-48CAE3D5E055}"/>
    <hyperlink ref="D64" location="'Social Data'!A177" display="Social Data" xr:uid="{53D0FEEF-5AF4-4101-826D-65A1F18E096F}"/>
    <hyperlink ref="D66" location="'Social Data'!A201" display="Social Data" xr:uid="{6D098B52-3D6A-4B06-AC02-9713B1CDCDDD}"/>
    <hyperlink ref="D67" location="'Social Data'!A213" display="Social Data" xr:uid="{A445272F-0483-4298-A80B-B2F16CB9F7A8}"/>
    <hyperlink ref="D68" location="'Social Data'!A225" display="Social Data" xr:uid="{97FE6091-4260-4BC2-A431-42BB0FC64731}"/>
    <hyperlink ref="D69" location="'Social Data'!A237" display="Social Data" xr:uid="{3C74839D-F794-4A88-9507-FD4D122B1BC4}"/>
    <hyperlink ref="D65" location="'Social Data'!A190" display="Social Data" xr:uid="{E92DF547-4C29-4135-98CA-201EF953444B}"/>
    <hyperlink ref="D70" location="'Social Data'!A274" display="Social Data" xr:uid="{C5676B4F-A6A3-467C-9700-B024197C8D36}"/>
    <hyperlink ref="D71" location="'Social Data'!A290" display="Social Data" xr:uid="{5B784513-97EC-4102-809D-58394631EE71}"/>
    <hyperlink ref="D72" location="'Social Data'!A361" display="Social Data" xr:uid="{93CEEB29-34FB-49A3-8897-E9E117A435B6}"/>
    <hyperlink ref="D73" location="'Social Data'!A376" display="Social Data" xr:uid="{24A796FF-6898-40CD-A71C-D85853E49DCC}"/>
    <hyperlink ref="D74" location="'Social Data'!A421" display="Social Data" xr:uid="{C99C726D-ED40-4842-8134-B01F3446704B}"/>
    <hyperlink ref="D75" location="'Social Data'!A538" display="Social Data" xr:uid="{FF7A9694-BE4E-4BC9-8DAB-27FB777933B0}"/>
    <hyperlink ref="D76" location="'Social Data'!A551" display="Social Data" xr:uid="{E144B23E-A3DD-4E0F-BA64-9F6906693508}"/>
    <hyperlink ref="D77" location="'Social Data'!A562" display="Social Data" xr:uid="{A5C5FE2B-C662-4CA2-9B89-EACDB4CBC09C}"/>
    <hyperlink ref="D78" location="'Social Data'!A574" display="Social Data" xr:uid="{A38A12C6-5BF2-42F9-90C4-9EEA646F5CE9}"/>
    <hyperlink ref="D79" location="'Social Data'!A585" display="Social Data" xr:uid="{852DB04B-0B7D-4BB0-BDBF-0662D075C97D}"/>
    <hyperlink ref="D80" location="'Social Data'!A597" display="Social Data" xr:uid="{CE071A1B-CC3E-4775-BC80-E9EF0E5EC7D5}"/>
    <hyperlink ref="D81" location="'Social Data'!A610" display="Social Data" xr:uid="{D84C898F-9EEE-4C62-BEA4-490D0CDBFD9F}"/>
    <hyperlink ref="D82" location="'Social Data'!A623" display="Social Data" xr:uid="{EA8F8761-8AB9-4FD2-A404-77200D0C6072}"/>
    <hyperlink ref="D83" location="'Social Data'!A634" display="Social Data" xr:uid="{ED9A716F-8957-43A9-9E8D-C88A3CF54629}"/>
    <hyperlink ref="D84" location="'Social Data'!A644" display="Social Data" xr:uid="{11BE2830-7C7F-43D0-9BAE-E41FBD750FDF}"/>
    <hyperlink ref="D85" location="'Social Data'!A657" display="Social Data" xr:uid="{74CBE3E7-900B-4783-99AD-5660A0BF553F}"/>
    <hyperlink ref="D86" location="'Social Data'!A669" display="Social Data" xr:uid="{32671B76-3E28-4A2F-BC81-B93CEEC18750}"/>
    <hyperlink ref="D87" location="'Environmental Data'!A770" display="Environmental data" xr:uid="{00AB0D3B-673D-41B3-A6F6-FB8855F6A87F}"/>
    <hyperlink ref="D88" location="'Environmental Data'!A783" display="Environmental data" xr:uid="{5241A0E0-0A9C-446A-BC5E-95C6B078AAFE}"/>
    <hyperlink ref="D89" location="'Environmental Data'!A794" display="Environmental data" xr:uid="{499DE690-AE13-4D74-A549-D5DAA4E5A4D0}"/>
    <hyperlink ref="D90" location="'Social Data'!A776" display="Social Data" xr:uid="{7B107EA7-3C1B-4B22-AF51-8F35E2C8D2E7}"/>
    <hyperlink ref="D91" location="'Social Data'!A790" display="Social Data" xr:uid="{2F8F71E4-BF48-46AF-A070-A4005BA12392}"/>
    <hyperlink ref="D92" location="'Social Data'!A803" display="Social Data" xr:uid="{08807633-3605-42CE-BA30-45716208EBA1}"/>
    <hyperlink ref="D93" location="'Social Data'!A816" display="Social Data" xr:uid="{46C31D66-0AC4-407F-9742-CCBB16BBBBA7}"/>
    <hyperlink ref="D94" location="'Social Data'!A828" display="Social Data" xr:uid="{22CBD7D4-4B03-4021-BB4B-B9901F227DB8}"/>
    <hyperlink ref="D95" location="'Environmental Data'!A828" display="Environmental data" xr:uid="{172A5F09-AE98-422A-BF8D-B1D202FBDD4E}"/>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3040-61D3-423F-94FD-D6B4A9B4B247}">
  <sheetPr codeName="Planilha16">
    <pageSetUpPr fitToPage="1"/>
  </sheetPr>
  <dimension ref="A1:XFC41"/>
  <sheetViews>
    <sheetView showGridLines="0" showRowColHeaders="0" showRuler="0" zoomScale="110" zoomScaleNormal="110" workbookViewId="0">
      <pane ySplit="2" topLeftCell="A3" activePane="bottomLeft" state="frozen"/>
      <selection pane="bottomLeft"/>
    </sheetView>
  </sheetViews>
  <sheetFormatPr defaultColWidth="0" defaultRowHeight="14.4" x14ac:dyDescent="0.3"/>
  <cols>
    <col min="1" max="1" width="8.77734375" customWidth="1"/>
    <col min="2" max="2" width="18.5546875" customWidth="1"/>
    <col min="3" max="3" width="70.5546875" customWidth="1"/>
    <col min="4" max="4" width="30.5546875" customWidth="1"/>
    <col min="5" max="5" width="8.77734375" customWidth="1"/>
    <col min="6" max="6" width="8.77734375" hidden="1" customWidth="1"/>
    <col min="7" max="16383" width="8.77734375" hidden="1"/>
    <col min="16384" max="16384" width="6" hidden="1"/>
  </cols>
  <sheetData>
    <row r="1" spans="1:5" ht="14.1" customHeight="1" x14ac:dyDescent="0.3">
      <c r="A1" s="446"/>
      <c r="C1" s="4"/>
      <c r="D1" s="19"/>
      <c r="E1" s="19"/>
    </row>
    <row r="2" spans="1:5" s="421" customFormat="1" ht="14.1" customHeight="1" x14ac:dyDescent="0.3">
      <c r="A2" s="447"/>
      <c r="C2" s="422"/>
      <c r="D2" s="423"/>
      <c r="E2" s="423"/>
    </row>
    <row r="3" spans="1:5" ht="14.55" customHeight="1" x14ac:dyDescent="0.3">
      <c r="C3" s="4"/>
      <c r="D3" s="19"/>
      <c r="E3" s="19"/>
    </row>
    <row r="4" spans="1:5" ht="14.55" customHeight="1" x14ac:dyDescent="0.3">
      <c r="C4" s="4"/>
      <c r="D4" s="9" t="s">
        <v>0</v>
      </c>
      <c r="E4" s="9"/>
    </row>
    <row r="5" spans="1:5" ht="14.55" customHeight="1" x14ac:dyDescent="0.3">
      <c r="C5" s="4"/>
      <c r="D5" s="19"/>
      <c r="E5" s="19"/>
    </row>
    <row r="6" spans="1:5" x14ac:dyDescent="0.3">
      <c r="C6" s="4"/>
      <c r="D6" s="19"/>
      <c r="E6" s="19"/>
    </row>
    <row r="7" spans="1:5" x14ac:dyDescent="0.3">
      <c r="C7" s="4"/>
      <c r="D7" s="19"/>
      <c r="E7" s="19"/>
    </row>
    <row r="8" spans="1:5" ht="21" x14ac:dyDescent="0.4">
      <c r="B8" s="444" t="s">
        <v>2222</v>
      </c>
      <c r="C8" s="18"/>
      <c r="D8" s="20"/>
      <c r="E8" s="20"/>
    </row>
    <row r="9" spans="1:5" ht="21" x14ac:dyDescent="0.4">
      <c r="B9" s="6"/>
      <c r="C9" s="18"/>
      <c r="D9" s="20"/>
      <c r="E9" s="20"/>
    </row>
    <row r="10" spans="1:5" ht="12" customHeight="1" thickBot="1" x14ac:dyDescent="0.35">
      <c r="B10" s="26" t="s">
        <v>323</v>
      </c>
      <c r="C10" s="26" t="s">
        <v>324</v>
      </c>
      <c r="D10" s="27" t="s">
        <v>325</v>
      </c>
      <c r="E10" s="42"/>
    </row>
    <row r="11" spans="1:5" ht="22.5" customHeight="1" thickTop="1" x14ac:dyDescent="0.3">
      <c r="B11" s="11" t="s">
        <v>210</v>
      </c>
      <c r="C11" s="11" t="s">
        <v>211</v>
      </c>
      <c r="D11" s="369" t="s">
        <v>125</v>
      </c>
      <c r="E11" s="43"/>
    </row>
    <row r="12" spans="1:5" ht="30.6" customHeight="1" x14ac:dyDescent="0.3">
      <c r="B12" s="11" t="s">
        <v>212</v>
      </c>
      <c r="C12" s="11" t="s">
        <v>213</v>
      </c>
      <c r="D12" s="369" t="s">
        <v>125</v>
      </c>
      <c r="E12" s="43"/>
    </row>
    <row r="13" spans="1:5" ht="41.55" customHeight="1" x14ac:dyDescent="0.3">
      <c r="B13" s="11" t="s">
        <v>180</v>
      </c>
      <c r="C13" s="11" t="s">
        <v>181</v>
      </c>
      <c r="D13" s="369" t="s">
        <v>125</v>
      </c>
      <c r="E13" s="43"/>
    </row>
    <row r="14" spans="1:5" ht="28.5" customHeight="1" x14ac:dyDescent="0.3">
      <c r="B14" s="11" t="s">
        <v>214</v>
      </c>
      <c r="C14" s="11" t="s">
        <v>215</v>
      </c>
      <c r="D14" s="369" t="s">
        <v>125</v>
      </c>
      <c r="E14" s="43"/>
    </row>
    <row r="15" spans="1:5" ht="27.6" customHeight="1" x14ac:dyDescent="0.3">
      <c r="B15" s="11" t="s">
        <v>182</v>
      </c>
      <c r="C15" s="11" t="s">
        <v>183</v>
      </c>
      <c r="D15" s="369" t="s">
        <v>125</v>
      </c>
      <c r="E15" s="43"/>
    </row>
    <row r="16" spans="1:5" ht="30.6" customHeight="1" x14ac:dyDescent="0.3">
      <c r="B16" s="11" t="s">
        <v>184</v>
      </c>
      <c r="C16" s="11" t="s">
        <v>185</v>
      </c>
      <c r="D16" s="369" t="s">
        <v>125</v>
      </c>
      <c r="E16" s="43"/>
    </row>
    <row r="17" spans="2:5" ht="18.600000000000001" customHeight="1" x14ac:dyDescent="0.3">
      <c r="B17" s="11" t="s">
        <v>836</v>
      </c>
      <c r="C17" s="11" t="s">
        <v>837</v>
      </c>
      <c r="D17" s="369" t="s">
        <v>125</v>
      </c>
      <c r="E17" s="43"/>
    </row>
    <row r="18" spans="2:5" ht="18.600000000000001" customHeight="1" x14ac:dyDescent="0.3">
      <c r="B18" s="11" t="s">
        <v>126</v>
      </c>
      <c r="C18" s="11" t="s">
        <v>838</v>
      </c>
      <c r="D18" s="369" t="s">
        <v>125</v>
      </c>
      <c r="E18" s="43"/>
    </row>
    <row r="19" spans="2:5" ht="18.600000000000001" customHeight="1" x14ac:dyDescent="0.3">
      <c r="B19" s="11" t="s">
        <v>128</v>
      </c>
      <c r="C19" s="11" t="s">
        <v>839</v>
      </c>
      <c r="D19" s="369" t="s">
        <v>125</v>
      </c>
      <c r="E19" s="43"/>
    </row>
    <row r="20" spans="2:5" ht="18.600000000000001" customHeight="1" x14ac:dyDescent="0.3">
      <c r="B20" s="11" t="s">
        <v>130</v>
      </c>
      <c r="C20" s="11" t="s">
        <v>131</v>
      </c>
      <c r="D20" s="369" t="s">
        <v>125</v>
      </c>
      <c r="E20" s="43"/>
    </row>
    <row r="21" spans="2:5" ht="18.600000000000001" customHeight="1" x14ac:dyDescent="0.3">
      <c r="B21" s="11" t="s">
        <v>132</v>
      </c>
      <c r="C21" s="11" t="s">
        <v>133</v>
      </c>
      <c r="D21" s="369" t="s">
        <v>125</v>
      </c>
      <c r="E21" s="43"/>
    </row>
    <row r="22" spans="2:5" ht="18.600000000000001" customHeight="1" x14ac:dyDescent="0.3">
      <c r="B22" s="11" t="s">
        <v>134</v>
      </c>
      <c r="C22" s="11" t="s">
        <v>135</v>
      </c>
      <c r="D22" s="369" t="s">
        <v>125</v>
      </c>
      <c r="E22" s="43"/>
    </row>
    <row r="23" spans="2:5" ht="27.6" customHeight="1" x14ac:dyDescent="0.3">
      <c r="B23" s="11" t="s">
        <v>136</v>
      </c>
      <c r="C23" s="11" t="s">
        <v>137</v>
      </c>
      <c r="D23" s="369" t="s">
        <v>125</v>
      </c>
      <c r="E23" s="43"/>
    </row>
    <row r="24" spans="2:5" ht="17.55" customHeight="1" x14ac:dyDescent="0.3">
      <c r="B24" s="11" t="s">
        <v>159</v>
      </c>
      <c r="C24" s="11" t="s">
        <v>160</v>
      </c>
      <c r="D24" s="369" t="s">
        <v>125</v>
      </c>
      <c r="E24" s="43"/>
    </row>
    <row r="25" spans="2:5" ht="30" customHeight="1" x14ac:dyDescent="0.3">
      <c r="B25" s="11" t="s">
        <v>161</v>
      </c>
      <c r="C25" s="11" t="s">
        <v>162</v>
      </c>
      <c r="D25" s="369" t="s">
        <v>125</v>
      </c>
      <c r="E25" s="43"/>
    </row>
    <row r="26" spans="2:5" ht="29.1" customHeight="1" x14ac:dyDescent="0.3">
      <c r="B26" s="11" t="s">
        <v>163</v>
      </c>
      <c r="C26" s="11" t="s">
        <v>164</v>
      </c>
      <c r="D26" s="369" t="s">
        <v>125</v>
      </c>
      <c r="E26" s="43"/>
    </row>
    <row r="27" spans="2:5" ht="17.100000000000001" customHeight="1" x14ac:dyDescent="0.3">
      <c r="B27" s="11" t="s">
        <v>244</v>
      </c>
      <c r="C27" s="11" t="s">
        <v>245</v>
      </c>
      <c r="D27" s="369" t="s">
        <v>25</v>
      </c>
      <c r="E27" s="43"/>
    </row>
    <row r="28" spans="2:5" ht="17.100000000000001" customHeight="1" x14ac:dyDescent="0.3">
      <c r="B28" s="11" t="s">
        <v>246</v>
      </c>
      <c r="C28" s="11" t="s">
        <v>247</v>
      </c>
      <c r="D28" s="369" t="s">
        <v>25</v>
      </c>
      <c r="E28" s="44"/>
    </row>
    <row r="29" spans="2:5" ht="24.6" customHeight="1" x14ac:dyDescent="0.3">
      <c r="B29" s="11" t="s">
        <v>248</v>
      </c>
      <c r="C29" s="11" t="s">
        <v>249</v>
      </c>
      <c r="D29" s="369" t="s">
        <v>25</v>
      </c>
      <c r="E29" s="43"/>
    </row>
    <row r="30" spans="2:5" ht="27" customHeight="1" x14ac:dyDescent="0.3">
      <c r="B30" s="11" t="s">
        <v>319</v>
      </c>
      <c r="C30" s="11" t="s">
        <v>320</v>
      </c>
      <c r="D30" s="369" t="s">
        <v>25</v>
      </c>
      <c r="E30" s="43"/>
    </row>
    <row r="31" spans="2:5" ht="17.55" customHeight="1" x14ac:dyDescent="0.3">
      <c r="B31" s="11" t="s">
        <v>321</v>
      </c>
      <c r="C31" s="11" t="s">
        <v>322</v>
      </c>
      <c r="D31" s="369" t="s">
        <v>25</v>
      </c>
      <c r="E31" s="43"/>
    </row>
    <row r="32" spans="2:5" ht="27" customHeight="1" x14ac:dyDescent="0.3">
      <c r="B32" s="11" t="s">
        <v>274</v>
      </c>
      <c r="C32" s="11" t="s">
        <v>1768</v>
      </c>
      <c r="D32" s="369" t="s">
        <v>25</v>
      </c>
      <c r="E32" s="43"/>
    </row>
    <row r="33" spans="2:5" ht="19.05" customHeight="1" x14ac:dyDescent="0.3">
      <c r="B33" s="11" t="s">
        <v>276</v>
      </c>
      <c r="C33" s="11" t="s">
        <v>277</v>
      </c>
      <c r="D33" s="369" t="s">
        <v>25</v>
      </c>
      <c r="E33" s="43"/>
    </row>
    <row r="34" spans="2:5" ht="39.6" customHeight="1" x14ac:dyDescent="0.3">
      <c r="B34" s="11" t="s">
        <v>299</v>
      </c>
      <c r="C34" s="11" t="s">
        <v>300</v>
      </c>
      <c r="D34" s="369" t="s">
        <v>25</v>
      </c>
      <c r="E34" s="43"/>
    </row>
    <row r="35" spans="2:5" ht="24.6" customHeight="1" x14ac:dyDescent="0.3">
      <c r="B35" s="11" t="s">
        <v>231</v>
      </c>
      <c r="C35" s="11" t="s">
        <v>232</v>
      </c>
      <c r="D35" s="369" t="s">
        <v>20</v>
      </c>
      <c r="E35" s="43"/>
    </row>
    <row r="36" spans="2:5" ht="24.6" customHeight="1" x14ac:dyDescent="0.3">
      <c r="B36" s="11" t="s">
        <v>233</v>
      </c>
      <c r="C36" s="11" t="s">
        <v>341</v>
      </c>
      <c r="D36" s="369" t="s">
        <v>20</v>
      </c>
      <c r="E36" s="43"/>
    </row>
    <row r="37" spans="2:5" ht="63.6" customHeight="1" x14ac:dyDescent="0.3">
      <c r="B37" s="11" t="s">
        <v>138</v>
      </c>
      <c r="C37" s="11" t="s">
        <v>139</v>
      </c>
      <c r="D37" s="369" t="s">
        <v>125</v>
      </c>
    </row>
    <row r="38" spans="2:5" ht="25.5" customHeight="1" x14ac:dyDescent="0.3">
      <c r="B38" s="11" t="s">
        <v>140</v>
      </c>
      <c r="C38" s="11" t="s">
        <v>141</v>
      </c>
      <c r="D38" s="369" t="s">
        <v>125</v>
      </c>
    </row>
    <row r="39" spans="2:5" ht="25.5" customHeight="1" x14ac:dyDescent="0.3">
      <c r="B39" s="11" t="s">
        <v>142</v>
      </c>
      <c r="C39" s="11" t="s">
        <v>840</v>
      </c>
      <c r="D39" s="369" t="s">
        <v>125</v>
      </c>
    </row>
    <row r="40" spans="2:5" x14ac:dyDescent="0.3">
      <c r="B40" s="178"/>
      <c r="C40" s="178"/>
      <c r="D40" s="178"/>
    </row>
    <row r="41" spans="2:5" x14ac:dyDescent="0.3">
      <c r="B41" s="178"/>
      <c r="C41" s="178"/>
      <c r="D41" s="178"/>
    </row>
  </sheetData>
  <sheetProtection algorithmName="SHA-512" hashValue="ELX4+ZBVl0qWmzQzNs67YKNGdcI9QeExf+31YdNSW0mGnP0z3RlOFcCTluKYfHLOxZAfY7WFN3lRaBUaEFYQPA==" saltValue="knCudgktcj2Lk2T28blf2A==" spinCount="100000" sheet="1" objects="1" autoFilter="0" pivotTables="0"/>
  <hyperlinks>
    <hyperlink ref="D12" location="'Environmental Data'!A842" display="Environmental data" xr:uid="{7C4A8725-0867-40D7-9F3D-47A8232562FD}"/>
    <hyperlink ref="D14" location="'Environmental Data'!A853" display="Environmental data" xr:uid="{F0EBC151-D96D-4D27-B6E5-233CA9D3D3F2}"/>
    <hyperlink ref="D15" location="'Environmental Data'!A865" display="Environmental data" xr:uid="{421DCD56-0671-4B66-9A0B-7040E4276C5B}"/>
    <hyperlink ref="D16" location="'Environmental Data'!A878" display="Environmental data" xr:uid="{82A8CA88-A435-4DBC-A92B-ED6670FE2013}"/>
    <hyperlink ref="D17" location="'Environmental Data'!A888" display="Environmental data" xr:uid="{3107369C-2B38-4B63-9892-490F0B08354A}"/>
    <hyperlink ref="D18" location="'Environmental Data'!A896" display="Environmental data" xr:uid="{1C75877E-035B-4935-9D5D-6955AD571D16}"/>
    <hyperlink ref="D19" location="'Environmental Data'!A906" display="Environmental data" xr:uid="{C742E9B9-A087-4F7A-BB70-A6A29DBAF958}"/>
    <hyperlink ref="D20" location="'Environmental Data'!A915" display="Environmental data" xr:uid="{2A9533BD-3A7D-43F7-91B2-DC572104B139}"/>
    <hyperlink ref="D21" location="'Environmental Data'!A924" display="Environmental data" xr:uid="{B7038E4E-25D8-4950-89C3-4E7AA4533B83}"/>
    <hyperlink ref="D22" location="'Environmental Data'!A933" display="Environmental data" xr:uid="{FD4F3877-D7DC-4AEE-B10B-E80DFCB4283C}"/>
    <hyperlink ref="D23" location="'Environmental Data'!A941" display="Environmental data" xr:uid="{ED2FCA03-52B3-47A0-9D8C-0DFC3CFC49E0}"/>
    <hyperlink ref="D24" location="'Environmental Data'!A951" display="Environmental data" xr:uid="{402BD5BA-AD5F-4010-A644-94595156F6E9}"/>
    <hyperlink ref="D25" location="'Environmental Data'!A964" display="Environmental data" xr:uid="{FA902737-6530-46F7-B4B6-0B918E51FF2F}"/>
    <hyperlink ref="D26" location="'Environmental Data'!A193" display="Environmental data" xr:uid="{69A1DA05-D192-4053-9CF2-8404956FB2A0}"/>
    <hyperlink ref="D11" location="'Environmental Data'!A448" display="Environmental data" xr:uid="{403B20A4-E7C5-4690-9D5B-AE8477C4E412}"/>
    <hyperlink ref="D13" location="'Environmental Data'!A535" display="Environmental data" xr:uid="{FE8CAAD2-675C-4D66-A495-629A77103F94}"/>
    <hyperlink ref="D29" location="'Social Data'!A840" display="Social Data" xr:uid="{5A5A4989-7080-4730-B663-68B6DFD668D4}"/>
    <hyperlink ref="D30" location="'Social Data'!A853" display="Social Data" xr:uid="{B1C0B28B-2C4E-4210-8536-F715F78CF4FE}"/>
    <hyperlink ref="D31" location="'Social Data'!A867" display="Social Data" xr:uid="{016491A3-B286-4D46-888B-DFE0856CE5EF}"/>
    <hyperlink ref="D32" location="'Social Data'!A879" display="Social Data" xr:uid="{E93ECBDC-59FC-432F-A182-721869625B96}"/>
    <hyperlink ref="D34" location="'Social Data'!A890" display="Social Data" xr:uid="{253B143B-4E80-4E79-93A8-B5AA72E83934}"/>
    <hyperlink ref="D33" location="'Social Data'!A776" display="Social Data" xr:uid="{02329366-0812-40AA-A33C-408ACBE09950}"/>
    <hyperlink ref="D28" location="'Social Data'!A790" display="Social Data" xr:uid="{3D6A7437-5278-49A6-9C1B-F844842AF67A}"/>
    <hyperlink ref="D27" location="'Social Data'!A803" display="Social Data" xr:uid="{C41519DD-5058-4FCA-A8A5-24A5CBE201D2}"/>
    <hyperlink ref="D35:D36" location="'Economic Data'!A11" display="Economic Data" xr:uid="{7D80EED1-EEF2-49A2-9751-CFAB030154F3}"/>
    <hyperlink ref="D37" location="'Environmental Data'!A975" display="Environmental data" xr:uid="{155C2F7C-5556-421D-8185-432DE795141A}"/>
    <hyperlink ref="D38" location="'Environmental Data'!A985" display="Environmental data" xr:uid="{3386ABAC-2EE9-4B76-96D8-D538F59A471A}"/>
    <hyperlink ref="D39" location="'Environmental Data'!A995" display="Environmental data" xr:uid="{C1EFA1E6-62EE-4E14-90E4-F4761D734318}"/>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79A9-9497-400A-A318-8B980B00B2FF}">
  <sheetPr codeName="Planilha17">
    <pageSetUpPr fitToPage="1"/>
  </sheetPr>
  <dimension ref="A1:XFC126"/>
  <sheetViews>
    <sheetView showGridLines="0" showRowColHeaders="0" showRuler="0" zoomScaleNormal="100" workbookViewId="0">
      <pane ySplit="2" topLeftCell="A3" activePane="bottomLeft" state="frozen"/>
      <selection pane="bottomLeft" activeCell="B6" sqref="B6"/>
    </sheetView>
  </sheetViews>
  <sheetFormatPr defaultColWidth="0" defaultRowHeight="14.4" x14ac:dyDescent="0.3"/>
  <cols>
    <col min="1" max="1" width="8.77734375" customWidth="1"/>
    <col min="2" max="6" width="18.5546875" customWidth="1"/>
    <col min="7" max="7" width="24" customWidth="1"/>
    <col min="8" max="8" width="18.5546875" customWidth="1"/>
    <col min="9" max="9" width="29.77734375" customWidth="1"/>
    <col min="10" max="10" width="10.5546875" customWidth="1"/>
    <col min="11" max="11" width="10.77734375" hidden="1" customWidth="1"/>
    <col min="12" max="16383" width="10.77734375" hidden="1"/>
    <col min="16384" max="16384" width="4.44140625" hidden="1"/>
  </cols>
  <sheetData>
    <row r="1" spans="1:9" ht="14.1" customHeight="1" x14ac:dyDescent="0.3">
      <c r="A1" s="46"/>
      <c r="C1" s="4"/>
      <c r="D1" s="19"/>
      <c r="E1" s="19"/>
    </row>
    <row r="2" spans="1:9" s="421" customFormat="1" ht="14.1" customHeight="1" x14ac:dyDescent="0.3">
      <c r="A2" s="445"/>
      <c r="C2" s="422"/>
      <c r="D2" s="423"/>
      <c r="E2" s="423"/>
    </row>
    <row r="3" spans="1:9" ht="14.55" customHeight="1" x14ac:dyDescent="0.3">
      <c r="C3" s="4"/>
      <c r="D3" s="19"/>
      <c r="E3" s="19"/>
    </row>
    <row r="4" spans="1:9" ht="14.55" customHeight="1" x14ac:dyDescent="0.3">
      <c r="C4" s="4"/>
      <c r="E4" s="9"/>
      <c r="I4" s="9" t="s">
        <v>0</v>
      </c>
    </row>
    <row r="5" spans="1:9" ht="14.55" customHeight="1" x14ac:dyDescent="0.3">
      <c r="C5" s="4"/>
      <c r="D5" s="19"/>
      <c r="E5" s="19"/>
    </row>
    <row r="6" spans="1:9" x14ac:dyDescent="0.3">
      <c r="C6" s="4"/>
      <c r="D6" s="19"/>
      <c r="E6" s="19"/>
    </row>
    <row r="7" spans="1:9" x14ac:dyDescent="0.3">
      <c r="C7" s="4"/>
      <c r="D7" s="19"/>
      <c r="E7" s="19"/>
    </row>
    <row r="8" spans="1:9" ht="21" x14ac:dyDescent="0.3">
      <c r="B8" s="443" t="s">
        <v>2363</v>
      </c>
      <c r="C8" s="18"/>
      <c r="D8" s="20"/>
      <c r="E8" s="20"/>
    </row>
    <row r="9" spans="1:9" ht="21" x14ac:dyDescent="0.4">
      <c r="B9" s="6"/>
      <c r="C9" s="18"/>
      <c r="D9" s="20"/>
      <c r="E9" s="20"/>
    </row>
    <row r="10" spans="1:9" s="46" customFormat="1" ht="17.399999999999999" x14ac:dyDescent="0.3">
      <c r="B10" s="47" t="s">
        <v>2364</v>
      </c>
      <c r="C10" s="47"/>
      <c r="D10" s="47"/>
      <c r="E10" s="47"/>
      <c r="F10" s="47"/>
      <c r="G10" s="47"/>
      <c r="H10" s="47"/>
    </row>
    <row r="11" spans="1:9" ht="21" x14ac:dyDescent="0.4">
      <c r="B11" s="6"/>
      <c r="C11" s="18"/>
      <c r="D11" s="20"/>
      <c r="E11" s="20"/>
    </row>
    <row r="12" spans="1:9" x14ac:dyDescent="0.3">
      <c r="B12" s="48" t="s">
        <v>2365</v>
      </c>
      <c r="C12" s="18"/>
      <c r="D12" s="20"/>
      <c r="E12" s="20"/>
    </row>
    <row r="13" spans="1:9" ht="21" x14ac:dyDescent="0.4">
      <c r="B13" s="6"/>
      <c r="C13" s="18"/>
      <c r="D13" s="20"/>
      <c r="E13" s="20"/>
    </row>
    <row r="14" spans="1:9" x14ac:dyDescent="0.3">
      <c r="B14" s="50" t="s">
        <v>344</v>
      </c>
      <c r="C14" s="712" t="s">
        <v>345</v>
      </c>
      <c r="D14" s="712"/>
      <c r="E14" s="712"/>
      <c r="F14" s="712"/>
      <c r="G14" s="712"/>
      <c r="H14" s="712"/>
      <c r="I14" s="712"/>
    </row>
    <row r="15" spans="1:9" ht="55.05" customHeight="1" x14ac:dyDescent="0.3">
      <c r="B15" s="51">
        <v>2019</v>
      </c>
      <c r="C15" s="709" t="s">
        <v>2366</v>
      </c>
      <c r="D15" s="796"/>
      <c r="E15" s="796"/>
      <c r="F15" s="796"/>
      <c r="G15" s="796"/>
      <c r="H15" s="796"/>
      <c r="I15" s="796"/>
    </row>
    <row r="16" spans="1:9" ht="55.05" customHeight="1" x14ac:dyDescent="0.3">
      <c r="B16" s="51">
        <v>2020</v>
      </c>
      <c r="C16" s="709" t="s">
        <v>2367</v>
      </c>
      <c r="D16" s="796"/>
      <c r="E16" s="796"/>
      <c r="F16" s="796"/>
      <c r="G16" s="796"/>
      <c r="H16" s="796"/>
      <c r="I16" s="796"/>
    </row>
    <row r="17" spans="2:9" ht="55.05" customHeight="1" x14ac:dyDescent="0.3">
      <c r="B17" s="51">
        <v>2021</v>
      </c>
      <c r="C17" s="709" t="s">
        <v>2368</v>
      </c>
      <c r="D17" s="796"/>
      <c r="E17" s="796"/>
      <c r="F17" s="796"/>
      <c r="G17" s="796"/>
      <c r="H17" s="796"/>
      <c r="I17" s="796"/>
    </row>
    <row r="18" spans="2:9" ht="55.05" customHeight="1" x14ac:dyDescent="0.3">
      <c r="B18" s="51">
        <v>2022</v>
      </c>
      <c r="C18" s="709" t="s">
        <v>2369</v>
      </c>
      <c r="D18" s="796"/>
      <c r="E18" s="796"/>
      <c r="F18" s="796"/>
      <c r="G18" s="796"/>
      <c r="H18" s="796"/>
      <c r="I18" s="796"/>
    </row>
    <row r="19" spans="2:9" ht="55.05" customHeight="1" x14ac:dyDescent="0.3">
      <c r="B19" s="51">
        <v>2023</v>
      </c>
      <c r="C19" s="709" t="s">
        <v>2370</v>
      </c>
      <c r="D19" s="796"/>
      <c r="E19" s="796"/>
      <c r="F19" s="796"/>
      <c r="G19" s="796"/>
      <c r="H19" s="796"/>
      <c r="I19" s="796"/>
    </row>
    <row r="20" spans="2:9" x14ac:dyDescent="0.3">
      <c r="B20" s="51"/>
      <c r="C20" s="18"/>
      <c r="D20" s="20"/>
      <c r="E20" s="20"/>
    </row>
    <row r="22" spans="2:9" x14ac:dyDescent="0.3">
      <c r="B22" s="48" t="s">
        <v>2371</v>
      </c>
      <c r="C22" s="18"/>
      <c r="D22" s="20"/>
      <c r="E22" s="20"/>
    </row>
    <row r="23" spans="2:9" ht="21" x14ac:dyDescent="0.4">
      <c r="B23" s="6"/>
      <c r="C23" s="18"/>
      <c r="D23" s="20"/>
      <c r="E23" s="20"/>
    </row>
    <row r="24" spans="2:9" x14ac:dyDescent="0.3">
      <c r="B24" s="50" t="s">
        <v>344</v>
      </c>
      <c r="C24" s="712" t="s">
        <v>345</v>
      </c>
      <c r="D24" s="712"/>
      <c r="E24" s="712"/>
      <c r="F24" s="712"/>
      <c r="G24" s="712"/>
      <c r="H24" s="712"/>
      <c r="I24" s="712"/>
    </row>
    <row r="25" spans="2:9" ht="77.55" customHeight="1" x14ac:dyDescent="0.3">
      <c r="B25" s="51">
        <v>2019</v>
      </c>
      <c r="C25" s="709" t="s">
        <v>2372</v>
      </c>
      <c r="D25" s="796"/>
      <c r="E25" s="796"/>
      <c r="F25" s="796"/>
      <c r="G25" s="796"/>
      <c r="H25" s="796"/>
      <c r="I25" s="796"/>
    </row>
    <row r="26" spans="2:9" ht="114.6" customHeight="1" x14ac:dyDescent="0.3">
      <c r="B26" s="51">
        <v>2020</v>
      </c>
      <c r="C26" s="709" t="s">
        <v>2373</v>
      </c>
      <c r="D26" s="796"/>
      <c r="E26" s="796"/>
      <c r="F26" s="796"/>
      <c r="G26" s="796"/>
      <c r="H26" s="796"/>
      <c r="I26" s="796"/>
    </row>
    <row r="27" spans="2:9" ht="179.1" customHeight="1" x14ac:dyDescent="0.3">
      <c r="B27" s="51">
        <v>2021</v>
      </c>
      <c r="C27" s="709" t="s">
        <v>2374</v>
      </c>
      <c r="D27" s="796"/>
      <c r="E27" s="796"/>
      <c r="F27" s="796"/>
      <c r="G27" s="796"/>
      <c r="H27" s="796"/>
      <c r="I27" s="796"/>
    </row>
    <row r="28" spans="2:9" ht="199.05" customHeight="1" x14ac:dyDescent="0.3">
      <c r="B28" s="51">
        <v>2022</v>
      </c>
      <c r="C28" s="709" t="s">
        <v>2375</v>
      </c>
      <c r="D28" s="796"/>
      <c r="E28" s="796"/>
      <c r="F28" s="796"/>
      <c r="G28" s="796"/>
      <c r="H28" s="796"/>
      <c r="I28" s="796"/>
    </row>
    <row r="29" spans="2:9" ht="111.6" customHeight="1" x14ac:dyDescent="0.3">
      <c r="B29" s="51">
        <v>2023</v>
      </c>
      <c r="C29" s="732" t="s">
        <v>2376</v>
      </c>
      <c r="D29" s="732"/>
      <c r="E29" s="732"/>
      <c r="F29" s="732"/>
      <c r="G29" s="732"/>
      <c r="H29" s="732"/>
      <c r="I29" s="732"/>
    </row>
    <row r="30" spans="2:9" ht="15" customHeight="1" x14ac:dyDescent="0.3">
      <c r="B30" s="51"/>
      <c r="C30" s="219"/>
      <c r="D30" s="219"/>
      <c r="E30" s="219"/>
      <c r="F30" s="219"/>
      <c r="G30" s="219"/>
      <c r="H30" s="219"/>
      <c r="I30" s="219"/>
    </row>
    <row r="31" spans="2:9" ht="15" customHeight="1" x14ac:dyDescent="0.3">
      <c r="B31" s="538" t="s">
        <v>354</v>
      </c>
      <c r="C31" s="539" t="s">
        <v>2377</v>
      </c>
      <c r="D31" s="219"/>
      <c r="E31" s="219"/>
      <c r="F31" s="219"/>
      <c r="G31" s="219"/>
      <c r="H31" s="219"/>
      <c r="I31" s="219"/>
    </row>
    <row r="32" spans="2:9" ht="15" customHeight="1" x14ac:dyDescent="0.3">
      <c r="B32" s="51"/>
      <c r="C32" s="219"/>
      <c r="D32" s="219"/>
      <c r="E32" s="219"/>
      <c r="F32" s="219"/>
      <c r="G32" s="219"/>
      <c r="H32" s="219"/>
      <c r="I32" s="219"/>
    </row>
    <row r="33" spans="2:9" s="46" customFormat="1" ht="17.399999999999999" x14ac:dyDescent="0.3">
      <c r="B33" s="47" t="s">
        <v>2378</v>
      </c>
      <c r="C33" s="47"/>
      <c r="D33" s="47"/>
      <c r="E33" s="47"/>
      <c r="F33" s="47"/>
    </row>
    <row r="34" spans="2:9" ht="21" x14ac:dyDescent="0.4">
      <c r="B34" s="6"/>
      <c r="C34" s="18"/>
      <c r="D34" s="20"/>
      <c r="E34" s="20"/>
    </row>
    <row r="35" spans="2:9" x14ac:dyDescent="0.3">
      <c r="B35" s="48" t="s">
        <v>2379</v>
      </c>
      <c r="C35" s="18"/>
      <c r="D35" s="20"/>
      <c r="E35" s="20"/>
    </row>
    <row r="36" spans="2:9" ht="21" x14ac:dyDescent="0.4">
      <c r="B36" s="6"/>
      <c r="C36" s="18"/>
      <c r="D36" s="20"/>
      <c r="E36" s="20"/>
    </row>
    <row r="37" spans="2:9" x14ac:dyDescent="0.3">
      <c r="B37" s="50" t="s">
        <v>344</v>
      </c>
      <c r="C37" s="712" t="s">
        <v>345</v>
      </c>
      <c r="D37" s="712"/>
      <c r="E37" s="712"/>
      <c r="F37" s="712"/>
      <c r="G37" s="712"/>
      <c r="H37" s="712"/>
      <c r="I37" s="712"/>
    </row>
    <row r="38" spans="2:9" ht="55.05" customHeight="1" x14ac:dyDescent="0.3">
      <c r="B38" s="51">
        <v>2019</v>
      </c>
      <c r="C38" s="709" t="s">
        <v>2380</v>
      </c>
      <c r="D38" s="796"/>
      <c r="E38" s="796"/>
      <c r="F38" s="796"/>
      <c r="G38" s="796"/>
      <c r="H38" s="796"/>
      <c r="I38" s="796"/>
    </row>
    <row r="39" spans="2:9" ht="85.05" customHeight="1" x14ac:dyDescent="0.3">
      <c r="B39" s="51">
        <v>2020</v>
      </c>
      <c r="C39" s="709" t="s">
        <v>2381</v>
      </c>
      <c r="D39" s="796"/>
      <c r="E39" s="796"/>
      <c r="F39" s="796"/>
      <c r="G39" s="796"/>
      <c r="H39" s="796"/>
      <c r="I39" s="796"/>
    </row>
    <row r="40" spans="2:9" ht="105" customHeight="1" x14ac:dyDescent="0.3">
      <c r="B40" s="51">
        <v>2021</v>
      </c>
      <c r="C40" s="709" t="s">
        <v>2382</v>
      </c>
      <c r="D40" s="796"/>
      <c r="E40" s="796"/>
      <c r="F40" s="796"/>
      <c r="G40" s="796"/>
      <c r="H40" s="796"/>
      <c r="I40" s="796"/>
    </row>
    <row r="41" spans="2:9" ht="105" customHeight="1" x14ac:dyDescent="0.3">
      <c r="B41" s="51">
        <v>2022</v>
      </c>
      <c r="C41" s="709" t="s">
        <v>2383</v>
      </c>
      <c r="D41" s="796"/>
      <c r="E41" s="796"/>
      <c r="F41" s="796"/>
      <c r="G41" s="796"/>
      <c r="H41" s="796"/>
      <c r="I41" s="796"/>
    </row>
    <row r="42" spans="2:9" ht="159.6" customHeight="1" x14ac:dyDescent="0.3">
      <c r="B42" s="51">
        <v>2023</v>
      </c>
      <c r="C42" s="732" t="s">
        <v>2384</v>
      </c>
      <c r="D42" s="732"/>
      <c r="E42" s="732"/>
      <c r="F42" s="732"/>
      <c r="G42" s="732"/>
      <c r="H42" s="732"/>
      <c r="I42" s="732"/>
    </row>
    <row r="43" spans="2:9" x14ac:dyDescent="0.3">
      <c r="B43" s="51"/>
      <c r="C43" s="18"/>
      <c r="D43" s="20"/>
      <c r="E43" s="20"/>
    </row>
    <row r="45" spans="2:9" x14ac:dyDescent="0.3">
      <c r="B45" s="48" t="s">
        <v>2385</v>
      </c>
      <c r="C45" s="18"/>
      <c r="D45" s="20"/>
      <c r="E45" s="20"/>
    </row>
    <row r="46" spans="2:9" ht="21" x14ac:dyDescent="0.4">
      <c r="B46" s="6"/>
      <c r="C46" s="18"/>
      <c r="D46" s="20"/>
      <c r="E46" s="20"/>
    </row>
    <row r="47" spans="2:9" x14ac:dyDescent="0.3">
      <c r="B47" s="50" t="s">
        <v>344</v>
      </c>
      <c r="C47" s="712" t="s">
        <v>345</v>
      </c>
      <c r="D47" s="712"/>
      <c r="E47" s="712"/>
      <c r="F47" s="712"/>
      <c r="G47" s="712"/>
      <c r="H47" s="712"/>
      <c r="I47" s="712"/>
    </row>
    <row r="48" spans="2:9" ht="58.5" customHeight="1" x14ac:dyDescent="0.3">
      <c r="B48" s="51">
        <v>2019</v>
      </c>
      <c r="C48" s="709" t="s">
        <v>2386</v>
      </c>
      <c r="D48" s="796"/>
      <c r="E48" s="796"/>
      <c r="F48" s="796"/>
      <c r="G48" s="796"/>
      <c r="H48" s="796"/>
      <c r="I48" s="796"/>
    </row>
    <row r="49" spans="2:9" ht="40.049999999999997" customHeight="1" x14ac:dyDescent="0.3">
      <c r="B49" s="51">
        <v>2020</v>
      </c>
      <c r="C49" s="709" t="s">
        <v>2387</v>
      </c>
      <c r="D49" s="796"/>
      <c r="E49" s="796"/>
      <c r="F49" s="796"/>
      <c r="G49" s="796"/>
      <c r="H49" s="796"/>
      <c r="I49" s="796"/>
    </row>
    <row r="50" spans="2:9" ht="40.049999999999997" customHeight="1" x14ac:dyDescent="0.3">
      <c r="B50" s="51">
        <v>2021</v>
      </c>
      <c r="C50" s="709" t="s">
        <v>2387</v>
      </c>
      <c r="D50" s="796"/>
      <c r="E50" s="796"/>
      <c r="F50" s="796"/>
      <c r="G50" s="796"/>
      <c r="H50" s="796"/>
      <c r="I50" s="796"/>
    </row>
    <row r="51" spans="2:9" ht="50.1" customHeight="1" x14ac:dyDescent="0.3">
      <c r="B51" s="51">
        <v>2022</v>
      </c>
      <c r="C51" s="709" t="s">
        <v>2388</v>
      </c>
      <c r="D51" s="796"/>
      <c r="E51" s="796"/>
      <c r="F51" s="796"/>
      <c r="G51" s="796"/>
      <c r="H51" s="796"/>
      <c r="I51" s="796"/>
    </row>
    <row r="52" spans="2:9" ht="50.1" customHeight="1" x14ac:dyDescent="0.3">
      <c r="B52" s="51">
        <v>2023</v>
      </c>
      <c r="C52" s="732" t="s">
        <v>2389</v>
      </c>
      <c r="D52" s="732"/>
      <c r="E52" s="732"/>
      <c r="F52" s="732"/>
      <c r="G52" s="732"/>
      <c r="H52" s="732"/>
      <c r="I52" s="732"/>
    </row>
    <row r="55" spans="2:9" x14ac:dyDescent="0.3">
      <c r="B55" s="48" t="s">
        <v>2390</v>
      </c>
      <c r="C55" s="18"/>
      <c r="D55" s="20"/>
      <c r="E55" s="20"/>
    </row>
    <row r="56" spans="2:9" ht="21" x14ac:dyDescent="0.4">
      <c r="B56" s="6"/>
      <c r="C56" s="18"/>
      <c r="D56" s="20"/>
      <c r="E56" s="20"/>
    </row>
    <row r="57" spans="2:9" x14ac:dyDescent="0.3">
      <c r="B57" s="50" t="s">
        <v>344</v>
      </c>
      <c r="C57" s="712" t="s">
        <v>345</v>
      </c>
      <c r="D57" s="712"/>
      <c r="E57" s="712"/>
      <c r="F57" s="712"/>
      <c r="G57" s="712"/>
      <c r="H57" s="712"/>
      <c r="I57" s="712"/>
    </row>
    <row r="58" spans="2:9" ht="70.5" customHeight="1" x14ac:dyDescent="0.3">
      <c r="B58" s="51">
        <v>2019</v>
      </c>
      <c r="C58" s="709" t="s">
        <v>2391</v>
      </c>
      <c r="D58" s="796"/>
      <c r="E58" s="796"/>
      <c r="F58" s="796"/>
      <c r="G58" s="796"/>
      <c r="H58" s="796"/>
      <c r="I58" s="796"/>
    </row>
    <row r="59" spans="2:9" ht="190.05" customHeight="1" x14ac:dyDescent="0.3">
      <c r="B59" s="51">
        <v>2020</v>
      </c>
      <c r="C59" s="709" t="s">
        <v>2392</v>
      </c>
      <c r="D59" s="796"/>
      <c r="E59" s="796"/>
      <c r="F59" s="796"/>
      <c r="G59" s="796"/>
      <c r="H59" s="796"/>
      <c r="I59" s="796"/>
    </row>
    <row r="60" spans="2:9" ht="232.5" customHeight="1" x14ac:dyDescent="0.3">
      <c r="B60" s="51">
        <v>2021</v>
      </c>
      <c r="C60" s="709" t="s">
        <v>2393</v>
      </c>
      <c r="D60" s="796"/>
      <c r="E60" s="796"/>
      <c r="F60" s="796"/>
      <c r="G60" s="796"/>
      <c r="H60" s="796"/>
      <c r="I60" s="796"/>
    </row>
    <row r="61" spans="2:9" ht="218.25" customHeight="1" x14ac:dyDescent="0.3">
      <c r="B61" s="51">
        <v>2022</v>
      </c>
      <c r="C61" s="709" t="s">
        <v>2394</v>
      </c>
      <c r="D61" s="796"/>
      <c r="E61" s="796"/>
      <c r="F61" s="796"/>
      <c r="G61" s="796"/>
      <c r="H61" s="796"/>
      <c r="I61" s="796"/>
    </row>
    <row r="62" spans="2:9" ht="218.25" customHeight="1" x14ac:dyDescent="0.3">
      <c r="B62" s="51">
        <v>2023</v>
      </c>
      <c r="C62" s="709" t="s">
        <v>2395</v>
      </c>
      <c r="D62" s="796"/>
      <c r="E62" s="796"/>
      <c r="F62" s="796"/>
      <c r="G62" s="796"/>
      <c r="H62" s="796"/>
      <c r="I62" s="796"/>
    </row>
    <row r="65" spans="1:10" ht="17.399999999999999" x14ac:dyDescent="0.3">
      <c r="A65" s="46"/>
      <c r="B65" s="47" t="s">
        <v>2396</v>
      </c>
      <c r="C65" s="47"/>
      <c r="D65" s="47"/>
      <c r="E65" s="47"/>
      <c r="F65" s="47"/>
      <c r="G65" s="46"/>
      <c r="H65" s="46"/>
      <c r="I65" s="46"/>
      <c r="J65" s="46"/>
    </row>
    <row r="66" spans="1:10" ht="21" x14ac:dyDescent="0.4">
      <c r="B66" s="6"/>
      <c r="C66" s="18"/>
      <c r="D66" s="20"/>
      <c r="E66" s="20"/>
    </row>
    <row r="67" spans="1:10" x14ac:dyDescent="0.3">
      <c r="B67" s="48" t="s">
        <v>2397</v>
      </c>
      <c r="C67" s="18"/>
      <c r="D67" s="20"/>
      <c r="E67" s="20"/>
    </row>
    <row r="68" spans="1:10" ht="21" x14ac:dyDescent="0.4">
      <c r="B68" s="6"/>
      <c r="C68" s="18"/>
      <c r="D68" s="20"/>
      <c r="E68" s="20"/>
    </row>
    <row r="69" spans="1:10" x14ac:dyDescent="0.3">
      <c r="B69" s="50" t="s">
        <v>344</v>
      </c>
      <c r="C69" s="712" t="s">
        <v>345</v>
      </c>
      <c r="D69" s="712"/>
      <c r="E69" s="712"/>
      <c r="F69" s="712"/>
      <c r="G69" s="712"/>
      <c r="H69" s="712"/>
      <c r="I69" s="712"/>
    </row>
    <row r="70" spans="1:10" ht="85.05" customHeight="1" x14ac:dyDescent="0.3">
      <c r="B70" s="51">
        <v>2019</v>
      </c>
      <c r="C70" s="709" t="s">
        <v>2398</v>
      </c>
      <c r="D70" s="796"/>
      <c r="E70" s="796"/>
      <c r="F70" s="796"/>
      <c r="G70" s="796"/>
      <c r="H70" s="796"/>
      <c r="I70" s="796"/>
    </row>
    <row r="71" spans="1:10" ht="160.05000000000001" customHeight="1" x14ac:dyDescent="0.3">
      <c r="B71" s="51">
        <v>2020</v>
      </c>
      <c r="C71" s="709" t="s">
        <v>2399</v>
      </c>
      <c r="D71" s="796"/>
      <c r="E71" s="796"/>
      <c r="F71" s="796"/>
      <c r="G71" s="796"/>
      <c r="H71" s="796"/>
      <c r="I71" s="796"/>
    </row>
    <row r="72" spans="1:10" ht="220.05" customHeight="1" x14ac:dyDescent="0.3">
      <c r="B72" s="51">
        <v>2021</v>
      </c>
      <c r="C72" s="709" t="s">
        <v>2400</v>
      </c>
      <c r="D72" s="796"/>
      <c r="E72" s="796"/>
      <c r="F72" s="796"/>
      <c r="G72" s="796"/>
      <c r="H72" s="796"/>
      <c r="I72" s="796"/>
    </row>
    <row r="73" spans="1:10" ht="249" customHeight="1" x14ac:dyDescent="0.3">
      <c r="B73" s="51">
        <v>2022</v>
      </c>
      <c r="C73" s="709" t="s">
        <v>2401</v>
      </c>
      <c r="D73" s="796"/>
      <c r="E73" s="796"/>
      <c r="F73" s="796"/>
      <c r="G73" s="796"/>
      <c r="H73" s="796"/>
      <c r="I73" s="796"/>
    </row>
    <row r="74" spans="1:10" ht="249" customHeight="1" x14ac:dyDescent="0.3">
      <c r="B74" s="51">
        <v>2023</v>
      </c>
      <c r="C74" s="709" t="s">
        <v>2402</v>
      </c>
      <c r="D74" s="796"/>
      <c r="E74" s="796"/>
      <c r="F74" s="796"/>
      <c r="G74" s="796"/>
      <c r="H74" s="796"/>
      <c r="I74" s="796"/>
    </row>
    <row r="75" spans="1:10" x14ac:dyDescent="0.3">
      <c r="B75" s="51"/>
      <c r="C75" s="18"/>
      <c r="D75" s="20"/>
      <c r="E75" s="20"/>
    </row>
    <row r="77" spans="1:10" x14ac:dyDescent="0.3">
      <c r="B77" s="48" t="s">
        <v>2403</v>
      </c>
      <c r="C77" s="18"/>
      <c r="D77" s="20"/>
      <c r="E77" s="20"/>
    </row>
    <row r="78" spans="1:10" ht="21" x14ac:dyDescent="0.4">
      <c r="B78" s="6"/>
      <c r="C78" s="18"/>
      <c r="D78" s="20"/>
      <c r="E78" s="20"/>
    </row>
    <row r="79" spans="1:10" x14ac:dyDescent="0.3">
      <c r="B79" s="50" t="s">
        <v>344</v>
      </c>
      <c r="C79" s="712" t="s">
        <v>345</v>
      </c>
      <c r="D79" s="712"/>
      <c r="E79" s="712"/>
      <c r="F79" s="712"/>
      <c r="G79" s="712"/>
      <c r="H79" s="712"/>
      <c r="I79" s="712"/>
    </row>
    <row r="80" spans="1:10" ht="50.1" customHeight="1" x14ac:dyDescent="0.3">
      <c r="B80" s="51">
        <v>2019</v>
      </c>
      <c r="C80" s="709" t="s">
        <v>2404</v>
      </c>
      <c r="D80" s="796"/>
      <c r="E80" s="796"/>
      <c r="F80" s="796"/>
      <c r="G80" s="796"/>
      <c r="H80" s="796"/>
      <c r="I80" s="796"/>
    </row>
    <row r="81" spans="2:9" ht="150" customHeight="1" x14ac:dyDescent="0.3">
      <c r="B81" s="51">
        <v>2020</v>
      </c>
      <c r="C81" s="709" t="s">
        <v>2405</v>
      </c>
      <c r="D81" s="796"/>
      <c r="E81" s="796"/>
      <c r="F81" s="796"/>
      <c r="G81" s="796"/>
      <c r="H81" s="796"/>
      <c r="I81" s="796"/>
    </row>
    <row r="82" spans="2:9" ht="190.05" customHeight="1" x14ac:dyDescent="0.3">
      <c r="B82" s="51">
        <v>2021</v>
      </c>
      <c r="C82" s="709" t="s">
        <v>2406</v>
      </c>
      <c r="D82" s="796"/>
      <c r="E82" s="796"/>
      <c r="F82" s="796"/>
      <c r="G82" s="796"/>
      <c r="H82" s="796"/>
      <c r="I82" s="796"/>
    </row>
    <row r="83" spans="2:9" ht="205.05" customHeight="1" x14ac:dyDescent="0.3">
      <c r="B83" s="51">
        <v>2022</v>
      </c>
      <c r="C83" s="709" t="s">
        <v>2407</v>
      </c>
      <c r="D83" s="796"/>
      <c r="E83" s="796"/>
      <c r="F83" s="796"/>
      <c r="G83" s="796"/>
      <c r="H83" s="796"/>
      <c r="I83" s="796"/>
    </row>
    <row r="84" spans="2:9" ht="205.05" customHeight="1" x14ac:dyDescent="0.3">
      <c r="B84" s="51">
        <v>2023</v>
      </c>
      <c r="C84" s="732" t="s">
        <v>2408</v>
      </c>
      <c r="D84" s="732"/>
      <c r="E84" s="732"/>
      <c r="F84" s="732"/>
      <c r="G84" s="732"/>
      <c r="H84" s="732"/>
      <c r="I84" s="732"/>
    </row>
    <row r="87" spans="2:9" x14ac:dyDescent="0.3">
      <c r="B87" s="48" t="s">
        <v>2409</v>
      </c>
      <c r="C87" s="18"/>
      <c r="D87" s="20"/>
      <c r="E87" s="20"/>
    </row>
    <row r="88" spans="2:9" ht="21" x14ac:dyDescent="0.4">
      <c r="B88" s="6"/>
      <c r="C88" s="18"/>
      <c r="D88" s="20"/>
      <c r="E88" s="20"/>
    </row>
    <row r="89" spans="2:9" x14ac:dyDescent="0.3">
      <c r="B89" s="50" t="s">
        <v>344</v>
      </c>
      <c r="C89" s="712" t="s">
        <v>345</v>
      </c>
      <c r="D89" s="712"/>
      <c r="E89" s="712"/>
      <c r="F89" s="712"/>
      <c r="G89" s="712"/>
      <c r="H89" s="712"/>
      <c r="I89" s="712"/>
    </row>
    <row r="90" spans="2:9" ht="50.1" customHeight="1" x14ac:dyDescent="0.3">
      <c r="B90" s="51">
        <v>2019</v>
      </c>
      <c r="C90" s="709" t="s">
        <v>2410</v>
      </c>
      <c r="D90" s="796"/>
      <c r="E90" s="796"/>
      <c r="F90" s="796"/>
      <c r="G90" s="796"/>
      <c r="H90" s="796"/>
      <c r="I90" s="796"/>
    </row>
    <row r="91" spans="2:9" ht="70.05" customHeight="1" x14ac:dyDescent="0.3">
      <c r="B91" s="51">
        <v>2020</v>
      </c>
      <c r="C91" s="709" t="s">
        <v>2411</v>
      </c>
      <c r="D91" s="796"/>
      <c r="E91" s="796"/>
      <c r="F91" s="796"/>
      <c r="G91" s="796"/>
      <c r="H91" s="796"/>
      <c r="I91" s="796"/>
    </row>
    <row r="92" spans="2:9" ht="95.1" customHeight="1" x14ac:dyDescent="0.3">
      <c r="B92" s="51">
        <v>2021</v>
      </c>
      <c r="C92" s="709" t="s">
        <v>2412</v>
      </c>
      <c r="D92" s="796"/>
      <c r="E92" s="796"/>
      <c r="F92" s="796"/>
      <c r="G92" s="796"/>
      <c r="H92" s="796"/>
      <c r="I92" s="796"/>
    </row>
    <row r="93" spans="2:9" ht="110.1" customHeight="1" x14ac:dyDescent="0.3">
      <c r="B93" s="51">
        <v>2022</v>
      </c>
      <c r="C93" s="709" t="s">
        <v>2413</v>
      </c>
      <c r="D93" s="796"/>
      <c r="E93" s="796"/>
      <c r="F93" s="796"/>
      <c r="G93" s="796"/>
      <c r="H93" s="796"/>
      <c r="I93" s="796"/>
    </row>
    <row r="94" spans="2:9" ht="110.1" customHeight="1" x14ac:dyDescent="0.3">
      <c r="B94" s="51">
        <v>2023</v>
      </c>
      <c r="C94" s="709" t="s">
        <v>2414</v>
      </c>
      <c r="D94" s="796"/>
      <c r="E94" s="796"/>
      <c r="F94" s="796"/>
      <c r="G94" s="796"/>
      <c r="H94" s="796"/>
      <c r="I94" s="796"/>
    </row>
    <row r="97" spans="1:10" ht="17.399999999999999" x14ac:dyDescent="0.3">
      <c r="A97" s="46"/>
      <c r="B97" s="47" t="s">
        <v>2415</v>
      </c>
      <c r="C97" s="47"/>
      <c r="D97" s="47"/>
      <c r="E97" s="47"/>
      <c r="F97" s="47"/>
      <c r="G97" s="46"/>
      <c r="H97" s="46"/>
      <c r="I97" s="46"/>
      <c r="J97" s="46"/>
    </row>
    <row r="98" spans="1:10" ht="21" x14ac:dyDescent="0.4">
      <c r="B98" s="6"/>
      <c r="C98" s="18"/>
      <c r="D98" s="20"/>
      <c r="E98" s="20"/>
    </row>
    <row r="99" spans="1:10" x14ac:dyDescent="0.3">
      <c r="B99" s="48" t="s">
        <v>2416</v>
      </c>
      <c r="C99" s="18"/>
      <c r="D99" s="20"/>
      <c r="E99" s="20"/>
    </row>
    <row r="100" spans="1:10" ht="21" x14ac:dyDescent="0.4">
      <c r="B100" s="6"/>
      <c r="C100" s="18"/>
      <c r="D100" s="20"/>
      <c r="E100" s="20"/>
    </row>
    <row r="101" spans="1:10" x14ac:dyDescent="0.3">
      <c r="B101" s="50" t="s">
        <v>344</v>
      </c>
      <c r="C101" s="712" t="s">
        <v>345</v>
      </c>
      <c r="D101" s="712"/>
      <c r="E101" s="712"/>
      <c r="F101" s="712"/>
      <c r="G101" s="712"/>
      <c r="H101" s="712"/>
      <c r="I101" s="712"/>
    </row>
    <row r="102" spans="1:10" ht="70.05" customHeight="1" x14ac:dyDescent="0.3">
      <c r="B102" s="51">
        <v>2019</v>
      </c>
      <c r="C102" s="709" t="s">
        <v>2417</v>
      </c>
      <c r="D102" s="796"/>
      <c r="E102" s="796"/>
      <c r="F102" s="796"/>
      <c r="G102" s="796"/>
      <c r="H102" s="796"/>
      <c r="I102" s="796"/>
    </row>
    <row r="103" spans="1:10" ht="100.05" customHeight="1" x14ac:dyDescent="0.3">
      <c r="B103" s="51">
        <v>2020</v>
      </c>
      <c r="C103" s="709" t="s">
        <v>2418</v>
      </c>
      <c r="D103" s="796"/>
      <c r="E103" s="796"/>
      <c r="F103" s="796"/>
      <c r="G103" s="796"/>
      <c r="H103" s="796"/>
      <c r="I103" s="796"/>
    </row>
    <row r="104" spans="1:10" ht="125.1" customHeight="1" x14ac:dyDescent="0.3">
      <c r="B104" s="51">
        <v>2021</v>
      </c>
      <c r="C104" s="709" t="s">
        <v>2419</v>
      </c>
      <c r="D104" s="796"/>
      <c r="E104" s="796"/>
      <c r="F104" s="796"/>
      <c r="G104" s="796"/>
      <c r="H104" s="796"/>
      <c r="I104" s="796"/>
    </row>
    <row r="105" spans="1:10" ht="125.1" customHeight="1" x14ac:dyDescent="0.3">
      <c r="B105" s="51">
        <v>2022</v>
      </c>
      <c r="C105" s="709" t="s">
        <v>2420</v>
      </c>
      <c r="D105" s="796"/>
      <c r="E105" s="796"/>
      <c r="F105" s="796"/>
      <c r="G105" s="796"/>
      <c r="H105" s="796"/>
      <c r="I105" s="796"/>
    </row>
    <row r="106" spans="1:10" ht="125.1" customHeight="1" x14ac:dyDescent="0.3">
      <c r="B106" s="51">
        <v>2023</v>
      </c>
      <c r="C106" s="709" t="s">
        <v>2421</v>
      </c>
      <c r="D106" s="796"/>
      <c r="E106" s="796"/>
      <c r="F106" s="796"/>
      <c r="G106" s="796"/>
      <c r="H106" s="796"/>
      <c r="I106" s="796"/>
    </row>
    <row r="107" spans="1:10" x14ac:dyDescent="0.3">
      <c r="B107" s="51"/>
      <c r="C107" s="18"/>
      <c r="D107" s="20"/>
      <c r="E107" s="20"/>
    </row>
    <row r="109" spans="1:10" x14ac:dyDescent="0.3">
      <c r="B109" s="48" t="s">
        <v>2422</v>
      </c>
      <c r="C109" s="18"/>
      <c r="D109" s="20"/>
      <c r="E109" s="20"/>
    </row>
    <row r="110" spans="1:10" ht="21" x14ac:dyDescent="0.4">
      <c r="B110" s="6"/>
      <c r="C110" s="18"/>
      <c r="D110" s="20"/>
      <c r="E110" s="20"/>
    </row>
    <row r="111" spans="1:10" x14ac:dyDescent="0.3">
      <c r="B111" s="50" t="s">
        <v>344</v>
      </c>
      <c r="C111" s="712" t="s">
        <v>345</v>
      </c>
      <c r="D111" s="712"/>
      <c r="E111" s="712"/>
      <c r="F111" s="712"/>
      <c r="G111" s="712"/>
      <c r="H111" s="712"/>
      <c r="I111" s="712"/>
    </row>
    <row r="112" spans="1:10" ht="40.049999999999997" customHeight="1" x14ac:dyDescent="0.3">
      <c r="B112" s="51">
        <v>2019</v>
      </c>
      <c r="C112" s="709" t="s">
        <v>2423</v>
      </c>
      <c r="D112" s="796"/>
      <c r="E112" s="796"/>
      <c r="F112" s="796"/>
      <c r="G112" s="796"/>
      <c r="H112" s="796"/>
      <c r="I112" s="796"/>
    </row>
    <row r="113" spans="2:9" ht="40.049999999999997" customHeight="1" x14ac:dyDescent="0.3">
      <c r="B113" s="51">
        <v>2020</v>
      </c>
      <c r="C113" s="709" t="s">
        <v>2424</v>
      </c>
      <c r="D113" s="796"/>
      <c r="E113" s="796"/>
      <c r="F113" s="796"/>
      <c r="G113" s="796"/>
      <c r="H113" s="796"/>
      <c r="I113" s="796"/>
    </row>
    <row r="114" spans="2:9" ht="55.05" customHeight="1" x14ac:dyDescent="0.3">
      <c r="B114" s="51">
        <v>2021</v>
      </c>
      <c r="C114" s="709" t="s">
        <v>2425</v>
      </c>
      <c r="D114" s="796"/>
      <c r="E114" s="796"/>
      <c r="F114" s="796"/>
      <c r="G114" s="796"/>
      <c r="H114" s="796"/>
      <c r="I114" s="796"/>
    </row>
    <row r="115" spans="2:9" ht="50.1" customHeight="1" x14ac:dyDescent="0.3">
      <c r="B115" s="51">
        <v>2022</v>
      </c>
      <c r="C115" s="709" t="s">
        <v>2426</v>
      </c>
      <c r="D115" s="796"/>
      <c r="E115" s="796"/>
      <c r="F115" s="796"/>
      <c r="G115" s="796"/>
      <c r="H115" s="796"/>
      <c r="I115" s="796"/>
    </row>
    <row r="116" spans="2:9" ht="50.1" customHeight="1" x14ac:dyDescent="0.3">
      <c r="B116" s="51">
        <v>2023</v>
      </c>
      <c r="C116" s="709" t="s">
        <v>2427</v>
      </c>
      <c r="D116" s="796"/>
      <c r="E116" s="796"/>
      <c r="F116" s="796"/>
      <c r="G116" s="796"/>
      <c r="H116" s="796"/>
      <c r="I116" s="796"/>
    </row>
    <row r="117" spans="2:9" x14ac:dyDescent="0.3">
      <c r="B117" s="51"/>
      <c r="C117" s="18"/>
      <c r="D117" s="20"/>
      <c r="E117" s="20"/>
    </row>
    <row r="119" spans="2:9" x14ac:dyDescent="0.3">
      <c r="B119" s="48" t="s">
        <v>2428</v>
      </c>
      <c r="C119" s="18"/>
      <c r="D119" s="20"/>
      <c r="E119" s="20"/>
    </row>
    <row r="120" spans="2:9" ht="21" x14ac:dyDescent="0.4">
      <c r="B120" s="6"/>
      <c r="C120" s="18"/>
      <c r="D120" s="20"/>
      <c r="E120" s="20"/>
    </row>
    <row r="121" spans="2:9" x14ac:dyDescent="0.3">
      <c r="B121" s="50" t="s">
        <v>344</v>
      </c>
      <c r="C121" s="712" t="s">
        <v>345</v>
      </c>
      <c r="D121" s="712"/>
      <c r="E121" s="712"/>
      <c r="F121" s="712"/>
      <c r="G121" s="712"/>
      <c r="H121" s="712"/>
      <c r="I121" s="712"/>
    </row>
    <row r="122" spans="2:9" ht="135" customHeight="1" x14ac:dyDescent="0.3">
      <c r="B122" s="51">
        <v>2019</v>
      </c>
      <c r="C122" s="709" t="s">
        <v>2429</v>
      </c>
      <c r="D122" s="796"/>
      <c r="E122" s="796"/>
      <c r="F122" s="796"/>
      <c r="G122" s="796"/>
      <c r="H122" s="796"/>
      <c r="I122" s="796"/>
    </row>
    <row r="123" spans="2:9" ht="70.05" customHeight="1" x14ac:dyDescent="0.3">
      <c r="B123" s="51">
        <v>2020</v>
      </c>
      <c r="C123" s="709" t="s">
        <v>2430</v>
      </c>
      <c r="D123" s="796"/>
      <c r="E123" s="796"/>
      <c r="F123" s="796"/>
      <c r="G123" s="796"/>
      <c r="H123" s="796"/>
      <c r="I123" s="796"/>
    </row>
    <row r="124" spans="2:9" ht="25.05" customHeight="1" x14ac:dyDescent="0.3">
      <c r="B124" s="51">
        <v>2021</v>
      </c>
      <c r="C124" s="709" t="s">
        <v>2431</v>
      </c>
      <c r="D124" s="796"/>
      <c r="E124" s="796"/>
      <c r="F124" s="796"/>
      <c r="G124" s="796"/>
      <c r="H124" s="796"/>
      <c r="I124" s="796"/>
    </row>
    <row r="125" spans="2:9" ht="25.05" customHeight="1" x14ac:dyDescent="0.3">
      <c r="B125" s="51">
        <v>2022</v>
      </c>
      <c r="C125" s="709" t="s">
        <v>2431</v>
      </c>
      <c r="D125" s="709"/>
      <c r="E125" s="709"/>
      <c r="F125" s="709"/>
      <c r="G125" s="709"/>
      <c r="H125" s="709"/>
      <c r="I125" s="709"/>
    </row>
    <row r="126" spans="2:9" ht="25.05" customHeight="1" x14ac:dyDescent="0.3">
      <c r="B126" s="51">
        <v>2023</v>
      </c>
      <c r="C126" s="709" t="s">
        <v>2431</v>
      </c>
      <c r="D126" s="709"/>
      <c r="E126" s="709"/>
      <c r="F126" s="709"/>
      <c r="G126" s="709"/>
      <c r="H126" s="709"/>
      <c r="I126" s="709"/>
    </row>
  </sheetData>
  <sheetProtection algorithmName="SHA-512" hashValue="S2+WSTeXl3eHyFtYTfBMSEDd5oK5r+CpKVr2KRvsG5BwjMoLgkYo08WSP8d7szYZgVKU7F3HQvWNY2xPyKsVog==" saltValue="sDjKqEW0+jMYlRpdTiQNQQ==" spinCount="100000" sheet="1" objects="1" autoFilter="0" pivotTables="0"/>
  <mergeCells count="66">
    <mergeCell ref="C124:I124"/>
    <mergeCell ref="C125:I125"/>
    <mergeCell ref="C112:I112"/>
    <mergeCell ref="C113:I113"/>
    <mergeCell ref="C114:I114"/>
    <mergeCell ref="C115:I115"/>
    <mergeCell ref="C121:I121"/>
    <mergeCell ref="C116:I116"/>
    <mergeCell ref="C104:I104"/>
    <mergeCell ref="C105:I105"/>
    <mergeCell ref="C111:I111"/>
    <mergeCell ref="C122:I122"/>
    <mergeCell ref="C123:I123"/>
    <mergeCell ref="C92:I92"/>
    <mergeCell ref="C93:I93"/>
    <mergeCell ref="C101:I101"/>
    <mergeCell ref="C102:I102"/>
    <mergeCell ref="C103:I103"/>
    <mergeCell ref="C82:I82"/>
    <mergeCell ref="C83:I83"/>
    <mergeCell ref="C89:I89"/>
    <mergeCell ref="C90:I90"/>
    <mergeCell ref="C91:I91"/>
    <mergeCell ref="C72:I72"/>
    <mergeCell ref="C73:I73"/>
    <mergeCell ref="C79:I79"/>
    <mergeCell ref="C80:I80"/>
    <mergeCell ref="C81:I81"/>
    <mergeCell ref="C14:I14"/>
    <mergeCell ref="C15:I15"/>
    <mergeCell ref="C17:I17"/>
    <mergeCell ref="C18:I18"/>
    <mergeCell ref="C57:I57"/>
    <mergeCell ref="C51:I51"/>
    <mergeCell ref="C37:I37"/>
    <mergeCell ref="C38:I38"/>
    <mergeCell ref="C39:I39"/>
    <mergeCell ref="C40:I40"/>
    <mergeCell ref="C48:I48"/>
    <mergeCell ref="C28:I28"/>
    <mergeCell ref="C41:I41"/>
    <mergeCell ref="C47:I47"/>
    <mergeCell ref="C49:I49"/>
    <mergeCell ref="C50:I50"/>
    <mergeCell ref="C16:I16"/>
    <mergeCell ref="C24:I24"/>
    <mergeCell ref="C25:I25"/>
    <mergeCell ref="C26:I26"/>
    <mergeCell ref="C27:I27"/>
    <mergeCell ref="C19:I19"/>
    <mergeCell ref="C126:I126"/>
    <mergeCell ref="C29:I29"/>
    <mergeCell ref="C62:I62"/>
    <mergeCell ref="C74:I74"/>
    <mergeCell ref="C42:I42"/>
    <mergeCell ref="C52:I52"/>
    <mergeCell ref="C84:I84"/>
    <mergeCell ref="C94:I94"/>
    <mergeCell ref="C106:I106"/>
    <mergeCell ref="C58:I58"/>
    <mergeCell ref="C59:I59"/>
    <mergeCell ref="C60:I60"/>
    <mergeCell ref="C61:I61"/>
    <mergeCell ref="C69:I69"/>
    <mergeCell ref="C70:I70"/>
    <mergeCell ref="C71:I71"/>
  </mergeCells>
  <phoneticPr fontId="9" type="noConversion"/>
  <hyperlinks>
    <hyperlink ref="C31" r:id="rId1" display="Vale Portal ESG" xr:uid="{A470FAF5-6A5F-46B0-8D27-0E9F6244B8D4}"/>
  </hyperlinks>
  <pageMargins left="0.70866141732283472" right="0.70866141732283472" top="0.74803149606299213" bottom="0.74803149606299213" header="0.31496062992125984" footer="0.31496062992125984"/>
  <pageSetup paperSize="9" scale="44" fitToHeight="0" orientation="portrait" horizontalDpi="300" r:id="rId2"/>
  <headerFooter>
    <oddHeader xml:space="preserve">&amp;C </oddHead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E94B-FD15-47EF-A8E6-9BD95160EFFF}">
  <sheetPr codeName="Planilha18">
    <pageSetUpPr fitToPage="1"/>
  </sheetPr>
  <dimension ref="A1:XFC225"/>
  <sheetViews>
    <sheetView showGridLines="0" showRowColHeaders="0" showRuler="0" zoomScaleNormal="100" workbookViewId="0">
      <pane ySplit="2" topLeftCell="A3" activePane="bottomLeft" state="frozen"/>
      <selection pane="bottomLeft"/>
    </sheetView>
  </sheetViews>
  <sheetFormatPr defaultColWidth="0" defaultRowHeight="14.4" x14ac:dyDescent="0.3"/>
  <cols>
    <col min="1" max="1" width="8.77734375" customWidth="1"/>
    <col min="2" max="6" width="18.5546875" customWidth="1"/>
    <col min="7" max="7" width="24" customWidth="1"/>
    <col min="8" max="8" width="18.5546875" customWidth="1"/>
    <col min="9" max="9" width="29.21875" customWidth="1"/>
    <col min="10" max="10" width="10.5546875" customWidth="1"/>
    <col min="11" max="11" width="10.77734375" hidden="1" customWidth="1"/>
    <col min="12" max="16383" width="10.77734375" hidden="1"/>
    <col min="16384" max="16384" width="4.77734375" hidden="1"/>
  </cols>
  <sheetData>
    <row r="1" spans="1:9" ht="14.1" customHeight="1" x14ac:dyDescent="0.3">
      <c r="A1" s="46"/>
      <c r="C1" s="4"/>
      <c r="D1" s="19"/>
      <c r="E1" s="19"/>
    </row>
    <row r="2" spans="1:9" s="421" customFormat="1" ht="14.1" customHeight="1" x14ac:dyDescent="0.3">
      <c r="A2" s="445"/>
      <c r="C2" s="422"/>
      <c r="D2" s="423"/>
      <c r="E2" s="423"/>
    </row>
    <row r="3" spans="1:9" ht="14.55" customHeight="1" x14ac:dyDescent="0.3">
      <c r="C3" s="4"/>
      <c r="D3" s="19"/>
      <c r="E3" s="19"/>
    </row>
    <row r="4" spans="1:9" ht="14.55" customHeight="1" x14ac:dyDescent="0.3">
      <c r="C4" s="4"/>
      <c r="E4" s="9"/>
      <c r="I4" s="9" t="s">
        <v>0</v>
      </c>
    </row>
    <row r="5" spans="1:9" ht="14.55" customHeight="1" x14ac:dyDescent="0.3">
      <c r="C5" s="4"/>
      <c r="D5" s="19"/>
      <c r="E5" s="19"/>
    </row>
    <row r="6" spans="1:9" x14ac:dyDescent="0.3">
      <c r="C6" s="4"/>
      <c r="D6" s="19"/>
      <c r="E6" s="19"/>
    </row>
    <row r="7" spans="1:9" x14ac:dyDescent="0.3">
      <c r="C7" s="4"/>
      <c r="D7" s="19"/>
      <c r="E7" s="19"/>
    </row>
    <row r="8" spans="1:9" ht="21" x14ac:dyDescent="0.3">
      <c r="B8" s="443" t="s">
        <v>2432</v>
      </c>
      <c r="C8" s="18"/>
      <c r="D8" s="20"/>
      <c r="E8" s="20"/>
    </row>
    <row r="9" spans="1:9" ht="21" x14ac:dyDescent="0.4">
      <c r="B9" s="6"/>
      <c r="C9" s="18"/>
      <c r="D9" s="20"/>
      <c r="E9" s="20"/>
    </row>
    <row r="10" spans="1:9" s="46" customFormat="1" ht="17.399999999999999" x14ac:dyDescent="0.3">
      <c r="B10" s="710" t="s">
        <v>2433</v>
      </c>
      <c r="C10" s="710"/>
      <c r="D10" s="45"/>
      <c r="E10" s="45"/>
    </row>
    <row r="11" spans="1:9" ht="21" x14ac:dyDescent="0.4">
      <c r="B11" s="6"/>
      <c r="C11" s="18"/>
      <c r="D11" s="20"/>
      <c r="E11" s="20"/>
    </row>
    <row r="12" spans="1:9" x14ac:dyDescent="0.3">
      <c r="B12" s="48" t="s">
        <v>2434</v>
      </c>
      <c r="C12" s="18"/>
      <c r="D12" s="20"/>
      <c r="E12" s="20"/>
    </row>
    <row r="13" spans="1:9" ht="21" x14ac:dyDescent="0.4">
      <c r="B13" s="6"/>
      <c r="C13" s="18"/>
      <c r="D13" s="20"/>
      <c r="E13" s="20"/>
    </row>
    <row r="14" spans="1:9" x14ac:dyDescent="0.3">
      <c r="B14" s="50" t="s">
        <v>344</v>
      </c>
      <c r="C14" s="712" t="s">
        <v>345</v>
      </c>
      <c r="D14" s="712"/>
      <c r="E14" s="712"/>
      <c r="F14" s="712"/>
      <c r="G14" s="712"/>
      <c r="H14" s="712"/>
      <c r="I14" s="712"/>
    </row>
    <row r="15" spans="1:9" ht="54" customHeight="1" x14ac:dyDescent="0.3">
      <c r="B15" s="51">
        <v>2020</v>
      </c>
      <c r="C15" s="709" t="s">
        <v>2435</v>
      </c>
      <c r="D15" s="796"/>
      <c r="E15" s="796"/>
      <c r="F15" s="796"/>
      <c r="G15" s="796"/>
      <c r="H15" s="796"/>
      <c r="I15" s="796"/>
    </row>
    <row r="16" spans="1:9" ht="30" customHeight="1" x14ac:dyDescent="0.3">
      <c r="B16" s="51">
        <v>2021</v>
      </c>
      <c r="C16" s="796" t="s">
        <v>2436</v>
      </c>
      <c r="D16" s="796"/>
      <c r="E16" s="796"/>
      <c r="F16" s="796"/>
      <c r="G16" s="796"/>
      <c r="H16" s="796"/>
      <c r="I16" s="796"/>
    </row>
    <row r="17" spans="2:9" ht="30" customHeight="1" x14ac:dyDescent="0.3">
      <c r="B17" s="51">
        <v>2022</v>
      </c>
      <c r="C17" s="796" t="s">
        <v>2436</v>
      </c>
      <c r="D17" s="796"/>
      <c r="E17" s="796"/>
      <c r="F17" s="796"/>
      <c r="G17" s="796"/>
      <c r="H17" s="796"/>
      <c r="I17" s="796"/>
    </row>
    <row r="18" spans="2:9" x14ac:dyDescent="0.3">
      <c r="B18" s="51">
        <v>2023</v>
      </c>
      <c r="C18" s="796" t="s">
        <v>2436</v>
      </c>
      <c r="D18" s="796"/>
      <c r="E18" s="796"/>
      <c r="F18" s="796"/>
      <c r="G18" s="796"/>
      <c r="H18" s="796"/>
      <c r="I18" s="796"/>
    </row>
    <row r="21" spans="2:9" s="46" customFormat="1" ht="17.399999999999999" x14ac:dyDescent="0.3">
      <c r="B21" s="710" t="s">
        <v>2437</v>
      </c>
      <c r="C21" s="710"/>
      <c r="D21" s="710"/>
      <c r="E21" s="710"/>
      <c r="F21" s="710"/>
    </row>
    <row r="22" spans="2:9" ht="21" x14ac:dyDescent="0.4">
      <c r="B22" s="6"/>
      <c r="C22" s="18"/>
      <c r="D22" s="20"/>
      <c r="E22" s="20"/>
    </row>
    <row r="23" spans="2:9" x14ac:dyDescent="0.3">
      <c r="B23" s="48" t="s">
        <v>2438</v>
      </c>
      <c r="C23" s="18"/>
      <c r="D23" s="20"/>
      <c r="E23" s="20"/>
    </row>
    <row r="24" spans="2:9" ht="21" x14ac:dyDescent="0.4">
      <c r="B24" s="6"/>
      <c r="C24" s="18"/>
      <c r="D24" s="20"/>
      <c r="E24" s="20"/>
    </row>
    <row r="25" spans="2:9" x14ac:dyDescent="0.3">
      <c r="B25" s="50" t="s">
        <v>344</v>
      </c>
      <c r="C25" s="712" t="s">
        <v>345</v>
      </c>
      <c r="D25" s="712"/>
      <c r="E25" s="712"/>
      <c r="F25" s="712"/>
      <c r="G25" s="712"/>
      <c r="H25" s="712"/>
      <c r="I25" s="712"/>
    </row>
    <row r="26" spans="2:9" ht="40.049999999999997" customHeight="1" x14ac:dyDescent="0.3">
      <c r="B26" s="51">
        <v>2020</v>
      </c>
      <c r="C26" s="709" t="s">
        <v>2439</v>
      </c>
      <c r="D26" s="709"/>
      <c r="E26" s="709"/>
      <c r="F26" s="709"/>
      <c r="G26" s="709"/>
      <c r="H26" s="709"/>
      <c r="I26" s="709"/>
    </row>
    <row r="27" spans="2:9" ht="40.049999999999997" customHeight="1" x14ac:dyDescent="0.3">
      <c r="B27" s="51">
        <v>2021</v>
      </c>
      <c r="C27" s="709" t="s">
        <v>2440</v>
      </c>
      <c r="D27" s="709"/>
      <c r="E27" s="709"/>
      <c r="F27" s="709"/>
      <c r="G27" s="709"/>
      <c r="H27" s="709"/>
      <c r="I27" s="709"/>
    </row>
    <row r="28" spans="2:9" ht="40.049999999999997" customHeight="1" x14ac:dyDescent="0.3">
      <c r="B28" s="51">
        <v>2022</v>
      </c>
      <c r="C28" s="796" t="s">
        <v>2441</v>
      </c>
      <c r="D28" s="796"/>
      <c r="E28" s="796"/>
      <c r="F28" s="796"/>
      <c r="G28" s="796"/>
      <c r="H28" s="796"/>
      <c r="I28" s="796"/>
    </row>
    <row r="29" spans="2:9" ht="40.049999999999997" customHeight="1" x14ac:dyDescent="0.3">
      <c r="B29" s="51">
        <v>2023</v>
      </c>
      <c r="C29" s="796" t="s">
        <v>2442</v>
      </c>
      <c r="D29" s="796"/>
      <c r="E29" s="796"/>
      <c r="F29" s="796"/>
      <c r="G29" s="796"/>
      <c r="H29" s="796"/>
      <c r="I29" s="796"/>
    </row>
    <row r="30" spans="2:9" x14ac:dyDescent="0.3">
      <c r="B30" s="51"/>
      <c r="C30" s="18"/>
      <c r="D30" s="20"/>
      <c r="E30" s="20"/>
    </row>
    <row r="31" spans="2:9" x14ac:dyDescent="0.3">
      <c r="B31" s="538" t="s">
        <v>354</v>
      </c>
      <c r="C31" s="539" t="s">
        <v>2443</v>
      </c>
      <c r="D31" s="20"/>
      <c r="E31" s="20"/>
    </row>
    <row r="33" spans="2:9" s="46" customFormat="1" ht="17.399999999999999" x14ac:dyDescent="0.3">
      <c r="B33" s="710" t="s">
        <v>2444</v>
      </c>
      <c r="C33" s="710"/>
      <c r="D33" s="710"/>
      <c r="E33" s="710"/>
      <c r="F33" s="710"/>
    </row>
    <row r="34" spans="2:9" ht="21" x14ac:dyDescent="0.4">
      <c r="B34" s="6"/>
      <c r="C34" s="18"/>
      <c r="D34" s="20"/>
      <c r="E34" s="20"/>
    </row>
    <row r="35" spans="2:9" x14ac:dyDescent="0.3">
      <c r="B35" s="48" t="s">
        <v>2445</v>
      </c>
      <c r="C35" s="18"/>
      <c r="D35" s="20"/>
      <c r="E35" s="20"/>
    </row>
    <row r="36" spans="2:9" ht="21" x14ac:dyDescent="0.4">
      <c r="B36" s="6"/>
      <c r="C36" s="18"/>
      <c r="D36" s="20"/>
      <c r="E36" s="20"/>
    </row>
    <row r="37" spans="2:9" x14ac:dyDescent="0.3">
      <c r="B37" s="50" t="s">
        <v>344</v>
      </c>
      <c r="C37" s="712" t="s">
        <v>345</v>
      </c>
      <c r="D37" s="712"/>
      <c r="E37" s="712"/>
      <c r="F37" s="712"/>
      <c r="G37" s="712"/>
      <c r="H37" s="712"/>
      <c r="I37" s="712"/>
    </row>
    <row r="38" spans="2:9" ht="90" customHeight="1" x14ac:dyDescent="0.3">
      <c r="B38" s="51">
        <v>2020</v>
      </c>
      <c r="C38" s="709" t="s">
        <v>2446</v>
      </c>
      <c r="D38" s="709"/>
      <c r="E38" s="709"/>
      <c r="F38" s="709"/>
      <c r="G38" s="709"/>
      <c r="H38" s="709"/>
      <c r="I38" s="709"/>
    </row>
    <row r="39" spans="2:9" ht="50.1" customHeight="1" x14ac:dyDescent="0.3">
      <c r="B39" s="51">
        <v>2021</v>
      </c>
      <c r="C39" s="709" t="s">
        <v>2447</v>
      </c>
      <c r="D39" s="709"/>
      <c r="E39" s="709"/>
      <c r="F39" s="709"/>
      <c r="G39" s="709"/>
      <c r="H39" s="709"/>
      <c r="I39" s="709"/>
    </row>
    <row r="40" spans="2:9" ht="40.049999999999997" customHeight="1" x14ac:dyDescent="0.3">
      <c r="B40" s="51">
        <v>2022</v>
      </c>
      <c r="C40" s="709" t="s">
        <v>2448</v>
      </c>
      <c r="D40" s="709"/>
      <c r="E40" s="709"/>
      <c r="F40" s="709"/>
      <c r="G40" s="709"/>
      <c r="H40" s="709"/>
      <c r="I40" s="709"/>
    </row>
    <row r="41" spans="2:9" ht="40.049999999999997" customHeight="1" x14ac:dyDescent="0.3">
      <c r="B41" s="51">
        <v>2023</v>
      </c>
      <c r="C41" s="709" t="s">
        <v>2449</v>
      </c>
      <c r="D41" s="709"/>
      <c r="E41" s="709"/>
      <c r="F41" s="709"/>
      <c r="G41" s="709"/>
      <c r="H41" s="709"/>
      <c r="I41" s="709"/>
    </row>
    <row r="42" spans="2:9" x14ac:dyDescent="0.3">
      <c r="B42" s="51"/>
      <c r="C42" s="18"/>
      <c r="D42" s="20"/>
      <c r="E42" s="20"/>
    </row>
    <row r="44" spans="2:9" s="46" customFormat="1" ht="17.399999999999999" x14ac:dyDescent="0.3">
      <c r="B44" s="710" t="s">
        <v>2450</v>
      </c>
      <c r="C44" s="710"/>
      <c r="D44" s="710"/>
      <c r="E44" s="710"/>
      <c r="F44" s="710"/>
    </row>
    <row r="45" spans="2:9" ht="21" x14ac:dyDescent="0.4">
      <c r="B45" s="6"/>
      <c r="C45" s="18"/>
      <c r="D45" s="20"/>
      <c r="E45" s="20"/>
    </row>
    <row r="46" spans="2:9" x14ac:dyDescent="0.3">
      <c r="B46" s="48" t="s">
        <v>2451</v>
      </c>
      <c r="C46" s="18"/>
      <c r="D46" s="20"/>
      <c r="E46" s="20"/>
    </row>
    <row r="47" spans="2:9" ht="21" x14ac:dyDescent="0.4">
      <c r="B47" s="6"/>
      <c r="C47" s="18"/>
      <c r="D47" s="20"/>
      <c r="E47" s="20"/>
    </row>
    <row r="48" spans="2:9" x14ac:dyDescent="0.3">
      <c r="B48" s="50" t="s">
        <v>344</v>
      </c>
      <c r="C48" s="712" t="s">
        <v>345</v>
      </c>
      <c r="D48" s="712"/>
      <c r="E48" s="712"/>
      <c r="F48" s="712"/>
      <c r="G48" s="712"/>
      <c r="H48" s="712"/>
      <c r="I48" s="712"/>
    </row>
    <row r="49" spans="2:9" ht="120" customHeight="1" x14ac:dyDescent="0.3">
      <c r="B49" s="51">
        <v>2020</v>
      </c>
      <c r="C49" s="709" t="s">
        <v>2452</v>
      </c>
      <c r="D49" s="709"/>
      <c r="E49" s="709"/>
      <c r="F49" s="709"/>
      <c r="G49" s="709"/>
      <c r="H49" s="709"/>
      <c r="I49" s="709"/>
    </row>
    <row r="50" spans="2:9" ht="120" customHeight="1" x14ac:dyDescent="0.3">
      <c r="B50" s="51">
        <v>2021</v>
      </c>
      <c r="C50" s="709" t="s">
        <v>2453</v>
      </c>
      <c r="D50" s="709"/>
      <c r="E50" s="709"/>
      <c r="F50" s="709"/>
      <c r="G50" s="709"/>
      <c r="H50" s="709"/>
      <c r="I50" s="709"/>
    </row>
    <row r="51" spans="2:9" ht="120" customHeight="1" x14ac:dyDescent="0.3">
      <c r="B51" s="51">
        <v>2022</v>
      </c>
      <c r="C51" s="709" t="s">
        <v>2454</v>
      </c>
      <c r="D51" s="709"/>
      <c r="E51" s="709"/>
      <c r="F51" s="709"/>
      <c r="G51" s="709"/>
      <c r="H51" s="709"/>
      <c r="I51" s="709"/>
    </row>
    <row r="52" spans="2:9" ht="120" customHeight="1" x14ac:dyDescent="0.3">
      <c r="B52" s="51">
        <v>2023</v>
      </c>
      <c r="C52" s="709" t="s">
        <v>2455</v>
      </c>
      <c r="D52" s="709"/>
      <c r="E52" s="709"/>
      <c r="F52" s="709"/>
      <c r="G52" s="709"/>
      <c r="H52" s="709"/>
      <c r="I52" s="709"/>
    </row>
    <row r="53" spans="2:9" x14ac:dyDescent="0.3">
      <c r="B53" s="51"/>
      <c r="C53" s="18"/>
      <c r="D53" s="20"/>
      <c r="E53" s="20"/>
    </row>
    <row r="55" spans="2:9" s="46" customFormat="1" ht="17.399999999999999" x14ac:dyDescent="0.3">
      <c r="B55" s="710" t="s">
        <v>2456</v>
      </c>
      <c r="C55" s="710"/>
      <c r="D55" s="710"/>
      <c r="E55" s="710"/>
      <c r="F55" s="710"/>
    </row>
    <row r="56" spans="2:9" ht="21" x14ac:dyDescent="0.4">
      <c r="B56" s="6"/>
      <c r="C56" s="18"/>
      <c r="D56" s="20"/>
      <c r="E56" s="20"/>
    </row>
    <row r="57" spans="2:9" x14ac:dyDescent="0.3">
      <c r="B57" s="48" t="s">
        <v>2457</v>
      </c>
      <c r="C57" s="18"/>
      <c r="D57" s="20"/>
      <c r="E57" s="20"/>
    </row>
    <row r="58" spans="2:9" ht="21" x14ac:dyDescent="0.4">
      <c r="B58" s="6"/>
      <c r="C58" s="18"/>
      <c r="D58" s="20"/>
      <c r="E58" s="20"/>
    </row>
    <row r="59" spans="2:9" x14ac:dyDescent="0.3">
      <c r="B59" s="50" t="s">
        <v>344</v>
      </c>
      <c r="C59" s="712" t="s">
        <v>345</v>
      </c>
      <c r="D59" s="712"/>
      <c r="E59" s="712"/>
      <c r="F59" s="712"/>
      <c r="G59" s="712"/>
      <c r="H59" s="712"/>
      <c r="I59" s="712"/>
    </row>
    <row r="60" spans="2:9" ht="75" customHeight="1" x14ac:dyDescent="0.3">
      <c r="B60" s="51">
        <v>2020</v>
      </c>
      <c r="C60" s="709" t="s">
        <v>2458</v>
      </c>
      <c r="D60" s="709"/>
      <c r="E60" s="709"/>
      <c r="F60" s="709"/>
      <c r="G60" s="709"/>
      <c r="H60" s="709"/>
      <c r="I60" s="709"/>
    </row>
    <row r="61" spans="2:9" ht="65.099999999999994" customHeight="1" x14ac:dyDescent="0.3">
      <c r="B61" s="51">
        <v>2021</v>
      </c>
      <c r="C61" s="709" t="s">
        <v>2459</v>
      </c>
      <c r="D61" s="709"/>
      <c r="E61" s="709"/>
      <c r="F61" s="709"/>
      <c r="G61" s="709"/>
      <c r="H61" s="709"/>
      <c r="I61" s="709"/>
    </row>
    <row r="62" spans="2:9" ht="65.099999999999994" customHeight="1" x14ac:dyDescent="0.3">
      <c r="B62" s="51">
        <v>2022</v>
      </c>
      <c r="C62" s="709" t="s">
        <v>2460</v>
      </c>
      <c r="D62" s="709"/>
      <c r="E62" s="709"/>
      <c r="F62" s="709"/>
      <c r="G62" s="709"/>
      <c r="H62" s="709"/>
      <c r="I62" s="709"/>
    </row>
    <row r="63" spans="2:9" ht="65.099999999999994" customHeight="1" x14ac:dyDescent="0.3">
      <c r="B63" s="51">
        <v>2023</v>
      </c>
      <c r="C63" s="709" t="s">
        <v>2461</v>
      </c>
      <c r="D63" s="709"/>
      <c r="E63" s="709"/>
      <c r="F63" s="709"/>
      <c r="G63" s="709"/>
      <c r="H63" s="709"/>
      <c r="I63" s="709"/>
    </row>
    <row r="64" spans="2:9" x14ac:dyDescent="0.3">
      <c r="B64" s="51"/>
      <c r="C64" s="18"/>
      <c r="D64" s="20"/>
      <c r="E64" s="20"/>
    </row>
    <row r="66" spans="2:9" s="46" customFormat="1" ht="17.399999999999999" x14ac:dyDescent="0.3">
      <c r="B66" s="710" t="s">
        <v>2462</v>
      </c>
      <c r="C66" s="710"/>
      <c r="D66" s="710"/>
      <c r="E66" s="710"/>
      <c r="F66" s="710"/>
    </row>
    <row r="67" spans="2:9" ht="21" x14ac:dyDescent="0.4">
      <c r="B67" s="6"/>
      <c r="C67" s="18"/>
      <c r="D67" s="20"/>
      <c r="E67" s="20"/>
    </row>
    <row r="68" spans="2:9" x14ac:dyDescent="0.3">
      <c r="B68" s="48" t="s">
        <v>2463</v>
      </c>
      <c r="C68" s="18"/>
      <c r="D68" s="20"/>
      <c r="E68" s="20"/>
    </row>
    <row r="69" spans="2:9" ht="21" x14ac:dyDescent="0.4">
      <c r="B69" s="6"/>
      <c r="C69" s="18"/>
      <c r="D69" s="20"/>
      <c r="E69" s="20"/>
    </row>
    <row r="70" spans="2:9" x14ac:dyDescent="0.3">
      <c r="B70" s="50" t="s">
        <v>344</v>
      </c>
      <c r="C70" s="712" t="s">
        <v>345</v>
      </c>
      <c r="D70" s="712"/>
      <c r="E70" s="712"/>
      <c r="F70" s="712"/>
      <c r="G70" s="712"/>
      <c r="H70" s="712"/>
      <c r="I70" s="712"/>
    </row>
    <row r="71" spans="2:9" ht="85.05" customHeight="1" x14ac:dyDescent="0.3">
      <c r="B71" s="51">
        <v>2020</v>
      </c>
      <c r="C71" s="713" t="s">
        <v>2464</v>
      </c>
      <c r="D71" s="713"/>
      <c r="E71" s="713"/>
      <c r="F71" s="713"/>
      <c r="G71" s="713"/>
      <c r="H71" s="713"/>
      <c r="I71" s="713"/>
    </row>
    <row r="72" spans="2:9" ht="85.05" customHeight="1" x14ac:dyDescent="0.3">
      <c r="B72" s="51">
        <v>2021</v>
      </c>
      <c r="C72" s="713" t="s">
        <v>2465</v>
      </c>
      <c r="D72" s="713"/>
      <c r="E72" s="713"/>
      <c r="F72" s="713"/>
      <c r="G72" s="713"/>
      <c r="H72" s="713"/>
      <c r="I72" s="713"/>
    </row>
    <row r="73" spans="2:9" ht="85.05" customHeight="1" x14ac:dyDescent="0.3">
      <c r="B73" s="51">
        <v>2022</v>
      </c>
      <c r="C73" s="713" t="s">
        <v>2466</v>
      </c>
      <c r="D73" s="713"/>
      <c r="E73" s="713"/>
      <c r="F73" s="713"/>
      <c r="G73" s="713"/>
      <c r="H73" s="713"/>
      <c r="I73" s="713"/>
    </row>
    <row r="74" spans="2:9" ht="85.05" customHeight="1" x14ac:dyDescent="0.3">
      <c r="B74" s="51">
        <v>2023</v>
      </c>
      <c r="C74" s="713" t="s">
        <v>2467</v>
      </c>
      <c r="D74" s="713"/>
      <c r="E74" s="713"/>
      <c r="F74" s="713"/>
      <c r="G74" s="713"/>
      <c r="H74" s="713"/>
      <c r="I74" s="713"/>
    </row>
    <row r="77" spans="2:9" x14ac:dyDescent="0.3">
      <c r="B77" s="48" t="s">
        <v>2468</v>
      </c>
      <c r="C77" s="18"/>
      <c r="D77" s="20"/>
      <c r="E77" s="20"/>
    </row>
    <row r="78" spans="2:9" ht="21" x14ac:dyDescent="0.4">
      <c r="B78" s="6"/>
      <c r="C78" s="18"/>
      <c r="D78" s="20"/>
      <c r="E78" s="20"/>
    </row>
    <row r="79" spans="2:9" x14ac:dyDescent="0.3">
      <c r="B79" s="50" t="s">
        <v>344</v>
      </c>
      <c r="C79" s="712" t="s">
        <v>345</v>
      </c>
      <c r="D79" s="712"/>
      <c r="E79" s="712"/>
      <c r="F79" s="712"/>
      <c r="G79" s="712"/>
      <c r="H79" s="712"/>
      <c r="I79" s="712"/>
    </row>
    <row r="80" spans="2:9" ht="90" customHeight="1" x14ac:dyDescent="0.3">
      <c r="B80" s="51">
        <v>2020</v>
      </c>
      <c r="C80" s="709" t="s">
        <v>2469</v>
      </c>
      <c r="D80" s="709"/>
      <c r="E80" s="709"/>
      <c r="F80" s="709"/>
      <c r="G80" s="709"/>
      <c r="H80" s="709"/>
      <c r="I80" s="709"/>
    </row>
    <row r="81" spans="2:9" ht="90" customHeight="1" x14ac:dyDescent="0.3">
      <c r="B81" s="51">
        <v>2021</v>
      </c>
      <c r="C81" s="709" t="s">
        <v>2469</v>
      </c>
      <c r="D81" s="709"/>
      <c r="E81" s="709"/>
      <c r="F81" s="709"/>
      <c r="G81" s="709"/>
      <c r="H81" s="709"/>
      <c r="I81" s="709"/>
    </row>
    <row r="82" spans="2:9" ht="90" customHeight="1" x14ac:dyDescent="0.3">
      <c r="B82" s="51">
        <v>2022</v>
      </c>
      <c r="C82" s="709" t="s">
        <v>2469</v>
      </c>
      <c r="D82" s="709"/>
      <c r="E82" s="709"/>
      <c r="F82" s="709"/>
      <c r="G82" s="709"/>
      <c r="H82" s="709"/>
      <c r="I82" s="709"/>
    </row>
    <row r="83" spans="2:9" ht="90" customHeight="1" x14ac:dyDescent="0.3">
      <c r="B83" s="51">
        <v>2023</v>
      </c>
      <c r="C83" s="709" t="s">
        <v>2469</v>
      </c>
      <c r="D83" s="709"/>
      <c r="E83" s="709"/>
      <c r="F83" s="709"/>
      <c r="G83" s="709"/>
      <c r="H83" s="709"/>
      <c r="I83" s="709"/>
    </row>
    <row r="84" spans="2:9" ht="20.55" customHeight="1" x14ac:dyDescent="0.3"/>
    <row r="86" spans="2:9" s="46" customFormat="1" ht="17.399999999999999" x14ac:dyDescent="0.3">
      <c r="B86" s="710" t="s">
        <v>2470</v>
      </c>
      <c r="C86" s="710"/>
      <c r="D86" s="710"/>
      <c r="E86" s="710"/>
      <c r="F86" s="710"/>
    </row>
    <row r="87" spans="2:9" ht="21" x14ac:dyDescent="0.4">
      <c r="B87" s="6"/>
      <c r="C87" s="18"/>
      <c r="D87" s="20"/>
      <c r="E87" s="20"/>
    </row>
    <row r="88" spans="2:9" x14ac:dyDescent="0.3">
      <c r="B88" s="48" t="s">
        <v>2471</v>
      </c>
      <c r="C88" s="18"/>
      <c r="D88" s="20"/>
      <c r="E88" s="20"/>
    </row>
    <row r="89" spans="2:9" ht="21" x14ac:dyDescent="0.4">
      <c r="B89" s="6"/>
      <c r="C89" s="18"/>
      <c r="D89" s="20"/>
      <c r="E89" s="20"/>
    </row>
    <row r="90" spans="2:9" x14ac:dyDescent="0.3">
      <c r="B90" s="725" t="s">
        <v>344</v>
      </c>
      <c r="C90" s="712" t="s">
        <v>345</v>
      </c>
      <c r="D90" s="712"/>
      <c r="E90" s="712"/>
      <c r="F90" s="712"/>
      <c r="G90" s="712"/>
      <c r="H90" s="712"/>
      <c r="I90" s="712"/>
    </row>
    <row r="91" spans="2:9" ht="25.05" customHeight="1" x14ac:dyDescent="0.3">
      <c r="B91" s="725"/>
      <c r="C91" s="725" t="s">
        <v>984</v>
      </c>
      <c r="D91" s="725"/>
      <c r="E91" s="725"/>
      <c r="F91" s="725"/>
      <c r="G91" s="725"/>
      <c r="H91" s="725"/>
      <c r="I91" s="725"/>
    </row>
    <row r="92" spans="2:9" ht="55.2" x14ac:dyDescent="0.3">
      <c r="B92" s="725"/>
      <c r="C92" s="152" t="s">
        <v>848</v>
      </c>
      <c r="D92" s="152" t="s">
        <v>2472</v>
      </c>
      <c r="E92" s="152" t="s">
        <v>2473</v>
      </c>
      <c r="F92" s="152" t="s">
        <v>946</v>
      </c>
      <c r="G92" s="152" t="s">
        <v>947</v>
      </c>
      <c r="H92" s="152" t="s">
        <v>948</v>
      </c>
      <c r="I92" s="152" t="s">
        <v>949</v>
      </c>
    </row>
    <row r="93" spans="2:9" ht="55.05" customHeight="1" x14ac:dyDescent="0.3">
      <c r="B93" s="51">
        <v>2020</v>
      </c>
      <c r="C93" s="575" t="s">
        <v>2474</v>
      </c>
      <c r="D93" s="575" t="s">
        <v>2475</v>
      </c>
      <c r="E93" s="575" t="s">
        <v>2476</v>
      </c>
      <c r="F93" s="575" t="s">
        <v>2477</v>
      </c>
      <c r="G93" s="575" t="s">
        <v>2478</v>
      </c>
      <c r="H93" s="575" t="s">
        <v>2479</v>
      </c>
      <c r="I93" s="575" t="s">
        <v>2480</v>
      </c>
    </row>
    <row r="94" spans="2:9" ht="55.05" customHeight="1" x14ac:dyDescent="0.3">
      <c r="B94" s="51">
        <v>2021</v>
      </c>
      <c r="C94" s="575" t="s">
        <v>2481</v>
      </c>
      <c r="D94" s="575" t="s">
        <v>1000</v>
      </c>
      <c r="E94" s="575" t="s">
        <v>2482</v>
      </c>
      <c r="F94" s="575" t="s">
        <v>2483</v>
      </c>
      <c r="G94" s="575" t="s">
        <v>2484</v>
      </c>
      <c r="H94" s="575" t="s">
        <v>2485</v>
      </c>
      <c r="I94" s="575" t="s">
        <v>2480</v>
      </c>
    </row>
    <row r="95" spans="2:9" ht="55.05" customHeight="1" x14ac:dyDescent="0.3">
      <c r="B95" s="51">
        <v>2022</v>
      </c>
      <c r="C95" s="575" t="s">
        <v>2486</v>
      </c>
      <c r="D95" s="575" t="s">
        <v>2487</v>
      </c>
      <c r="E95" s="575" t="s">
        <v>2488</v>
      </c>
      <c r="F95" s="575" t="s">
        <v>2489</v>
      </c>
      <c r="G95" s="575" t="s">
        <v>2490</v>
      </c>
      <c r="H95" s="575" t="s">
        <v>2491</v>
      </c>
      <c r="I95" s="575" t="s">
        <v>2492</v>
      </c>
    </row>
    <row r="96" spans="2:9" ht="55.05" customHeight="1" x14ac:dyDescent="0.3">
      <c r="B96" s="51">
        <v>2023</v>
      </c>
      <c r="C96" s="575" t="s">
        <v>1012</v>
      </c>
      <c r="D96" s="575" t="s">
        <v>1013</v>
      </c>
      <c r="E96" s="575" t="s">
        <v>1014</v>
      </c>
      <c r="F96" s="575" t="s">
        <v>1015</v>
      </c>
      <c r="G96" s="575" t="s">
        <v>1016</v>
      </c>
      <c r="H96" s="575" t="s">
        <v>1017</v>
      </c>
      <c r="I96" s="575" t="s">
        <v>1018</v>
      </c>
    </row>
    <row r="97" spans="2:9" ht="90" customHeight="1" x14ac:dyDescent="0.3">
      <c r="B97" s="797" t="s">
        <v>2493</v>
      </c>
      <c r="C97" s="797"/>
      <c r="D97" s="797"/>
      <c r="E97" s="797"/>
      <c r="F97" s="797"/>
      <c r="G97" s="797"/>
      <c r="H97" s="797"/>
      <c r="I97" s="797"/>
    </row>
    <row r="99" spans="2:9" s="46" customFormat="1" ht="17.399999999999999" x14ac:dyDescent="0.3">
      <c r="B99" s="710" t="s">
        <v>2494</v>
      </c>
      <c r="C99" s="710"/>
      <c r="D99" s="710"/>
      <c r="E99" s="710"/>
      <c r="F99" s="710"/>
    </row>
    <row r="100" spans="2:9" ht="21" x14ac:dyDescent="0.4">
      <c r="B100" s="6"/>
      <c r="C100" s="18"/>
      <c r="D100" s="20"/>
      <c r="E100" s="20"/>
    </row>
    <row r="101" spans="2:9" x14ac:dyDescent="0.3">
      <c r="B101" s="48" t="s">
        <v>2495</v>
      </c>
      <c r="C101" s="18"/>
      <c r="D101" s="20"/>
      <c r="E101" s="20"/>
    </row>
    <row r="102" spans="2:9" ht="21" x14ac:dyDescent="0.4">
      <c r="B102" s="6"/>
      <c r="C102" s="18"/>
      <c r="D102" s="20"/>
      <c r="E102" s="20"/>
    </row>
    <row r="103" spans="2:9" x14ac:dyDescent="0.3">
      <c r="B103" s="50" t="s">
        <v>344</v>
      </c>
      <c r="C103" s="712" t="s">
        <v>345</v>
      </c>
      <c r="D103" s="712"/>
      <c r="E103" s="712"/>
      <c r="F103" s="712"/>
      <c r="G103" s="712"/>
      <c r="H103" s="712"/>
      <c r="I103" s="712"/>
    </row>
    <row r="104" spans="2:9" ht="135" customHeight="1" x14ac:dyDescent="0.3">
      <c r="B104" s="51">
        <v>2020</v>
      </c>
      <c r="C104" s="713" t="s">
        <v>2496</v>
      </c>
      <c r="D104" s="713"/>
      <c r="E104" s="713"/>
      <c r="F104" s="713"/>
      <c r="G104" s="713"/>
      <c r="H104" s="713"/>
      <c r="I104" s="713"/>
    </row>
    <row r="105" spans="2:9" ht="265.05" customHeight="1" x14ac:dyDescent="0.3">
      <c r="B105" s="51">
        <v>2021</v>
      </c>
      <c r="C105" s="713" t="s">
        <v>2497</v>
      </c>
      <c r="D105" s="713"/>
      <c r="E105" s="713"/>
      <c r="F105" s="713"/>
      <c r="G105" s="713"/>
      <c r="H105" s="713"/>
      <c r="I105" s="713"/>
    </row>
    <row r="106" spans="2:9" ht="388.05" customHeight="1" x14ac:dyDescent="0.3">
      <c r="B106" s="51">
        <v>2022</v>
      </c>
      <c r="C106" s="713" t="s">
        <v>923</v>
      </c>
      <c r="D106" s="713"/>
      <c r="E106" s="713"/>
      <c r="F106" s="713"/>
      <c r="G106" s="713"/>
      <c r="H106" s="713"/>
      <c r="I106" s="210"/>
    </row>
    <row r="107" spans="2:9" ht="404.25" customHeight="1" x14ac:dyDescent="0.3">
      <c r="B107" s="51">
        <v>2023</v>
      </c>
      <c r="C107" s="713" t="s">
        <v>924</v>
      </c>
      <c r="D107" s="713"/>
      <c r="E107" s="713"/>
      <c r="F107" s="713"/>
      <c r="G107" s="713"/>
      <c r="H107" s="713"/>
      <c r="I107" s="210"/>
    </row>
    <row r="108" spans="2:9" x14ac:dyDescent="0.3">
      <c r="B108" s="51"/>
      <c r="C108" s="18"/>
      <c r="D108" s="20"/>
      <c r="E108" s="20"/>
    </row>
    <row r="110" spans="2:9" s="46" customFormat="1" ht="17.399999999999999" x14ac:dyDescent="0.3">
      <c r="B110" s="710" t="s">
        <v>2498</v>
      </c>
      <c r="C110" s="710"/>
      <c r="D110" s="710"/>
      <c r="E110" s="710"/>
      <c r="F110" s="710"/>
    </row>
    <row r="111" spans="2:9" ht="21" x14ac:dyDescent="0.4">
      <c r="B111" s="6"/>
      <c r="C111" s="18"/>
      <c r="D111" s="20"/>
      <c r="E111" s="20"/>
    </row>
    <row r="112" spans="2:9" x14ac:dyDescent="0.3">
      <c r="B112" s="48" t="s">
        <v>2499</v>
      </c>
      <c r="C112" s="18"/>
      <c r="D112" s="20"/>
      <c r="E112" s="20"/>
    </row>
    <row r="113" spans="2:9" ht="21" x14ac:dyDescent="0.4">
      <c r="B113" s="6"/>
      <c r="C113" s="18"/>
      <c r="D113" s="20"/>
      <c r="E113" s="20"/>
    </row>
    <row r="114" spans="2:9" x14ac:dyDescent="0.3">
      <c r="B114" s="50" t="s">
        <v>344</v>
      </c>
      <c r="C114" s="712" t="s">
        <v>345</v>
      </c>
      <c r="D114" s="712"/>
      <c r="E114" s="712"/>
      <c r="F114" s="712"/>
      <c r="G114" s="712"/>
      <c r="H114" s="712"/>
      <c r="I114" s="712"/>
    </row>
    <row r="115" spans="2:9" ht="45" customHeight="1" x14ac:dyDescent="0.3">
      <c r="B115" s="51">
        <v>2020</v>
      </c>
      <c r="C115" s="709" t="s">
        <v>2500</v>
      </c>
      <c r="D115" s="709"/>
      <c r="E115" s="709"/>
      <c r="F115" s="709"/>
      <c r="G115" s="709"/>
      <c r="H115" s="709"/>
      <c r="I115" s="709"/>
    </row>
    <row r="116" spans="2:9" ht="50.1" customHeight="1" x14ac:dyDescent="0.3">
      <c r="B116" s="51">
        <v>2021</v>
      </c>
      <c r="C116" s="709" t="s">
        <v>2500</v>
      </c>
      <c r="D116" s="709"/>
      <c r="E116" s="709"/>
      <c r="F116" s="709"/>
      <c r="G116" s="709"/>
      <c r="H116" s="709"/>
      <c r="I116" s="709"/>
    </row>
    <row r="117" spans="2:9" ht="40.049999999999997" customHeight="1" x14ac:dyDescent="0.3">
      <c r="B117" s="51">
        <v>2022</v>
      </c>
      <c r="C117" s="709" t="s">
        <v>2501</v>
      </c>
      <c r="D117" s="709"/>
      <c r="E117" s="709"/>
      <c r="F117" s="709"/>
      <c r="G117" s="709"/>
      <c r="H117" s="709"/>
      <c r="I117" s="709"/>
    </row>
    <row r="118" spans="2:9" ht="40.049999999999997" customHeight="1" x14ac:dyDescent="0.3">
      <c r="B118" s="51">
        <v>2023</v>
      </c>
      <c r="C118" s="709" t="s">
        <v>2501</v>
      </c>
      <c r="D118" s="709"/>
      <c r="E118" s="709"/>
      <c r="F118" s="709"/>
      <c r="G118" s="709"/>
      <c r="H118" s="709"/>
      <c r="I118" s="709"/>
    </row>
    <row r="119" spans="2:9" ht="19.5" customHeight="1" x14ac:dyDescent="0.3">
      <c r="B119" s="739" t="s">
        <v>2502</v>
      </c>
      <c r="C119" s="739"/>
      <c r="D119" s="739"/>
      <c r="E119" s="739"/>
      <c r="F119" s="739"/>
      <c r="G119" s="739"/>
      <c r="H119" s="739"/>
      <c r="I119" s="739"/>
    </row>
    <row r="120" spans="2:9" x14ac:dyDescent="0.3">
      <c r="B120" s="51"/>
      <c r="C120" s="300"/>
      <c r="D120" s="301"/>
      <c r="E120" s="301"/>
      <c r="F120" s="178"/>
      <c r="G120" s="178"/>
      <c r="H120" s="178"/>
      <c r="I120" s="178"/>
    </row>
    <row r="121" spans="2:9" x14ac:dyDescent="0.3">
      <c r="B121" s="178"/>
      <c r="C121" s="178"/>
      <c r="D121" s="178"/>
      <c r="E121" s="178"/>
      <c r="F121" s="178"/>
      <c r="G121" s="178"/>
      <c r="H121" s="178"/>
      <c r="I121" s="178"/>
    </row>
    <row r="122" spans="2:9" x14ac:dyDescent="0.3">
      <c r="B122" s="48" t="s">
        <v>2503</v>
      </c>
      <c r="C122" s="18"/>
      <c r="D122" s="20"/>
      <c r="E122" s="20"/>
    </row>
    <row r="123" spans="2:9" ht="21" x14ac:dyDescent="0.4">
      <c r="B123" s="6"/>
      <c r="C123" s="18"/>
      <c r="D123" s="20"/>
      <c r="E123" s="20"/>
    </row>
    <row r="124" spans="2:9" ht="19.05" customHeight="1" x14ac:dyDescent="0.3">
      <c r="B124" s="8"/>
      <c r="C124" s="712" t="s">
        <v>2504</v>
      </c>
      <c r="D124" s="712"/>
      <c r="E124" s="712"/>
      <c r="F124" s="712"/>
      <c r="G124" s="712"/>
      <c r="H124" s="712"/>
      <c r="I124" s="8"/>
    </row>
    <row r="125" spans="2:9" ht="21.6" customHeight="1" x14ac:dyDescent="0.3">
      <c r="B125" s="50"/>
      <c r="C125" s="712" t="s">
        <v>2505</v>
      </c>
      <c r="D125" s="712"/>
      <c r="E125" s="712"/>
      <c r="F125" s="712"/>
      <c r="G125" s="712"/>
      <c r="H125" s="712"/>
      <c r="I125" s="49"/>
    </row>
    <row r="126" spans="2:9" ht="27.6" x14ac:dyDescent="0.3">
      <c r="B126" s="50" t="s">
        <v>2506</v>
      </c>
      <c r="C126" s="60" t="s">
        <v>2507</v>
      </c>
      <c r="D126" s="60" t="s">
        <v>2508</v>
      </c>
      <c r="E126" s="60" t="s">
        <v>2509</v>
      </c>
      <c r="F126" s="60" t="s">
        <v>2510</v>
      </c>
      <c r="G126" s="60" t="s">
        <v>1959</v>
      </c>
      <c r="H126" s="61" t="s">
        <v>2511</v>
      </c>
      <c r="I126" s="50"/>
    </row>
    <row r="127" spans="2:9" ht="20.100000000000001" customHeight="1" x14ac:dyDescent="0.3">
      <c r="B127" s="51">
        <v>2023</v>
      </c>
      <c r="C127" s="595" t="s">
        <v>2005</v>
      </c>
      <c r="D127" s="595" t="s">
        <v>2006</v>
      </c>
      <c r="E127" s="595" t="s">
        <v>2007</v>
      </c>
      <c r="F127" s="595" t="s">
        <v>2008</v>
      </c>
      <c r="G127" s="595" t="s">
        <v>2009</v>
      </c>
      <c r="H127" s="595" t="s">
        <v>2010</v>
      </c>
      <c r="I127" s="485"/>
    </row>
    <row r="128" spans="2:9" x14ac:dyDescent="0.3">
      <c r="B128" s="51"/>
      <c r="C128" s="499"/>
      <c r="D128" s="499"/>
      <c r="E128" s="499"/>
      <c r="F128" s="499"/>
      <c r="G128" s="499"/>
      <c r="H128" s="499"/>
      <c r="I128" s="485"/>
    </row>
    <row r="129" spans="2:9" ht="18.600000000000001" customHeight="1" x14ac:dyDescent="0.3">
      <c r="B129" s="50"/>
      <c r="C129" s="712" t="s">
        <v>2512</v>
      </c>
      <c r="D129" s="712"/>
      <c r="E129" s="712"/>
      <c r="F129" s="712"/>
      <c r="G129" s="712"/>
      <c r="H129" s="712"/>
      <c r="I129" s="50"/>
    </row>
    <row r="130" spans="2:9" ht="20.55" customHeight="1" x14ac:dyDescent="0.3">
      <c r="B130" s="50" t="s">
        <v>2506</v>
      </c>
      <c r="C130" s="753" t="s">
        <v>2513</v>
      </c>
      <c r="D130" s="753"/>
      <c r="E130" s="753" t="s">
        <v>2514</v>
      </c>
      <c r="F130" s="753"/>
      <c r="G130" s="747" t="s">
        <v>2515</v>
      </c>
      <c r="H130" s="747"/>
      <c r="I130" s="50"/>
    </row>
    <row r="131" spans="2:9" x14ac:dyDescent="0.3">
      <c r="B131" s="51">
        <v>2023</v>
      </c>
      <c r="C131" s="791" t="s">
        <v>2012</v>
      </c>
      <c r="D131" s="790"/>
      <c r="E131" s="791" t="s">
        <v>2013</v>
      </c>
      <c r="F131" s="790"/>
      <c r="G131" s="791" t="s">
        <v>2014</v>
      </c>
      <c r="H131" s="790"/>
      <c r="I131" s="485"/>
    </row>
    <row r="132" spans="2:9" x14ac:dyDescent="0.3">
      <c r="B132" s="51"/>
      <c r="C132" s="18"/>
      <c r="D132" s="20"/>
      <c r="E132" s="20"/>
    </row>
    <row r="133" spans="2:9" x14ac:dyDescent="0.3">
      <c r="B133" s="48" t="s">
        <v>2516</v>
      </c>
      <c r="C133" s="300"/>
      <c r="D133" s="301"/>
      <c r="E133" s="301"/>
      <c r="F133" s="178"/>
      <c r="G133" s="178"/>
      <c r="H133" s="178"/>
      <c r="I133" s="178"/>
    </row>
    <row r="134" spans="2:9" ht="21" x14ac:dyDescent="0.4">
      <c r="B134" s="303"/>
      <c r="C134" s="300"/>
      <c r="D134" s="301"/>
      <c r="E134" s="301"/>
      <c r="F134" s="178"/>
      <c r="G134" s="178"/>
      <c r="H134" s="178"/>
      <c r="I134" s="178"/>
    </row>
    <row r="135" spans="2:9" x14ac:dyDescent="0.3">
      <c r="B135" s="50" t="s">
        <v>344</v>
      </c>
      <c r="C135" s="712" t="s">
        <v>345</v>
      </c>
      <c r="D135" s="712"/>
      <c r="E135" s="712"/>
      <c r="F135" s="712"/>
      <c r="G135" s="712"/>
      <c r="H135" s="712"/>
      <c r="I135" s="712"/>
    </row>
    <row r="136" spans="2:9" ht="79.05" customHeight="1" x14ac:dyDescent="0.3">
      <c r="B136" s="51">
        <v>2020</v>
      </c>
      <c r="C136" s="709" t="s">
        <v>2517</v>
      </c>
      <c r="D136" s="709"/>
      <c r="E136" s="709"/>
      <c r="F136" s="709"/>
      <c r="G136" s="709"/>
      <c r="H136" s="709"/>
      <c r="I136" s="709"/>
    </row>
    <row r="137" spans="2:9" ht="80.099999999999994" customHeight="1" x14ac:dyDescent="0.3">
      <c r="B137" s="51">
        <v>2021</v>
      </c>
      <c r="C137" s="709" t="s">
        <v>2517</v>
      </c>
      <c r="D137" s="709"/>
      <c r="E137" s="709"/>
      <c r="F137" s="709"/>
      <c r="G137" s="709"/>
      <c r="H137" s="709"/>
      <c r="I137" s="709"/>
    </row>
    <row r="138" spans="2:9" ht="74.099999999999994" customHeight="1" x14ac:dyDescent="0.3">
      <c r="B138" s="51">
        <v>2022</v>
      </c>
      <c r="C138" s="709" t="s">
        <v>2517</v>
      </c>
      <c r="D138" s="709"/>
      <c r="E138" s="709"/>
      <c r="F138" s="709"/>
      <c r="G138" s="709"/>
      <c r="H138" s="709"/>
      <c r="I138" s="709"/>
    </row>
    <row r="139" spans="2:9" ht="74.099999999999994" customHeight="1" x14ac:dyDescent="0.3">
      <c r="B139" s="51">
        <v>2023</v>
      </c>
      <c r="C139" s="732" t="s">
        <v>2518</v>
      </c>
      <c r="D139" s="732"/>
      <c r="E139" s="732"/>
      <c r="F139" s="732"/>
      <c r="G139" s="732"/>
      <c r="H139" s="732"/>
      <c r="I139" s="732"/>
    </row>
    <row r="140" spans="2:9" ht="42" customHeight="1" x14ac:dyDescent="0.3">
      <c r="B140" s="739" t="s">
        <v>2519</v>
      </c>
      <c r="C140" s="739"/>
      <c r="D140" s="739"/>
      <c r="E140" s="739"/>
      <c r="F140" s="739"/>
      <c r="G140" s="739"/>
      <c r="H140" s="739"/>
      <c r="I140" s="739"/>
    </row>
    <row r="141" spans="2:9" x14ac:dyDescent="0.3">
      <c r="B141" s="51"/>
      <c r="C141" s="18"/>
      <c r="D141" s="20"/>
      <c r="E141" s="20"/>
    </row>
    <row r="143" spans="2:9" x14ac:dyDescent="0.3">
      <c r="B143" s="48" t="s">
        <v>2520</v>
      </c>
      <c r="C143" s="18"/>
      <c r="D143" s="20"/>
      <c r="E143" s="20"/>
    </row>
    <row r="144" spans="2:9" ht="21" x14ac:dyDescent="0.4">
      <c r="B144" s="6"/>
      <c r="C144" s="18"/>
      <c r="D144" s="20"/>
      <c r="E144" s="20"/>
    </row>
    <row r="145" spans="2:9" x14ac:dyDescent="0.3">
      <c r="B145" s="50" t="s">
        <v>344</v>
      </c>
      <c r="C145" s="712" t="s">
        <v>345</v>
      </c>
      <c r="D145" s="712"/>
      <c r="E145" s="712"/>
      <c r="F145" s="712"/>
      <c r="G145" s="712"/>
      <c r="H145" s="712"/>
      <c r="I145" s="712"/>
    </row>
    <row r="146" spans="2:9" ht="190.05" customHeight="1" x14ac:dyDescent="0.3">
      <c r="B146" s="51">
        <v>2020</v>
      </c>
      <c r="C146" s="709" t="s">
        <v>2521</v>
      </c>
      <c r="D146" s="709"/>
      <c r="E146" s="709"/>
      <c r="F146" s="709"/>
      <c r="G146" s="709"/>
      <c r="H146" s="709"/>
      <c r="I146" s="709"/>
    </row>
    <row r="147" spans="2:9" ht="75" customHeight="1" x14ac:dyDescent="0.3">
      <c r="B147" s="51">
        <v>2021</v>
      </c>
      <c r="C147" s="709" t="s">
        <v>2522</v>
      </c>
      <c r="D147" s="709"/>
      <c r="E147" s="709"/>
      <c r="F147" s="709"/>
      <c r="G147" s="709"/>
      <c r="H147" s="709"/>
      <c r="I147" s="709"/>
    </row>
    <row r="148" spans="2:9" ht="94.5" customHeight="1" x14ac:dyDescent="0.3">
      <c r="B148" s="51">
        <v>2022</v>
      </c>
      <c r="C148" s="709" t="s">
        <v>2523</v>
      </c>
      <c r="D148" s="709"/>
      <c r="E148" s="709"/>
      <c r="F148" s="709"/>
      <c r="G148" s="709"/>
      <c r="H148" s="709"/>
      <c r="I148" s="709"/>
    </row>
    <row r="149" spans="2:9" ht="94.5" customHeight="1" x14ac:dyDescent="0.3">
      <c r="B149" s="51">
        <v>2023</v>
      </c>
      <c r="C149" s="732" t="s">
        <v>2524</v>
      </c>
      <c r="D149" s="732"/>
      <c r="E149" s="732"/>
      <c r="F149" s="732"/>
      <c r="G149" s="732"/>
      <c r="H149" s="732"/>
      <c r="I149" s="732"/>
    </row>
    <row r="150" spans="2:9" x14ac:dyDescent="0.3">
      <c r="B150" s="51"/>
      <c r="C150" s="18"/>
      <c r="D150" s="20"/>
      <c r="E150" s="20"/>
    </row>
    <row r="152" spans="2:9" s="46" customFormat="1" ht="17.399999999999999" x14ac:dyDescent="0.3">
      <c r="B152" s="710" t="s">
        <v>2525</v>
      </c>
      <c r="C152" s="710"/>
      <c r="D152" s="710"/>
      <c r="E152" s="710"/>
      <c r="F152" s="710"/>
    </row>
    <row r="153" spans="2:9" ht="21" x14ac:dyDescent="0.4">
      <c r="B153" s="6"/>
      <c r="C153" s="18"/>
      <c r="D153" s="20"/>
      <c r="E153" s="20"/>
    </row>
    <row r="154" spans="2:9" x14ac:dyDescent="0.3">
      <c r="B154" s="48" t="s">
        <v>2526</v>
      </c>
      <c r="C154" s="18"/>
      <c r="D154" s="20"/>
      <c r="E154" s="20"/>
    </row>
    <row r="155" spans="2:9" ht="21" x14ac:dyDescent="0.4">
      <c r="B155" s="6"/>
      <c r="C155" s="18"/>
      <c r="D155" s="20"/>
      <c r="E155" s="20"/>
    </row>
    <row r="156" spans="2:9" x14ac:dyDescent="0.3">
      <c r="B156" s="50" t="s">
        <v>344</v>
      </c>
      <c r="C156" s="712" t="s">
        <v>345</v>
      </c>
      <c r="D156" s="712"/>
      <c r="E156" s="712"/>
      <c r="F156" s="712"/>
      <c r="G156" s="712"/>
      <c r="H156" s="712"/>
      <c r="I156" s="712"/>
    </row>
    <row r="157" spans="2:9" ht="90" customHeight="1" x14ac:dyDescent="0.3">
      <c r="B157" s="51">
        <v>2020</v>
      </c>
      <c r="C157" s="709" t="s">
        <v>2527</v>
      </c>
      <c r="D157" s="709"/>
      <c r="E157" s="709"/>
      <c r="F157" s="709"/>
      <c r="G157" s="709"/>
      <c r="H157" s="709"/>
      <c r="I157" s="709"/>
    </row>
    <row r="158" spans="2:9" ht="85.05" customHeight="1" x14ac:dyDescent="0.3">
      <c r="B158" s="51">
        <v>2021</v>
      </c>
      <c r="C158" s="709" t="s">
        <v>2528</v>
      </c>
      <c r="D158" s="709"/>
      <c r="E158" s="709"/>
      <c r="F158" s="709"/>
      <c r="G158" s="709"/>
      <c r="H158" s="709"/>
      <c r="I158" s="709"/>
    </row>
    <row r="159" spans="2:9" ht="75" customHeight="1" x14ac:dyDescent="0.3">
      <c r="B159" s="51">
        <v>2022</v>
      </c>
      <c r="C159" s="709" t="s">
        <v>2529</v>
      </c>
      <c r="D159" s="709"/>
      <c r="E159" s="709"/>
      <c r="F159" s="709"/>
      <c r="G159" s="709"/>
      <c r="H159" s="709"/>
      <c r="I159" s="709"/>
    </row>
    <row r="160" spans="2:9" ht="286.05" customHeight="1" x14ac:dyDescent="0.3">
      <c r="B160" s="51">
        <v>2023</v>
      </c>
      <c r="C160" s="732" t="s">
        <v>2530</v>
      </c>
      <c r="D160" s="732"/>
      <c r="E160" s="732"/>
      <c r="F160" s="732"/>
      <c r="G160" s="732"/>
      <c r="H160" s="732"/>
      <c r="I160" s="732"/>
    </row>
    <row r="161" spans="2:9" x14ac:dyDescent="0.3">
      <c r="B161" s="51"/>
      <c r="C161" s="18"/>
      <c r="D161" s="20"/>
      <c r="E161" s="20"/>
    </row>
    <row r="163" spans="2:9" s="46" customFormat="1" ht="17.399999999999999" x14ac:dyDescent="0.3">
      <c r="B163" s="710" t="s">
        <v>2531</v>
      </c>
      <c r="C163" s="710"/>
      <c r="D163" s="710"/>
      <c r="E163" s="710"/>
      <c r="F163" s="710"/>
    </row>
    <row r="164" spans="2:9" ht="21" x14ac:dyDescent="0.4">
      <c r="B164" s="6"/>
      <c r="C164" s="18"/>
      <c r="D164" s="20"/>
      <c r="E164" s="20"/>
    </row>
    <row r="165" spans="2:9" x14ac:dyDescent="0.3">
      <c r="B165" s="48" t="s">
        <v>2532</v>
      </c>
      <c r="C165" s="18"/>
      <c r="D165" s="20"/>
      <c r="E165" s="20"/>
    </row>
    <row r="166" spans="2:9" ht="21" x14ac:dyDescent="0.4">
      <c r="B166" s="6"/>
      <c r="C166" s="18"/>
      <c r="D166" s="20"/>
      <c r="E166" s="20"/>
    </row>
    <row r="167" spans="2:9" x14ac:dyDescent="0.3">
      <c r="B167" s="50" t="s">
        <v>344</v>
      </c>
      <c r="C167" s="712" t="s">
        <v>345</v>
      </c>
      <c r="D167" s="712"/>
      <c r="E167" s="712"/>
      <c r="F167" s="712"/>
      <c r="G167" s="712"/>
      <c r="H167" s="712"/>
      <c r="I167" s="712"/>
    </row>
    <row r="168" spans="2:9" ht="35.1" customHeight="1" x14ac:dyDescent="0.3">
      <c r="B168" s="51">
        <v>2020</v>
      </c>
      <c r="C168" s="713" t="s">
        <v>2533</v>
      </c>
      <c r="D168" s="713"/>
      <c r="E168" s="713"/>
      <c r="F168" s="713"/>
      <c r="G168" s="713"/>
      <c r="H168" s="713"/>
      <c r="I168" s="713"/>
    </row>
    <row r="169" spans="2:9" ht="35.1" customHeight="1" x14ac:dyDescent="0.3">
      <c r="B169" s="51">
        <v>2021</v>
      </c>
      <c r="C169" s="713" t="s">
        <v>2534</v>
      </c>
      <c r="D169" s="713"/>
      <c r="E169" s="713"/>
      <c r="F169" s="713"/>
      <c r="G169" s="713"/>
      <c r="H169" s="713"/>
      <c r="I169" s="713"/>
    </row>
    <row r="170" spans="2:9" ht="35.1" customHeight="1" x14ac:dyDescent="0.3">
      <c r="B170" s="51">
        <v>2022</v>
      </c>
      <c r="C170" s="713" t="s">
        <v>2535</v>
      </c>
      <c r="D170" s="713"/>
      <c r="E170" s="713"/>
      <c r="F170" s="713"/>
      <c r="G170" s="713"/>
      <c r="H170" s="713"/>
      <c r="I170" s="713"/>
    </row>
    <row r="171" spans="2:9" ht="35.1" customHeight="1" x14ac:dyDescent="0.3">
      <c r="B171" s="51">
        <v>2023</v>
      </c>
      <c r="C171" s="713" t="s">
        <v>2536</v>
      </c>
      <c r="D171" s="713"/>
      <c r="E171" s="713"/>
      <c r="F171" s="713"/>
      <c r="G171" s="713"/>
      <c r="H171" s="713"/>
      <c r="I171" s="713"/>
    </row>
    <row r="172" spans="2:9" x14ac:dyDescent="0.3">
      <c r="B172" s="51"/>
      <c r="C172" s="18"/>
      <c r="D172" s="20"/>
      <c r="E172" s="20"/>
    </row>
    <row r="174" spans="2:9" s="46" customFormat="1" ht="17.399999999999999" x14ac:dyDescent="0.3">
      <c r="B174" s="710" t="s">
        <v>2537</v>
      </c>
      <c r="C174" s="710"/>
      <c r="D174" s="710"/>
      <c r="E174" s="710"/>
      <c r="F174" s="710"/>
    </row>
    <row r="175" spans="2:9" ht="21" x14ac:dyDescent="0.4">
      <c r="B175" s="6"/>
      <c r="C175" s="18"/>
      <c r="D175" s="20"/>
      <c r="E175" s="20"/>
    </row>
    <row r="176" spans="2:9" x14ac:dyDescent="0.3">
      <c r="B176" s="48" t="s">
        <v>2538</v>
      </c>
      <c r="C176" s="18"/>
      <c r="D176" s="20"/>
      <c r="E176" s="20"/>
    </row>
    <row r="177" spans="2:9" ht="21" x14ac:dyDescent="0.4">
      <c r="B177" s="6"/>
      <c r="C177" s="18"/>
      <c r="D177" s="20"/>
      <c r="E177" s="20"/>
    </row>
    <row r="178" spans="2:9" x14ac:dyDescent="0.3">
      <c r="B178" s="50" t="s">
        <v>344</v>
      </c>
      <c r="C178" s="712" t="s">
        <v>345</v>
      </c>
      <c r="D178" s="712"/>
      <c r="E178" s="712"/>
      <c r="F178" s="712"/>
      <c r="G178" s="712"/>
      <c r="H178" s="712"/>
      <c r="I178" s="712"/>
    </row>
    <row r="179" spans="2:9" ht="200.1" customHeight="1" x14ac:dyDescent="0.3">
      <c r="B179" s="51">
        <v>2020</v>
      </c>
      <c r="C179" s="713" t="s">
        <v>2539</v>
      </c>
      <c r="D179" s="713"/>
      <c r="E179" s="713"/>
      <c r="F179" s="713"/>
      <c r="G179" s="713"/>
      <c r="H179" s="713"/>
      <c r="I179" s="713"/>
    </row>
    <row r="180" spans="2:9" ht="200.1" customHeight="1" x14ac:dyDescent="0.3">
      <c r="B180" s="51">
        <v>2021</v>
      </c>
      <c r="C180" s="713" t="s">
        <v>2540</v>
      </c>
      <c r="D180" s="713"/>
      <c r="E180" s="713"/>
      <c r="F180" s="713"/>
      <c r="G180" s="713"/>
      <c r="H180" s="713"/>
      <c r="I180" s="713"/>
    </row>
    <row r="181" spans="2:9" ht="200.1" customHeight="1" x14ac:dyDescent="0.3">
      <c r="B181" s="51">
        <v>2022</v>
      </c>
      <c r="C181" s="713" t="s">
        <v>2541</v>
      </c>
      <c r="D181" s="713"/>
      <c r="E181" s="713"/>
      <c r="F181" s="713"/>
      <c r="G181" s="713"/>
      <c r="H181" s="713"/>
      <c r="I181" s="713"/>
    </row>
    <row r="182" spans="2:9" ht="200.1" customHeight="1" x14ac:dyDescent="0.3">
      <c r="B182" s="51">
        <v>2023</v>
      </c>
      <c r="C182" s="713" t="s">
        <v>2542</v>
      </c>
      <c r="D182" s="713"/>
      <c r="E182" s="713"/>
      <c r="F182" s="713"/>
      <c r="G182" s="713"/>
      <c r="H182" s="713"/>
      <c r="I182" s="713"/>
    </row>
    <row r="183" spans="2:9" x14ac:dyDescent="0.3">
      <c r="B183" s="51"/>
      <c r="C183" s="18"/>
      <c r="D183" s="20"/>
      <c r="E183" s="20"/>
    </row>
    <row r="185" spans="2:9" x14ac:dyDescent="0.3">
      <c r="B185" s="48" t="s">
        <v>2543</v>
      </c>
      <c r="C185" s="18"/>
      <c r="D185" s="20"/>
      <c r="E185" s="20"/>
    </row>
    <row r="186" spans="2:9" ht="21" x14ac:dyDescent="0.4">
      <c r="B186" s="6"/>
      <c r="C186" s="18"/>
      <c r="D186" s="20"/>
      <c r="E186" s="20"/>
    </row>
    <row r="187" spans="2:9" x14ac:dyDescent="0.3">
      <c r="B187" s="50" t="s">
        <v>344</v>
      </c>
      <c r="C187" s="712" t="s">
        <v>345</v>
      </c>
      <c r="D187" s="712"/>
      <c r="E187" s="712"/>
      <c r="F187" s="712"/>
      <c r="G187" s="712"/>
      <c r="H187" s="712"/>
      <c r="I187" s="712"/>
    </row>
    <row r="188" spans="2:9" ht="21" customHeight="1" x14ac:dyDescent="0.3">
      <c r="B188" s="51">
        <v>2020</v>
      </c>
      <c r="C188" s="713" t="s">
        <v>2544</v>
      </c>
      <c r="D188" s="713"/>
      <c r="E188" s="713"/>
      <c r="F188" s="713"/>
      <c r="G188" s="713"/>
      <c r="H188" s="713"/>
      <c r="I188" s="713"/>
    </row>
    <row r="189" spans="2:9" ht="21" customHeight="1" x14ac:dyDescent="0.3">
      <c r="B189" s="51">
        <v>2021</v>
      </c>
      <c r="C189" s="713" t="s">
        <v>2545</v>
      </c>
      <c r="D189" s="713"/>
      <c r="E189" s="713"/>
      <c r="F189" s="713"/>
      <c r="G189" s="713"/>
      <c r="H189" s="713"/>
      <c r="I189" s="713"/>
    </row>
    <row r="190" spans="2:9" ht="21" customHeight="1" x14ac:dyDescent="0.3">
      <c r="B190" s="51">
        <v>2022</v>
      </c>
      <c r="C190" s="713" t="s">
        <v>2546</v>
      </c>
      <c r="D190" s="713"/>
      <c r="E190" s="713"/>
      <c r="F190" s="713"/>
      <c r="G190" s="713"/>
      <c r="H190" s="713"/>
      <c r="I190" s="713"/>
    </row>
    <row r="191" spans="2:9" ht="21" customHeight="1" x14ac:dyDescent="0.3">
      <c r="B191" s="51">
        <v>2023</v>
      </c>
      <c r="C191" s="713" t="s">
        <v>2547</v>
      </c>
      <c r="D191" s="713"/>
      <c r="E191" s="713"/>
      <c r="F191" s="713"/>
      <c r="G191" s="713"/>
      <c r="H191" s="713"/>
      <c r="I191" s="713"/>
    </row>
    <row r="192" spans="2:9" x14ac:dyDescent="0.3">
      <c r="B192" s="51"/>
      <c r="C192" s="18"/>
      <c r="D192" s="20"/>
      <c r="E192" s="20"/>
    </row>
    <row r="194" spans="2:9" x14ac:dyDescent="0.3">
      <c r="B194" s="708" t="s">
        <v>2548</v>
      </c>
      <c r="C194" s="763"/>
      <c r="D194" s="763"/>
      <c r="E194" s="20"/>
    </row>
    <row r="195" spans="2:9" ht="21" x14ac:dyDescent="0.4">
      <c r="B195" s="6"/>
      <c r="C195" s="18"/>
      <c r="D195" s="20"/>
      <c r="E195" s="20"/>
    </row>
    <row r="196" spans="2:9" x14ac:dyDescent="0.3">
      <c r="B196" s="50" t="s">
        <v>344</v>
      </c>
      <c r="C196" s="712" t="s">
        <v>345</v>
      </c>
      <c r="D196" s="712"/>
      <c r="E196" s="712"/>
      <c r="F196" s="712"/>
      <c r="G196" s="712"/>
      <c r="H196" s="712"/>
      <c r="I196" s="712"/>
    </row>
    <row r="197" spans="2:9" ht="55.05" customHeight="1" x14ac:dyDescent="0.3">
      <c r="B197" s="51">
        <v>2020</v>
      </c>
      <c r="C197" s="709" t="s">
        <v>2549</v>
      </c>
      <c r="D197" s="709"/>
      <c r="E197" s="709"/>
      <c r="F197" s="709"/>
      <c r="G197" s="709"/>
      <c r="H197" s="709"/>
      <c r="I197" s="709"/>
    </row>
    <row r="198" spans="2:9" ht="70.05" customHeight="1" x14ac:dyDescent="0.3">
      <c r="B198" s="51">
        <v>2021</v>
      </c>
      <c r="C198" s="709" t="s">
        <v>2550</v>
      </c>
      <c r="D198" s="709"/>
      <c r="E198" s="709"/>
      <c r="F198" s="709"/>
      <c r="G198" s="709"/>
      <c r="H198" s="709"/>
      <c r="I198" s="709"/>
    </row>
    <row r="199" spans="2:9" ht="132" customHeight="1" x14ac:dyDescent="0.3">
      <c r="B199" s="51">
        <v>2022</v>
      </c>
      <c r="C199" s="709" t="s">
        <v>2551</v>
      </c>
      <c r="D199" s="709"/>
      <c r="E199" s="709"/>
      <c r="F199" s="709"/>
      <c r="G199" s="709"/>
      <c r="H199" s="709"/>
      <c r="I199" s="709"/>
    </row>
    <row r="200" spans="2:9" ht="132" customHeight="1" x14ac:dyDescent="0.3">
      <c r="B200" s="51">
        <v>2023</v>
      </c>
      <c r="C200" s="732" t="s">
        <v>2552</v>
      </c>
      <c r="D200" s="732"/>
      <c r="E200" s="732"/>
      <c r="F200" s="732"/>
      <c r="G200" s="732"/>
      <c r="H200" s="732"/>
      <c r="I200" s="732"/>
    </row>
    <row r="204" spans="2:9" s="46" customFormat="1" ht="17.399999999999999" x14ac:dyDescent="0.3">
      <c r="B204" s="710" t="s">
        <v>2553</v>
      </c>
      <c r="C204" s="710"/>
      <c r="D204" s="710"/>
      <c r="E204" s="710"/>
      <c r="F204" s="710"/>
    </row>
    <row r="205" spans="2:9" ht="21" x14ac:dyDescent="0.4">
      <c r="B205" s="6"/>
      <c r="C205" s="18"/>
      <c r="D205" s="20"/>
      <c r="E205" s="20"/>
    </row>
    <row r="206" spans="2:9" x14ac:dyDescent="0.3">
      <c r="B206" s="307" t="s">
        <v>2554</v>
      </c>
      <c r="C206" s="18"/>
      <c r="D206" s="20"/>
      <c r="E206" s="20"/>
    </row>
    <row r="207" spans="2:9" ht="21" x14ac:dyDescent="0.4">
      <c r="B207" s="6"/>
      <c r="C207" s="18"/>
      <c r="D207" s="20"/>
      <c r="E207" s="20"/>
    </row>
    <row r="208" spans="2:9" x14ac:dyDescent="0.3">
      <c r="B208" s="50" t="s">
        <v>344</v>
      </c>
      <c r="C208" s="712" t="s">
        <v>345</v>
      </c>
      <c r="D208" s="712"/>
      <c r="E208" s="712"/>
      <c r="F208" s="712"/>
      <c r="G208" s="712"/>
      <c r="H208" s="712"/>
      <c r="I208" s="712"/>
    </row>
    <row r="209" spans="2:9" ht="35.1" customHeight="1" x14ac:dyDescent="0.3">
      <c r="B209" s="51">
        <v>2020</v>
      </c>
      <c r="C209" s="709" t="s">
        <v>2555</v>
      </c>
      <c r="D209" s="709"/>
      <c r="E209" s="709"/>
      <c r="F209" s="709"/>
      <c r="G209" s="709"/>
      <c r="H209" s="709"/>
      <c r="I209" s="709"/>
    </row>
    <row r="210" spans="2:9" ht="35.1" customHeight="1" x14ac:dyDescent="0.3">
      <c r="B210" s="51">
        <v>2021</v>
      </c>
      <c r="C210" s="709" t="s">
        <v>2556</v>
      </c>
      <c r="D210" s="709"/>
      <c r="E210" s="709"/>
      <c r="F210" s="709"/>
      <c r="G210" s="709"/>
      <c r="H210" s="709"/>
      <c r="I210" s="709"/>
    </row>
    <row r="211" spans="2:9" ht="35.1" customHeight="1" x14ac:dyDescent="0.3">
      <c r="B211" s="51">
        <v>2022</v>
      </c>
      <c r="C211" s="709" t="s">
        <v>2557</v>
      </c>
      <c r="D211" s="709"/>
      <c r="E211" s="709"/>
      <c r="F211" s="709"/>
      <c r="G211" s="709"/>
      <c r="H211" s="709"/>
      <c r="I211" s="709"/>
    </row>
    <row r="212" spans="2:9" ht="35.1" customHeight="1" x14ac:dyDescent="0.3">
      <c r="B212" s="51">
        <v>2023</v>
      </c>
      <c r="C212" s="709" t="s">
        <v>2558</v>
      </c>
      <c r="D212" s="709"/>
      <c r="E212" s="709"/>
      <c r="F212" s="709"/>
      <c r="G212" s="709"/>
      <c r="H212" s="709"/>
      <c r="I212" s="709"/>
    </row>
    <row r="213" spans="2:9" x14ac:dyDescent="0.3">
      <c r="B213" s="51"/>
      <c r="C213" s="18"/>
      <c r="D213" s="20"/>
      <c r="E213" s="20"/>
    </row>
    <row r="215" spans="2:9" s="46" customFormat="1" ht="17.399999999999999" x14ac:dyDescent="0.3">
      <c r="B215" s="710" t="s">
        <v>2559</v>
      </c>
      <c r="C215" s="710"/>
      <c r="D215" s="710"/>
      <c r="E215" s="710"/>
      <c r="F215" s="710"/>
    </row>
    <row r="216" spans="2:9" ht="21" x14ac:dyDescent="0.4">
      <c r="B216" s="6"/>
      <c r="C216" s="18"/>
      <c r="D216" s="20"/>
      <c r="E216" s="20"/>
    </row>
    <row r="217" spans="2:9" x14ac:dyDescent="0.3">
      <c r="B217" s="48" t="s">
        <v>2560</v>
      </c>
      <c r="C217" s="18"/>
      <c r="D217" s="20"/>
      <c r="E217" s="20"/>
    </row>
    <row r="218" spans="2:9" ht="21" x14ac:dyDescent="0.4">
      <c r="B218" s="6"/>
      <c r="C218" s="18"/>
      <c r="D218" s="20"/>
      <c r="E218" s="20"/>
    </row>
    <row r="219" spans="2:9" x14ac:dyDescent="0.3">
      <c r="B219" s="50" t="s">
        <v>344</v>
      </c>
      <c r="C219" s="712" t="s">
        <v>345</v>
      </c>
      <c r="D219" s="712"/>
      <c r="E219" s="712"/>
      <c r="F219" s="712"/>
      <c r="G219" s="712"/>
      <c r="H219" s="712"/>
      <c r="I219" s="712"/>
    </row>
    <row r="220" spans="2:9" ht="45" customHeight="1" x14ac:dyDescent="0.3">
      <c r="B220" s="51">
        <v>2020</v>
      </c>
      <c r="C220" s="709" t="s">
        <v>2561</v>
      </c>
      <c r="D220" s="709"/>
      <c r="E220" s="709"/>
      <c r="F220" s="709"/>
      <c r="G220" s="709"/>
      <c r="H220" s="709"/>
      <c r="I220" s="709"/>
    </row>
    <row r="221" spans="2:9" ht="35.1" customHeight="1" x14ac:dyDescent="0.3">
      <c r="B221" s="51">
        <v>2021</v>
      </c>
      <c r="C221" s="709" t="s">
        <v>2562</v>
      </c>
      <c r="D221" s="709"/>
      <c r="E221" s="709"/>
      <c r="F221" s="709"/>
      <c r="G221" s="709"/>
      <c r="H221" s="709"/>
      <c r="I221" s="709"/>
    </row>
    <row r="222" spans="2:9" ht="35.1" customHeight="1" x14ac:dyDescent="0.3">
      <c r="B222" s="51">
        <v>2022</v>
      </c>
      <c r="C222" s="709" t="s">
        <v>2562</v>
      </c>
      <c r="D222" s="709"/>
      <c r="E222" s="709"/>
      <c r="F222" s="709"/>
      <c r="G222" s="709"/>
      <c r="H222" s="709"/>
      <c r="I222" s="709"/>
    </row>
    <row r="223" spans="2:9" ht="35.1" customHeight="1" x14ac:dyDescent="0.3">
      <c r="B223" s="51">
        <v>2023</v>
      </c>
      <c r="C223" s="709" t="s">
        <v>2563</v>
      </c>
      <c r="D223" s="709"/>
      <c r="E223" s="709"/>
      <c r="F223" s="709"/>
      <c r="G223" s="709"/>
      <c r="H223" s="709"/>
      <c r="I223" s="709"/>
    </row>
    <row r="224" spans="2:9" x14ac:dyDescent="0.3">
      <c r="B224" s="51"/>
      <c r="C224" s="18"/>
      <c r="D224" s="20"/>
      <c r="E224" s="20"/>
    </row>
    <row r="225" spans="2:4" x14ac:dyDescent="0.3">
      <c r="B225" s="51" t="s">
        <v>2564</v>
      </c>
      <c r="C225" s="734" t="s">
        <v>9</v>
      </c>
      <c r="D225" s="734"/>
    </row>
  </sheetData>
  <sheetProtection algorithmName="SHA-512" hashValue="lwg0FmRUpOu6Lzy5C+Y7/e5toB9pN4hqOV+AKnCTbDQUOqJzWt2K3YGdO3RO9u32FitQOI+OUwI/knLl7fLa3Q==" saltValue="VJLUDCufZTs1vDSPZVE92Q==" spinCount="100000" sheet="1" objects="1" autoFilter="0" pivotTables="0"/>
  <mergeCells count="121">
    <mergeCell ref="B163:F163"/>
    <mergeCell ref="C72:I72"/>
    <mergeCell ref="C225:D225"/>
    <mergeCell ref="B97:I97"/>
    <mergeCell ref="E130:F130"/>
    <mergeCell ref="G130:H130"/>
    <mergeCell ref="C131:D131"/>
    <mergeCell ref="C137:I137"/>
    <mergeCell ref="C136:I136"/>
    <mergeCell ref="B215:F215"/>
    <mergeCell ref="C199:I199"/>
    <mergeCell ref="C158:I158"/>
    <mergeCell ref="C145:I145"/>
    <mergeCell ref="C146:I146"/>
    <mergeCell ref="C147:I147"/>
    <mergeCell ref="C210:I210"/>
    <mergeCell ref="C211:I211"/>
    <mergeCell ref="C188:I188"/>
    <mergeCell ref="C189:I189"/>
    <mergeCell ref="B194:D194"/>
    <mergeCell ref="C198:I198"/>
    <mergeCell ref="C167:I167"/>
    <mergeCell ref="C168:I168"/>
    <mergeCell ref="C170:I170"/>
    <mergeCell ref="C159:I159"/>
    <mergeCell ref="C125:H125"/>
    <mergeCell ref="C138:I138"/>
    <mergeCell ref="C219:I219"/>
    <mergeCell ref="C220:I220"/>
    <mergeCell ref="C182:I182"/>
    <mergeCell ref="C191:I191"/>
    <mergeCell ref="B10:C10"/>
    <mergeCell ref="B110:F110"/>
    <mergeCell ref="C114:I114"/>
    <mergeCell ref="C115:I115"/>
    <mergeCell ref="C116:I116"/>
    <mergeCell ref="B33:F33"/>
    <mergeCell ref="C15:I15"/>
    <mergeCell ref="C14:I14"/>
    <mergeCell ref="C16:I16"/>
    <mergeCell ref="C17:I17"/>
    <mergeCell ref="C25:I25"/>
    <mergeCell ref="C26:I26"/>
    <mergeCell ref="C61:I61"/>
    <mergeCell ref="C62:I62"/>
    <mergeCell ref="C27:I27"/>
    <mergeCell ref="C28:I28"/>
    <mergeCell ref="C105:I105"/>
    <mergeCell ref="C156:I156"/>
    <mergeCell ref="B140:I140"/>
    <mergeCell ref="B119:I119"/>
    <mergeCell ref="B99:F99"/>
    <mergeCell ref="C103:I103"/>
    <mergeCell ref="C91:I91"/>
    <mergeCell ref="C107:H107"/>
    <mergeCell ref="E131:F131"/>
    <mergeCell ref="G131:H131"/>
    <mergeCell ref="B90:B92"/>
    <mergeCell ref="C104:I104"/>
    <mergeCell ref="C79:I79"/>
    <mergeCell ref="C71:I71"/>
    <mergeCell ref="C81:I81"/>
    <mergeCell ref="C73:I73"/>
    <mergeCell ref="C18:I18"/>
    <mergeCell ref="C74:I74"/>
    <mergeCell ref="C63:I63"/>
    <mergeCell ref="C148:I148"/>
    <mergeCell ref="B152:F152"/>
    <mergeCell ref="C82:I82"/>
    <mergeCell ref="B86:F86"/>
    <mergeCell ref="C90:I90"/>
    <mergeCell ref="B66:F66"/>
    <mergeCell ref="C83:I83"/>
    <mergeCell ref="C187:I187"/>
    <mergeCell ref="C124:H124"/>
    <mergeCell ref="C196:I196"/>
    <mergeCell ref="C129:H129"/>
    <mergeCell ref="C106:H106"/>
    <mergeCell ref="C117:I117"/>
    <mergeCell ref="C135:I135"/>
    <mergeCell ref="B21:F21"/>
    <mergeCell ref="C70:I70"/>
    <mergeCell ref="C37:I37"/>
    <mergeCell ref="C38:I38"/>
    <mergeCell ref="C39:I39"/>
    <mergeCell ref="C40:I40"/>
    <mergeCell ref="B44:F44"/>
    <mergeCell ref="C48:I48"/>
    <mergeCell ref="C49:I49"/>
    <mergeCell ref="C50:I50"/>
    <mergeCell ref="C29:I29"/>
    <mergeCell ref="C41:I41"/>
    <mergeCell ref="C52:I52"/>
    <mergeCell ref="C51:I51"/>
    <mergeCell ref="B55:F55"/>
    <mergeCell ref="C59:I59"/>
    <mergeCell ref="C60:I60"/>
    <mergeCell ref="C190:I190"/>
    <mergeCell ref="C80:I80"/>
    <mergeCell ref="C197:I197"/>
    <mergeCell ref="C130:D130"/>
    <mergeCell ref="C223:I223"/>
    <mergeCell ref="C118:I118"/>
    <mergeCell ref="C139:I139"/>
    <mergeCell ref="C149:I149"/>
    <mergeCell ref="C171:I171"/>
    <mergeCell ref="C208:I208"/>
    <mergeCell ref="C209:I209"/>
    <mergeCell ref="C169:I169"/>
    <mergeCell ref="C212:I212"/>
    <mergeCell ref="C200:I200"/>
    <mergeCell ref="C160:I160"/>
    <mergeCell ref="C221:I221"/>
    <mergeCell ref="C222:I222"/>
    <mergeCell ref="C157:I157"/>
    <mergeCell ref="B204:F204"/>
    <mergeCell ref="B174:F174"/>
    <mergeCell ref="C178:I178"/>
    <mergeCell ref="C179:I179"/>
    <mergeCell ref="C180:I180"/>
    <mergeCell ref="C181:I181"/>
  </mergeCells>
  <phoneticPr fontId="9" type="noConversion"/>
  <hyperlinks>
    <hyperlink ref="C31" r:id="rId1" xr:uid="{075AE47B-65D1-4716-A5C3-2F1195E20F12}"/>
    <hyperlink ref="C225" r:id="rId2" display="Link 1" xr:uid="{A4DA544B-C22A-4F68-90EE-0FCFD9D4F418}"/>
    <hyperlink ref="C225:D225" r:id="rId3" display="Tax Transparency Report" xr:uid="{BBBC1258-32F2-44DC-8725-D7102A3A1805}"/>
  </hyperlinks>
  <pageMargins left="0.70866141732283472" right="0.70866141732283472" top="0.74803149606299213" bottom="0.74803149606299213" header="0.31496062992125984" footer="0.31496062992125984"/>
  <pageSetup paperSize="9" scale="44" fitToHeight="0" orientation="portrait" horizontalDpi="300" r:id="rId4"/>
  <headerFooter>
    <oddHeader xml:space="preserve">&amp;C </oddHeader>
  </headerFooter>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E190-C3DE-4AB5-B1CB-94BBA473BCD1}">
  <sheetPr codeName="Planilha19">
    <pageSetUpPr fitToPage="1"/>
  </sheetPr>
  <dimension ref="A1:XFC21"/>
  <sheetViews>
    <sheetView showGridLines="0" showRowColHeaders="0" showRuler="0" zoomScale="110" zoomScaleNormal="110" workbookViewId="0">
      <pane ySplit="2" topLeftCell="A3" activePane="bottomLeft" state="frozen"/>
      <selection activeCell="C20" sqref="C20"/>
      <selection pane="bottomLeft"/>
    </sheetView>
  </sheetViews>
  <sheetFormatPr defaultColWidth="0" defaultRowHeight="14.4" x14ac:dyDescent="0.3"/>
  <cols>
    <col min="1" max="1" width="8.77734375" customWidth="1"/>
    <col min="2" max="2" width="60.5546875" customWidth="1"/>
    <col min="3" max="3" width="45.5546875" customWidth="1"/>
    <col min="4" max="4" width="20" customWidth="1"/>
    <col min="5" max="10" width="8.77734375" hidden="1"/>
    <col min="16384" max="16384" width="7.44140625" hidden="1" customWidth="1"/>
  </cols>
  <sheetData>
    <row r="1" spans="1:4" ht="14.1" customHeight="1" x14ac:dyDescent="0.3">
      <c r="A1" s="410"/>
    </row>
    <row r="2" spans="1:4" ht="14.1" customHeight="1" x14ac:dyDescent="0.3">
      <c r="A2" s="442"/>
      <c r="B2" s="421"/>
      <c r="C2" s="421"/>
      <c r="D2" s="421"/>
    </row>
    <row r="3" spans="1:4" ht="14.55" customHeight="1" x14ac:dyDescent="0.3"/>
    <row r="4" spans="1:4" ht="14.55" customHeight="1" x14ac:dyDescent="0.3">
      <c r="C4" s="9" t="s">
        <v>2565</v>
      </c>
    </row>
    <row r="5" spans="1:4" ht="14.55" customHeight="1" x14ac:dyDescent="0.3"/>
    <row r="8" spans="1:4" ht="21" x14ac:dyDescent="0.4">
      <c r="B8" s="441" t="s">
        <v>2566</v>
      </c>
    </row>
    <row r="9" spans="1:4" ht="12" customHeight="1" x14ac:dyDescent="0.3">
      <c r="B9" s="5"/>
      <c r="C9" s="5"/>
    </row>
    <row r="10" spans="1:4" ht="12" customHeight="1" x14ac:dyDescent="0.3">
      <c r="B10" s="5"/>
      <c r="C10" s="5"/>
    </row>
    <row r="11" spans="1:4" ht="12" customHeight="1" x14ac:dyDescent="0.3">
      <c r="B11" s="5"/>
      <c r="C11" s="5"/>
    </row>
    <row r="12" spans="1:4" ht="12" customHeight="1" thickBot="1" x14ac:dyDescent="0.35">
      <c r="B12" s="465" t="s">
        <v>2567</v>
      </c>
      <c r="C12" s="465" t="s">
        <v>2568</v>
      </c>
    </row>
    <row r="13" spans="1:4" ht="22.05" customHeight="1" thickTop="1" x14ac:dyDescent="0.3">
      <c r="B13" s="11" t="s">
        <v>2569</v>
      </c>
      <c r="C13" s="656" t="s">
        <v>9</v>
      </c>
    </row>
    <row r="14" spans="1:4" ht="22.05" customHeight="1" x14ac:dyDescent="0.3">
      <c r="B14" s="11" t="s">
        <v>2570</v>
      </c>
      <c r="C14" s="673" t="s">
        <v>25</v>
      </c>
    </row>
    <row r="15" spans="1:4" ht="22.05" customHeight="1" x14ac:dyDescent="0.3">
      <c r="B15" s="11" t="s">
        <v>2571</v>
      </c>
      <c r="C15" s="673" t="s">
        <v>25</v>
      </c>
    </row>
    <row r="16" spans="1:4" ht="22.05" customHeight="1" x14ac:dyDescent="0.3">
      <c r="B16" s="11" t="s">
        <v>2572</v>
      </c>
      <c r="C16" s="673" t="s">
        <v>20</v>
      </c>
    </row>
    <row r="17" spans="2:4" ht="22.05" customHeight="1" x14ac:dyDescent="0.3">
      <c r="B17" s="11" t="s">
        <v>2573</v>
      </c>
      <c r="C17" s="673" t="s">
        <v>25</v>
      </c>
    </row>
    <row r="18" spans="2:4" ht="22.05" customHeight="1" x14ac:dyDescent="0.3">
      <c r="B18" s="11" t="s">
        <v>2574</v>
      </c>
      <c r="C18" s="673" t="s">
        <v>20</v>
      </c>
      <c r="D18" s="5"/>
    </row>
    <row r="19" spans="2:4" ht="275.55" customHeight="1" x14ac:dyDescent="0.3">
      <c r="B19" s="11" t="s">
        <v>2575</v>
      </c>
      <c r="C19" s="11" t="s">
        <v>2576</v>
      </c>
      <c r="D19" s="5"/>
    </row>
    <row r="20" spans="2:4" ht="260.10000000000002" customHeight="1" x14ac:dyDescent="0.3">
      <c r="B20" s="11" t="s">
        <v>2577</v>
      </c>
      <c r="C20" s="11" t="s">
        <v>2576</v>
      </c>
      <c r="D20" s="5"/>
    </row>
    <row r="21" spans="2:4" x14ac:dyDescent="0.3">
      <c r="D21" s="5"/>
    </row>
  </sheetData>
  <sheetProtection algorithmName="SHA-512" hashValue="siJI4A83RvxRLLA1ksq375/AelxDlKyfiNj+MDKFllnU09wsp3J1LkZSnL/NoBq4ryxCf60bhg2dH1XdeNlCnQ==" saltValue="tXcpnUYwmQ3s2QiqVY6ioQ==" spinCount="100000" sheet="1" objects="1" autoFilter="0" pivotTables="0"/>
  <hyperlinks>
    <hyperlink ref="C13" r:id="rId1" xr:uid="{D2C2FB76-CB2D-492D-90BC-5429529B4014}"/>
    <hyperlink ref="C14" location="'Social Data'!A681" display="Social Data" xr:uid="{EC042934-E32B-4E81-8325-BE750624A7FF}"/>
    <hyperlink ref="C15" location="'Social Data'!A538" display="Social Data" xr:uid="{5DAE45B1-EEB7-4A63-A4A7-EF8DC8F0529A}"/>
    <hyperlink ref="C16" location="'Economic Data'!A11" display="Economic Data" xr:uid="{75AD540B-216D-4240-8C16-177DACBA8562}"/>
    <hyperlink ref="C17" location="'Social Data'!A290" display="Social Data" xr:uid="{EFD34EC1-3E72-44FB-877D-ADBAC8D9D12E}"/>
    <hyperlink ref="C18" location="'Economic Data'!A11" display="Economic Data" xr:uid="{03FD4B53-A28F-4F2C-ACCD-18536079B0B6}"/>
  </hyperlinks>
  <pageMargins left="0.70866141732283472" right="0.70866141732283472" top="0.74803149606299213" bottom="0.74803149606299213" header="0.31496062992125984" footer="0.31496062992125984"/>
  <pageSetup paperSize="9" scale="44" fitToHeight="0" orientation="portrait" horizontalDpi="300" r:id="rId2"/>
  <headerFooter>
    <oddHeader xml:space="preserve">&amp;C </oddHead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62C01-E460-4E23-8402-B5C506977A1E}">
  <sheetPr codeName="Planilha20">
    <pageSetUpPr fitToPage="1"/>
  </sheetPr>
  <dimension ref="A1:XFC26"/>
  <sheetViews>
    <sheetView showGridLines="0" showRowColHeaders="0" showRuler="0" zoomScale="110" zoomScaleNormal="110" workbookViewId="0">
      <pane ySplit="2" topLeftCell="A3" activePane="bottomLeft" state="frozen"/>
      <selection activeCell="C20" sqref="C20"/>
      <selection pane="bottomLeft"/>
    </sheetView>
  </sheetViews>
  <sheetFormatPr defaultColWidth="8.77734375" defaultRowHeight="14.4" x14ac:dyDescent="0.3"/>
  <cols>
    <col min="1" max="1" width="8.77734375" customWidth="1"/>
    <col min="2" max="2" width="60.5546875" customWidth="1"/>
    <col min="3" max="3" width="45.5546875" customWidth="1"/>
    <col min="4" max="4" width="18.77734375" customWidth="1"/>
    <col min="5" max="10" width="8.77734375" hidden="1" customWidth="1"/>
    <col min="11" max="16383" width="0" hidden="1" customWidth="1"/>
    <col min="16384" max="16384" width="9.21875" hidden="1" customWidth="1"/>
  </cols>
  <sheetData>
    <row r="1" spans="1:4" ht="14.1" customHeight="1" x14ac:dyDescent="0.3">
      <c r="A1" s="410"/>
    </row>
    <row r="2" spans="1:4" ht="14.1" customHeight="1" x14ac:dyDescent="0.3">
      <c r="A2" s="442"/>
      <c r="B2" s="421"/>
      <c r="C2" s="421"/>
      <c r="D2" s="421"/>
    </row>
    <row r="3" spans="1:4" ht="14.55" customHeight="1" x14ac:dyDescent="0.3"/>
    <row r="4" spans="1:4" ht="14.55" customHeight="1" x14ac:dyDescent="0.3">
      <c r="C4" s="9" t="s">
        <v>2565</v>
      </c>
    </row>
    <row r="5" spans="1:4" ht="14.55" customHeight="1" x14ac:dyDescent="0.3"/>
    <row r="8" spans="1:4" ht="21" x14ac:dyDescent="0.4">
      <c r="B8" s="441" t="s">
        <v>2578</v>
      </c>
    </row>
    <row r="9" spans="1:4" ht="12" customHeight="1" x14ac:dyDescent="0.3">
      <c r="B9" s="5"/>
      <c r="C9" s="5"/>
    </row>
    <row r="10" spans="1:4" ht="12" customHeight="1" x14ac:dyDescent="0.3">
      <c r="B10" s="5"/>
      <c r="C10" s="5"/>
    </row>
    <row r="11" spans="1:4" ht="12" customHeight="1" x14ac:dyDescent="0.3">
      <c r="B11" s="5"/>
      <c r="C11" s="5"/>
    </row>
    <row r="12" spans="1:4" ht="12" customHeight="1" thickBot="1" x14ac:dyDescent="0.35">
      <c r="B12" s="26" t="s">
        <v>2579</v>
      </c>
      <c r="C12" s="26" t="s">
        <v>2568</v>
      </c>
    </row>
    <row r="13" spans="1:4" ht="22.05" customHeight="1" thickTop="1" x14ac:dyDescent="0.3">
      <c r="B13" s="699" t="s">
        <v>2580</v>
      </c>
      <c r="C13" s="614" t="s">
        <v>200</v>
      </c>
    </row>
    <row r="14" spans="1:4" ht="22.05" customHeight="1" x14ac:dyDescent="0.3">
      <c r="B14" s="700"/>
      <c r="C14" s="614" t="s">
        <v>202</v>
      </c>
    </row>
    <row r="15" spans="1:4" ht="22.05" customHeight="1" x14ac:dyDescent="0.3">
      <c r="B15" s="701"/>
      <c r="C15" s="613" t="s">
        <v>204</v>
      </c>
    </row>
    <row r="16" spans="1:4" ht="22.05" customHeight="1" x14ac:dyDescent="0.3">
      <c r="B16" s="798" t="s">
        <v>2581</v>
      </c>
      <c r="C16" s="615" t="s">
        <v>147</v>
      </c>
    </row>
    <row r="17" spans="2:4" ht="22.05" customHeight="1" x14ac:dyDescent="0.3">
      <c r="B17" s="700"/>
      <c r="C17" s="614" t="s">
        <v>151</v>
      </c>
    </row>
    <row r="18" spans="2:4" ht="22.05" customHeight="1" x14ac:dyDescent="0.3">
      <c r="B18" s="701"/>
      <c r="C18" s="613" t="s">
        <v>155</v>
      </c>
    </row>
    <row r="19" spans="2:4" ht="22.05" customHeight="1" x14ac:dyDescent="0.3">
      <c r="B19" s="11" t="s">
        <v>2582</v>
      </c>
      <c r="C19" s="613" t="s">
        <v>172</v>
      </c>
    </row>
    <row r="20" spans="2:4" ht="22.05" customHeight="1" x14ac:dyDescent="0.3">
      <c r="B20" s="798" t="s">
        <v>2583</v>
      </c>
      <c r="C20" s="615" t="s">
        <v>826</v>
      </c>
      <c r="D20" s="5"/>
    </row>
    <row r="21" spans="2:4" ht="22.05" customHeight="1" x14ac:dyDescent="0.3">
      <c r="B21" s="700"/>
      <c r="C21" s="614" t="s">
        <v>2584</v>
      </c>
      <c r="D21" s="5"/>
    </row>
    <row r="22" spans="2:4" ht="22.05" customHeight="1" x14ac:dyDescent="0.3">
      <c r="B22" s="701"/>
      <c r="C22" s="613" t="s">
        <v>123</v>
      </c>
      <c r="D22" s="5"/>
    </row>
    <row r="23" spans="2:4" ht="22.05" customHeight="1" x14ac:dyDescent="0.3">
      <c r="B23" s="11" t="s">
        <v>2585</v>
      </c>
      <c r="C23" s="613" t="s">
        <v>178</v>
      </c>
      <c r="D23" s="5"/>
    </row>
    <row r="24" spans="2:4" ht="22.05" customHeight="1" x14ac:dyDescent="0.3">
      <c r="B24" s="798" t="s">
        <v>2586</v>
      </c>
      <c r="C24" s="614" t="s">
        <v>170</v>
      </c>
      <c r="D24" s="5"/>
    </row>
    <row r="25" spans="2:4" ht="22.05" customHeight="1" x14ac:dyDescent="0.3">
      <c r="B25" s="701"/>
      <c r="C25" s="613" t="s">
        <v>174</v>
      </c>
      <c r="D25" s="5"/>
    </row>
    <row r="26" spans="2:4" x14ac:dyDescent="0.3">
      <c r="D26" s="5"/>
    </row>
  </sheetData>
  <sheetProtection algorithmName="SHA-512" hashValue="Q07bOWUP0qIt9M+K0QGgSqFW1DAFxCGNBfIlNpobnBqlC3GyTk7PScjk3+nLLECvdbgf5I4uutCVNyfiNWnasg==" saltValue="sM5aqB7550YvA+q8AbhyTg==" spinCount="100000" sheet="1" objects="1" autoFilter="0" pivotTables="0"/>
  <mergeCells count="4">
    <mergeCell ref="B24:B25"/>
    <mergeCell ref="B20:B22"/>
    <mergeCell ref="B16:B18"/>
    <mergeCell ref="B13:B15"/>
  </mergeCells>
  <hyperlinks>
    <hyperlink ref="C13" location="'Environmental Data'!A448" display="Environmental data" xr:uid="{F50D4ADD-F7EF-4AC0-B137-36CE62561FFE}"/>
    <hyperlink ref="C14" location="'Environmental Data'!A464" display="Environmental data" xr:uid="{72E120A3-CAA6-4D7A-9E50-86A601EFB091}"/>
    <hyperlink ref="C15" location="'Environmental Data'!A478" display="Environmental data" xr:uid="{FEC01D29-7734-4041-A9EF-CAF1E8E4AAE3}"/>
    <hyperlink ref="C16" location="'Environmental Data'!A193" display="Environmental data" xr:uid="{90EFD549-61E7-4209-94A1-793309D06606}"/>
    <hyperlink ref="C17" location="'Environmental Data'!A375" display="Environmental data" xr:uid="{06BF9BFF-87DD-4CB2-A53B-EDCC2382F08F}"/>
    <hyperlink ref="C18" location="'Environmental Data'!A770" display="Environmental data" xr:uid="{A2BE4C65-02D7-49F9-9B46-E0F4417A6455}"/>
    <hyperlink ref="C19" location="'Environmental Data'!A168" display="Environmental data" xr:uid="{18342AA5-F540-4ED6-9A06-212D76F55AFF}"/>
    <hyperlink ref="C20" location="'Environmental Data'!A664" display="Environmental data" xr:uid="{E871F46B-3FF4-40FB-97CC-8BE3DC9C1E33}"/>
    <hyperlink ref="C21" location="'Environmental Data'!A702" display="Environmental data" xr:uid="{9DA8969A-E62F-4D58-828F-6ADF91FA1987}"/>
    <hyperlink ref="C22" location="'Environmental Data'!A794" display="Environmental data" xr:uid="{46C8D69A-FF0C-44D3-B51E-0006BC3C1492}"/>
    <hyperlink ref="C23" location="'Environmental Data'!A535" display="Environmental data" xr:uid="{79B114CE-8954-4046-ADB9-973F1B105787}"/>
    <hyperlink ref="C24" location="'Environmental Data'!A157" display="Environmental data" xr:uid="{653F1F3E-F0C0-4E04-9FAD-09B8D0DD1267}"/>
    <hyperlink ref="C25" location="'Environmental Data'!A180" display="Environmental data" xr:uid="{E5740325-8958-41B3-97BC-B14F060C65C3}"/>
  </hyperlink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D910-A319-4479-AC1D-0AD139DC60BF}">
  <sheetPr codeName="Planilha22"/>
  <dimension ref="A1:XFC62"/>
  <sheetViews>
    <sheetView showGridLines="0" showRowColHeaders="0" zoomScale="80" zoomScaleNormal="80" workbookViewId="0"/>
  </sheetViews>
  <sheetFormatPr defaultColWidth="0" defaultRowHeight="14.4" x14ac:dyDescent="0.3"/>
  <cols>
    <col min="1" max="1" width="5.5546875" style="332" customWidth="1"/>
    <col min="2" max="2" width="23.77734375" style="334" customWidth="1"/>
    <col min="3" max="3" width="53.21875" style="336" customWidth="1"/>
    <col min="4" max="4" width="47" style="334" customWidth="1"/>
    <col min="5" max="5" width="76.21875" style="332" customWidth="1"/>
    <col min="6" max="6" width="35" style="335" customWidth="1"/>
    <col min="7" max="7" width="5.77734375" style="332" customWidth="1"/>
    <col min="8" max="8" width="8.77734375" style="332" hidden="1" customWidth="1"/>
    <col min="9" max="16383" width="8.77734375" style="332" hidden="1"/>
    <col min="16384" max="16384" width="7.77734375" style="332" hidden="1"/>
  </cols>
  <sheetData>
    <row r="1" spans="1:7" ht="14.1" customHeight="1" x14ac:dyDescent="0.3">
      <c r="C1" s="437"/>
      <c r="D1" s="437"/>
      <c r="E1" s="437"/>
      <c r="F1" s="437"/>
    </row>
    <row r="2" spans="1:7" ht="14.1" customHeight="1" x14ac:dyDescent="0.3">
      <c r="B2" s="438"/>
      <c r="C2" s="438"/>
      <c r="D2" s="438"/>
      <c r="E2" s="438"/>
      <c r="F2" s="438"/>
      <c r="G2" s="439"/>
    </row>
    <row r="3" spans="1:7" ht="15" customHeight="1" x14ac:dyDescent="0.3">
      <c r="B3" s="437"/>
      <c r="C3" s="437"/>
      <c r="D3" s="437"/>
      <c r="E3" s="437"/>
      <c r="F3" s="437"/>
    </row>
    <row r="4" spans="1:7" ht="84" customHeight="1" x14ac:dyDescent="0.3">
      <c r="B4" s="809" t="s">
        <v>2898</v>
      </c>
      <c r="C4" s="809"/>
      <c r="D4" s="809"/>
      <c r="E4" s="809"/>
      <c r="F4" s="809"/>
    </row>
    <row r="5" spans="1:7" ht="15" customHeight="1" x14ac:dyDescent="0.3">
      <c r="B5" s="809"/>
      <c r="C5" s="809"/>
      <c r="D5" s="809"/>
      <c r="E5" s="809"/>
      <c r="F5" s="809"/>
    </row>
    <row r="6" spans="1:7" ht="11.25" customHeight="1" x14ac:dyDescent="0.3">
      <c r="B6" s="809"/>
      <c r="C6" s="809"/>
      <c r="D6" s="809"/>
      <c r="E6" s="809"/>
      <c r="F6" s="809"/>
    </row>
    <row r="7" spans="1:7" ht="15" customHeight="1" x14ac:dyDescent="0.3">
      <c r="B7" s="809"/>
      <c r="C7" s="809"/>
      <c r="D7" s="809"/>
      <c r="E7" s="809"/>
      <c r="F7" s="809"/>
    </row>
    <row r="8" spans="1:7" ht="15.75" customHeight="1" x14ac:dyDescent="0.3">
      <c r="B8" s="809"/>
      <c r="C8" s="809"/>
      <c r="D8" s="809"/>
      <c r="E8" s="809"/>
      <c r="F8" s="809"/>
    </row>
    <row r="9" spans="1:7" ht="15" customHeight="1" x14ac:dyDescent="0.3">
      <c r="B9" s="809"/>
      <c r="C9" s="809"/>
      <c r="D9" s="809"/>
      <c r="E9" s="809"/>
      <c r="F9" s="809"/>
    </row>
    <row r="10" spans="1:7" x14ac:dyDescent="0.3">
      <c r="A10" s="337"/>
      <c r="B10" s="625" t="s">
        <v>2587</v>
      </c>
      <c r="C10" s="337"/>
      <c r="D10" s="337"/>
      <c r="E10" s="337"/>
      <c r="F10" s="337"/>
    </row>
    <row r="11" spans="1:7" ht="26.25" customHeight="1" x14ac:dyDescent="0.3">
      <c r="A11" s="338"/>
      <c r="B11" s="626" t="s">
        <v>2588</v>
      </c>
      <c r="C11" s="338"/>
      <c r="D11" s="338"/>
      <c r="E11" s="338"/>
      <c r="F11" s="338"/>
    </row>
    <row r="12" spans="1:7" ht="49.5" customHeight="1" x14ac:dyDescent="0.3">
      <c r="A12" s="339"/>
      <c r="B12" s="627" t="s">
        <v>2589</v>
      </c>
      <c r="C12" s="628" t="s">
        <v>2590</v>
      </c>
      <c r="D12" s="628" t="s">
        <v>2591</v>
      </c>
      <c r="E12" s="628" t="s">
        <v>2592</v>
      </c>
      <c r="F12" s="629" t="s">
        <v>2593</v>
      </c>
    </row>
    <row r="13" spans="1:7" ht="73.5" customHeight="1" x14ac:dyDescent="0.3">
      <c r="A13" s="805"/>
      <c r="B13" s="806" t="s">
        <v>2594</v>
      </c>
      <c r="C13" s="808" t="s">
        <v>2595</v>
      </c>
      <c r="D13" s="630" t="s">
        <v>2596</v>
      </c>
      <c r="E13" s="631" t="s">
        <v>2597</v>
      </c>
      <c r="F13" s="616" t="s">
        <v>2598</v>
      </c>
    </row>
    <row r="14" spans="1:7" ht="148.5" customHeight="1" x14ac:dyDescent="0.3">
      <c r="A14" s="805"/>
      <c r="B14" s="806"/>
      <c r="C14" s="807"/>
      <c r="D14" s="632" t="s">
        <v>2599</v>
      </c>
      <c r="E14" s="633" t="s">
        <v>2600</v>
      </c>
      <c r="F14" s="617"/>
    </row>
    <row r="15" spans="1:7" ht="67.05" customHeight="1" x14ac:dyDescent="0.3">
      <c r="A15" s="805"/>
      <c r="B15" s="806"/>
      <c r="C15" s="807"/>
      <c r="D15" s="632" t="s">
        <v>2601</v>
      </c>
      <c r="E15" s="633" t="s">
        <v>2602</v>
      </c>
      <c r="F15" s="617"/>
    </row>
    <row r="16" spans="1:7" ht="225" customHeight="1" thickBot="1" x14ac:dyDescent="0.35">
      <c r="A16" s="800"/>
      <c r="B16" s="802"/>
      <c r="C16" s="804"/>
      <c r="D16" s="634" t="s">
        <v>2603</v>
      </c>
      <c r="E16" s="635" t="s">
        <v>2604</v>
      </c>
      <c r="F16" s="618"/>
    </row>
    <row r="17" spans="1:6" ht="169.5" customHeight="1" x14ac:dyDescent="0.3">
      <c r="A17" s="799"/>
      <c r="B17" s="801" t="s">
        <v>2605</v>
      </c>
      <c r="C17" s="803" t="s">
        <v>2606</v>
      </c>
      <c r="D17" s="636" t="s">
        <v>2607</v>
      </c>
      <c r="E17" s="637" t="s">
        <v>2608</v>
      </c>
      <c r="F17" s="619"/>
    </row>
    <row r="18" spans="1:6" ht="76.5" customHeight="1" thickBot="1" x14ac:dyDescent="0.35">
      <c r="A18" s="800"/>
      <c r="B18" s="802"/>
      <c r="C18" s="804"/>
      <c r="D18" s="634" t="s">
        <v>2609</v>
      </c>
      <c r="E18" s="635" t="s">
        <v>2610</v>
      </c>
      <c r="F18" s="618"/>
    </row>
    <row r="19" spans="1:6" ht="114" customHeight="1" x14ac:dyDescent="0.3">
      <c r="A19" s="805"/>
      <c r="B19" s="806" t="s">
        <v>2611</v>
      </c>
      <c r="C19" s="807" t="s">
        <v>2612</v>
      </c>
      <c r="D19" s="636" t="s">
        <v>2613</v>
      </c>
      <c r="E19" s="638" t="s">
        <v>2614</v>
      </c>
      <c r="F19" s="620"/>
    </row>
    <row r="20" spans="1:6" ht="87" customHeight="1" thickBot="1" x14ac:dyDescent="0.35">
      <c r="A20" s="800"/>
      <c r="B20" s="802"/>
      <c r="C20" s="804"/>
      <c r="D20" s="639" t="s">
        <v>2615</v>
      </c>
      <c r="E20" s="640" t="s">
        <v>2616</v>
      </c>
      <c r="F20" s="621"/>
    </row>
    <row r="21" spans="1:6" ht="162" customHeight="1" thickBot="1" x14ac:dyDescent="0.35">
      <c r="A21" s="330"/>
      <c r="B21" s="641" t="s">
        <v>2617</v>
      </c>
      <c r="C21" s="642" t="s">
        <v>2618</v>
      </c>
      <c r="D21" s="643" t="s">
        <v>2619</v>
      </c>
      <c r="E21" s="644" t="s">
        <v>2620</v>
      </c>
      <c r="F21" s="623" t="s">
        <v>2621</v>
      </c>
    </row>
    <row r="22" spans="1:6" ht="101.25" customHeight="1" thickBot="1" x14ac:dyDescent="0.35">
      <c r="A22" s="330"/>
      <c r="B22" s="641" t="s">
        <v>2622</v>
      </c>
      <c r="C22" s="642" t="s">
        <v>2623</v>
      </c>
      <c r="D22" s="643" t="s">
        <v>2624</v>
      </c>
      <c r="E22" s="645" t="s">
        <v>2625</v>
      </c>
      <c r="F22" s="622"/>
    </row>
    <row r="23" spans="1:6" x14ac:dyDescent="0.3">
      <c r="A23" s="338"/>
      <c r="B23" s="626" t="s">
        <v>2626</v>
      </c>
      <c r="C23" s="338"/>
      <c r="D23" s="338"/>
      <c r="E23" s="338"/>
      <c r="F23" s="338"/>
    </row>
    <row r="24" spans="1:6" ht="53.1" customHeight="1" x14ac:dyDescent="0.3">
      <c r="A24" s="340"/>
      <c r="B24" s="646" t="s">
        <v>2589</v>
      </c>
      <c r="C24" s="628" t="s">
        <v>2590</v>
      </c>
      <c r="D24" s="628" t="s">
        <v>2591</v>
      </c>
      <c r="E24" s="628" t="s">
        <v>2592</v>
      </c>
      <c r="F24" s="629" t="s">
        <v>2593</v>
      </c>
    </row>
    <row r="25" spans="1:6" ht="66" customHeight="1" x14ac:dyDescent="0.3">
      <c r="A25" s="805"/>
      <c r="B25" s="806" t="s">
        <v>2594</v>
      </c>
      <c r="C25" s="808" t="s">
        <v>2595</v>
      </c>
      <c r="D25" s="630" t="s">
        <v>2596</v>
      </c>
      <c r="E25" s="631" t="s">
        <v>2597</v>
      </c>
      <c r="F25" s="616" t="s">
        <v>2598</v>
      </c>
    </row>
    <row r="26" spans="1:6" ht="177.75" customHeight="1" x14ac:dyDescent="0.3">
      <c r="A26" s="805"/>
      <c r="B26" s="806"/>
      <c r="C26" s="807"/>
      <c r="D26" s="632" t="s">
        <v>2599</v>
      </c>
      <c r="E26" s="633" t="s">
        <v>2600</v>
      </c>
      <c r="F26" s="617"/>
    </row>
    <row r="27" spans="1:6" ht="120" customHeight="1" x14ac:dyDescent="0.3">
      <c r="A27" s="805"/>
      <c r="B27" s="806"/>
      <c r="C27" s="807"/>
      <c r="D27" s="632" t="s">
        <v>2601</v>
      </c>
      <c r="E27" s="633" t="s">
        <v>2602</v>
      </c>
      <c r="F27" s="617"/>
    </row>
    <row r="28" spans="1:6" ht="207" customHeight="1" thickBot="1" x14ac:dyDescent="0.35">
      <c r="A28" s="800"/>
      <c r="B28" s="802"/>
      <c r="C28" s="804"/>
      <c r="D28" s="634" t="s">
        <v>2603</v>
      </c>
      <c r="E28" s="635" t="s">
        <v>2604</v>
      </c>
      <c r="F28" s="618"/>
    </row>
    <row r="29" spans="1:6" ht="186.75" customHeight="1" x14ac:dyDescent="0.3">
      <c r="A29" s="799"/>
      <c r="B29" s="801" t="s">
        <v>2605</v>
      </c>
      <c r="C29" s="803" t="s">
        <v>2606</v>
      </c>
      <c r="D29" s="636" t="s">
        <v>2607</v>
      </c>
      <c r="E29" s="637" t="s">
        <v>2627</v>
      </c>
      <c r="F29" s="619"/>
    </row>
    <row r="30" spans="1:6" ht="75.75" customHeight="1" thickBot="1" x14ac:dyDescent="0.35">
      <c r="A30" s="800"/>
      <c r="B30" s="802"/>
      <c r="C30" s="804"/>
      <c r="D30" s="634" t="s">
        <v>2609</v>
      </c>
      <c r="E30" s="635" t="s">
        <v>2610</v>
      </c>
      <c r="F30" s="618"/>
    </row>
    <row r="31" spans="1:6" ht="97.5" customHeight="1" x14ac:dyDescent="0.3">
      <c r="A31" s="805"/>
      <c r="B31" s="806" t="s">
        <v>2611</v>
      </c>
      <c r="C31" s="807" t="s">
        <v>2612</v>
      </c>
      <c r="D31" s="636" t="s">
        <v>2613</v>
      </c>
      <c r="E31" s="638" t="s">
        <v>2614</v>
      </c>
      <c r="F31" s="620"/>
    </row>
    <row r="32" spans="1:6" ht="135" customHeight="1" thickBot="1" x14ac:dyDescent="0.35">
      <c r="A32" s="800"/>
      <c r="B32" s="802"/>
      <c r="C32" s="804"/>
      <c r="D32" s="639" t="s">
        <v>2615</v>
      </c>
      <c r="E32" s="640" t="s">
        <v>2616</v>
      </c>
      <c r="F32" s="621"/>
    </row>
    <row r="33" spans="1:6" ht="145.05000000000001" customHeight="1" thickBot="1" x14ac:dyDescent="0.35">
      <c r="A33" s="330"/>
      <c r="B33" s="641" t="s">
        <v>2617</v>
      </c>
      <c r="C33" s="642" t="s">
        <v>2618</v>
      </c>
      <c r="D33" s="643" t="s">
        <v>2619</v>
      </c>
      <c r="E33" s="644" t="s">
        <v>2628</v>
      </c>
      <c r="F33" s="623" t="s">
        <v>2621</v>
      </c>
    </row>
    <row r="34" spans="1:6" ht="105" customHeight="1" thickBot="1" x14ac:dyDescent="0.35">
      <c r="A34" s="330"/>
      <c r="B34" s="641" t="s">
        <v>2622</v>
      </c>
      <c r="C34" s="642" t="s">
        <v>2623</v>
      </c>
      <c r="D34" s="643" t="s">
        <v>2624</v>
      </c>
      <c r="E34" s="645" t="s">
        <v>2625</v>
      </c>
      <c r="F34" s="622"/>
    </row>
    <row r="35" spans="1:6" ht="25.5" customHeight="1" x14ac:dyDescent="0.3">
      <c r="A35" s="338"/>
      <c r="B35" s="626" t="s">
        <v>2250</v>
      </c>
      <c r="C35" s="338"/>
      <c r="D35" s="338"/>
      <c r="E35" s="338"/>
      <c r="F35" s="338"/>
    </row>
    <row r="36" spans="1:6" ht="57.75" customHeight="1" x14ac:dyDescent="0.3">
      <c r="A36" s="340"/>
      <c r="B36" s="646" t="s">
        <v>2589</v>
      </c>
      <c r="C36" s="628" t="s">
        <v>2590</v>
      </c>
      <c r="D36" s="628" t="s">
        <v>2591</v>
      </c>
      <c r="E36" s="628" t="s">
        <v>2592</v>
      </c>
      <c r="F36" s="629" t="s">
        <v>2593</v>
      </c>
    </row>
    <row r="37" spans="1:6" ht="75.75" customHeight="1" x14ac:dyDescent="0.3">
      <c r="A37" s="805"/>
      <c r="B37" s="806" t="s">
        <v>2594</v>
      </c>
      <c r="C37" s="808" t="s">
        <v>2595</v>
      </c>
      <c r="D37" s="630" t="s">
        <v>2596</v>
      </c>
      <c r="E37" s="631" t="s">
        <v>2629</v>
      </c>
      <c r="F37" s="616" t="s">
        <v>2598</v>
      </c>
    </row>
    <row r="38" spans="1:6" ht="130.5" customHeight="1" x14ac:dyDescent="0.3">
      <c r="A38" s="805"/>
      <c r="B38" s="806"/>
      <c r="C38" s="807"/>
      <c r="D38" s="632" t="s">
        <v>2599</v>
      </c>
      <c r="E38" s="633" t="s">
        <v>2600</v>
      </c>
      <c r="F38" s="617"/>
    </row>
    <row r="39" spans="1:6" ht="100.5" customHeight="1" x14ac:dyDescent="0.3">
      <c r="A39" s="805"/>
      <c r="B39" s="806"/>
      <c r="C39" s="807"/>
      <c r="D39" s="632" t="s">
        <v>2601</v>
      </c>
      <c r="E39" s="633" t="s">
        <v>2602</v>
      </c>
      <c r="F39" s="617"/>
    </row>
    <row r="40" spans="1:6" ht="204.75" customHeight="1" thickBot="1" x14ac:dyDescent="0.35">
      <c r="A40" s="800"/>
      <c r="B40" s="802"/>
      <c r="C40" s="804"/>
      <c r="D40" s="634" t="s">
        <v>2603</v>
      </c>
      <c r="E40" s="635" t="s">
        <v>2604</v>
      </c>
      <c r="F40" s="618"/>
    </row>
    <row r="41" spans="1:6" ht="177.75" customHeight="1" x14ac:dyDescent="0.3">
      <c r="A41" s="799"/>
      <c r="B41" s="801" t="s">
        <v>2605</v>
      </c>
      <c r="C41" s="803" t="s">
        <v>2606</v>
      </c>
      <c r="D41" s="636" t="s">
        <v>2607</v>
      </c>
      <c r="E41" s="637" t="s">
        <v>2608</v>
      </c>
      <c r="F41" s="619"/>
    </row>
    <row r="42" spans="1:6" ht="80.25" customHeight="1" thickBot="1" x14ac:dyDescent="0.35">
      <c r="A42" s="800"/>
      <c r="B42" s="802"/>
      <c r="C42" s="804"/>
      <c r="D42" s="634" t="s">
        <v>2609</v>
      </c>
      <c r="E42" s="635" t="s">
        <v>2610</v>
      </c>
      <c r="F42" s="618"/>
    </row>
    <row r="43" spans="1:6" ht="96" customHeight="1" x14ac:dyDescent="0.3">
      <c r="A43" s="805"/>
      <c r="B43" s="806" t="s">
        <v>2611</v>
      </c>
      <c r="C43" s="807" t="s">
        <v>2612</v>
      </c>
      <c r="D43" s="636" t="s">
        <v>2613</v>
      </c>
      <c r="E43" s="638" t="s">
        <v>2614</v>
      </c>
      <c r="F43" s="620"/>
    </row>
    <row r="44" spans="1:6" ht="111.75" customHeight="1" thickBot="1" x14ac:dyDescent="0.35">
      <c r="A44" s="800"/>
      <c r="B44" s="802"/>
      <c r="C44" s="804"/>
      <c r="D44" s="639" t="s">
        <v>2615</v>
      </c>
      <c r="E44" s="640" t="s">
        <v>2616</v>
      </c>
      <c r="F44" s="621"/>
    </row>
    <row r="45" spans="1:6" ht="175.5" customHeight="1" thickBot="1" x14ac:dyDescent="0.35">
      <c r="A45" s="330"/>
      <c r="B45" s="641" t="s">
        <v>2617</v>
      </c>
      <c r="C45" s="642" t="s">
        <v>2618</v>
      </c>
      <c r="D45" s="643" t="s">
        <v>2619</v>
      </c>
      <c r="E45" s="644" t="s">
        <v>2630</v>
      </c>
      <c r="F45" s="623" t="s">
        <v>2621</v>
      </c>
    </row>
    <row r="46" spans="1:6" ht="108" customHeight="1" thickBot="1" x14ac:dyDescent="0.35">
      <c r="A46" s="330"/>
      <c r="B46" s="641" t="s">
        <v>2622</v>
      </c>
      <c r="C46" s="642" t="s">
        <v>2623</v>
      </c>
      <c r="D46" s="643" t="s">
        <v>2624</v>
      </c>
      <c r="E46" s="645" t="s">
        <v>2625</v>
      </c>
      <c r="F46" s="622"/>
    </row>
    <row r="47" spans="1:6" x14ac:dyDescent="0.3">
      <c r="A47" s="337"/>
      <c r="B47" s="625" t="s">
        <v>2631</v>
      </c>
      <c r="C47" s="337"/>
      <c r="D47" s="337"/>
      <c r="E47" s="337"/>
      <c r="F47" s="337"/>
    </row>
    <row r="48" spans="1:6" x14ac:dyDescent="0.3">
      <c r="A48" s="338"/>
      <c r="B48" s="626" t="s">
        <v>2632</v>
      </c>
      <c r="C48" s="338"/>
      <c r="D48" s="338"/>
      <c r="E48" s="338"/>
      <c r="F48" s="338"/>
    </row>
    <row r="49" spans="1:6" ht="49.05" customHeight="1" x14ac:dyDescent="0.3">
      <c r="A49" s="341"/>
      <c r="B49" s="647" t="s">
        <v>2589</v>
      </c>
      <c r="C49" s="628" t="s">
        <v>2590</v>
      </c>
      <c r="D49" s="628" t="s">
        <v>2591</v>
      </c>
      <c r="E49" s="628" t="s">
        <v>2592</v>
      </c>
      <c r="F49" s="629" t="s">
        <v>2593</v>
      </c>
    </row>
    <row r="50" spans="1:6" ht="84" customHeight="1" x14ac:dyDescent="0.3">
      <c r="A50" s="805"/>
      <c r="B50" s="806" t="s">
        <v>2594</v>
      </c>
      <c r="C50" s="808" t="s">
        <v>2595</v>
      </c>
      <c r="D50" s="630" t="s">
        <v>2596</v>
      </c>
      <c r="E50" s="631" t="s">
        <v>2597</v>
      </c>
      <c r="F50" s="616" t="s">
        <v>2598</v>
      </c>
    </row>
    <row r="51" spans="1:6" ht="160.5" customHeight="1" x14ac:dyDescent="0.3">
      <c r="A51" s="805"/>
      <c r="B51" s="806"/>
      <c r="C51" s="807"/>
      <c r="D51" s="632" t="s">
        <v>2599</v>
      </c>
      <c r="E51" s="633" t="s">
        <v>2600</v>
      </c>
      <c r="F51" s="617"/>
    </row>
    <row r="52" spans="1:6" ht="84.75" customHeight="1" x14ac:dyDescent="0.3">
      <c r="A52" s="805"/>
      <c r="B52" s="806"/>
      <c r="C52" s="807"/>
      <c r="D52" s="632" t="s">
        <v>2601</v>
      </c>
      <c r="E52" s="633" t="s">
        <v>2602</v>
      </c>
      <c r="F52" s="617"/>
    </row>
    <row r="53" spans="1:6" ht="194.25" customHeight="1" thickBot="1" x14ac:dyDescent="0.35">
      <c r="A53" s="800"/>
      <c r="B53" s="802"/>
      <c r="C53" s="804"/>
      <c r="D53" s="634" t="s">
        <v>2603</v>
      </c>
      <c r="E53" s="635" t="s">
        <v>2604</v>
      </c>
      <c r="F53" s="618"/>
    </row>
    <row r="54" spans="1:6" ht="174" customHeight="1" x14ac:dyDescent="0.3">
      <c r="A54" s="799"/>
      <c r="B54" s="801" t="s">
        <v>2605</v>
      </c>
      <c r="C54" s="803" t="s">
        <v>2606</v>
      </c>
      <c r="D54" s="636" t="s">
        <v>2607</v>
      </c>
      <c r="E54" s="637" t="s">
        <v>2608</v>
      </c>
      <c r="F54" s="619"/>
    </row>
    <row r="55" spans="1:6" ht="136.5" customHeight="1" thickBot="1" x14ac:dyDescent="0.35">
      <c r="A55" s="800"/>
      <c r="B55" s="802"/>
      <c r="C55" s="804"/>
      <c r="D55" s="634" t="s">
        <v>2609</v>
      </c>
      <c r="E55" s="635" t="s">
        <v>2610</v>
      </c>
      <c r="F55" s="618"/>
    </row>
    <row r="56" spans="1:6" ht="93" customHeight="1" x14ac:dyDescent="0.3">
      <c r="A56" s="805"/>
      <c r="B56" s="806" t="s">
        <v>2611</v>
      </c>
      <c r="C56" s="807" t="s">
        <v>2612</v>
      </c>
      <c r="D56" s="636" t="s">
        <v>2613</v>
      </c>
      <c r="E56" s="638" t="s">
        <v>2614</v>
      </c>
      <c r="F56" s="620"/>
    </row>
    <row r="57" spans="1:6" ht="63" customHeight="1" thickBot="1" x14ac:dyDescent="0.35">
      <c r="A57" s="800"/>
      <c r="B57" s="802"/>
      <c r="C57" s="804"/>
      <c r="D57" s="639" t="s">
        <v>2615</v>
      </c>
      <c r="E57" s="640" t="s">
        <v>2633</v>
      </c>
      <c r="F57" s="621"/>
    </row>
    <row r="58" spans="1:6" ht="155.25" customHeight="1" thickBot="1" x14ac:dyDescent="0.35">
      <c r="A58" s="330"/>
      <c r="B58" s="641" t="s">
        <v>2617</v>
      </c>
      <c r="C58" s="642" t="s">
        <v>2618</v>
      </c>
      <c r="D58" s="648" t="s">
        <v>2634</v>
      </c>
      <c r="E58" s="649" t="s">
        <v>2635</v>
      </c>
      <c r="F58" s="624" t="s">
        <v>2636</v>
      </c>
    </row>
    <row r="59" spans="1:6" ht="129" customHeight="1" thickBot="1" x14ac:dyDescent="0.35">
      <c r="A59" s="331"/>
      <c r="B59" s="650" t="s">
        <v>2622</v>
      </c>
      <c r="C59" s="651" t="s">
        <v>2623</v>
      </c>
      <c r="D59" s="643" t="s">
        <v>2624</v>
      </c>
      <c r="E59" s="644" t="s">
        <v>2637</v>
      </c>
      <c r="F59" s="622"/>
    </row>
    <row r="60" spans="1:6" x14ac:dyDescent="0.3">
      <c r="B60" s="332"/>
      <c r="C60" s="333"/>
    </row>
    <row r="61" spans="1:6" x14ac:dyDescent="0.3">
      <c r="B61" s="332"/>
      <c r="C61" s="333"/>
    </row>
    <row r="62" spans="1:6" x14ac:dyDescent="0.3">
      <c r="B62" s="332"/>
      <c r="C62" s="333"/>
    </row>
  </sheetData>
  <sheetProtection algorithmName="SHA-512" hashValue="I8YTGRnZ5AW23cSsRn2GAFjWSbbpATHn0GB0+Ro7Q9Uy94fE7vIrlK0R+UWzF4ZseUowQiTl9bJ4SOdfIOAxgA==" saltValue="P2SkJGNaSdtJ10PaMfMzww==" spinCount="100000" sheet="1" objects="1" autoFilter="0" pivotTables="0"/>
  <mergeCells count="37">
    <mergeCell ref="B4:F9"/>
    <mergeCell ref="A13:A16"/>
    <mergeCell ref="B13:B16"/>
    <mergeCell ref="C13:C16"/>
    <mergeCell ref="A17:A18"/>
    <mergeCell ref="B17:B18"/>
    <mergeCell ref="C17:C18"/>
    <mergeCell ref="A19:A20"/>
    <mergeCell ref="B19:B20"/>
    <mergeCell ref="C19:C20"/>
    <mergeCell ref="A25:A28"/>
    <mergeCell ref="B25:B28"/>
    <mergeCell ref="C25:C28"/>
    <mergeCell ref="A29:A30"/>
    <mergeCell ref="B29:B30"/>
    <mergeCell ref="C29:C30"/>
    <mergeCell ref="A31:A32"/>
    <mergeCell ref="B31:B32"/>
    <mergeCell ref="C31:C32"/>
    <mergeCell ref="A37:A40"/>
    <mergeCell ref="B37:B40"/>
    <mergeCell ref="C37:C40"/>
    <mergeCell ref="A41:A42"/>
    <mergeCell ref="B41:B42"/>
    <mergeCell ref="C41:C42"/>
    <mergeCell ref="A43:A44"/>
    <mergeCell ref="B43:B44"/>
    <mergeCell ref="C43:C44"/>
    <mergeCell ref="A50:A53"/>
    <mergeCell ref="B50:B53"/>
    <mergeCell ref="C50:C53"/>
    <mergeCell ref="A54:A55"/>
    <mergeCell ref="B54:B55"/>
    <mergeCell ref="C54:C55"/>
    <mergeCell ref="A56:A57"/>
    <mergeCell ref="B56:B57"/>
    <mergeCell ref="C56:C57"/>
  </mergeCells>
  <hyperlinks>
    <hyperlink ref="F13" r:id="rId1" xr:uid="{D4728F28-7DF4-40CF-92E4-FF228BF7D5C1}"/>
    <hyperlink ref="F25" r:id="rId2" xr:uid="{E9209359-3E69-4AA2-A949-B90F070269E8}"/>
    <hyperlink ref="F37" r:id="rId3" xr:uid="{23760E52-9B45-4B58-8B3C-F4D6F7D9551E}"/>
    <hyperlink ref="F50" r:id="rId4" xr:uid="{BD689CE2-B9A5-42A0-910B-0EA430B9C0DB}"/>
    <hyperlink ref="F21" r:id="rId5" xr:uid="{0795AE50-1857-47EA-A282-006A038C8531}"/>
    <hyperlink ref="F33" r:id="rId6" xr:uid="{CD244E86-D9D1-43BC-92B0-C19085A826D9}"/>
    <hyperlink ref="F45" r:id="rId7" xr:uid="{CF0FFEA3-A5A3-428D-ABCD-A6F6B47C4A1E}"/>
    <hyperlink ref="F58" r:id="rId8" xr:uid="{488F47F5-C779-43B6-B8D4-173B5D5FC76F}"/>
  </hyperlinks>
  <pageMargins left="0.511811024" right="0.511811024" top="0.78740157499999996" bottom="0.78740157499999996" header="0.31496062000000002" footer="0.31496062000000002"/>
  <pageSetup paperSize="9" orientation="portrait" r:id="rId9"/>
  <drawing r:id="rId1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6D31-74CA-4887-9D0B-0F6D30F6DB59}">
  <sheetPr codeName="Planilha21">
    <pageSetUpPr fitToPage="1"/>
  </sheetPr>
  <dimension ref="A1:G21"/>
  <sheetViews>
    <sheetView showGridLines="0" showRowColHeaders="0" topLeftCell="B1" zoomScaleNormal="100" workbookViewId="0"/>
  </sheetViews>
  <sheetFormatPr defaultColWidth="0" defaultRowHeight="14.4" x14ac:dyDescent="0.3"/>
  <cols>
    <col min="1" max="1" width="6" style="332" customWidth="1"/>
    <col min="2" max="2" width="23.44140625" style="334" customWidth="1"/>
    <col min="3" max="3" width="40.21875" style="334" customWidth="1"/>
    <col min="4" max="4" width="44.77734375" style="334" customWidth="1"/>
    <col min="5" max="5" width="57.77734375" style="334" customWidth="1"/>
    <col min="6" max="6" width="43.77734375" style="332" customWidth="1"/>
    <col min="7" max="7" width="3.77734375" style="332" customWidth="1"/>
    <col min="8" max="8" width="0" style="332" hidden="1" customWidth="1"/>
    <col min="9" max="16384" width="0" style="332" hidden="1"/>
  </cols>
  <sheetData>
    <row r="1" spans="1:7" ht="28.05" customHeight="1" x14ac:dyDescent="0.3">
      <c r="A1" s="439"/>
      <c r="B1" s="438"/>
      <c r="C1" s="438"/>
      <c r="D1" s="438"/>
      <c r="E1" s="438"/>
      <c r="F1" s="438"/>
      <c r="G1" s="439"/>
    </row>
    <row r="2" spans="1:7" ht="15" customHeight="1" x14ac:dyDescent="0.3">
      <c r="B2" s="437"/>
      <c r="C2" s="437"/>
      <c r="D2" s="437"/>
      <c r="E2" s="437"/>
      <c r="F2" s="437"/>
    </row>
    <row r="3" spans="1:7" ht="15" customHeight="1" x14ac:dyDescent="0.3">
      <c r="B3" s="437"/>
      <c r="C3" s="437"/>
      <c r="D3" s="437"/>
      <c r="E3" s="437"/>
      <c r="F3" s="437"/>
    </row>
    <row r="4" spans="1:7" ht="15" customHeight="1" x14ac:dyDescent="0.3">
      <c r="B4" s="437"/>
      <c r="C4" s="437"/>
      <c r="D4" s="437"/>
      <c r="E4" s="662" t="s">
        <v>0</v>
      </c>
      <c r="F4" s="437"/>
    </row>
    <row r="5" spans="1:7" ht="15" customHeight="1" x14ac:dyDescent="0.3">
      <c r="B5" s="437"/>
      <c r="C5" s="437"/>
      <c r="D5" s="437"/>
      <c r="E5" s="437"/>
      <c r="F5" s="437"/>
    </row>
    <row r="6" spans="1:7" ht="15" customHeight="1" x14ac:dyDescent="0.3">
      <c r="B6" s="437"/>
      <c r="C6" s="437"/>
      <c r="D6" s="437"/>
      <c r="E6" s="437"/>
      <c r="F6" s="437"/>
    </row>
    <row r="7" spans="1:7" ht="47.1" customHeight="1" x14ac:dyDescent="0.3">
      <c r="B7" s="810" t="s">
        <v>2638</v>
      </c>
      <c r="C7" s="810"/>
      <c r="D7" s="810"/>
      <c r="E7" s="810"/>
      <c r="F7" s="810"/>
    </row>
    <row r="8" spans="1:7" ht="15" customHeight="1" x14ac:dyDescent="0.3">
      <c r="B8" s="455"/>
      <c r="C8" s="455"/>
      <c r="D8" s="455"/>
      <c r="E8" s="455"/>
      <c r="F8" s="455"/>
    </row>
    <row r="9" spans="1:7" ht="25.5" customHeight="1" x14ac:dyDescent="0.3">
      <c r="A9" s="544"/>
      <c r="B9" s="545"/>
      <c r="C9" s="545"/>
      <c r="D9" s="546"/>
      <c r="E9" s="811"/>
      <c r="F9" s="812"/>
    </row>
    <row r="10" spans="1:7" ht="32.549999999999997" customHeight="1" x14ac:dyDescent="0.3">
      <c r="A10" s="547"/>
      <c r="B10" s="813" t="s">
        <v>2639</v>
      </c>
      <c r="C10" s="813"/>
      <c r="D10" s="813"/>
      <c r="E10" s="814"/>
      <c r="F10" s="548" t="s">
        <v>2640</v>
      </c>
    </row>
    <row r="11" spans="1:7" ht="50.1" customHeight="1" x14ac:dyDescent="0.3">
      <c r="A11" s="549"/>
      <c r="B11" s="815" t="s">
        <v>2641</v>
      </c>
      <c r="C11" s="815"/>
      <c r="D11" s="815"/>
      <c r="E11" s="816"/>
      <c r="F11" s="542" t="s">
        <v>2642</v>
      </c>
    </row>
    <row r="12" spans="1:7" ht="50.1" customHeight="1" x14ac:dyDescent="0.3">
      <c r="A12" s="550"/>
      <c r="B12" s="817"/>
      <c r="C12" s="817"/>
      <c r="D12" s="817"/>
      <c r="E12" s="818"/>
      <c r="F12" s="542" t="s">
        <v>2643</v>
      </c>
    </row>
    <row r="13" spans="1:7" ht="50.1" customHeight="1" x14ac:dyDescent="0.3">
      <c r="A13" s="550"/>
      <c r="B13" s="817"/>
      <c r="C13" s="817"/>
      <c r="D13" s="817"/>
      <c r="E13" s="818"/>
      <c r="F13" s="542" t="s">
        <v>2644</v>
      </c>
    </row>
    <row r="14" spans="1:7" ht="50.1" customHeight="1" x14ac:dyDescent="0.3">
      <c r="A14" s="550"/>
      <c r="B14" s="817"/>
      <c r="C14" s="817"/>
      <c r="D14" s="817"/>
      <c r="E14" s="818"/>
      <c r="F14" s="542" t="s">
        <v>2645</v>
      </c>
    </row>
    <row r="15" spans="1:7" ht="50.1" customHeight="1" x14ac:dyDescent="0.3">
      <c r="A15" s="550"/>
      <c r="B15" s="817"/>
      <c r="C15" s="817"/>
      <c r="D15" s="817"/>
      <c r="E15" s="818"/>
      <c r="F15" s="542" t="s">
        <v>2646</v>
      </c>
    </row>
    <row r="16" spans="1:7" ht="50.1" customHeight="1" x14ac:dyDescent="0.3">
      <c r="A16" s="550"/>
      <c r="B16" s="817"/>
      <c r="C16" s="817"/>
      <c r="D16" s="817"/>
      <c r="E16" s="818"/>
      <c r="F16" s="543" t="s">
        <v>2647</v>
      </c>
    </row>
    <row r="17" spans="1:6" ht="50.1" customHeight="1" x14ac:dyDescent="0.3">
      <c r="A17" s="550"/>
      <c r="B17" s="817"/>
      <c r="C17" s="817"/>
      <c r="D17" s="817"/>
      <c r="E17" s="818"/>
      <c r="F17" s="543" t="s">
        <v>2648</v>
      </c>
    </row>
    <row r="18" spans="1:6" ht="50.1" customHeight="1" x14ac:dyDescent="0.3">
      <c r="A18" s="550"/>
      <c r="B18" s="817"/>
      <c r="C18" s="817"/>
      <c r="D18" s="817"/>
      <c r="E18" s="818"/>
      <c r="F18" s="543" t="s">
        <v>2649</v>
      </c>
    </row>
    <row r="19" spans="1:6" ht="50.1" customHeight="1" x14ac:dyDescent="0.3">
      <c r="A19" s="550"/>
      <c r="B19" s="817"/>
      <c r="C19" s="817"/>
      <c r="D19" s="817"/>
      <c r="E19" s="818"/>
      <c r="F19" s="543" t="s">
        <v>2650</v>
      </c>
    </row>
    <row r="20" spans="1:6" ht="50.1" customHeight="1" x14ac:dyDescent="0.3">
      <c r="A20" s="550"/>
      <c r="B20" s="817"/>
      <c r="C20" s="817"/>
      <c r="D20" s="817"/>
      <c r="E20" s="818"/>
      <c r="F20" s="543" t="s">
        <v>2651</v>
      </c>
    </row>
    <row r="21" spans="1:6" ht="50.1" customHeight="1" x14ac:dyDescent="0.3">
      <c r="A21" s="551"/>
      <c r="B21" s="819"/>
      <c r="C21" s="819"/>
      <c r="D21" s="819"/>
      <c r="E21" s="819"/>
      <c r="F21" s="599" t="s">
        <v>2652</v>
      </c>
    </row>
  </sheetData>
  <sheetProtection algorithmName="SHA-512" hashValue="etm1e7L2ngWHjMbbMa8UPQKgon7M0PADJZ+d+s4A1yNB3X6MgF3Vz4VxS4m+t/lmXIybqeSlQZqbgNcL93lvmQ==" saltValue="/OF2DfcaIi38XzsClJc7sw==" spinCount="100000" sheet="1" objects="1" autoFilter="0" pivotTables="0"/>
  <mergeCells count="4">
    <mergeCell ref="B7:F7"/>
    <mergeCell ref="E9:F9"/>
    <mergeCell ref="B10:E10"/>
    <mergeCell ref="B11:E21"/>
  </mergeCells>
  <hyperlinks>
    <hyperlink ref="F13" r:id="rId1" display="Princípios de Conduta para Terceiros" xr:uid="{E45400BB-6922-4AA4-B4EC-E523BF43E56D}"/>
    <hyperlink ref="F15" r:id="rId2" display="Treinamento de Direitos Humanos para Empregados Vale and Terceiros" xr:uid="{500ECAC6-814D-491A-952F-A21E21FAE239}"/>
    <hyperlink ref="F16" r:id="rId3" display="Cartilha de Direitos Humanos e Trabalho Decente" xr:uid="{03D9DBE6-1173-4FF5-B694-22E44385D4D5}"/>
    <hyperlink ref="F18" r:id="rId4" display="Territórios em Network" xr:uid="{5437EB8A-2E98-4B6D-B59A-93CB8F2F8F33}"/>
    <hyperlink ref="F19" r:id="rId5" display="Combate ao Abuso e à Exploração Sexual de Crianças e Adolescentes" xr:uid="{D622161D-37C4-4F5E-B537-7E46CBE0D6A5}"/>
    <hyperlink ref="F20" r:id="rId6" display="Link Inpacto" xr:uid="{A2EC4DE9-EF67-4207-A239-1053D6A90E4D}"/>
    <hyperlink ref="F21" r:id="rId7" display="Mecanismo de Denúncias" xr:uid="{1CECE887-FA32-496B-8D6C-E2FEE00067EF}"/>
    <hyperlink ref="F11" r:id="rId8" display="Código de Conduta" xr:uid="{23F74D99-B052-4C5B-85A7-54C7866F3BFF}"/>
    <hyperlink ref="F12" r:id="rId9" display="Política de Direitos Humanos" xr:uid="{C1E4F811-4928-4C24-B3B3-DE0C4FBABDE2}"/>
    <hyperlink ref="F14" r:id="rId10" display="Guia de Direitos Humanos" xr:uid="{9CC3A0BB-50B9-4666-9304-0A3F95CA05B8}"/>
    <hyperlink ref="F17" r:id="rId11" display="Guia de Prevenção e Enfrentamento à Exploração Sexual de Crianças e Adolescentes" xr:uid="{A64CAF1D-0429-4A99-8297-FE407A2E5163}"/>
  </hyperlinks>
  <pageMargins left="0.511811024" right="0.511811024" top="0.78740157499999996" bottom="0.78740157499999996" header="0.31496062000000002" footer="0.31496062000000002"/>
  <pageSetup paperSize="9" fitToHeight="0" orientation="portrait" r:id="rId12"/>
  <drawing r:id="rId1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8E00-0C35-4C5F-832A-D1851B0E2401}">
  <sheetPr codeName="Planilha23">
    <pageSetUpPr fitToPage="1"/>
  </sheetPr>
  <dimension ref="A1:T132"/>
  <sheetViews>
    <sheetView showGridLines="0" showRowColHeaders="0" showRuler="0" topLeftCell="C1" zoomScale="79" zoomScaleNormal="100" workbookViewId="0"/>
  </sheetViews>
  <sheetFormatPr defaultColWidth="0" defaultRowHeight="13.8" x14ac:dyDescent="0.25"/>
  <cols>
    <col min="1" max="1" width="8.77734375" style="5" customWidth="1"/>
    <col min="2" max="2" width="18" style="5" customWidth="1"/>
    <col min="3" max="3" width="30.5546875" style="5" customWidth="1"/>
    <col min="4" max="4" width="79.77734375" style="5" customWidth="1"/>
    <col min="5" max="5" width="28.5546875" style="18" customWidth="1"/>
    <col min="6" max="7" width="28.5546875" style="20" customWidth="1"/>
    <col min="8" max="8" width="31.21875" style="20" customWidth="1"/>
    <col min="9" max="9" width="8.77734375" style="20" customWidth="1"/>
    <col min="10" max="11" width="8.77734375" style="20" hidden="1" customWidth="1"/>
    <col min="12" max="20" width="8.77734375" style="5" hidden="1" customWidth="1"/>
    <col min="21" max="16384" width="9.21875" style="5" hidden="1"/>
  </cols>
  <sheetData>
    <row r="1" spans="1:11" ht="14.1" customHeight="1" x14ac:dyDescent="0.25">
      <c r="A1" s="466"/>
    </row>
    <row r="2" spans="1:11" ht="14.55" customHeight="1" x14ac:dyDescent="0.25">
      <c r="A2" s="467"/>
      <c r="B2" s="468"/>
      <c r="C2" s="468"/>
      <c r="D2" s="468"/>
      <c r="E2" s="469"/>
      <c r="F2" s="470"/>
      <c r="G2" s="470"/>
      <c r="H2" s="470"/>
      <c r="I2" s="470"/>
    </row>
    <row r="3" spans="1:11" ht="14.55" customHeight="1" x14ac:dyDescent="0.25">
      <c r="H3" s="9"/>
      <c r="I3" s="9"/>
      <c r="J3" s="9"/>
      <c r="K3" s="9"/>
    </row>
    <row r="4" spans="1:11" ht="14.55" customHeight="1" x14ac:dyDescent="0.25">
      <c r="G4" s="662" t="s">
        <v>0</v>
      </c>
    </row>
    <row r="6" spans="1:11" ht="14.1" customHeight="1" x14ac:dyDescent="0.3">
      <c r="G6"/>
    </row>
    <row r="7" spans="1:11" ht="21" x14ac:dyDescent="0.4">
      <c r="B7" s="850" t="s">
        <v>2886</v>
      </c>
      <c r="C7" s="850"/>
      <c r="D7" s="850"/>
    </row>
    <row r="8" spans="1:11" ht="21" x14ac:dyDescent="0.4">
      <c r="B8" s="6"/>
      <c r="C8" s="6"/>
      <c r="D8" s="6"/>
    </row>
    <row r="9" spans="1:11" ht="21" x14ac:dyDescent="0.4">
      <c r="B9" s="6"/>
      <c r="C9" s="6"/>
      <c r="D9" s="6"/>
    </row>
    <row r="10" spans="1:11" ht="21" x14ac:dyDescent="0.4">
      <c r="B10" s="6"/>
      <c r="C10" s="6"/>
      <c r="D10" s="6"/>
    </row>
    <row r="11" spans="1:11" ht="21" x14ac:dyDescent="0.4">
      <c r="B11" s="6"/>
      <c r="C11" s="6"/>
      <c r="D11" s="6"/>
    </row>
    <row r="12" spans="1:11" ht="21" x14ac:dyDescent="0.4">
      <c r="B12" s="6"/>
      <c r="C12" s="6"/>
      <c r="D12" s="6"/>
    </row>
    <row r="13" spans="1:11" ht="21" x14ac:dyDescent="0.4">
      <c r="B13" s="6"/>
      <c r="C13" s="6"/>
      <c r="D13" s="6"/>
    </row>
    <row r="14" spans="1:11" ht="21" x14ac:dyDescent="0.4">
      <c r="B14" s="6"/>
      <c r="C14" s="6"/>
      <c r="D14" s="6"/>
    </row>
    <row r="15" spans="1:11" ht="21" x14ac:dyDescent="0.4">
      <c r="B15" s="6"/>
      <c r="C15" s="6"/>
      <c r="D15" s="6"/>
    </row>
    <row r="16" spans="1:11" ht="21" x14ac:dyDescent="0.4">
      <c r="B16" s="6"/>
      <c r="C16" s="6"/>
      <c r="D16" s="6"/>
    </row>
    <row r="17" spans="2:11" s="319" customFormat="1" ht="71.099999999999994" customHeight="1" x14ac:dyDescent="0.3">
      <c r="B17" s="40" t="s">
        <v>2653</v>
      </c>
      <c r="C17" s="40" t="s">
        <v>324</v>
      </c>
      <c r="D17" s="40" t="s">
        <v>2654</v>
      </c>
      <c r="E17" s="40" t="s">
        <v>2655</v>
      </c>
      <c r="F17" s="40" t="s">
        <v>2656</v>
      </c>
      <c r="G17" s="40" t="s">
        <v>2657</v>
      </c>
      <c r="H17" s="40" t="s">
        <v>2658</v>
      </c>
    </row>
    <row r="18" spans="2:11" ht="157.5" customHeight="1" x14ac:dyDescent="0.25">
      <c r="B18" s="471" t="s">
        <v>2659</v>
      </c>
      <c r="C18" s="308" t="s">
        <v>2660</v>
      </c>
      <c r="D18" s="308" t="s">
        <v>2661</v>
      </c>
      <c r="E18" s="320" t="s">
        <v>2662</v>
      </c>
      <c r="F18" s="320" t="s">
        <v>2663</v>
      </c>
      <c r="G18" s="320" t="s">
        <v>2664</v>
      </c>
      <c r="H18" s="320" t="s">
        <v>2665</v>
      </c>
      <c r="I18" s="5"/>
      <c r="J18" s="5"/>
      <c r="K18" s="5"/>
    </row>
    <row r="19" spans="2:11" ht="252.6" customHeight="1" x14ac:dyDescent="0.25">
      <c r="B19" s="820" t="s">
        <v>2666</v>
      </c>
      <c r="C19" s="822" t="s">
        <v>2667</v>
      </c>
      <c r="D19" s="822" t="s">
        <v>2668</v>
      </c>
      <c r="E19" s="820" t="s">
        <v>2662</v>
      </c>
      <c r="F19" s="820" t="s">
        <v>2663</v>
      </c>
      <c r="G19" s="820" t="s">
        <v>2664</v>
      </c>
      <c r="H19" s="820" t="s">
        <v>2665</v>
      </c>
      <c r="I19" s="5"/>
      <c r="J19" s="5"/>
      <c r="K19" s="5"/>
    </row>
    <row r="20" spans="2:11" ht="257.10000000000002" customHeight="1" x14ac:dyDescent="0.25">
      <c r="B20" s="821"/>
      <c r="C20" s="823"/>
      <c r="D20" s="823"/>
      <c r="E20" s="821"/>
      <c r="F20" s="821"/>
      <c r="G20" s="821"/>
      <c r="H20" s="821"/>
      <c r="I20" s="5"/>
      <c r="J20" s="5"/>
      <c r="K20" s="5"/>
    </row>
    <row r="21" spans="2:11" ht="117.6" customHeight="1" x14ac:dyDescent="0.25">
      <c r="B21" s="471" t="s">
        <v>2669</v>
      </c>
      <c r="C21" s="308" t="s">
        <v>1746</v>
      </c>
      <c r="D21" s="308" t="s">
        <v>2670</v>
      </c>
      <c r="E21" s="320" t="s">
        <v>2662</v>
      </c>
      <c r="F21" s="320" t="s">
        <v>2663</v>
      </c>
      <c r="G21" s="320" t="s">
        <v>2664</v>
      </c>
      <c r="H21" s="320" t="s">
        <v>2665</v>
      </c>
      <c r="I21" s="5"/>
      <c r="J21" s="5"/>
      <c r="K21" s="5"/>
    </row>
    <row r="22" spans="2:11" ht="99" customHeight="1" x14ac:dyDescent="0.25">
      <c r="B22" s="471" t="s">
        <v>2671</v>
      </c>
      <c r="C22" s="308" t="s">
        <v>2672</v>
      </c>
      <c r="D22" s="308" t="s">
        <v>2673</v>
      </c>
      <c r="E22" s="320" t="s">
        <v>2674</v>
      </c>
      <c r="F22" s="320" t="s">
        <v>2675</v>
      </c>
      <c r="G22" s="320" t="s">
        <v>2664</v>
      </c>
      <c r="H22" s="320" t="s">
        <v>2665</v>
      </c>
      <c r="I22" s="5"/>
      <c r="J22" s="5"/>
      <c r="K22" s="5"/>
    </row>
    <row r="23" spans="2:11" ht="84" customHeight="1" x14ac:dyDescent="0.25">
      <c r="B23" s="471" t="s">
        <v>2676</v>
      </c>
      <c r="C23" s="308" t="s">
        <v>2677</v>
      </c>
      <c r="D23" s="308" t="s">
        <v>2678</v>
      </c>
      <c r="E23" s="320" t="s">
        <v>2662</v>
      </c>
      <c r="F23" s="320" t="s">
        <v>2679</v>
      </c>
      <c r="G23" s="320" t="s">
        <v>2664</v>
      </c>
      <c r="H23" s="320" t="s">
        <v>2665</v>
      </c>
      <c r="I23" s="5"/>
      <c r="J23" s="5"/>
      <c r="K23" s="5"/>
    </row>
    <row r="24" spans="2:11" ht="102.6" customHeight="1" x14ac:dyDescent="0.25">
      <c r="B24" s="471" t="s">
        <v>2680</v>
      </c>
      <c r="C24" s="308" t="s">
        <v>2681</v>
      </c>
      <c r="D24" s="308" t="s">
        <v>2678</v>
      </c>
      <c r="E24" s="320" t="s">
        <v>2662</v>
      </c>
      <c r="F24" s="320" t="s">
        <v>2679</v>
      </c>
      <c r="G24" s="320" t="s">
        <v>2664</v>
      </c>
      <c r="H24" s="320" t="s">
        <v>2665</v>
      </c>
      <c r="I24" s="5"/>
      <c r="J24" s="5"/>
      <c r="K24" s="5"/>
    </row>
    <row r="25" spans="2:11" ht="76.05" customHeight="1" x14ac:dyDescent="0.25">
      <c r="B25" s="471" t="s">
        <v>2682</v>
      </c>
      <c r="C25" s="308" t="s">
        <v>2683</v>
      </c>
      <c r="D25" s="308" t="s">
        <v>2678</v>
      </c>
      <c r="E25" s="320" t="s">
        <v>2662</v>
      </c>
      <c r="F25" s="320" t="s">
        <v>2679</v>
      </c>
      <c r="G25" s="320" t="s">
        <v>2664</v>
      </c>
      <c r="H25" s="320" t="s">
        <v>2665</v>
      </c>
      <c r="I25" s="5"/>
      <c r="J25" s="5"/>
      <c r="K25" s="5"/>
    </row>
    <row r="26" spans="2:11" ht="75.599999999999994" customHeight="1" x14ac:dyDescent="0.25">
      <c r="B26" s="471" t="s">
        <v>2684</v>
      </c>
      <c r="C26" s="308" t="s">
        <v>2685</v>
      </c>
      <c r="D26" s="308" t="s">
        <v>2678</v>
      </c>
      <c r="E26" s="320" t="s">
        <v>2662</v>
      </c>
      <c r="F26" s="320" t="s">
        <v>2679</v>
      </c>
      <c r="G26" s="320" t="s">
        <v>2664</v>
      </c>
      <c r="H26" s="320" t="s">
        <v>2665</v>
      </c>
      <c r="I26" s="5"/>
      <c r="J26" s="5"/>
      <c r="K26" s="5"/>
    </row>
    <row r="27" spans="2:11" ht="110.1" customHeight="1" x14ac:dyDescent="0.25">
      <c r="B27" s="471" t="s">
        <v>2686</v>
      </c>
      <c r="C27" s="308" t="s">
        <v>2687</v>
      </c>
      <c r="D27" s="308" t="s">
        <v>2678</v>
      </c>
      <c r="E27" s="320" t="s">
        <v>2674</v>
      </c>
      <c r="F27" s="320" t="s">
        <v>2679</v>
      </c>
      <c r="G27" s="320" t="s">
        <v>2664</v>
      </c>
      <c r="H27" s="320" t="s">
        <v>2665</v>
      </c>
      <c r="I27" s="5"/>
      <c r="J27" s="5"/>
      <c r="K27" s="5"/>
    </row>
    <row r="28" spans="2:11" ht="117.6" customHeight="1" x14ac:dyDescent="0.25">
      <c r="B28" s="471" t="s">
        <v>2688</v>
      </c>
      <c r="C28" s="308" t="s">
        <v>2689</v>
      </c>
      <c r="D28" s="308" t="s">
        <v>2690</v>
      </c>
      <c r="E28" s="320" t="s">
        <v>2662</v>
      </c>
      <c r="F28" s="320" t="s">
        <v>2663</v>
      </c>
      <c r="G28" s="320" t="s">
        <v>2664</v>
      </c>
      <c r="H28" s="320" t="s">
        <v>2665</v>
      </c>
      <c r="I28" s="5"/>
      <c r="J28" s="5"/>
      <c r="K28" s="5"/>
    </row>
    <row r="29" spans="2:11" ht="83.1" customHeight="1" x14ac:dyDescent="0.25">
      <c r="B29" s="471" t="s">
        <v>2691</v>
      </c>
      <c r="C29" s="308" t="s">
        <v>2692</v>
      </c>
      <c r="D29" s="308" t="s">
        <v>2678</v>
      </c>
      <c r="E29" s="320" t="s">
        <v>2662</v>
      </c>
      <c r="F29" s="320" t="s">
        <v>2679</v>
      </c>
      <c r="G29" s="320" t="s">
        <v>2664</v>
      </c>
      <c r="H29" s="320" t="s">
        <v>2665</v>
      </c>
      <c r="I29" s="5"/>
      <c r="J29" s="5"/>
      <c r="K29" s="5"/>
    </row>
    <row r="30" spans="2:11" ht="72.599999999999994" customHeight="1" x14ac:dyDescent="0.25">
      <c r="B30" s="471" t="s">
        <v>2693</v>
      </c>
      <c r="C30" s="308" t="s">
        <v>2694</v>
      </c>
      <c r="D30" s="308" t="s">
        <v>2678</v>
      </c>
      <c r="E30" s="320" t="s">
        <v>2662</v>
      </c>
      <c r="F30" s="320" t="s">
        <v>2679</v>
      </c>
      <c r="G30" s="320" t="s">
        <v>2664</v>
      </c>
      <c r="H30" s="320" t="s">
        <v>2665</v>
      </c>
      <c r="I30" s="5"/>
      <c r="J30" s="5"/>
      <c r="K30" s="5"/>
    </row>
    <row r="31" spans="2:11" ht="80.55" customHeight="1" x14ac:dyDescent="0.25">
      <c r="B31" s="471" t="s">
        <v>2695</v>
      </c>
      <c r="C31" s="308" t="s">
        <v>2696</v>
      </c>
      <c r="D31" s="308" t="s">
        <v>2678</v>
      </c>
      <c r="E31" s="320" t="s">
        <v>2662</v>
      </c>
      <c r="F31" s="320" t="s">
        <v>2679</v>
      </c>
      <c r="G31" s="320" t="s">
        <v>2664</v>
      </c>
      <c r="H31" s="320" t="s">
        <v>2665</v>
      </c>
      <c r="I31" s="5"/>
      <c r="J31" s="5"/>
      <c r="K31" s="5"/>
    </row>
    <row r="32" spans="2:11" ht="71.55" customHeight="1" x14ac:dyDescent="0.25">
      <c r="B32" s="471" t="s">
        <v>2697</v>
      </c>
      <c r="C32" s="308" t="s">
        <v>2698</v>
      </c>
      <c r="D32" s="308" t="s">
        <v>2678</v>
      </c>
      <c r="E32" s="320" t="s">
        <v>2662</v>
      </c>
      <c r="F32" s="320" t="s">
        <v>2679</v>
      </c>
      <c r="G32" s="320" t="s">
        <v>2664</v>
      </c>
      <c r="H32" s="320" t="s">
        <v>2665</v>
      </c>
      <c r="I32" s="5"/>
      <c r="J32" s="5"/>
      <c r="K32" s="5"/>
    </row>
    <row r="33" spans="2:11" ht="88.05" customHeight="1" x14ac:dyDescent="0.25">
      <c r="B33" s="471" t="s">
        <v>2699</v>
      </c>
      <c r="C33" s="308" t="s">
        <v>2700</v>
      </c>
      <c r="D33" s="308" t="s">
        <v>2678</v>
      </c>
      <c r="E33" s="320" t="s">
        <v>2662</v>
      </c>
      <c r="F33" s="320" t="s">
        <v>2679</v>
      </c>
      <c r="G33" s="320" t="s">
        <v>2664</v>
      </c>
      <c r="H33" s="320" t="s">
        <v>2665</v>
      </c>
      <c r="I33" s="5"/>
      <c r="J33" s="5"/>
      <c r="K33" s="5"/>
    </row>
    <row r="34" spans="2:11" ht="81" customHeight="1" x14ac:dyDescent="0.25">
      <c r="B34" s="471" t="s">
        <v>2701</v>
      </c>
      <c r="C34" s="308" t="s">
        <v>2702</v>
      </c>
      <c r="D34" s="308" t="s">
        <v>2703</v>
      </c>
      <c r="E34" s="320" t="s">
        <v>2662</v>
      </c>
      <c r="F34" s="320" t="s">
        <v>2663</v>
      </c>
      <c r="G34" s="320" t="s">
        <v>2664</v>
      </c>
      <c r="H34" s="320" t="s">
        <v>2665</v>
      </c>
      <c r="I34" s="5"/>
      <c r="J34" s="5"/>
      <c r="K34" s="5"/>
    </row>
    <row r="35" spans="2:11" ht="85.05" customHeight="1" x14ac:dyDescent="0.25">
      <c r="B35" s="471" t="s">
        <v>2704</v>
      </c>
      <c r="C35" s="308" t="s">
        <v>2705</v>
      </c>
      <c r="D35" s="308" t="s">
        <v>2678</v>
      </c>
      <c r="E35" s="320" t="s">
        <v>2662</v>
      </c>
      <c r="F35" s="320" t="s">
        <v>2679</v>
      </c>
      <c r="G35" s="320" t="s">
        <v>2664</v>
      </c>
      <c r="H35" s="320" t="s">
        <v>2665</v>
      </c>
      <c r="I35" s="5"/>
      <c r="J35" s="5"/>
      <c r="K35" s="5"/>
    </row>
    <row r="36" spans="2:11" ht="67.5" customHeight="1" x14ac:dyDescent="0.25">
      <c r="B36" s="471" t="s">
        <v>2706</v>
      </c>
      <c r="C36" s="308" t="s">
        <v>2707</v>
      </c>
      <c r="D36" s="308" t="s">
        <v>2678</v>
      </c>
      <c r="E36" s="320" t="s">
        <v>2662</v>
      </c>
      <c r="F36" s="320" t="s">
        <v>2679</v>
      </c>
      <c r="G36" s="320" t="s">
        <v>2664</v>
      </c>
      <c r="H36" s="320" t="s">
        <v>2665</v>
      </c>
      <c r="I36" s="5"/>
      <c r="J36" s="5"/>
      <c r="K36" s="5"/>
    </row>
    <row r="37" spans="2:11" ht="65.099999999999994" customHeight="1" x14ac:dyDescent="0.25">
      <c r="B37" s="471" t="s">
        <v>2708</v>
      </c>
      <c r="C37" s="308" t="s">
        <v>2709</v>
      </c>
      <c r="D37" s="308" t="s">
        <v>2678</v>
      </c>
      <c r="E37" s="320" t="s">
        <v>2662</v>
      </c>
      <c r="F37" s="320" t="s">
        <v>2679</v>
      </c>
      <c r="G37" s="320" t="s">
        <v>2664</v>
      </c>
      <c r="H37" s="320" t="s">
        <v>2665</v>
      </c>
      <c r="I37" s="5"/>
      <c r="J37" s="5"/>
      <c r="K37" s="5"/>
    </row>
    <row r="38" spans="2:11" ht="214.5" customHeight="1" x14ac:dyDescent="0.25">
      <c r="B38" s="471" t="s">
        <v>2710</v>
      </c>
      <c r="C38" s="308" t="s">
        <v>2711</v>
      </c>
      <c r="D38" s="472" t="s">
        <v>2712</v>
      </c>
      <c r="E38" s="320" t="s">
        <v>2662</v>
      </c>
      <c r="F38" s="320" t="s">
        <v>2663</v>
      </c>
      <c r="G38" s="320" t="s">
        <v>2664</v>
      </c>
      <c r="H38" s="320" t="s">
        <v>2665</v>
      </c>
      <c r="I38" s="5"/>
      <c r="J38" s="5"/>
      <c r="K38" s="5"/>
    </row>
    <row r="39" spans="2:11" ht="36" customHeight="1" x14ac:dyDescent="0.25">
      <c r="B39" s="471" t="s">
        <v>2713</v>
      </c>
      <c r="C39" s="308" t="s">
        <v>2714</v>
      </c>
      <c r="D39" s="308" t="s">
        <v>2715</v>
      </c>
      <c r="E39" s="320" t="s">
        <v>2662</v>
      </c>
      <c r="F39" s="320" t="s">
        <v>2663</v>
      </c>
      <c r="G39" s="320" t="s">
        <v>2664</v>
      </c>
      <c r="H39" s="320" t="s">
        <v>2665</v>
      </c>
      <c r="I39" s="5"/>
      <c r="J39" s="5"/>
      <c r="K39" s="5"/>
    </row>
    <row r="40" spans="2:11" ht="65.099999999999994" customHeight="1" x14ac:dyDescent="0.25">
      <c r="B40" s="471" t="s">
        <v>2716</v>
      </c>
      <c r="C40" s="308" t="s">
        <v>2717</v>
      </c>
      <c r="D40" s="308" t="s">
        <v>2678</v>
      </c>
      <c r="E40" s="320" t="s">
        <v>2662</v>
      </c>
      <c r="F40" s="320" t="s">
        <v>2679</v>
      </c>
      <c r="G40" s="320" t="s">
        <v>2664</v>
      </c>
      <c r="H40" s="320" t="s">
        <v>2665</v>
      </c>
      <c r="I40" s="5"/>
      <c r="J40" s="5"/>
      <c r="K40" s="5"/>
    </row>
    <row r="41" spans="2:11" ht="242.25" customHeight="1" x14ac:dyDescent="0.25">
      <c r="B41" s="471" t="s">
        <v>2718</v>
      </c>
      <c r="C41" s="308" t="s">
        <v>2719</v>
      </c>
      <c r="D41" s="472" t="s">
        <v>2720</v>
      </c>
      <c r="E41" s="320" t="s">
        <v>2662</v>
      </c>
      <c r="F41" s="320" t="s">
        <v>2663</v>
      </c>
      <c r="G41" s="320" t="s">
        <v>2664</v>
      </c>
      <c r="H41" s="320" t="s">
        <v>2665</v>
      </c>
      <c r="I41" s="5"/>
      <c r="J41" s="5"/>
      <c r="K41" s="5"/>
    </row>
    <row r="42" spans="2:11" ht="78.599999999999994" customHeight="1" x14ac:dyDescent="0.25">
      <c r="B42" s="471" t="s">
        <v>2721</v>
      </c>
      <c r="C42" s="308" t="s">
        <v>2722</v>
      </c>
      <c r="D42" s="308" t="s">
        <v>2678</v>
      </c>
      <c r="E42" s="320" t="s">
        <v>2662</v>
      </c>
      <c r="F42" s="320" t="s">
        <v>2679</v>
      </c>
      <c r="G42" s="320" t="s">
        <v>2664</v>
      </c>
      <c r="H42" s="320" t="s">
        <v>2665</v>
      </c>
      <c r="I42" s="5"/>
      <c r="J42" s="5"/>
      <c r="K42" s="5"/>
    </row>
    <row r="43" spans="2:11" ht="68.099999999999994" customHeight="1" x14ac:dyDescent="0.25">
      <c r="B43" s="471" t="s">
        <v>2723</v>
      </c>
      <c r="C43" s="308" t="s">
        <v>2724</v>
      </c>
      <c r="D43" s="308" t="s">
        <v>2678</v>
      </c>
      <c r="E43" s="320" t="s">
        <v>2662</v>
      </c>
      <c r="F43" s="320" t="s">
        <v>2679</v>
      </c>
      <c r="G43" s="320" t="s">
        <v>2664</v>
      </c>
      <c r="H43" s="320" t="s">
        <v>2665</v>
      </c>
      <c r="I43" s="5"/>
      <c r="J43" s="5"/>
      <c r="K43" s="5"/>
    </row>
    <row r="44" spans="2:11" ht="71.099999999999994" customHeight="1" x14ac:dyDescent="0.25">
      <c r="B44" s="471" t="s">
        <v>2725</v>
      </c>
      <c r="C44" s="308" t="s">
        <v>2726</v>
      </c>
      <c r="D44" s="308" t="s">
        <v>2678</v>
      </c>
      <c r="E44" s="320" t="s">
        <v>2674</v>
      </c>
      <c r="F44" s="320" t="s">
        <v>2679</v>
      </c>
      <c r="G44" s="320" t="s">
        <v>2664</v>
      </c>
      <c r="H44" s="320" t="s">
        <v>2665</v>
      </c>
      <c r="I44" s="5"/>
      <c r="J44" s="5"/>
      <c r="K44" s="5"/>
    </row>
    <row r="45" spans="2:11" ht="409.5" customHeight="1" x14ac:dyDescent="0.25">
      <c r="B45" s="820" t="s">
        <v>2727</v>
      </c>
      <c r="C45" s="822" t="s">
        <v>340</v>
      </c>
      <c r="D45" s="824" t="s">
        <v>2728</v>
      </c>
      <c r="E45" s="826" t="s">
        <v>2674</v>
      </c>
      <c r="F45" s="826" t="s">
        <v>2729</v>
      </c>
      <c r="G45" s="826" t="s">
        <v>2664</v>
      </c>
      <c r="H45" s="826" t="s">
        <v>2665</v>
      </c>
      <c r="I45" s="5"/>
      <c r="J45" s="5"/>
      <c r="K45" s="5"/>
    </row>
    <row r="46" spans="2:11" ht="409.5" customHeight="1" x14ac:dyDescent="0.25">
      <c r="B46" s="836"/>
      <c r="C46" s="838"/>
      <c r="D46" s="849"/>
      <c r="E46" s="832"/>
      <c r="F46" s="832"/>
      <c r="G46" s="832"/>
      <c r="H46" s="832"/>
      <c r="I46" s="5"/>
      <c r="J46" s="5"/>
      <c r="K46" s="5"/>
    </row>
    <row r="47" spans="2:11" ht="409.5" customHeight="1" x14ac:dyDescent="0.25">
      <c r="B47" s="836"/>
      <c r="C47" s="838"/>
      <c r="D47" s="849"/>
      <c r="E47" s="832"/>
      <c r="F47" s="832"/>
      <c r="G47" s="832"/>
      <c r="H47" s="832"/>
      <c r="I47" s="5"/>
      <c r="J47" s="5"/>
      <c r="K47" s="5"/>
    </row>
    <row r="48" spans="2:11" ht="409.5" customHeight="1" x14ac:dyDescent="0.25">
      <c r="B48" s="836"/>
      <c r="C48" s="838"/>
      <c r="D48" s="849"/>
      <c r="E48" s="832"/>
      <c r="F48" s="832"/>
      <c r="G48" s="832"/>
      <c r="H48" s="832"/>
      <c r="I48" s="5"/>
      <c r="J48" s="5"/>
      <c r="K48" s="5"/>
    </row>
    <row r="49" spans="2:11" ht="236.1" customHeight="1" x14ac:dyDescent="0.25">
      <c r="B49" s="821"/>
      <c r="C49" s="823"/>
      <c r="D49" s="825"/>
      <c r="E49" s="827"/>
      <c r="F49" s="827"/>
      <c r="G49" s="827"/>
      <c r="H49" s="827"/>
      <c r="I49" s="5"/>
      <c r="J49" s="5"/>
      <c r="K49" s="5"/>
    </row>
    <row r="50" spans="2:11" ht="79.5" customHeight="1" x14ac:dyDescent="0.25">
      <c r="B50" s="471" t="s">
        <v>2730</v>
      </c>
      <c r="C50" s="308" t="s">
        <v>2731</v>
      </c>
      <c r="D50" s="308" t="s">
        <v>2678</v>
      </c>
      <c r="E50" s="320" t="s">
        <v>2662</v>
      </c>
      <c r="F50" s="320" t="s">
        <v>2679</v>
      </c>
      <c r="G50" s="320" t="s">
        <v>2664</v>
      </c>
      <c r="H50" s="320" t="s">
        <v>2665</v>
      </c>
      <c r="I50" s="5"/>
      <c r="J50" s="5"/>
      <c r="K50" s="5"/>
    </row>
    <row r="51" spans="2:11" ht="98.1" customHeight="1" x14ac:dyDescent="0.25">
      <c r="B51" s="471" t="s">
        <v>2732</v>
      </c>
      <c r="C51" s="308" t="s">
        <v>2733</v>
      </c>
      <c r="D51" s="308" t="s">
        <v>2678</v>
      </c>
      <c r="E51" s="320" t="s">
        <v>2674</v>
      </c>
      <c r="F51" s="320" t="s">
        <v>2679</v>
      </c>
      <c r="G51" s="320" t="s">
        <v>2664</v>
      </c>
      <c r="H51" s="320" t="s">
        <v>2665</v>
      </c>
      <c r="I51" s="5"/>
      <c r="J51" s="5"/>
      <c r="K51" s="5"/>
    </row>
    <row r="52" spans="2:11" ht="250.5" customHeight="1" x14ac:dyDescent="0.25">
      <c r="B52" s="471" t="s">
        <v>2734</v>
      </c>
      <c r="C52" s="308" t="s">
        <v>2735</v>
      </c>
      <c r="D52" s="308" t="s">
        <v>2736</v>
      </c>
      <c r="E52" s="320" t="s">
        <v>2662</v>
      </c>
      <c r="F52" s="320" t="s">
        <v>2663</v>
      </c>
      <c r="G52" s="320" t="s">
        <v>2664</v>
      </c>
      <c r="H52" s="320" t="s">
        <v>2665</v>
      </c>
      <c r="I52" s="5"/>
      <c r="J52" s="5"/>
      <c r="K52" s="5"/>
    </row>
    <row r="53" spans="2:11" ht="70.5" customHeight="1" x14ac:dyDescent="0.25">
      <c r="B53" s="471" t="s">
        <v>2737</v>
      </c>
      <c r="C53" s="308" t="s">
        <v>2738</v>
      </c>
      <c r="D53" s="308" t="s">
        <v>2678</v>
      </c>
      <c r="E53" s="320" t="s">
        <v>2674</v>
      </c>
      <c r="F53" s="320" t="s">
        <v>2679</v>
      </c>
      <c r="G53" s="320" t="s">
        <v>2664</v>
      </c>
      <c r="H53" s="320" t="s">
        <v>2665</v>
      </c>
      <c r="I53" s="5"/>
      <c r="J53" s="5"/>
      <c r="K53" s="5"/>
    </row>
    <row r="54" spans="2:11" ht="87" customHeight="1" x14ac:dyDescent="0.25">
      <c r="B54" s="471" t="s">
        <v>2739</v>
      </c>
      <c r="C54" s="308" t="s">
        <v>2740</v>
      </c>
      <c r="D54" s="308" t="s">
        <v>2678</v>
      </c>
      <c r="E54" s="320" t="s">
        <v>2674</v>
      </c>
      <c r="F54" s="320" t="s">
        <v>2679</v>
      </c>
      <c r="G54" s="320" t="s">
        <v>2664</v>
      </c>
      <c r="H54" s="320" t="s">
        <v>2665</v>
      </c>
      <c r="I54" s="5"/>
      <c r="J54" s="5"/>
      <c r="K54" s="5"/>
    </row>
    <row r="55" spans="2:11" ht="72" customHeight="1" x14ac:dyDescent="0.25">
      <c r="B55" s="471" t="s">
        <v>2741</v>
      </c>
      <c r="C55" s="308" t="s">
        <v>2742</v>
      </c>
      <c r="D55" s="308" t="s">
        <v>2678</v>
      </c>
      <c r="E55" s="320" t="s">
        <v>2662</v>
      </c>
      <c r="F55" s="320" t="s">
        <v>2679</v>
      </c>
      <c r="G55" s="320" t="s">
        <v>2664</v>
      </c>
      <c r="H55" s="320" t="s">
        <v>2665</v>
      </c>
      <c r="I55" s="5"/>
      <c r="J55" s="5"/>
      <c r="K55" s="5"/>
    </row>
    <row r="56" spans="2:11" ht="30.6" customHeight="1" x14ac:dyDescent="0.25">
      <c r="B56" s="471" t="s">
        <v>2743</v>
      </c>
      <c r="C56" s="308" t="s">
        <v>220</v>
      </c>
      <c r="D56" s="308" t="s">
        <v>2744</v>
      </c>
      <c r="E56" s="320" t="s">
        <v>2662</v>
      </c>
      <c r="F56" s="320" t="s">
        <v>2663</v>
      </c>
      <c r="G56" s="320" t="s">
        <v>2664</v>
      </c>
      <c r="H56" s="320" t="s">
        <v>2665</v>
      </c>
      <c r="I56" s="5"/>
      <c r="J56" s="5"/>
      <c r="K56" s="5"/>
    </row>
    <row r="57" spans="2:11" ht="142.05000000000001" customHeight="1" x14ac:dyDescent="0.25">
      <c r="B57" s="471" t="s">
        <v>2745</v>
      </c>
      <c r="C57" s="308" t="s">
        <v>191</v>
      </c>
      <c r="D57" s="472" t="s">
        <v>2746</v>
      </c>
      <c r="E57" s="320" t="s">
        <v>2662</v>
      </c>
      <c r="F57" s="320" t="s">
        <v>2663</v>
      </c>
      <c r="G57" s="320" t="s">
        <v>2664</v>
      </c>
      <c r="H57" s="320" t="s">
        <v>2665</v>
      </c>
      <c r="I57" s="5"/>
      <c r="J57" s="5"/>
      <c r="K57" s="5"/>
    </row>
    <row r="58" spans="2:11" ht="85.5" customHeight="1" x14ac:dyDescent="0.25">
      <c r="B58" s="471" t="s">
        <v>2747</v>
      </c>
      <c r="C58" s="308" t="s">
        <v>2748</v>
      </c>
      <c r="D58" s="308" t="s">
        <v>2678</v>
      </c>
      <c r="E58" s="320" t="s">
        <v>2662</v>
      </c>
      <c r="F58" s="320" t="s">
        <v>2679</v>
      </c>
      <c r="G58" s="320" t="s">
        <v>2664</v>
      </c>
      <c r="H58" s="320" t="s">
        <v>2665</v>
      </c>
      <c r="I58" s="5"/>
      <c r="J58" s="5"/>
      <c r="K58" s="5"/>
    </row>
    <row r="59" spans="2:11" ht="68.099999999999994" customHeight="1" x14ac:dyDescent="0.25">
      <c r="B59" s="471" t="s">
        <v>2749</v>
      </c>
      <c r="C59" s="308" t="s">
        <v>2750</v>
      </c>
      <c r="D59" s="308" t="s">
        <v>2678</v>
      </c>
      <c r="E59" s="320" t="s">
        <v>2662</v>
      </c>
      <c r="F59" s="320" t="s">
        <v>2679</v>
      </c>
      <c r="G59" s="320" t="s">
        <v>2664</v>
      </c>
      <c r="H59" s="320" t="s">
        <v>2665</v>
      </c>
      <c r="I59" s="5"/>
      <c r="J59" s="5"/>
      <c r="K59" s="5"/>
    </row>
    <row r="60" spans="2:11" ht="292.5" customHeight="1" x14ac:dyDescent="0.25">
      <c r="B60" s="471" t="s">
        <v>2751</v>
      </c>
      <c r="C60" s="308" t="s">
        <v>327</v>
      </c>
      <c r="D60" s="507" t="s">
        <v>2752</v>
      </c>
      <c r="E60" s="320" t="s">
        <v>2662</v>
      </c>
      <c r="F60" s="320" t="s">
        <v>2753</v>
      </c>
      <c r="G60" s="320" t="s">
        <v>2664</v>
      </c>
      <c r="H60" s="320" t="s">
        <v>2665</v>
      </c>
      <c r="I60" s="5"/>
      <c r="J60" s="5"/>
      <c r="K60" s="5"/>
    </row>
    <row r="61" spans="2:11" ht="151.5" customHeight="1" x14ac:dyDescent="0.25">
      <c r="B61" s="471" t="s">
        <v>2754</v>
      </c>
      <c r="C61" s="308" t="s">
        <v>329</v>
      </c>
      <c r="D61" s="308" t="s">
        <v>2678</v>
      </c>
      <c r="E61" s="320" t="s">
        <v>2662</v>
      </c>
      <c r="F61" s="320" t="s">
        <v>2679</v>
      </c>
      <c r="G61" s="320" t="s">
        <v>2664</v>
      </c>
      <c r="H61" s="320" t="s">
        <v>2665</v>
      </c>
      <c r="I61" s="5"/>
      <c r="J61" s="5"/>
      <c r="K61" s="5"/>
    </row>
    <row r="62" spans="2:11" ht="264.75" customHeight="1" x14ac:dyDescent="0.25">
      <c r="B62" s="471" t="s">
        <v>2755</v>
      </c>
      <c r="C62" s="308" t="s">
        <v>2756</v>
      </c>
      <c r="D62" s="472" t="s">
        <v>2757</v>
      </c>
      <c r="E62" s="320" t="s">
        <v>2674</v>
      </c>
      <c r="F62" s="320" t="s">
        <v>2663</v>
      </c>
      <c r="G62" s="320" t="s">
        <v>2664</v>
      </c>
      <c r="H62" s="320" t="s">
        <v>2665</v>
      </c>
      <c r="I62" s="5"/>
      <c r="J62" s="5"/>
      <c r="K62" s="5"/>
    </row>
    <row r="63" spans="2:11" ht="370.5" customHeight="1" x14ac:dyDescent="0.25">
      <c r="B63" s="471" t="s">
        <v>2758</v>
      </c>
      <c r="C63" s="308" t="s">
        <v>2759</v>
      </c>
      <c r="D63" s="472" t="s">
        <v>2760</v>
      </c>
      <c r="E63" s="320" t="s">
        <v>2662</v>
      </c>
      <c r="F63" s="320" t="s">
        <v>2663</v>
      </c>
      <c r="G63" s="320" t="s">
        <v>2664</v>
      </c>
      <c r="H63" s="320" t="s">
        <v>2665</v>
      </c>
      <c r="I63" s="5"/>
      <c r="J63" s="5"/>
      <c r="K63" s="5"/>
    </row>
    <row r="64" spans="2:11" ht="296.39999999999998" x14ac:dyDescent="0.25">
      <c r="B64" s="471" t="s">
        <v>2761</v>
      </c>
      <c r="C64" s="308" t="s">
        <v>224</v>
      </c>
      <c r="D64" s="473" t="s">
        <v>2762</v>
      </c>
      <c r="E64" s="320" t="s">
        <v>2674</v>
      </c>
      <c r="F64" s="320" t="s">
        <v>2663</v>
      </c>
      <c r="G64" s="320" t="s">
        <v>2664</v>
      </c>
      <c r="H64" s="320" t="s">
        <v>2665</v>
      </c>
      <c r="I64" s="5"/>
      <c r="J64" s="5"/>
      <c r="K64" s="5"/>
    </row>
    <row r="65" spans="2:11" ht="409.5" customHeight="1" x14ac:dyDescent="0.25">
      <c r="B65" s="820" t="s">
        <v>2763</v>
      </c>
      <c r="C65" s="822" t="s">
        <v>2764</v>
      </c>
      <c r="D65" s="830" t="s">
        <v>2765</v>
      </c>
      <c r="E65" s="826" t="s">
        <v>2674</v>
      </c>
      <c r="F65" s="826" t="s">
        <v>2663</v>
      </c>
      <c r="G65" s="826" t="s">
        <v>2664</v>
      </c>
      <c r="H65" s="826" t="s">
        <v>2665</v>
      </c>
      <c r="I65" s="5"/>
      <c r="J65" s="5"/>
      <c r="K65" s="5"/>
    </row>
    <row r="66" spans="2:11" ht="272.10000000000002" customHeight="1" x14ac:dyDescent="0.25">
      <c r="B66" s="821"/>
      <c r="C66" s="823"/>
      <c r="D66" s="823"/>
      <c r="E66" s="827"/>
      <c r="F66" s="827"/>
      <c r="G66" s="827"/>
      <c r="H66" s="827"/>
      <c r="I66" s="5"/>
      <c r="J66" s="5"/>
      <c r="K66" s="5"/>
    </row>
    <row r="67" spans="2:11" ht="409.5" customHeight="1" x14ac:dyDescent="0.25">
      <c r="B67" s="820" t="s">
        <v>2766</v>
      </c>
      <c r="C67" s="822" t="s">
        <v>2767</v>
      </c>
      <c r="D67" s="830" t="s">
        <v>2768</v>
      </c>
      <c r="E67" s="826" t="s">
        <v>2674</v>
      </c>
      <c r="F67" s="826" t="s">
        <v>2663</v>
      </c>
      <c r="G67" s="826" t="s">
        <v>2664</v>
      </c>
      <c r="H67" s="826" t="s">
        <v>2665</v>
      </c>
      <c r="I67" s="5"/>
      <c r="J67" s="5"/>
      <c r="K67" s="5"/>
    </row>
    <row r="68" spans="2:11" ht="291" customHeight="1" x14ac:dyDescent="0.25">
      <c r="B68" s="821"/>
      <c r="C68" s="823"/>
      <c r="D68" s="848"/>
      <c r="E68" s="827"/>
      <c r="F68" s="827"/>
      <c r="G68" s="827"/>
      <c r="H68" s="827"/>
      <c r="I68" s="5"/>
      <c r="J68" s="5"/>
      <c r="K68" s="5"/>
    </row>
    <row r="69" spans="2:11" ht="180.75" customHeight="1" x14ac:dyDescent="0.25">
      <c r="B69" s="471" t="s">
        <v>2769</v>
      </c>
      <c r="C69" s="308" t="s">
        <v>230</v>
      </c>
      <c r="D69" s="472" t="s">
        <v>2770</v>
      </c>
      <c r="E69" s="320" t="s">
        <v>2662</v>
      </c>
      <c r="F69" s="320" t="s">
        <v>2663</v>
      </c>
      <c r="G69" s="320" t="s">
        <v>2664</v>
      </c>
      <c r="H69" s="320" t="s">
        <v>2665</v>
      </c>
    </row>
    <row r="70" spans="2:11" ht="70.5" customHeight="1" x14ac:dyDescent="0.25">
      <c r="B70" s="471" t="s">
        <v>2771</v>
      </c>
      <c r="C70" s="322" t="s">
        <v>2772</v>
      </c>
      <c r="D70" s="308" t="s">
        <v>2678</v>
      </c>
      <c r="E70" s="320" t="s">
        <v>2662</v>
      </c>
      <c r="F70" s="320" t="s">
        <v>2679</v>
      </c>
      <c r="G70" s="320" t="s">
        <v>2664</v>
      </c>
      <c r="H70" s="320" t="s">
        <v>2665</v>
      </c>
    </row>
    <row r="71" spans="2:11" ht="250.5" customHeight="1" x14ac:dyDescent="0.25">
      <c r="B71" s="474" t="s">
        <v>2773</v>
      </c>
      <c r="C71" s="475" t="s">
        <v>169</v>
      </c>
      <c r="D71" s="476" t="s">
        <v>2678</v>
      </c>
      <c r="E71" s="320" t="s">
        <v>2662</v>
      </c>
      <c r="F71" s="320" t="s">
        <v>2679</v>
      </c>
      <c r="G71" s="171" t="s">
        <v>2664</v>
      </c>
      <c r="H71" s="320" t="s">
        <v>2665</v>
      </c>
    </row>
    <row r="72" spans="2:11" ht="311.10000000000002" customHeight="1" x14ac:dyDescent="0.25">
      <c r="B72" s="846" t="s">
        <v>2774</v>
      </c>
      <c r="C72" s="837" t="s">
        <v>2775</v>
      </c>
      <c r="D72" s="839" t="s">
        <v>2776</v>
      </c>
      <c r="E72" s="831" t="s">
        <v>2674</v>
      </c>
      <c r="F72" s="831" t="s">
        <v>2777</v>
      </c>
      <c r="G72" s="831" t="s">
        <v>2664</v>
      </c>
      <c r="H72" s="831" t="s">
        <v>2665</v>
      </c>
    </row>
    <row r="73" spans="2:11" ht="232.5" customHeight="1" x14ac:dyDescent="0.25">
      <c r="B73" s="847"/>
      <c r="C73" s="838"/>
      <c r="D73" s="840"/>
      <c r="E73" s="832"/>
      <c r="F73" s="832"/>
      <c r="G73" s="841"/>
      <c r="H73" s="841"/>
    </row>
    <row r="74" spans="2:11" ht="353.1" customHeight="1" x14ac:dyDescent="0.25">
      <c r="B74" s="842" t="s">
        <v>2778</v>
      </c>
      <c r="C74" s="843" t="s">
        <v>173</v>
      </c>
      <c r="D74" s="844" t="s">
        <v>2779</v>
      </c>
      <c r="E74" s="845" t="s">
        <v>2674</v>
      </c>
      <c r="F74" s="845" t="s">
        <v>2777</v>
      </c>
      <c r="G74" s="845" t="s">
        <v>2664</v>
      </c>
      <c r="H74" s="845" t="s">
        <v>2665</v>
      </c>
    </row>
    <row r="75" spans="2:11" ht="265.5" customHeight="1" x14ac:dyDescent="0.25">
      <c r="B75" s="842"/>
      <c r="C75" s="843"/>
      <c r="D75" s="844"/>
      <c r="E75" s="845"/>
      <c r="F75" s="845"/>
      <c r="G75" s="845"/>
      <c r="H75" s="845"/>
    </row>
    <row r="76" spans="2:11" ht="290.10000000000002" customHeight="1" x14ac:dyDescent="0.25">
      <c r="B76" s="835" t="s">
        <v>2780</v>
      </c>
      <c r="C76" s="837" t="s">
        <v>175</v>
      </c>
      <c r="D76" s="839" t="s">
        <v>2781</v>
      </c>
      <c r="E76" s="831" t="s">
        <v>2674</v>
      </c>
      <c r="F76" s="831" t="s">
        <v>2777</v>
      </c>
      <c r="G76" s="831" t="s">
        <v>2664</v>
      </c>
      <c r="H76" s="831" t="s">
        <v>2665</v>
      </c>
    </row>
    <row r="77" spans="2:11" ht="279" customHeight="1" x14ac:dyDescent="0.25">
      <c r="B77" s="836"/>
      <c r="C77" s="838"/>
      <c r="D77" s="840"/>
      <c r="E77" s="832"/>
      <c r="F77" s="832"/>
      <c r="G77" s="832"/>
      <c r="H77" s="832"/>
    </row>
    <row r="78" spans="2:11" ht="136.05000000000001" customHeight="1" x14ac:dyDescent="0.25">
      <c r="B78" s="471" t="s">
        <v>2782</v>
      </c>
      <c r="C78" s="308" t="s">
        <v>2783</v>
      </c>
      <c r="D78" s="477" t="s">
        <v>2784</v>
      </c>
      <c r="E78" s="320" t="s">
        <v>2674</v>
      </c>
      <c r="F78" s="320" t="s">
        <v>2663</v>
      </c>
      <c r="G78" s="320" t="s">
        <v>2785</v>
      </c>
      <c r="H78" s="320" t="s">
        <v>2786</v>
      </c>
    </row>
    <row r="79" spans="2:11" ht="220.5" customHeight="1" x14ac:dyDescent="0.25">
      <c r="B79" s="506" t="s">
        <v>2787</v>
      </c>
      <c r="C79" s="321" t="s">
        <v>150</v>
      </c>
      <c r="D79" s="478" t="s">
        <v>2788</v>
      </c>
      <c r="E79" s="457" t="s">
        <v>2662</v>
      </c>
      <c r="F79" s="320" t="s">
        <v>2663</v>
      </c>
      <c r="G79" s="457" t="s">
        <v>2664</v>
      </c>
      <c r="H79" s="320" t="s">
        <v>2665</v>
      </c>
    </row>
    <row r="80" spans="2:11" ht="271.5" customHeight="1" x14ac:dyDescent="0.25">
      <c r="B80" s="471" t="s">
        <v>2789</v>
      </c>
      <c r="C80" s="308" t="s">
        <v>152</v>
      </c>
      <c r="D80" s="472" t="s">
        <v>2790</v>
      </c>
      <c r="E80" s="320" t="s">
        <v>2674</v>
      </c>
      <c r="F80" s="320" t="s">
        <v>2663</v>
      </c>
      <c r="G80" s="320" t="s">
        <v>2664</v>
      </c>
      <c r="H80" s="320" t="s">
        <v>2665</v>
      </c>
    </row>
    <row r="81" spans="2:8" ht="88.05" customHeight="1" x14ac:dyDescent="0.25">
      <c r="B81" s="471" t="s">
        <v>2791</v>
      </c>
      <c r="C81" s="308" t="s">
        <v>154</v>
      </c>
      <c r="D81" s="507" t="s">
        <v>2792</v>
      </c>
      <c r="E81" s="320" t="s">
        <v>2662</v>
      </c>
      <c r="F81" s="320" t="s">
        <v>2663</v>
      </c>
      <c r="G81" s="320" t="s">
        <v>2664</v>
      </c>
      <c r="H81" s="320" t="s">
        <v>2665</v>
      </c>
    </row>
    <row r="82" spans="2:8" ht="400.5" customHeight="1" x14ac:dyDescent="0.25">
      <c r="B82" s="471" t="s">
        <v>2793</v>
      </c>
      <c r="C82" s="308" t="s">
        <v>255</v>
      </c>
      <c r="D82" s="472" t="s">
        <v>2794</v>
      </c>
      <c r="E82" s="320" t="s">
        <v>2662</v>
      </c>
      <c r="F82" s="320" t="s">
        <v>2663</v>
      </c>
      <c r="G82" s="320" t="s">
        <v>2664</v>
      </c>
      <c r="H82" s="320" t="s">
        <v>2665</v>
      </c>
    </row>
    <row r="83" spans="2:8" ht="266.55" customHeight="1" x14ac:dyDescent="0.25">
      <c r="B83" s="471" t="s">
        <v>2795</v>
      </c>
      <c r="C83" s="308" t="s">
        <v>257</v>
      </c>
      <c r="D83" s="472" t="s">
        <v>2736</v>
      </c>
      <c r="E83" s="320" t="s">
        <v>2662</v>
      </c>
      <c r="F83" s="320" t="s">
        <v>2663</v>
      </c>
      <c r="G83" s="320" t="s">
        <v>2664</v>
      </c>
      <c r="H83" s="320" t="s">
        <v>2665</v>
      </c>
    </row>
    <row r="84" spans="2:8" ht="273" customHeight="1" x14ac:dyDescent="0.25">
      <c r="B84" s="471" t="s">
        <v>2796</v>
      </c>
      <c r="C84" s="308" t="s">
        <v>259</v>
      </c>
      <c r="D84" s="472" t="s">
        <v>2736</v>
      </c>
      <c r="E84" s="320" t="s">
        <v>2662</v>
      </c>
      <c r="F84" s="320" t="s">
        <v>2663</v>
      </c>
      <c r="G84" s="320" t="s">
        <v>2664</v>
      </c>
      <c r="H84" s="320" t="s">
        <v>2665</v>
      </c>
    </row>
    <row r="85" spans="2:8" ht="318" customHeight="1" x14ac:dyDescent="0.25">
      <c r="B85" s="471" t="s">
        <v>2797</v>
      </c>
      <c r="C85" s="308" t="s">
        <v>280</v>
      </c>
      <c r="D85" s="472" t="s">
        <v>2798</v>
      </c>
      <c r="E85" s="320" t="s">
        <v>2662</v>
      </c>
      <c r="F85" s="320" t="s">
        <v>2663</v>
      </c>
      <c r="G85" s="320" t="s">
        <v>2664</v>
      </c>
      <c r="H85" s="320" t="s">
        <v>2665</v>
      </c>
    </row>
    <row r="86" spans="2:8" ht="365.1" customHeight="1" x14ac:dyDescent="0.25">
      <c r="B86" s="471" t="s">
        <v>2799</v>
      </c>
      <c r="C86" s="308" t="s">
        <v>2800</v>
      </c>
      <c r="D86" s="472" t="s">
        <v>2801</v>
      </c>
      <c r="E86" s="320" t="s">
        <v>2662</v>
      </c>
      <c r="F86" s="320" t="s">
        <v>2663</v>
      </c>
      <c r="G86" s="320" t="s">
        <v>2664</v>
      </c>
      <c r="H86" s="320" t="s">
        <v>2665</v>
      </c>
    </row>
    <row r="87" spans="2:8" ht="324" customHeight="1" x14ac:dyDescent="0.25">
      <c r="B87" s="471" t="s">
        <v>2802</v>
      </c>
      <c r="C87" s="308" t="s">
        <v>284</v>
      </c>
      <c r="D87" s="472" t="s">
        <v>2803</v>
      </c>
      <c r="E87" s="320" t="s">
        <v>2662</v>
      </c>
      <c r="F87" s="320" t="s">
        <v>2663</v>
      </c>
      <c r="G87" s="320" t="s">
        <v>2664</v>
      </c>
      <c r="H87" s="320" t="s">
        <v>2665</v>
      </c>
    </row>
    <row r="88" spans="2:8" ht="310.5" customHeight="1" x14ac:dyDescent="0.25">
      <c r="B88" s="471" t="s">
        <v>2804</v>
      </c>
      <c r="C88" s="308" t="s">
        <v>2805</v>
      </c>
      <c r="D88" s="472" t="s">
        <v>2803</v>
      </c>
      <c r="E88" s="320" t="s">
        <v>2662</v>
      </c>
      <c r="F88" s="320" t="s">
        <v>2663</v>
      </c>
      <c r="G88" s="320" t="s">
        <v>2664</v>
      </c>
      <c r="H88" s="320" t="s">
        <v>2665</v>
      </c>
    </row>
    <row r="89" spans="2:8" ht="337.5" customHeight="1" x14ac:dyDescent="0.25">
      <c r="B89" s="471" t="s">
        <v>2806</v>
      </c>
      <c r="C89" s="308" t="s">
        <v>288</v>
      </c>
      <c r="D89" s="472" t="s">
        <v>2803</v>
      </c>
      <c r="E89" s="320" t="s">
        <v>2674</v>
      </c>
      <c r="F89" s="320" t="s">
        <v>2663</v>
      </c>
      <c r="G89" s="320" t="s">
        <v>2664</v>
      </c>
      <c r="H89" s="320" t="s">
        <v>2665</v>
      </c>
    </row>
    <row r="90" spans="2:8" ht="303.60000000000002" customHeight="1" x14ac:dyDescent="0.25">
      <c r="B90" s="471" t="s">
        <v>2807</v>
      </c>
      <c r="C90" s="308" t="s">
        <v>290</v>
      </c>
      <c r="D90" s="472" t="s">
        <v>2803</v>
      </c>
      <c r="E90" s="320" t="s">
        <v>2662</v>
      </c>
      <c r="F90" s="320" t="s">
        <v>2663</v>
      </c>
      <c r="G90" s="320" t="s">
        <v>2664</v>
      </c>
      <c r="H90" s="320" t="s">
        <v>2665</v>
      </c>
    </row>
    <row r="91" spans="2:8" ht="186.6" customHeight="1" x14ac:dyDescent="0.25">
      <c r="B91" s="471" t="s">
        <v>2808</v>
      </c>
      <c r="C91" s="308" t="s">
        <v>292</v>
      </c>
      <c r="D91" s="507" t="s">
        <v>2809</v>
      </c>
      <c r="E91" s="320" t="s">
        <v>2662</v>
      </c>
      <c r="F91" s="320" t="s">
        <v>2663</v>
      </c>
      <c r="G91" s="320" t="s">
        <v>2664</v>
      </c>
      <c r="H91" s="320" t="s">
        <v>2665</v>
      </c>
    </row>
    <row r="92" spans="2:8" ht="300" customHeight="1" x14ac:dyDescent="0.25">
      <c r="B92" s="471" t="s">
        <v>2810</v>
      </c>
      <c r="C92" s="308" t="s">
        <v>294</v>
      </c>
      <c r="D92" s="308" t="s">
        <v>2811</v>
      </c>
      <c r="E92" s="320" t="s">
        <v>2674</v>
      </c>
      <c r="F92" s="320" t="s">
        <v>2663</v>
      </c>
      <c r="G92" s="320" t="s">
        <v>2664</v>
      </c>
      <c r="H92" s="320" t="s">
        <v>2665</v>
      </c>
    </row>
    <row r="93" spans="2:8" ht="314.10000000000002" customHeight="1" x14ac:dyDescent="0.25">
      <c r="B93" s="820" t="s">
        <v>2812</v>
      </c>
      <c r="C93" s="833" t="s">
        <v>296</v>
      </c>
      <c r="D93" s="822" t="s">
        <v>2813</v>
      </c>
      <c r="E93" s="820" t="s">
        <v>2674</v>
      </c>
      <c r="F93" s="820" t="s">
        <v>2814</v>
      </c>
      <c r="G93" s="820" t="s">
        <v>2664</v>
      </c>
      <c r="H93" s="820" t="s">
        <v>2665</v>
      </c>
    </row>
    <row r="94" spans="2:8" ht="273" customHeight="1" x14ac:dyDescent="0.25">
      <c r="B94" s="821"/>
      <c r="C94" s="834"/>
      <c r="D94" s="823"/>
      <c r="E94" s="821"/>
      <c r="F94" s="821"/>
      <c r="G94" s="821"/>
      <c r="H94" s="821"/>
    </row>
    <row r="95" spans="2:8" ht="409.6" customHeight="1" x14ac:dyDescent="0.25">
      <c r="B95" s="471" t="s">
        <v>2815</v>
      </c>
      <c r="C95" s="308" t="s">
        <v>298</v>
      </c>
      <c r="D95" s="308" t="s">
        <v>2816</v>
      </c>
      <c r="E95" s="320" t="s">
        <v>2674</v>
      </c>
      <c r="F95" s="320" t="s">
        <v>2817</v>
      </c>
      <c r="G95" s="320" t="s">
        <v>2664</v>
      </c>
      <c r="H95" s="320" t="s">
        <v>2665</v>
      </c>
    </row>
    <row r="96" spans="2:8" ht="257.55" customHeight="1" x14ac:dyDescent="0.25">
      <c r="B96" s="820" t="s">
        <v>2818</v>
      </c>
      <c r="C96" s="828" t="s">
        <v>2819</v>
      </c>
      <c r="D96" s="830" t="s">
        <v>2820</v>
      </c>
      <c r="E96" s="820" t="s">
        <v>2662</v>
      </c>
      <c r="F96" s="820" t="s">
        <v>2663</v>
      </c>
      <c r="G96" s="820" t="s">
        <v>2664</v>
      </c>
      <c r="H96" s="820" t="s">
        <v>2665</v>
      </c>
    </row>
    <row r="97" spans="2:8" ht="305.10000000000002" customHeight="1" x14ac:dyDescent="0.25">
      <c r="B97" s="821"/>
      <c r="C97" s="829"/>
      <c r="D97" s="823"/>
      <c r="E97" s="821"/>
      <c r="F97" s="821"/>
      <c r="G97" s="821"/>
      <c r="H97" s="821"/>
    </row>
    <row r="98" spans="2:8" ht="140.55000000000001" customHeight="1" x14ac:dyDescent="0.25">
      <c r="B98" s="471" t="s">
        <v>2821</v>
      </c>
      <c r="C98" s="308" t="s">
        <v>2822</v>
      </c>
      <c r="D98" s="308" t="s">
        <v>2678</v>
      </c>
      <c r="E98" s="320" t="s">
        <v>2662</v>
      </c>
      <c r="F98" s="320" t="s">
        <v>2679</v>
      </c>
      <c r="G98" s="320" t="s">
        <v>2664</v>
      </c>
      <c r="H98" s="320" t="s">
        <v>2665</v>
      </c>
    </row>
    <row r="99" spans="2:8" ht="307.05" customHeight="1" x14ac:dyDescent="0.25">
      <c r="B99" s="820" t="s">
        <v>2823</v>
      </c>
      <c r="C99" s="822" t="s">
        <v>265</v>
      </c>
      <c r="D99" s="822" t="s">
        <v>2824</v>
      </c>
      <c r="E99" s="826" t="s">
        <v>2662</v>
      </c>
      <c r="F99" s="826" t="s">
        <v>2663</v>
      </c>
      <c r="G99" s="826" t="s">
        <v>2664</v>
      </c>
      <c r="H99" s="826" t="s">
        <v>2665</v>
      </c>
    </row>
    <row r="100" spans="2:8" ht="284.10000000000002" customHeight="1" x14ac:dyDescent="0.25">
      <c r="B100" s="821"/>
      <c r="C100" s="823"/>
      <c r="D100" s="823"/>
      <c r="E100" s="827"/>
      <c r="F100" s="827"/>
      <c r="G100" s="827"/>
      <c r="H100" s="827"/>
    </row>
    <row r="101" spans="2:8" ht="408.6" customHeight="1" x14ac:dyDescent="0.25">
      <c r="B101" s="471" t="s">
        <v>2825</v>
      </c>
      <c r="C101" s="308" t="s">
        <v>1749</v>
      </c>
      <c r="D101" s="308" t="s">
        <v>2826</v>
      </c>
      <c r="E101" s="320" t="s">
        <v>2662</v>
      </c>
      <c r="F101" s="320" t="s">
        <v>2663</v>
      </c>
      <c r="G101" s="320" t="s">
        <v>2664</v>
      </c>
      <c r="H101" s="320" t="s">
        <v>2665</v>
      </c>
    </row>
    <row r="102" spans="2:8" ht="290.55" customHeight="1" x14ac:dyDescent="0.25">
      <c r="B102" s="471" t="s">
        <v>2827</v>
      </c>
      <c r="C102" s="308" t="s">
        <v>269</v>
      </c>
      <c r="D102" s="308" t="s">
        <v>2828</v>
      </c>
      <c r="E102" s="320" t="s">
        <v>2662</v>
      </c>
      <c r="F102" s="320" t="s">
        <v>2663</v>
      </c>
      <c r="G102" s="320" t="s">
        <v>2664</v>
      </c>
      <c r="H102" s="320" t="s">
        <v>2665</v>
      </c>
    </row>
    <row r="103" spans="2:8" ht="222" customHeight="1" x14ac:dyDescent="0.25">
      <c r="B103" s="471" t="s">
        <v>2829</v>
      </c>
      <c r="C103" s="308" t="s">
        <v>271</v>
      </c>
      <c r="D103" s="472" t="s">
        <v>2830</v>
      </c>
      <c r="E103" s="320" t="s">
        <v>2674</v>
      </c>
      <c r="F103" s="320" t="s">
        <v>2663</v>
      </c>
      <c r="G103" s="320" t="s">
        <v>2664</v>
      </c>
      <c r="H103" s="320" t="s">
        <v>2665</v>
      </c>
    </row>
    <row r="104" spans="2:8" ht="409.5" customHeight="1" x14ac:dyDescent="0.25">
      <c r="B104" s="471" t="s">
        <v>2831</v>
      </c>
      <c r="C104" s="308" t="s">
        <v>2832</v>
      </c>
      <c r="D104" s="308" t="s">
        <v>2833</v>
      </c>
      <c r="E104" s="320" t="s">
        <v>2662</v>
      </c>
      <c r="F104" s="320" t="s">
        <v>2663</v>
      </c>
      <c r="G104" s="320" t="s">
        <v>2664</v>
      </c>
      <c r="H104" s="320" t="s">
        <v>2665</v>
      </c>
    </row>
    <row r="105" spans="2:8" ht="409.5" customHeight="1" x14ac:dyDescent="0.25">
      <c r="B105" s="820" t="s">
        <v>2834</v>
      </c>
      <c r="C105" s="822" t="s">
        <v>239</v>
      </c>
      <c r="D105" s="824" t="s">
        <v>2835</v>
      </c>
      <c r="E105" s="820" t="s">
        <v>2674</v>
      </c>
      <c r="F105" s="820" t="s">
        <v>2663</v>
      </c>
      <c r="G105" s="820" t="s">
        <v>2664</v>
      </c>
      <c r="H105" s="820" t="s">
        <v>2665</v>
      </c>
    </row>
    <row r="106" spans="2:8" ht="298.5" customHeight="1" x14ac:dyDescent="0.25">
      <c r="B106" s="821"/>
      <c r="C106" s="823"/>
      <c r="D106" s="825"/>
      <c r="E106" s="821"/>
      <c r="F106" s="821"/>
      <c r="G106" s="821"/>
      <c r="H106" s="821"/>
    </row>
    <row r="107" spans="2:8" ht="409.6" customHeight="1" x14ac:dyDescent="0.25">
      <c r="B107" s="471" t="s">
        <v>2836</v>
      </c>
      <c r="C107" s="308" t="s">
        <v>241</v>
      </c>
      <c r="D107" s="308" t="s">
        <v>2837</v>
      </c>
      <c r="E107" s="320" t="s">
        <v>2674</v>
      </c>
      <c r="F107" s="320" t="s">
        <v>2663</v>
      </c>
      <c r="G107" s="320" t="s">
        <v>2664</v>
      </c>
      <c r="H107" s="320" t="s">
        <v>2665</v>
      </c>
    </row>
    <row r="108" spans="2:8" ht="142.5" customHeight="1" x14ac:dyDescent="0.25">
      <c r="B108" s="471" t="s">
        <v>2838</v>
      </c>
      <c r="C108" s="322" t="s">
        <v>243</v>
      </c>
      <c r="D108" s="308" t="s">
        <v>2839</v>
      </c>
      <c r="E108" s="456" t="s">
        <v>2662</v>
      </c>
      <c r="F108" s="456" t="s">
        <v>2663</v>
      </c>
      <c r="G108" s="456" t="s">
        <v>2664</v>
      </c>
      <c r="H108" s="320" t="s">
        <v>2665</v>
      </c>
    </row>
    <row r="109" spans="2:8" ht="205.05" customHeight="1" x14ac:dyDescent="0.25">
      <c r="B109" s="471" t="s">
        <v>2840</v>
      </c>
      <c r="C109" s="308" t="s">
        <v>2841</v>
      </c>
      <c r="D109" s="308" t="s">
        <v>2842</v>
      </c>
      <c r="E109" s="320" t="s">
        <v>2674</v>
      </c>
      <c r="F109" s="320" t="s">
        <v>2663</v>
      </c>
      <c r="G109" s="456" t="s">
        <v>2664</v>
      </c>
      <c r="H109" s="320" t="s">
        <v>2665</v>
      </c>
    </row>
    <row r="110" spans="2:8" ht="364.5" customHeight="1" x14ac:dyDescent="0.25">
      <c r="B110" s="820" t="s">
        <v>2843</v>
      </c>
      <c r="C110" s="822" t="s">
        <v>310</v>
      </c>
      <c r="D110" s="822" t="s">
        <v>2844</v>
      </c>
      <c r="E110" s="820" t="s">
        <v>2674</v>
      </c>
      <c r="F110" s="820" t="s">
        <v>2663</v>
      </c>
      <c r="G110" s="820" t="s">
        <v>2664</v>
      </c>
      <c r="H110" s="820" t="s">
        <v>2665</v>
      </c>
    </row>
    <row r="111" spans="2:8" ht="227.1" customHeight="1" x14ac:dyDescent="0.25">
      <c r="B111" s="821"/>
      <c r="C111" s="823"/>
      <c r="D111" s="823"/>
      <c r="E111" s="821"/>
      <c r="F111" s="821"/>
      <c r="G111" s="821"/>
      <c r="H111" s="821"/>
    </row>
    <row r="112" spans="2:8" ht="286.5" customHeight="1" x14ac:dyDescent="0.25">
      <c r="B112" s="471" t="s">
        <v>2845</v>
      </c>
      <c r="C112" s="322" t="s">
        <v>1750</v>
      </c>
      <c r="D112" s="420" t="s">
        <v>2846</v>
      </c>
      <c r="E112" s="456" t="s">
        <v>2674</v>
      </c>
      <c r="F112" s="456" t="s">
        <v>2663</v>
      </c>
      <c r="G112" s="456" t="s">
        <v>2664</v>
      </c>
      <c r="H112" s="320" t="s">
        <v>2665</v>
      </c>
    </row>
    <row r="113" spans="2:8" ht="279.60000000000002" customHeight="1" x14ac:dyDescent="0.25">
      <c r="B113" s="471" t="s">
        <v>2847</v>
      </c>
      <c r="C113" s="308" t="s">
        <v>193</v>
      </c>
      <c r="D113" s="507" t="s">
        <v>2848</v>
      </c>
      <c r="E113" s="320" t="s">
        <v>2674</v>
      </c>
      <c r="F113" s="320" t="s">
        <v>2663</v>
      </c>
      <c r="G113" s="320" t="s">
        <v>2664</v>
      </c>
      <c r="H113" s="320" t="s">
        <v>2665</v>
      </c>
    </row>
    <row r="114" spans="2:8" ht="145.05000000000001" customHeight="1" x14ac:dyDescent="0.25">
      <c r="B114" s="471" t="s">
        <v>2849</v>
      </c>
      <c r="C114" s="308" t="s">
        <v>2850</v>
      </c>
      <c r="D114" s="507" t="s">
        <v>2851</v>
      </c>
      <c r="E114" s="456" t="s">
        <v>2662</v>
      </c>
      <c r="F114" s="320" t="s">
        <v>2663</v>
      </c>
      <c r="G114" s="320" t="s">
        <v>2664</v>
      </c>
      <c r="H114" s="320" t="s">
        <v>2665</v>
      </c>
    </row>
    <row r="115" spans="2:8" ht="138" customHeight="1" x14ac:dyDescent="0.25">
      <c r="B115" s="471" t="s">
        <v>2852</v>
      </c>
      <c r="C115" s="308" t="s">
        <v>197</v>
      </c>
      <c r="D115" s="322" t="s">
        <v>2678</v>
      </c>
      <c r="E115" s="456" t="s">
        <v>2662</v>
      </c>
      <c r="F115" s="320" t="s">
        <v>2679</v>
      </c>
      <c r="G115" s="320" t="s">
        <v>2664</v>
      </c>
      <c r="H115" s="320" t="s">
        <v>2665</v>
      </c>
    </row>
    <row r="116" spans="2:8" ht="50.55" customHeight="1" x14ac:dyDescent="0.25">
      <c r="B116" s="471" t="s">
        <v>2853</v>
      </c>
      <c r="C116" s="479" t="s">
        <v>199</v>
      </c>
      <c r="D116" s="507" t="s">
        <v>2854</v>
      </c>
      <c r="E116" s="456" t="s">
        <v>2662</v>
      </c>
      <c r="F116" s="320" t="s">
        <v>2663</v>
      </c>
      <c r="G116" s="320" t="s">
        <v>2664</v>
      </c>
      <c r="H116" s="320" t="s">
        <v>2665</v>
      </c>
    </row>
    <row r="117" spans="2:8" ht="69.599999999999994" customHeight="1" x14ac:dyDescent="0.25">
      <c r="B117" s="471" t="s">
        <v>2855</v>
      </c>
      <c r="C117" s="308" t="s">
        <v>201</v>
      </c>
      <c r="D117" s="507" t="s">
        <v>2856</v>
      </c>
      <c r="E117" s="320" t="s">
        <v>2674</v>
      </c>
      <c r="F117" s="320" t="s">
        <v>2663</v>
      </c>
      <c r="G117" s="320" t="s">
        <v>2664</v>
      </c>
      <c r="H117" s="320" t="s">
        <v>2665</v>
      </c>
    </row>
    <row r="118" spans="2:8" ht="80.099999999999994" customHeight="1" x14ac:dyDescent="0.25">
      <c r="B118" s="471" t="s">
        <v>2857</v>
      </c>
      <c r="C118" s="308" t="s">
        <v>203</v>
      </c>
      <c r="D118" s="507" t="s">
        <v>2856</v>
      </c>
      <c r="E118" s="320" t="s">
        <v>2674</v>
      </c>
      <c r="F118" s="320" t="s">
        <v>2663</v>
      </c>
      <c r="G118" s="320" t="s">
        <v>2664</v>
      </c>
      <c r="H118" s="320" t="s">
        <v>2665</v>
      </c>
    </row>
    <row r="119" spans="2:8" ht="210" customHeight="1" x14ac:dyDescent="0.25">
      <c r="B119" s="471" t="s">
        <v>2858</v>
      </c>
      <c r="C119" s="308" t="s">
        <v>205</v>
      </c>
      <c r="D119" s="322" t="s">
        <v>2859</v>
      </c>
      <c r="E119" s="320" t="s">
        <v>2674</v>
      </c>
      <c r="F119" s="320" t="s">
        <v>2663</v>
      </c>
      <c r="G119" s="320" t="s">
        <v>2664</v>
      </c>
      <c r="H119" s="320" t="s">
        <v>2665</v>
      </c>
    </row>
    <row r="120" spans="2:8" ht="112.05" customHeight="1" x14ac:dyDescent="0.25">
      <c r="B120" s="471" t="s">
        <v>2860</v>
      </c>
      <c r="C120" s="479" t="s">
        <v>207</v>
      </c>
      <c r="D120" s="475" t="s">
        <v>2678</v>
      </c>
      <c r="E120" s="456" t="s">
        <v>2674</v>
      </c>
      <c r="F120" s="320" t="s">
        <v>2679</v>
      </c>
      <c r="G120" s="320" t="s">
        <v>2664</v>
      </c>
      <c r="H120" s="320" t="s">
        <v>2665</v>
      </c>
    </row>
    <row r="121" spans="2:8" ht="153.6" customHeight="1" x14ac:dyDescent="0.25">
      <c r="B121" s="471" t="s">
        <v>2861</v>
      </c>
      <c r="C121" s="308" t="s">
        <v>2862</v>
      </c>
      <c r="D121" s="321" t="s">
        <v>2863</v>
      </c>
      <c r="E121" s="320" t="s">
        <v>2674</v>
      </c>
      <c r="F121" s="320" t="s">
        <v>2663</v>
      </c>
      <c r="G121" s="320" t="s">
        <v>2664</v>
      </c>
      <c r="H121" s="320" t="s">
        <v>2665</v>
      </c>
    </row>
    <row r="122" spans="2:8" ht="98.1" customHeight="1" x14ac:dyDescent="0.25">
      <c r="B122" s="471" t="s">
        <v>2864</v>
      </c>
      <c r="C122" s="308" t="s">
        <v>177</v>
      </c>
      <c r="D122" s="308" t="s">
        <v>2856</v>
      </c>
      <c r="E122" s="456" t="s">
        <v>2662</v>
      </c>
      <c r="F122" s="320" t="s">
        <v>2663</v>
      </c>
      <c r="G122" s="320" t="s">
        <v>2664</v>
      </c>
      <c r="H122" s="320" t="s">
        <v>2665</v>
      </c>
    </row>
    <row r="123" spans="2:8" ht="142.5" customHeight="1" x14ac:dyDescent="0.25">
      <c r="B123" s="471" t="s">
        <v>2865</v>
      </c>
      <c r="C123" s="308" t="s">
        <v>179</v>
      </c>
      <c r="D123" s="507" t="s">
        <v>2866</v>
      </c>
      <c r="E123" s="456" t="s">
        <v>2662</v>
      </c>
      <c r="F123" s="320" t="s">
        <v>2663</v>
      </c>
      <c r="G123" s="320" t="s">
        <v>2664</v>
      </c>
      <c r="H123" s="320" t="s">
        <v>2665</v>
      </c>
    </row>
    <row r="124" spans="2:8" ht="64.05" customHeight="1" x14ac:dyDescent="0.25">
      <c r="B124" s="658" t="s">
        <v>2867</v>
      </c>
      <c r="C124" s="308" t="s">
        <v>2868</v>
      </c>
      <c r="D124" s="308" t="s">
        <v>2665</v>
      </c>
      <c r="E124" s="320" t="s">
        <v>2674</v>
      </c>
      <c r="F124" s="320" t="s">
        <v>2663</v>
      </c>
      <c r="G124" s="320" t="s">
        <v>2664</v>
      </c>
      <c r="H124" s="320" t="s">
        <v>2665</v>
      </c>
    </row>
    <row r="125" spans="2:8" ht="90" customHeight="1" x14ac:dyDescent="0.25">
      <c r="B125" s="658" t="s">
        <v>2869</v>
      </c>
      <c r="C125" s="308" t="s">
        <v>2870</v>
      </c>
      <c r="D125" s="308" t="s">
        <v>2665</v>
      </c>
      <c r="E125" s="320" t="s">
        <v>2662</v>
      </c>
      <c r="F125" s="320" t="s">
        <v>2663</v>
      </c>
      <c r="G125" s="320" t="s">
        <v>2664</v>
      </c>
      <c r="H125" s="320" t="s">
        <v>2665</v>
      </c>
    </row>
    <row r="126" spans="2:8" ht="60" customHeight="1" x14ac:dyDescent="0.25">
      <c r="B126" s="658" t="s">
        <v>2871</v>
      </c>
      <c r="C126" s="308" t="s">
        <v>2872</v>
      </c>
      <c r="D126" s="308" t="s">
        <v>2665</v>
      </c>
      <c r="E126" s="320" t="s">
        <v>2674</v>
      </c>
      <c r="F126" s="320" t="s">
        <v>2663</v>
      </c>
      <c r="G126" s="320" t="s">
        <v>2664</v>
      </c>
      <c r="H126" s="320" t="s">
        <v>2665</v>
      </c>
    </row>
    <row r="127" spans="2:8" ht="60" customHeight="1" x14ac:dyDescent="0.25">
      <c r="B127" s="658" t="s">
        <v>2873</v>
      </c>
      <c r="C127" s="308" t="s">
        <v>2874</v>
      </c>
      <c r="D127" s="308" t="s">
        <v>2665</v>
      </c>
      <c r="E127" s="456" t="s">
        <v>2662</v>
      </c>
      <c r="F127" s="320" t="s">
        <v>2663</v>
      </c>
      <c r="G127" s="320" t="s">
        <v>2664</v>
      </c>
      <c r="H127" s="320" t="s">
        <v>2665</v>
      </c>
    </row>
    <row r="128" spans="2:8" ht="95.55" customHeight="1" x14ac:dyDescent="0.25">
      <c r="B128" s="658" t="s">
        <v>2875</v>
      </c>
      <c r="C128" s="308" t="s">
        <v>2876</v>
      </c>
      <c r="D128" s="308" t="s">
        <v>2665</v>
      </c>
      <c r="E128" s="320" t="s">
        <v>2674</v>
      </c>
      <c r="F128" s="320" t="s">
        <v>2663</v>
      </c>
      <c r="G128" s="320" t="s">
        <v>2664</v>
      </c>
      <c r="H128" s="320" t="s">
        <v>2665</v>
      </c>
    </row>
    <row r="129" spans="2:8" ht="59.55" customHeight="1" x14ac:dyDescent="0.25">
      <c r="B129" s="658" t="s">
        <v>2877</v>
      </c>
      <c r="C129" s="308" t="s">
        <v>2878</v>
      </c>
      <c r="D129" s="308" t="s">
        <v>2665</v>
      </c>
      <c r="E129" s="320" t="s">
        <v>2674</v>
      </c>
      <c r="F129" s="320" t="s">
        <v>2663</v>
      </c>
      <c r="G129" s="320" t="s">
        <v>2664</v>
      </c>
      <c r="H129" s="320" t="s">
        <v>2665</v>
      </c>
    </row>
    <row r="130" spans="2:8" ht="71.099999999999994" customHeight="1" x14ac:dyDescent="0.25">
      <c r="B130" s="658" t="s">
        <v>2879</v>
      </c>
      <c r="C130" s="308" t="s">
        <v>2880</v>
      </c>
      <c r="D130" s="308" t="s">
        <v>2665</v>
      </c>
      <c r="E130" s="320" t="s">
        <v>2662</v>
      </c>
      <c r="F130" s="320" t="s">
        <v>2663</v>
      </c>
      <c r="G130" s="320" t="s">
        <v>2664</v>
      </c>
      <c r="H130" s="320" t="s">
        <v>2665</v>
      </c>
    </row>
    <row r="131" spans="2:8" ht="59.55" customHeight="1" x14ac:dyDescent="0.25">
      <c r="B131" s="658" t="s">
        <v>2881</v>
      </c>
      <c r="C131" s="308" t="s">
        <v>2882</v>
      </c>
      <c r="D131" s="308" t="s">
        <v>2665</v>
      </c>
      <c r="E131" s="320" t="s">
        <v>2674</v>
      </c>
      <c r="F131" s="320" t="s">
        <v>2663</v>
      </c>
      <c r="G131" s="320" t="s">
        <v>2664</v>
      </c>
      <c r="H131" s="320" t="s">
        <v>2665</v>
      </c>
    </row>
    <row r="132" spans="2:8" ht="141.6" customHeight="1" x14ac:dyDescent="0.25">
      <c r="B132" s="658" t="s">
        <v>2883</v>
      </c>
      <c r="C132" s="308" t="s">
        <v>2884</v>
      </c>
      <c r="D132" s="659" t="s">
        <v>2885</v>
      </c>
      <c r="E132" s="320" t="s">
        <v>2674</v>
      </c>
      <c r="F132" s="320" t="s">
        <v>2663</v>
      </c>
      <c r="G132" s="320" t="s">
        <v>2664</v>
      </c>
      <c r="H132" s="320" t="s">
        <v>2665</v>
      </c>
    </row>
  </sheetData>
  <sheetProtection algorithmName="SHA-512" hashValue="1KmplAFCALUi1MjBh0644C0gfvN9tkXxFXdTCRzSTC2yoqA3FupuRZJzUnnUrgG4aFydDQH4sNmD6YSaYtXBQQ==" saltValue="VmcGwOQwBSvS9Ndt7tjElg==" spinCount="100000" sheet="1" objects="1" autoFilter="0" pivotTables="0"/>
  <autoFilter ref="B17:H123" xr:uid="{75F59F8B-9ED5-41F0-8C86-6022CC27FA3A}"/>
  <mergeCells count="85">
    <mergeCell ref="B7:D7"/>
    <mergeCell ref="B19:B20"/>
    <mergeCell ref="C19:C20"/>
    <mergeCell ref="D19:D20"/>
    <mergeCell ref="E19:E20"/>
    <mergeCell ref="G19:G20"/>
    <mergeCell ref="H19:H20"/>
    <mergeCell ref="B45:B49"/>
    <mergeCell ref="C45:C49"/>
    <mergeCell ref="D45:D49"/>
    <mergeCell ref="E45:E49"/>
    <mergeCell ref="F45:F49"/>
    <mergeCell ref="G45:G49"/>
    <mergeCell ref="H45:H49"/>
    <mergeCell ref="F19:F20"/>
    <mergeCell ref="H65:H66"/>
    <mergeCell ref="B67:B68"/>
    <mergeCell ref="C67:C68"/>
    <mergeCell ref="D67:D68"/>
    <mergeCell ref="E67:E68"/>
    <mergeCell ref="F67:F68"/>
    <mergeCell ref="G67:G68"/>
    <mergeCell ref="H67:H68"/>
    <mergeCell ref="B65:B66"/>
    <mergeCell ref="C65:C66"/>
    <mergeCell ref="D65:D66"/>
    <mergeCell ref="E65:E66"/>
    <mergeCell ref="F65:F66"/>
    <mergeCell ref="G65:G66"/>
    <mergeCell ref="H72:H73"/>
    <mergeCell ref="B74:B75"/>
    <mergeCell ref="C74:C75"/>
    <mergeCell ref="D74:D75"/>
    <mergeCell ref="E74:E75"/>
    <mergeCell ref="F74:F75"/>
    <mergeCell ref="G74:G75"/>
    <mergeCell ref="H74:H75"/>
    <mergeCell ref="B72:B73"/>
    <mergeCell ref="C72:C73"/>
    <mergeCell ref="D72:D73"/>
    <mergeCell ref="E72:E73"/>
    <mergeCell ref="F72:F73"/>
    <mergeCell ref="G72:G73"/>
    <mergeCell ref="H76:H77"/>
    <mergeCell ref="B93:B94"/>
    <mergeCell ref="C93:C94"/>
    <mergeCell ref="D93:D94"/>
    <mergeCell ref="E93:E94"/>
    <mergeCell ref="F93:F94"/>
    <mergeCell ref="G93:G94"/>
    <mergeCell ref="H93:H94"/>
    <mergeCell ref="B76:B77"/>
    <mergeCell ref="C76:C77"/>
    <mergeCell ref="D76:D77"/>
    <mergeCell ref="E76:E77"/>
    <mergeCell ref="F76:F77"/>
    <mergeCell ref="G76:G77"/>
    <mergeCell ref="H96:H97"/>
    <mergeCell ref="B99:B100"/>
    <mergeCell ref="C99:C100"/>
    <mergeCell ref="D99:D100"/>
    <mergeCell ref="E99:E100"/>
    <mergeCell ref="F99:F100"/>
    <mergeCell ref="G99:G100"/>
    <mergeCell ref="H99:H100"/>
    <mergeCell ref="B96:B97"/>
    <mergeCell ref="C96:C97"/>
    <mergeCell ref="D96:D97"/>
    <mergeCell ref="E96:E97"/>
    <mergeCell ref="F96:F97"/>
    <mergeCell ref="G96:G97"/>
    <mergeCell ref="H105:H106"/>
    <mergeCell ref="B110:B111"/>
    <mergeCell ref="C110:C111"/>
    <mergeCell ref="D110:D111"/>
    <mergeCell ref="E110:E111"/>
    <mergeCell ref="F110:F111"/>
    <mergeCell ref="G110:G111"/>
    <mergeCell ref="H110:H111"/>
    <mergeCell ref="B105:B106"/>
    <mergeCell ref="C105:C106"/>
    <mergeCell ref="D105:D106"/>
    <mergeCell ref="E105:E106"/>
    <mergeCell ref="F105:F106"/>
    <mergeCell ref="G105:G106"/>
  </mergeCells>
  <pageMargins left="0.70866141732283472" right="0.70866141732283472" top="0.74803149606299213" bottom="0.74803149606299213" header="0.31496062992125984" footer="0.31496062992125984"/>
  <pageSetup paperSize="9" scale="44" fitToHeight="0" orientation="portrait" horizontalDpi="300" r:id="rId1"/>
  <headerFooter>
    <oddHeader xml:space="preserve">&amp;C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afe71dc-28be-4b41-8347-5e4c1579025b">
      <Terms xmlns="http://schemas.microsoft.com/office/infopath/2007/PartnerControls"/>
    </lcf76f155ced4ddcb4097134ff3c332f>
    <_ip_UnifiedCompliancePolicyProperties xmlns="http://schemas.microsoft.com/sharepoint/v3" xsi:nil="true"/>
    <TaxCatchAll xmlns="443515ea-cc60-4981-a1f8-24bbf4a78597"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4068D86B5748DC41BF75C2EB0E9BD742" ma:contentTypeVersion="17" ma:contentTypeDescription="Crie um novo documento." ma:contentTypeScope="" ma:versionID="521add922fcf91b29b631c69471244f6">
  <xsd:schema xmlns:xsd="http://www.w3.org/2001/XMLSchema" xmlns:xs="http://www.w3.org/2001/XMLSchema" xmlns:p="http://schemas.microsoft.com/office/2006/metadata/properties" xmlns:ns1="http://schemas.microsoft.com/sharepoint/v3" xmlns:ns2="dafe71dc-28be-4b41-8347-5e4c1579025b" xmlns:ns3="443515ea-cc60-4981-a1f8-24bbf4a78597" targetNamespace="http://schemas.microsoft.com/office/2006/metadata/properties" ma:root="true" ma:fieldsID="e3a88bb80929a9dfdb9fe0057105fe4b" ns1:_="" ns2:_="" ns3:_="">
    <xsd:import namespace="http://schemas.microsoft.com/sharepoint/v3"/>
    <xsd:import namespace="dafe71dc-28be-4b41-8347-5e4c1579025b"/>
    <xsd:import namespace="443515ea-cc60-4981-a1f8-24bbf4a78597"/>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fe71dc-28be-4b41-8347-5e4c157902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3515ea-cc60-4981-a1f8-24bbf4a7859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480035-29ff-4728-af83-25f43afca418}" ma:internalName="TaxCatchAll" ma:showField="CatchAllData" ma:web="443515ea-cc60-4981-a1f8-24bbf4a7859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A119E6-073C-4EB9-B767-2EAD2C06E8FD}">
  <ds:schemaRefs>
    <ds:schemaRef ds:uri="http://schemas.microsoft.com/DataMashup"/>
  </ds:schemaRefs>
</ds:datastoreItem>
</file>

<file path=customXml/itemProps2.xml><?xml version="1.0" encoding="utf-8"?>
<ds:datastoreItem xmlns:ds="http://schemas.openxmlformats.org/officeDocument/2006/customXml" ds:itemID="{68ACE959-BF6B-4140-AC3A-2FB44AF25FED}">
  <ds:schemaRefs>
    <ds:schemaRef ds:uri="http://schemas.microsoft.com/sharepoint/v3/contenttype/forms"/>
  </ds:schemaRefs>
</ds:datastoreItem>
</file>

<file path=customXml/itemProps3.xml><?xml version="1.0" encoding="utf-8"?>
<ds:datastoreItem xmlns:ds="http://schemas.openxmlformats.org/officeDocument/2006/customXml" ds:itemID="{214E5498-7408-4618-8D80-6BC1DEE7A592}">
  <ds:schemaRefs>
    <ds:schemaRef ds:uri="http://purl.org/dc/terms/"/>
    <ds:schemaRef ds:uri="dafe71dc-28be-4b41-8347-5e4c1579025b"/>
    <ds:schemaRef ds:uri="http://schemas.microsoft.com/office/2006/documentManagement/types"/>
    <ds:schemaRef ds:uri="http://schemas.openxmlformats.org/package/2006/metadata/core-properties"/>
    <ds:schemaRef ds:uri="443515ea-cc60-4981-a1f8-24bbf4a78597"/>
    <ds:schemaRef ds:uri="http://purl.org/dc/elements/1.1/"/>
    <ds:schemaRef ds:uri="http://schemas.microsoft.com/office/2006/metadata/properties"/>
    <ds:schemaRef ds:uri="http://schemas.microsoft.com/sharepoint/v3"/>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A5FE67AA-08E8-4914-843F-C4DEF37B92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fe71dc-28be-4b41-8347-5e4c1579025b"/>
    <ds:schemaRef ds:uri="443515ea-cc60-4981-a1f8-24bbf4a785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Home</vt:lpstr>
      <vt:lpstr>References</vt:lpstr>
      <vt:lpstr>How to use</vt:lpstr>
      <vt:lpstr>Content</vt:lpstr>
      <vt:lpstr>Advances</vt:lpstr>
      <vt:lpstr>Material Topics</vt:lpstr>
      <vt:lpstr>Economic</vt:lpstr>
      <vt:lpstr>Economic Data</vt:lpstr>
      <vt:lpstr>Environmental</vt:lpstr>
      <vt:lpstr>Environmental Data</vt:lpstr>
      <vt:lpstr>Social</vt:lpstr>
      <vt:lpstr>Social Data</vt:lpstr>
      <vt:lpstr>Frameworks</vt:lpstr>
      <vt:lpstr>ICMM principles</vt:lpstr>
      <vt:lpstr>ICMM Report</vt:lpstr>
      <vt:lpstr>GRI index</vt:lpstr>
      <vt:lpstr>SASB index</vt:lpstr>
      <vt:lpstr>TCFD</vt:lpstr>
      <vt:lpstr>WEF</vt:lpstr>
      <vt:lpstr>ICMM Social &amp; Economic</vt:lpstr>
      <vt:lpstr>TNFD Index</vt:lpstr>
      <vt:lpstr>Responsible Sourcing</vt:lpstr>
      <vt:lpstr>Swiss Code</vt:lpstr>
      <vt:lpstr>Glossary | Preparation 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Carla Nin</dc:creator>
  <cp:keywords/>
  <dc:description/>
  <cp:lastModifiedBy>Marin PELLAN</cp:lastModifiedBy>
  <cp:revision/>
  <dcterms:created xsi:type="dcterms:W3CDTF">2021-02-12T19:22:43Z</dcterms:created>
  <dcterms:modified xsi:type="dcterms:W3CDTF">2025-05-22T20:00:48Z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0x0101004068D86B5748DC41BF75C2EB0E9BD742</vt:lpwstr>
  </property>
  <property fmtid="{D5CDD505-2E9C-101B-9397-08002B2CF9AE}" pid="3" name="MediaServiceImageTags">
    <vt:lpwstr/>
  </property>
</Properties>
</file>